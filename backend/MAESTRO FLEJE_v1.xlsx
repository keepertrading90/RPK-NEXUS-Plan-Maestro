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smael.rodriguez\MIS HERRAMIENTAS\SIMULADOR FLEJE_PRENSAS V3\backend\"/>
    </mc:Choice>
  </mc:AlternateContent>
  <xr:revisionPtr revIDLastSave="0" documentId="13_ncr:1_{3C47D164-CEA3-4EEB-81B9-F7FC43FDBCED}" xr6:coauthVersionLast="47" xr6:coauthVersionMax="47" xr10:uidLastSave="{00000000-0000-0000-0000-000000000000}"/>
  <bookViews>
    <workbookView xWindow="-108" yWindow="-108" windowWidth="23256" windowHeight="12456" activeTab="2" xr2:uid="{194D59EC-A3A2-47E8-8329-7C73CE427850}"/>
  </bookViews>
  <sheets>
    <sheet name="BASE DE DATOS" sheetId="5" r:id="rId1"/>
    <sheet name="DEMANDA" sheetId="19" state="hidden" r:id="rId2"/>
    <sheet name="Hoja1" sheetId="20" r:id="rId3"/>
    <sheet name="Hoja2" sheetId="21" r:id="rId4"/>
    <sheet name="DATOS PV 2026" sheetId="18" state="hidden" r:id="rId5"/>
  </sheets>
  <definedNames>
    <definedName name="_xlnm._FilterDatabase" localSheetId="0" hidden="1">'BASE DE DATOS'!$C$1:$N$275</definedName>
    <definedName name="_xlcn.WorksheetConnection_MAESTROFLEJE.xlsxTabla11" hidden="1">Tabla1[]</definedName>
  </definedNames>
  <calcPr calcId="191028"/>
  <pivotCaches>
    <pivotCache cacheId="26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1" name="Tabla1" connection="WorksheetConnection_MAESTRO FLEJE.xlsx!Tab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0" i="5" l="1"/>
  <c r="F160" i="5" s="1"/>
  <c r="G161" i="5"/>
  <c r="H161" i="5" s="1"/>
  <c r="G162" i="5"/>
  <c r="H162" i="5" s="1"/>
  <c r="G163" i="5"/>
  <c r="I163" i="5" s="1"/>
  <c r="L163" i="5" s="1"/>
  <c r="G164" i="5"/>
  <c r="G165" i="5"/>
  <c r="I165" i="5" s="1"/>
  <c r="G166" i="5"/>
  <c r="I166" i="5" s="1"/>
  <c r="L166" i="5" s="1"/>
  <c r="G167" i="5"/>
  <c r="I167" i="5" s="1"/>
  <c r="L167" i="5" s="1"/>
  <c r="G168" i="5"/>
  <c r="I168" i="5" s="1"/>
  <c r="G169" i="5"/>
  <c r="I169" i="5" s="1"/>
  <c r="L169" i="5" s="1"/>
  <c r="G170" i="5"/>
  <c r="H170" i="5" s="1"/>
  <c r="G171" i="5"/>
  <c r="H171" i="5" s="1"/>
  <c r="G172" i="5"/>
  <c r="G173" i="5"/>
  <c r="H173" i="5" s="1"/>
  <c r="G174" i="5"/>
  <c r="H174" i="5" s="1"/>
  <c r="G175" i="5"/>
  <c r="I175" i="5" s="1"/>
  <c r="L175" i="5" s="1"/>
  <c r="G176" i="5"/>
  <c r="G177" i="5"/>
  <c r="I177" i="5" s="1"/>
  <c r="G178" i="5"/>
  <c r="I178" i="5" s="1"/>
  <c r="G179" i="5"/>
  <c r="I179" i="5" s="1"/>
  <c r="G180" i="5"/>
  <c r="H180" i="5" s="1"/>
  <c r="M180" i="5" s="1"/>
  <c r="G181" i="5"/>
  <c r="I181" i="5" s="1"/>
  <c r="L181" i="5" s="1"/>
  <c r="G182" i="5"/>
  <c r="H182" i="5" s="1"/>
  <c r="G183" i="5"/>
  <c r="F183" i="5" s="1"/>
  <c r="G184" i="5"/>
  <c r="H184" i="5" s="1"/>
  <c r="M184" i="5" s="1"/>
  <c r="G185" i="5"/>
  <c r="H185" i="5" s="1"/>
  <c r="M185" i="5" s="1"/>
  <c r="G186" i="5"/>
  <c r="I186" i="5" s="1"/>
  <c r="L186" i="5" s="1"/>
  <c r="G187" i="5"/>
  <c r="G188" i="5"/>
  <c r="I188" i="5" s="1"/>
  <c r="L188" i="5" s="1"/>
  <c r="G189" i="5"/>
  <c r="I189" i="5" s="1"/>
  <c r="L189" i="5" s="1"/>
  <c r="G190" i="5"/>
  <c r="I190" i="5" s="1"/>
  <c r="G191" i="5"/>
  <c r="I191" i="5" s="1"/>
  <c r="G192" i="5"/>
  <c r="I192" i="5" s="1"/>
  <c r="G193" i="5"/>
  <c r="I193" i="5" s="1"/>
  <c r="L193" i="5" s="1"/>
  <c r="G194" i="5"/>
  <c r="H194" i="5" s="1"/>
  <c r="G195" i="5"/>
  <c r="I195" i="5" s="1"/>
  <c r="L195" i="5" s="1"/>
  <c r="G196" i="5"/>
  <c r="H196" i="5" s="1"/>
  <c r="G197" i="5"/>
  <c r="H197" i="5" s="1"/>
  <c r="G198" i="5"/>
  <c r="I198" i="5" s="1"/>
  <c r="L198" i="5" s="1"/>
  <c r="G199" i="5"/>
  <c r="G200" i="5"/>
  <c r="I200" i="5" s="1"/>
  <c r="G201" i="5"/>
  <c r="I201" i="5" s="1"/>
  <c r="L201" i="5" s="1"/>
  <c r="G202" i="5"/>
  <c r="I202" i="5" s="1"/>
  <c r="G203" i="5"/>
  <c r="I203" i="5" s="1"/>
  <c r="L203" i="5" s="1"/>
  <c r="G204" i="5"/>
  <c r="F204" i="5" s="1"/>
  <c r="G205" i="5"/>
  <c r="H205" i="5" s="1"/>
  <c r="M205" i="5" s="1"/>
  <c r="G206" i="5"/>
  <c r="H206" i="5" s="1"/>
  <c r="M206" i="5" s="1"/>
  <c r="G207" i="5"/>
  <c r="I207" i="5" s="1"/>
  <c r="G208" i="5"/>
  <c r="H208" i="5" s="1"/>
  <c r="G209" i="5"/>
  <c r="H209" i="5" s="1"/>
  <c r="G210" i="5"/>
  <c r="I210" i="5" s="1"/>
  <c r="L210" i="5" s="1"/>
  <c r="G211" i="5"/>
  <c r="G212" i="5"/>
  <c r="I212" i="5" s="1"/>
  <c r="L212" i="5" s="1"/>
  <c r="G213" i="5"/>
  <c r="I213" i="5" s="1"/>
  <c r="L213" i="5" s="1"/>
  <c r="G214" i="5"/>
  <c r="I214" i="5" s="1"/>
  <c r="G215" i="5"/>
  <c r="I215" i="5" s="1"/>
  <c r="L215" i="5" s="1"/>
  <c r="G216" i="5"/>
  <c r="I216" i="5" s="1"/>
  <c r="G217" i="5"/>
  <c r="H217" i="5" s="1"/>
  <c r="M217" i="5" s="1"/>
  <c r="G218" i="5"/>
  <c r="H218" i="5" s="1"/>
  <c r="M218" i="5" s="1"/>
  <c r="G219" i="5"/>
  <c r="H219" i="5" s="1"/>
  <c r="G220" i="5"/>
  <c r="H220" i="5" s="1"/>
  <c r="G221" i="5"/>
  <c r="I221" i="5" s="1"/>
  <c r="L221" i="5" s="1"/>
  <c r="G222" i="5"/>
  <c r="F222" i="5" s="1"/>
  <c r="G223" i="5"/>
  <c r="I223" i="5" s="1"/>
  <c r="L223" i="5" s="1"/>
  <c r="G224" i="5"/>
  <c r="I224" i="5" s="1"/>
  <c r="G225" i="5"/>
  <c r="I225" i="5" s="1"/>
  <c r="L225" i="5" s="1"/>
  <c r="G226" i="5"/>
  <c r="I226" i="5" s="1"/>
  <c r="G227" i="5"/>
  <c r="F227" i="5" s="1"/>
  <c r="G228" i="5"/>
  <c r="H228" i="5" s="1"/>
  <c r="G229" i="5"/>
  <c r="H229" i="5" s="1"/>
  <c r="M229" i="5" s="1"/>
  <c r="G230" i="5"/>
  <c r="H230" i="5" s="1"/>
  <c r="G231" i="5"/>
  <c r="H231" i="5" s="1"/>
  <c r="G232" i="5"/>
  <c r="H232" i="5" s="1"/>
  <c r="M232" i="5" s="1"/>
  <c r="G233" i="5"/>
  <c r="I233" i="5" s="1"/>
  <c r="G234" i="5"/>
  <c r="F234" i="5" s="1"/>
  <c r="G235" i="5"/>
  <c r="I235" i="5" s="1"/>
  <c r="L235" i="5" s="1"/>
  <c r="G236" i="5"/>
  <c r="I236" i="5" s="1"/>
  <c r="L236" i="5" s="1"/>
  <c r="G237" i="5"/>
  <c r="I237" i="5" s="1"/>
  <c r="G238" i="5"/>
  <c r="I238" i="5" s="1"/>
  <c r="G239" i="5"/>
  <c r="I239" i="5" s="1"/>
  <c r="L239" i="5" s="1"/>
  <c r="G240" i="5"/>
  <c r="I240" i="5" s="1"/>
  <c r="G241" i="5"/>
  <c r="H241" i="5" s="1"/>
  <c r="M241" i="5" s="1"/>
  <c r="G242" i="5"/>
  <c r="I242" i="5" s="1"/>
  <c r="G243" i="5"/>
  <c r="H243" i="5" s="1"/>
  <c r="G244" i="5"/>
  <c r="H244" i="5" s="1"/>
  <c r="M244" i="5" s="1"/>
  <c r="G245" i="5"/>
  <c r="I245" i="5" s="1"/>
  <c r="G246" i="5"/>
  <c r="G247" i="5"/>
  <c r="I247" i="5" s="1"/>
  <c r="L247" i="5" s="1"/>
  <c r="G248" i="5"/>
  <c r="I248" i="5" s="1"/>
  <c r="G249" i="5"/>
  <c r="I249" i="5" s="1"/>
  <c r="G250" i="5"/>
  <c r="I250" i="5" s="1"/>
  <c r="G251" i="5"/>
  <c r="I251" i="5" s="1"/>
  <c r="L251" i="5" s="1"/>
  <c r="G252" i="5"/>
  <c r="I252" i="5" s="1"/>
  <c r="L252" i="5" s="1"/>
  <c r="G253" i="5"/>
  <c r="H253" i="5" s="1"/>
  <c r="M253" i="5" s="1"/>
  <c r="G254" i="5"/>
  <c r="H254" i="5" s="1"/>
  <c r="M254" i="5" s="1"/>
  <c r="G255" i="5"/>
  <c r="H255" i="5" s="1"/>
  <c r="G256" i="5"/>
  <c r="H256" i="5" s="1"/>
  <c r="G257" i="5"/>
  <c r="I257" i="5" s="1"/>
  <c r="L257" i="5" s="1"/>
  <c r="G258" i="5"/>
  <c r="G259" i="5"/>
  <c r="I259" i="5" s="1"/>
  <c r="G260" i="5"/>
  <c r="I260" i="5" s="1"/>
  <c r="G261" i="5"/>
  <c r="I261" i="5" s="1"/>
  <c r="L261" i="5" s="1"/>
  <c r="G262" i="5"/>
  <c r="I262" i="5" s="1"/>
  <c r="G263" i="5"/>
  <c r="I263" i="5" s="1"/>
  <c r="G264" i="5"/>
  <c r="F264" i="5" s="1"/>
  <c r="G265" i="5"/>
  <c r="H265" i="5" s="1"/>
  <c r="G266" i="5"/>
  <c r="I266" i="5" s="1"/>
  <c r="L266" i="5" s="1"/>
  <c r="G267" i="5"/>
  <c r="H267" i="5" s="1"/>
  <c r="G268" i="5"/>
  <c r="H268" i="5" s="1"/>
  <c r="G269" i="5"/>
  <c r="I269" i="5" s="1"/>
  <c r="L269" i="5" s="1"/>
  <c r="G270" i="5"/>
  <c r="F270" i="5" s="1"/>
  <c r="G271" i="5"/>
  <c r="I271" i="5" s="1"/>
  <c r="G272" i="5"/>
  <c r="I272" i="5" s="1"/>
  <c r="L272" i="5" s="1"/>
  <c r="G273" i="5"/>
  <c r="I273" i="5" s="1"/>
  <c r="G274" i="5"/>
  <c r="I274" i="5" s="1"/>
  <c r="L274" i="5" s="1"/>
  <c r="G275" i="5"/>
  <c r="I275" i="5" s="1"/>
  <c r="L275" i="5" s="1"/>
  <c r="G155" i="5"/>
  <c r="I155" i="5" s="1"/>
  <c r="G156" i="5"/>
  <c r="I156" i="5" s="1"/>
  <c r="G157" i="5"/>
  <c r="H157" i="5" s="1"/>
  <c r="M157" i="5" s="1"/>
  <c r="G158" i="5"/>
  <c r="I158" i="5" s="1"/>
  <c r="G159" i="5"/>
  <c r="I159" i="5" s="1"/>
  <c r="G153" i="5"/>
  <c r="F153" i="5" s="1"/>
  <c r="G154" i="5"/>
  <c r="F154" i="5" s="1"/>
  <c r="G60" i="5"/>
  <c r="I60" i="5" s="1"/>
  <c r="G61" i="5"/>
  <c r="I61" i="5" s="1"/>
  <c r="L61" i="5" s="1"/>
  <c r="G62" i="5"/>
  <c r="I62" i="5" s="1"/>
  <c r="L62" i="5" s="1"/>
  <c r="G63" i="5"/>
  <c r="I63" i="5" s="1"/>
  <c r="G64" i="5"/>
  <c r="I64" i="5" s="1"/>
  <c r="G65" i="5"/>
  <c r="F65" i="5" s="1"/>
  <c r="G66" i="5"/>
  <c r="F66" i="5" s="1"/>
  <c r="G67" i="5"/>
  <c r="H67" i="5" s="1"/>
  <c r="G68" i="5"/>
  <c r="H68" i="5" s="1"/>
  <c r="G69" i="5"/>
  <c r="I69" i="5" s="1"/>
  <c r="L69" i="5" s="1"/>
  <c r="G70" i="5"/>
  <c r="I70" i="5" s="1"/>
  <c r="G71" i="5"/>
  <c r="F71" i="5" s="1"/>
  <c r="G72" i="5"/>
  <c r="F72" i="5" s="1"/>
  <c r="G73" i="5"/>
  <c r="H73" i="5" s="1"/>
  <c r="G74" i="5"/>
  <c r="F74" i="5" s="1"/>
  <c r="G75" i="5"/>
  <c r="F75" i="5" s="1"/>
  <c r="G76" i="5"/>
  <c r="F76" i="5" s="1"/>
  <c r="G77" i="5"/>
  <c r="H77" i="5" s="1"/>
  <c r="G78" i="5"/>
  <c r="H78" i="5" s="1"/>
  <c r="G79" i="5"/>
  <c r="H79" i="5" s="1"/>
  <c r="M79" i="5" s="1"/>
  <c r="G80" i="5"/>
  <c r="H80" i="5" s="1"/>
  <c r="G81" i="5"/>
  <c r="I81" i="5" s="1"/>
  <c r="G82" i="5"/>
  <c r="I82" i="5" s="1"/>
  <c r="G83" i="5"/>
  <c r="F83" i="5" s="1"/>
  <c r="G84" i="5"/>
  <c r="F84" i="5" s="1"/>
  <c r="G85" i="5"/>
  <c r="I85" i="5" s="1"/>
  <c r="L85" i="5" s="1"/>
  <c r="G86" i="5"/>
  <c r="F86" i="5" s="1"/>
  <c r="G87" i="5"/>
  <c r="F87" i="5" s="1"/>
  <c r="G88" i="5"/>
  <c r="F88" i="5" s="1"/>
  <c r="G89" i="5"/>
  <c r="F89" i="5" s="1"/>
  <c r="G90" i="5"/>
  <c r="I90" i="5" s="1"/>
  <c r="G91" i="5"/>
  <c r="H91" i="5" s="1"/>
  <c r="M91" i="5" s="1"/>
  <c r="G92" i="5"/>
  <c r="H92" i="5" s="1"/>
  <c r="M92" i="5" s="1"/>
  <c r="G93" i="5"/>
  <c r="I93" i="5" s="1"/>
  <c r="G94" i="5"/>
  <c r="I94" i="5" s="1"/>
  <c r="L94" i="5" s="1"/>
  <c r="G95" i="5"/>
  <c r="F95" i="5" s="1"/>
  <c r="G96" i="5"/>
  <c r="F96" i="5" s="1"/>
  <c r="G97" i="5"/>
  <c r="F97" i="5" s="1"/>
  <c r="G98" i="5"/>
  <c r="H98" i="5" s="1"/>
  <c r="G99" i="5"/>
  <c r="I99" i="5" s="1"/>
  <c r="G100" i="5"/>
  <c r="F100" i="5" s="1"/>
  <c r="G101" i="5"/>
  <c r="F101" i="5" s="1"/>
  <c r="G102" i="5"/>
  <c r="H102" i="5" s="1"/>
  <c r="G103" i="5"/>
  <c r="H103" i="5" s="1"/>
  <c r="G104" i="5"/>
  <c r="H104" i="5" s="1"/>
  <c r="G105" i="5"/>
  <c r="I105" i="5" s="1"/>
  <c r="G106" i="5"/>
  <c r="I106" i="5" s="1"/>
  <c r="G107" i="5"/>
  <c r="F107" i="5" s="1"/>
  <c r="G108" i="5"/>
  <c r="H108" i="5" s="1"/>
  <c r="G109" i="5"/>
  <c r="F109" i="5" s="1"/>
  <c r="G110" i="5"/>
  <c r="H110" i="5" s="1"/>
  <c r="G111" i="5"/>
  <c r="I111" i="5" s="1"/>
  <c r="G112" i="5"/>
  <c r="I112" i="5" s="1"/>
  <c r="L112" i="5" s="1"/>
  <c r="G113" i="5"/>
  <c r="H113" i="5" s="1"/>
  <c r="M113" i="5" s="1"/>
  <c r="G114" i="5"/>
  <c r="F114" i="5" s="1"/>
  <c r="G115" i="5"/>
  <c r="H115" i="5" s="1"/>
  <c r="G116" i="5"/>
  <c r="H116" i="5" s="1"/>
  <c r="G117" i="5"/>
  <c r="I117" i="5" s="1"/>
  <c r="G118" i="5"/>
  <c r="I118" i="5" s="1"/>
  <c r="G119" i="5"/>
  <c r="F119" i="5" s="1"/>
  <c r="G120" i="5"/>
  <c r="F120" i="5" s="1"/>
  <c r="G121" i="5"/>
  <c r="H121" i="5" s="1"/>
  <c r="G122" i="5"/>
  <c r="H122" i="5" s="1"/>
  <c r="G123" i="5"/>
  <c r="H123" i="5" s="1"/>
  <c r="G124" i="5"/>
  <c r="I124" i="5" s="1"/>
  <c r="G125" i="5"/>
  <c r="I125" i="5" s="1"/>
  <c r="L125" i="5" s="1"/>
  <c r="G126" i="5"/>
  <c r="F126" i="5" s="1"/>
  <c r="G127" i="5"/>
  <c r="H127" i="5" s="1"/>
  <c r="G128" i="5"/>
  <c r="H128" i="5" s="1"/>
  <c r="G129" i="5"/>
  <c r="I129" i="5" s="1"/>
  <c r="G130" i="5"/>
  <c r="I130" i="5" s="1"/>
  <c r="G131" i="5"/>
  <c r="F131" i="5" s="1"/>
  <c r="G132" i="5"/>
  <c r="F132" i="5" s="1"/>
  <c r="G133" i="5"/>
  <c r="I133" i="5" s="1"/>
  <c r="G134" i="5"/>
  <c r="I134" i="5" s="1"/>
  <c r="G135" i="5"/>
  <c r="I135" i="5" s="1"/>
  <c r="G136" i="5"/>
  <c r="F136" i="5" s="1"/>
  <c r="G137" i="5"/>
  <c r="I137" i="5" s="1"/>
  <c r="G138" i="5"/>
  <c r="F138" i="5" s="1"/>
  <c r="G139" i="5"/>
  <c r="F139" i="5" s="1"/>
  <c r="G140" i="5"/>
  <c r="F140" i="5" s="1"/>
  <c r="G141" i="5"/>
  <c r="I141" i="5" s="1"/>
  <c r="L141" i="5" s="1"/>
  <c r="G142" i="5"/>
  <c r="F142" i="5" s="1"/>
  <c r="G143" i="5"/>
  <c r="F143" i="5" s="1"/>
  <c r="G144" i="5"/>
  <c r="F144" i="5" s="1"/>
  <c r="G145" i="5"/>
  <c r="H145" i="5" s="1"/>
  <c r="G146" i="5"/>
  <c r="H146" i="5" s="1"/>
  <c r="G147" i="5"/>
  <c r="I147" i="5" s="1"/>
  <c r="G148" i="5"/>
  <c r="I148" i="5" s="1"/>
  <c r="G149" i="5"/>
  <c r="H149" i="5" s="1"/>
  <c r="M149" i="5" s="1"/>
  <c r="G150" i="5"/>
  <c r="H150" i="5" s="1"/>
  <c r="M150" i="5" s="1"/>
  <c r="G151" i="5"/>
  <c r="F151" i="5" s="1"/>
  <c r="G152" i="5"/>
  <c r="F152" i="5" s="1"/>
  <c r="G59" i="5"/>
  <c r="H59" i="5" s="1"/>
  <c r="M59" i="5" s="1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59" i="5"/>
  <c r="I160" i="5"/>
  <c r="L160" i="5" s="1"/>
  <c r="I172" i="5"/>
  <c r="L172" i="5" s="1"/>
  <c r="I174" i="5"/>
  <c r="L174" i="5" s="1"/>
  <c r="I184" i="5"/>
  <c r="L184" i="5" s="1"/>
  <c r="I185" i="5"/>
  <c r="L185" i="5" s="1"/>
  <c r="H154" i="5"/>
  <c r="H160" i="5"/>
  <c r="H172" i="5"/>
  <c r="D2" i="21"/>
  <c r="D3" i="21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60" i="21"/>
  <c r="D61" i="21"/>
  <c r="D62" i="21"/>
  <c r="D63" i="21"/>
  <c r="D64" i="21"/>
  <c r="D65" i="21"/>
  <c r="D66" i="21"/>
  <c r="D67" i="21"/>
  <c r="D68" i="21"/>
  <c r="D69" i="21"/>
  <c r="D70" i="21"/>
  <c r="D71" i="21"/>
  <c r="D72" i="21"/>
  <c r="D73" i="21"/>
  <c r="D74" i="21"/>
  <c r="D75" i="21"/>
  <c r="D76" i="21"/>
  <c r="D77" i="21"/>
  <c r="D78" i="21"/>
  <c r="D79" i="21"/>
  <c r="D80" i="21"/>
  <c r="D81" i="21"/>
  <c r="D82" i="21"/>
  <c r="D83" i="21"/>
  <c r="D84" i="21"/>
  <c r="D85" i="21"/>
  <c r="D86" i="21"/>
  <c r="D87" i="21"/>
  <c r="D88" i="21"/>
  <c r="D89" i="21"/>
  <c r="D90" i="21"/>
  <c r="D91" i="21"/>
  <c r="D92" i="21"/>
  <c r="D93" i="21"/>
  <c r="D94" i="21"/>
  <c r="D95" i="21"/>
  <c r="D96" i="21"/>
  <c r="D97" i="21"/>
  <c r="D98" i="21"/>
  <c r="D99" i="21"/>
  <c r="D100" i="21"/>
  <c r="D101" i="21"/>
  <c r="D102" i="21"/>
  <c r="D103" i="21"/>
  <c r="D104" i="21"/>
  <c r="D105" i="21"/>
  <c r="D106" i="21"/>
  <c r="D107" i="21"/>
  <c r="D108" i="21"/>
  <c r="D109" i="21"/>
  <c r="D110" i="21"/>
  <c r="D111" i="21"/>
  <c r="D112" i="21"/>
  <c r="D113" i="21"/>
  <c r="D114" i="21"/>
  <c r="D115" i="21"/>
  <c r="D116" i="21"/>
  <c r="D117" i="21"/>
  <c r="D118" i="21"/>
  <c r="D119" i="21"/>
  <c r="D120" i="21"/>
  <c r="D121" i="21"/>
  <c r="D122" i="21"/>
  <c r="D123" i="21"/>
  <c r="D124" i="21"/>
  <c r="D125" i="21"/>
  <c r="D126" i="21"/>
  <c r="D127" i="21"/>
  <c r="D128" i="21"/>
  <c r="D129" i="21"/>
  <c r="D130" i="21"/>
  <c r="D131" i="21"/>
  <c r="D132" i="21"/>
  <c r="D133" i="21"/>
  <c r="D134" i="21"/>
  <c r="D135" i="21"/>
  <c r="D136" i="21"/>
  <c r="D137" i="21"/>
  <c r="D138" i="21"/>
  <c r="D139" i="21"/>
  <c r="D140" i="21"/>
  <c r="D141" i="21"/>
  <c r="D142" i="21"/>
  <c r="D143" i="21"/>
  <c r="D144" i="21"/>
  <c r="D145" i="21"/>
  <c r="D146" i="21"/>
  <c r="D147" i="21"/>
  <c r="D148" i="21"/>
  <c r="D149" i="21"/>
  <c r="D150" i="21"/>
  <c r="D151" i="21"/>
  <c r="D152" i="21"/>
  <c r="D153" i="21"/>
  <c r="D154" i="21"/>
  <c r="D155" i="21"/>
  <c r="D156" i="21"/>
  <c r="D157" i="21"/>
  <c r="D158" i="21"/>
  <c r="D159" i="21"/>
  <c r="D160" i="21"/>
  <c r="D161" i="21"/>
  <c r="D162" i="21"/>
  <c r="D163" i="21"/>
  <c r="D164" i="21"/>
  <c r="D165" i="21"/>
  <c r="D166" i="21"/>
  <c r="D167" i="21"/>
  <c r="D168" i="21"/>
  <c r="D169" i="21"/>
  <c r="D170" i="21"/>
  <c r="D171" i="21"/>
  <c r="D172" i="21"/>
  <c r="D173" i="21"/>
  <c r="D174" i="21"/>
  <c r="D175" i="21"/>
  <c r="D176" i="21"/>
  <c r="D177" i="21"/>
  <c r="D178" i="21"/>
  <c r="D179" i="21"/>
  <c r="D180" i="21"/>
  <c r="D181" i="21"/>
  <c r="D182" i="21"/>
  <c r="D183" i="21"/>
  <c r="D184" i="21"/>
  <c r="D185" i="21"/>
  <c r="D186" i="21"/>
  <c r="D187" i="21"/>
  <c r="D188" i="21"/>
  <c r="D189" i="21"/>
  <c r="D190" i="21"/>
  <c r="D191" i="21"/>
  <c r="D192" i="21"/>
  <c r="D193" i="21"/>
  <c r="D194" i="21"/>
  <c r="D195" i="21"/>
  <c r="D196" i="21"/>
  <c r="D197" i="21"/>
  <c r="D198" i="21"/>
  <c r="D199" i="21"/>
  <c r="D200" i="21"/>
  <c r="D201" i="21"/>
  <c r="D202" i="21"/>
  <c r="D203" i="21"/>
  <c r="D204" i="21"/>
  <c r="D205" i="21"/>
  <c r="D206" i="21"/>
  <c r="D207" i="21"/>
  <c r="D208" i="21"/>
  <c r="D209" i="21"/>
  <c r="D210" i="21"/>
  <c r="D211" i="21"/>
  <c r="D212" i="21"/>
  <c r="D213" i="21"/>
  <c r="D214" i="21"/>
  <c r="D215" i="21"/>
  <c r="D216" i="21"/>
  <c r="D217" i="21"/>
  <c r="D218" i="21"/>
  <c r="D219" i="21"/>
  <c r="D220" i="21"/>
  <c r="D221" i="21"/>
  <c r="D222" i="21"/>
  <c r="D223" i="21"/>
  <c r="D224" i="21"/>
  <c r="D225" i="21"/>
  <c r="D226" i="21"/>
  <c r="D227" i="21"/>
  <c r="D228" i="21"/>
  <c r="D229" i="21"/>
  <c r="D230" i="21"/>
  <c r="D231" i="21"/>
  <c r="D232" i="21"/>
  <c r="D233" i="21"/>
  <c r="D234" i="21"/>
  <c r="D235" i="21"/>
  <c r="D236" i="21"/>
  <c r="D237" i="21"/>
  <c r="D238" i="21"/>
  <c r="D239" i="21"/>
  <c r="D240" i="21"/>
  <c r="D241" i="21"/>
  <c r="D242" i="21"/>
  <c r="D243" i="21"/>
  <c r="D244" i="21"/>
  <c r="D245" i="21"/>
  <c r="D246" i="21"/>
  <c r="D247" i="21"/>
  <c r="D248" i="21"/>
  <c r="D249" i="21"/>
  <c r="D250" i="21"/>
  <c r="D251" i="21"/>
  <c r="D252" i="21"/>
  <c r="D253" i="21"/>
  <c r="D254" i="21"/>
  <c r="D255" i="21"/>
  <c r="D256" i="21"/>
  <c r="D257" i="21"/>
  <c r="D258" i="21"/>
  <c r="D259" i="21"/>
  <c r="D260" i="21"/>
  <c r="D261" i="21"/>
  <c r="D262" i="21"/>
  <c r="D263" i="21"/>
  <c r="D264" i="21"/>
  <c r="D265" i="21"/>
  <c r="D266" i="21"/>
  <c r="D267" i="21"/>
  <c r="D268" i="21"/>
  <c r="D269" i="21"/>
  <c r="D270" i="21"/>
  <c r="D271" i="21"/>
  <c r="D272" i="21"/>
  <c r="D273" i="21"/>
  <c r="D274" i="21"/>
  <c r="D275" i="21"/>
  <c r="D276" i="21"/>
  <c r="D277" i="21"/>
  <c r="D278" i="21"/>
  <c r="D279" i="21"/>
  <c r="D280" i="21"/>
  <c r="D281" i="21"/>
  <c r="D282" i="21"/>
  <c r="D283" i="21"/>
  <c r="D284" i="21"/>
  <c r="D285" i="21"/>
  <c r="D286" i="21"/>
  <c r="D287" i="21"/>
  <c r="D288" i="21"/>
  <c r="D289" i="21"/>
  <c r="D290" i="21"/>
  <c r="D291" i="21"/>
  <c r="D292" i="21"/>
  <c r="D293" i="21"/>
  <c r="D294" i="21"/>
  <c r="D295" i="21"/>
  <c r="D296" i="21"/>
  <c r="D297" i="21"/>
  <c r="D298" i="21"/>
  <c r="D299" i="21"/>
  <c r="D300" i="21"/>
  <c r="D301" i="21"/>
  <c r="D302" i="21"/>
  <c r="D303" i="21"/>
  <c r="D304" i="21"/>
  <c r="D305" i="21"/>
  <c r="D306" i="21"/>
  <c r="D307" i="21"/>
  <c r="D308" i="21"/>
  <c r="D309" i="21"/>
  <c r="D310" i="21"/>
  <c r="D311" i="21"/>
  <c r="D312" i="21"/>
  <c r="D313" i="21"/>
  <c r="D314" i="21"/>
  <c r="D315" i="21"/>
  <c r="D316" i="21"/>
  <c r="D317" i="21"/>
  <c r="D318" i="21"/>
  <c r="D319" i="21"/>
  <c r="D320" i="21"/>
  <c r="D321" i="21"/>
  <c r="D322" i="21"/>
  <c r="D323" i="21"/>
  <c r="D324" i="21"/>
  <c r="D325" i="21"/>
  <c r="D326" i="21"/>
  <c r="D327" i="21"/>
  <c r="D328" i="21"/>
  <c r="D329" i="21"/>
  <c r="D330" i="21"/>
  <c r="D331" i="21"/>
  <c r="D332" i="21"/>
  <c r="D333" i="21"/>
  <c r="D334" i="21"/>
  <c r="D335" i="21"/>
  <c r="D336" i="21"/>
  <c r="D337" i="21"/>
  <c r="D338" i="21"/>
  <c r="D339" i="21"/>
  <c r="D340" i="21"/>
  <c r="D341" i="21"/>
  <c r="D342" i="21"/>
  <c r="D343" i="21"/>
  <c r="D344" i="21"/>
  <c r="D345" i="21"/>
  <c r="D346" i="21"/>
  <c r="D347" i="21"/>
  <c r="D348" i="21"/>
  <c r="D349" i="21"/>
  <c r="D350" i="21"/>
  <c r="D351" i="21"/>
  <c r="D352" i="21"/>
  <c r="D353" i="21"/>
  <c r="D354" i="21"/>
  <c r="D355" i="21"/>
  <c r="D356" i="21"/>
  <c r="D357" i="21"/>
  <c r="D358" i="21"/>
  <c r="D359" i="21"/>
  <c r="D360" i="21"/>
  <c r="D361" i="21"/>
  <c r="D362" i="21"/>
  <c r="D363" i="21"/>
  <c r="D364" i="21"/>
  <c r="D365" i="21"/>
  <c r="D366" i="21"/>
  <c r="D367" i="21"/>
  <c r="D368" i="21"/>
  <c r="D369" i="21"/>
  <c r="D370" i="21"/>
  <c r="D371" i="21"/>
  <c r="D372" i="21"/>
  <c r="D373" i="21"/>
  <c r="D374" i="21"/>
  <c r="D375" i="21"/>
  <c r="D376" i="21"/>
  <c r="D377" i="21"/>
  <c r="D378" i="21"/>
  <c r="D379" i="21"/>
  <c r="D380" i="21"/>
  <c r="D381" i="21"/>
  <c r="D382" i="21"/>
  <c r="D383" i="21"/>
  <c r="D384" i="21"/>
  <c r="D385" i="21"/>
  <c r="D386" i="21"/>
  <c r="D387" i="21"/>
  <c r="D388" i="21"/>
  <c r="D389" i="21"/>
  <c r="D390" i="21"/>
  <c r="D391" i="21"/>
  <c r="D392" i="21"/>
  <c r="D393" i="21"/>
  <c r="D394" i="21"/>
  <c r="D395" i="21"/>
  <c r="D396" i="21"/>
  <c r="D397" i="21"/>
  <c r="D398" i="21"/>
  <c r="D399" i="21"/>
  <c r="D400" i="21"/>
  <c r="D401" i="21"/>
  <c r="D402" i="21"/>
  <c r="D403" i="21"/>
  <c r="D404" i="21"/>
  <c r="D405" i="21"/>
  <c r="D406" i="21"/>
  <c r="D407" i="21"/>
  <c r="D408" i="21"/>
  <c r="D409" i="21"/>
  <c r="D410" i="21"/>
  <c r="D411" i="21"/>
  <c r="D412" i="21"/>
  <c r="D413" i="21"/>
  <c r="D414" i="21"/>
  <c r="D415" i="21"/>
  <c r="D416" i="21"/>
  <c r="D417" i="21"/>
  <c r="D418" i="21"/>
  <c r="D419" i="21"/>
  <c r="D420" i="21"/>
  <c r="D421" i="21"/>
  <c r="D422" i="21"/>
  <c r="D423" i="21"/>
  <c r="D424" i="21"/>
  <c r="D425" i="21"/>
  <c r="D426" i="21"/>
  <c r="D427" i="21"/>
  <c r="D428" i="21"/>
  <c r="D429" i="21"/>
  <c r="D430" i="21"/>
  <c r="D431" i="21"/>
  <c r="D432" i="21"/>
  <c r="D433" i="21"/>
  <c r="D434" i="21"/>
  <c r="D435" i="21"/>
  <c r="D436" i="21"/>
  <c r="D437" i="21"/>
  <c r="D438" i="21"/>
  <c r="D439" i="21"/>
  <c r="D440" i="21"/>
  <c r="D441" i="21"/>
  <c r="D442" i="21"/>
  <c r="D443" i="21"/>
  <c r="D444" i="21"/>
  <c r="D445" i="21"/>
  <c r="D446" i="21"/>
  <c r="D447" i="21"/>
  <c r="D448" i="21"/>
  <c r="D449" i="21"/>
  <c r="D450" i="21"/>
  <c r="D451" i="21"/>
  <c r="D452" i="21"/>
  <c r="D453" i="21"/>
  <c r="D454" i="21"/>
  <c r="D455" i="21"/>
  <c r="D456" i="21"/>
  <c r="D457" i="21"/>
  <c r="D458" i="21"/>
  <c r="D459" i="21"/>
  <c r="D460" i="21"/>
  <c r="D461" i="21"/>
  <c r="D462" i="21"/>
  <c r="D463" i="21"/>
  <c r="D464" i="21"/>
  <c r="D465" i="21"/>
  <c r="D466" i="21"/>
  <c r="D467" i="21"/>
  <c r="D468" i="21"/>
  <c r="D469" i="21"/>
  <c r="D470" i="21"/>
  <c r="D471" i="21"/>
  <c r="D472" i="21"/>
  <c r="D473" i="21"/>
  <c r="D474" i="21"/>
  <c r="D475" i="21"/>
  <c r="D476" i="21"/>
  <c r="D477" i="21"/>
  <c r="D478" i="21"/>
  <c r="D479" i="21"/>
  <c r="D480" i="21"/>
  <c r="D481" i="21"/>
  <c r="D482" i="21"/>
  <c r="D483" i="21"/>
  <c r="D484" i="21"/>
  <c r="D485" i="21"/>
  <c r="D486" i="21"/>
  <c r="D487" i="21"/>
  <c r="D488" i="21"/>
  <c r="D489" i="21"/>
  <c r="D490" i="21"/>
  <c r="D491" i="21"/>
  <c r="D492" i="21"/>
  <c r="D493" i="21"/>
  <c r="D494" i="21"/>
  <c r="D495" i="21"/>
  <c r="D496" i="21"/>
  <c r="D497" i="21"/>
  <c r="D498" i="21"/>
  <c r="D499" i="21"/>
  <c r="D500" i="21"/>
  <c r="D501" i="21"/>
  <c r="D502" i="21"/>
  <c r="D503" i="21"/>
  <c r="D504" i="21"/>
  <c r="D505" i="21"/>
  <c r="D506" i="21"/>
  <c r="D507" i="21"/>
  <c r="D508" i="21"/>
  <c r="D509" i="21"/>
  <c r="D510" i="21"/>
  <c r="D511" i="21"/>
  <c r="D512" i="21"/>
  <c r="D513" i="21"/>
  <c r="D514" i="21"/>
  <c r="D515" i="21"/>
  <c r="D516" i="21"/>
  <c r="D517" i="21"/>
  <c r="D518" i="21"/>
  <c r="D519" i="21"/>
  <c r="D520" i="21"/>
  <c r="D521" i="21"/>
  <c r="D522" i="21"/>
  <c r="D523" i="21"/>
  <c r="D524" i="21"/>
  <c r="D525" i="21"/>
  <c r="D526" i="21"/>
  <c r="D527" i="21"/>
  <c r="D528" i="21"/>
  <c r="D529" i="21"/>
  <c r="D530" i="21"/>
  <c r="D531" i="21"/>
  <c r="D532" i="21"/>
  <c r="D533" i="21"/>
  <c r="D534" i="21"/>
  <c r="D535" i="21"/>
  <c r="D536" i="21"/>
  <c r="D537" i="21"/>
  <c r="D538" i="21"/>
  <c r="D539" i="21"/>
  <c r="D540" i="21"/>
  <c r="D541" i="21"/>
  <c r="D542" i="21"/>
  <c r="D543" i="21"/>
  <c r="D544" i="21"/>
  <c r="D545" i="21"/>
  <c r="D546" i="21"/>
  <c r="D547" i="21"/>
  <c r="D548" i="21"/>
  <c r="D549" i="21"/>
  <c r="D550" i="21"/>
  <c r="D551" i="21"/>
  <c r="D552" i="21"/>
  <c r="D553" i="21"/>
  <c r="D554" i="21"/>
  <c r="D555" i="21"/>
  <c r="D556" i="21"/>
  <c r="D557" i="21"/>
  <c r="D558" i="21"/>
  <c r="D559" i="21"/>
  <c r="D560" i="21"/>
  <c r="D561" i="21"/>
  <c r="D562" i="21"/>
  <c r="D563" i="21"/>
  <c r="D564" i="21"/>
  <c r="D565" i="21"/>
  <c r="D566" i="21"/>
  <c r="D567" i="21"/>
  <c r="D568" i="21"/>
  <c r="D569" i="21"/>
  <c r="D570" i="21"/>
  <c r="D571" i="21"/>
  <c r="D572" i="21"/>
  <c r="D573" i="21"/>
  <c r="D574" i="21"/>
  <c r="D575" i="21"/>
  <c r="D576" i="21"/>
  <c r="D577" i="21"/>
  <c r="D578" i="21"/>
  <c r="D579" i="21"/>
  <c r="D580" i="21"/>
  <c r="D581" i="21"/>
  <c r="D582" i="21"/>
  <c r="D583" i="21"/>
  <c r="D584" i="21"/>
  <c r="D585" i="21"/>
  <c r="D586" i="21"/>
  <c r="D587" i="21"/>
  <c r="D588" i="21"/>
  <c r="D589" i="21"/>
  <c r="D590" i="21"/>
  <c r="D591" i="21"/>
  <c r="D592" i="21"/>
  <c r="D593" i="21"/>
  <c r="D594" i="21"/>
  <c r="D595" i="21"/>
  <c r="D596" i="21"/>
  <c r="D597" i="21"/>
  <c r="D598" i="21"/>
  <c r="D599" i="21"/>
  <c r="D600" i="21"/>
  <c r="D601" i="21"/>
  <c r="D602" i="21"/>
  <c r="D603" i="21"/>
  <c r="D604" i="21"/>
  <c r="D605" i="21"/>
  <c r="D606" i="21"/>
  <c r="D607" i="21"/>
  <c r="D608" i="21"/>
  <c r="D609" i="21"/>
  <c r="D610" i="21"/>
  <c r="D611" i="21"/>
  <c r="D612" i="21"/>
  <c r="D613" i="21"/>
  <c r="D614" i="21"/>
  <c r="D615" i="21"/>
  <c r="D616" i="21"/>
  <c r="D617" i="21"/>
  <c r="D618" i="21"/>
  <c r="D619" i="21"/>
  <c r="D620" i="21"/>
  <c r="D621" i="21"/>
  <c r="D622" i="21"/>
  <c r="D623" i="21"/>
  <c r="D624" i="21"/>
  <c r="D625" i="21"/>
  <c r="D626" i="21"/>
  <c r="D627" i="21"/>
  <c r="D628" i="21"/>
  <c r="D629" i="21"/>
  <c r="D630" i="21"/>
  <c r="D631" i="21"/>
  <c r="D632" i="21"/>
  <c r="D633" i="21"/>
  <c r="D634" i="21"/>
  <c r="D635" i="21"/>
  <c r="D636" i="21"/>
  <c r="D637" i="21"/>
  <c r="D638" i="21"/>
  <c r="D639" i="21"/>
  <c r="D640" i="21"/>
  <c r="D641" i="21"/>
  <c r="D642" i="21"/>
  <c r="D643" i="21"/>
  <c r="D644" i="21"/>
  <c r="D645" i="21"/>
  <c r="D646" i="21"/>
  <c r="D647" i="21"/>
  <c r="D648" i="21"/>
  <c r="D649" i="21"/>
  <c r="D650" i="21"/>
  <c r="D651" i="21"/>
  <c r="D652" i="21"/>
  <c r="D653" i="21"/>
  <c r="D654" i="21"/>
  <c r="D655" i="21"/>
  <c r="D656" i="21"/>
  <c r="D657" i="21"/>
  <c r="D658" i="21"/>
  <c r="D659" i="21"/>
  <c r="D660" i="21"/>
  <c r="D661" i="21"/>
  <c r="D662" i="21"/>
  <c r="D663" i="21"/>
  <c r="D664" i="21"/>
  <c r="D665" i="21"/>
  <c r="D666" i="21"/>
  <c r="D667" i="21"/>
  <c r="D668" i="21"/>
  <c r="D669" i="21"/>
  <c r="D670" i="21"/>
  <c r="D671" i="21"/>
  <c r="D672" i="21"/>
  <c r="D673" i="21"/>
  <c r="D674" i="21"/>
  <c r="D675" i="21"/>
  <c r="D676" i="21"/>
  <c r="D677" i="21"/>
  <c r="D678" i="21"/>
  <c r="D679" i="21"/>
  <c r="D680" i="21"/>
  <c r="D681" i="21"/>
  <c r="D682" i="21"/>
  <c r="D683" i="21"/>
  <c r="D684" i="21"/>
  <c r="D685" i="21"/>
  <c r="D686" i="21"/>
  <c r="D687" i="21"/>
  <c r="D688" i="21"/>
  <c r="D689" i="21"/>
  <c r="D690" i="21"/>
  <c r="D691" i="21"/>
  <c r="D692" i="21"/>
  <c r="D693" i="21"/>
  <c r="D694" i="21"/>
  <c r="D695" i="21"/>
  <c r="D696" i="21"/>
  <c r="D697" i="21"/>
  <c r="D698" i="21"/>
  <c r="D699" i="21"/>
  <c r="D700" i="21"/>
  <c r="D701" i="21"/>
  <c r="D702" i="21"/>
  <c r="D703" i="21"/>
  <c r="D704" i="21"/>
  <c r="D705" i="21"/>
  <c r="D706" i="21"/>
  <c r="D707" i="21"/>
  <c r="D708" i="21"/>
  <c r="D709" i="21"/>
  <c r="D710" i="21"/>
  <c r="D711" i="21"/>
  <c r="D712" i="21"/>
  <c r="D713" i="21"/>
  <c r="D714" i="21"/>
  <c r="D715" i="21"/>
  <c r="D716" i="21"/>
  <c r="D717" i="21"/>
  <c r="D718" i="21"/>
  <c r="D719" i="21"/>
  <c r="D720" i="21"/>
  <c r="D721" i="21"/>
  <c r="D722" i="21"/>
  <c r="D723" i="21"/>
  <c r="D724" i="21"/>
  <c r="D725" i="21"/>
  <c r="D726" i="21"/>
  <c r="D727" i="21"/>
  <c r="D728" i="21"/>
  <c r="D729" i="21"/>
  <c r="D730" i="21"/>
  <c r="D731" i="21"/>
  <c r="D732" i="21"/>
  <c r="D733" i="21"/>
  <c r="D734" i="21"/>
  <c r="D735" i="21"/>
  <c r="D736" i="21"/>
  <c r="D737" i="21"/>
  <c r="D738" i="21"/>
  <c r="D739" i="21"/>
  <c r="D740" i="21"/>
  <c r="D741" i="21"/>
  <c r="D742" i="21"/>
  <c r="D743" i="21"/>
  <c r="D744" i="21"/>
  <c r="D745" i="21"/>
  <c r="D746" i="21"/>
  <c r="D747" i="21"/>
  <c r="D748" i="21"/>
  <c r="D749" i="21"/>
  <c r="D750" i="21"/>
  <c r="D751" i="21"/>
  <c r="D752" i="21"/>
  <c r="D753" i="21"/>
  <c r="D754" i="21"/>
  <c r="D755" i="21"/>
  <c r="D756" i="21"/>
  <c r="D757" i="21"/>
  <c r="D758" i="21"/>
  <c r="D759" i="21"/>
  <c r="D760" i="21"/>
  <c r="D761" i="21"/>
  <c r="D762" i="21"/>
  <c r="D763" i="21"/>
  <c r="D764" i="21"/>
  <c r="D765" i="21"/>
  <c r="D766" i="21"/>
  <c r="D767" i="21"/>
  <c r="D768" i="21"/>
  <c r="D769" i="21"/>
  <c r="D770" i="21"/>
  <c r="D771" i="21"/>
  <c r="D772" i="21"/>
  <c r="D773" i="21"/>
  <c r="D774" i="21"/>
  <c r="D775" i="21"/>
  <c r="D776" i="21"/>
  <c r="D777" i="21"/>
  <c r="D778" i="21"/>
  <c r="D779" i="21"/>
  <c r="D780" i="21"/>
  <c r="D781" i="21"/>
  <c r="D782" i="21"/>
  <c r="D783" i="21"/>
  <c r="D784" i="21"/>
  <c r="D785" i="21"/>
  <c r="D786" i="21"/>
  <c r="D787" i="21"/>
  <c r="D788" i="21"/>
  <c r="D789" i="21"/>
  <c r="D790" i="21"/>
  <c r="D791" i="21"/>
  <c r="D792" i="21"/>
  <c r="D793" i="21"/>
  <c r="D794" i="21"/>
  <c r="D795" i="21"/>
  <c r="D796" i="21"/>
  <c r="D797" i="21"/>
  <c r="D798" i="21"/>
  <c r="D799" i="21"/>
  <c r="D800" i="21"/>
  <c r="D801" i="21"/>
  <c r="D802" i="21"/>
  <c r="D803" i="21"/>
  <c r="D804" i="21"/>
  <c r="D805" i="21"/>
  <c r="D806" i="21"/>
  <c r="D807" i="21"/>
  <c r="D808" i="21"/>
  <c r="D809" i="21"/>
  <c r="D810" i="21"/>
  <c r="D811" i="21"/>
  <c r="D812" i="21"/>
  <c r="D813" i="21"/>
  <c r="D814" i="21"/>
  <c r="D815" i="21"/>
  <c r="D816" i="21"/>
  <c r="D817" i="21"/>
  <c r="D818" i="21"/>
  <c r="D819" i="21"/>
  <c r="D820" i="21"/>
  <c r="D821" i="21"/>
  <c r="D822" i="21"/>
  <c r="D823" i="21"/>
  <c r="D824" i="21"/>
  <c r="D825" i="21"/>
  <c r="D826" i="21"/>
  <c r="D827" i="21"/>
  <c r="D828" i="21"/>
  <c r="D829" i="21"/>
  <c r="D830" i="21"/>
  <c r="D831" i="21"/>
  <c r="D832" i="21"/>
  <c r="D833" i="21"/>
  <c r="D834" i="21"/>
  <c r="D835" i="21"/>
  <c r="D836" i="21"/>
  <c r="D837" i="21"/>
  <c r="D838" i="21"/>
  <c r="D839" i="21"/>
  <c r="D840" i="21"/>
  <c r="D841" i="21"/>
  <c r="D842" i="21"/>
  <c r="D843" i="21"/>
  <c r="D844" i="21"/>
  <c r="D845" i="21"/>
  <c r="D846" i="21"/>
  <c r="D847" i="21"/>
  <c r="D848" i="21"/>
  <c r="D849" i="21"/>
  <c r="D850" i="21"/>
  <c r="D851" i="21"/>
  <c r="D852" i="21"/>
  <c r="D853" i="21"/>
  <c r="D854" i="21"/>
  <c r="D855" i="21"/>
  <c r="D856" i="21"/>
  <c r="D857" i="21"/>
  <c r="D858" i="21"/>
  <c r="D859" i="21"/>
  <c r="D860" i="21"/>
  <c r="D861" i="21"/>
  <c r="D862" i="21"/>
  <c r="D863" i="21"/>
  <c r="D864" i="21"/>
  <c r="D865" i="21"/>
  <c r="D866" i="21"/>
  <c r="D867" i="21"/>
  <c r="D868" i="21"/>
  <c r="D869" i="21"/>
  <c r="D870" i="21"/>
  <c r="D871" i="21"/>
  <c r="D872" i="21"/>
  <c r="D873" i="21"/>
  <c r="D874" i="21"/>
  <c r="D875" i="21"/>
  <c r="D876" i="21"/>
  <c r="D877" i="21"/>
  <c r="D878" i="21"/>
  <c r="D879" i="21"/>
  <c r="D880" i="21"/>
  <c r="D881" i="21"/>
  <c r="D882" i="21"/>
  <c r="D883" i="21"/>
  <c r="D884" i="21"/>
  <c r="D885" i="21"/>
  <c r="D886" i="21"/>
  <c r="D887" i="21"/>
  <c r="D888" i="21"/>
  <c r="D889" i="21"/>
  <c r="D890" i="21"/>
  <c r="D891" i="21"/>
  <c r="D892" i="21"/>
  <c r="D893" i="21"/>
  <c r="D894" i="21"/>
  <c r="D895" i="21"/>
  <c r="D896" i="21"/>
  <c r="D897" i="21"/>
  <c r="D898" i="21"/>
  <c r="D899" i="21"/>
  <c r="D900" i="21"/>
  <c r="D901" i="21"/>
  <c r="D902" i="21"/>
  <c r="D903" i="21"/>
  <c r="D904" i="21"/>
  <c r="D905" i="21"/>
  <c r="D906" i="21"/>
  <c r="D907" i="21"/>
  <c r="D908" i="21"/>
  <c r="D909" i="21"/>
  <c r="D910" i="21"/>
  <c r="D911" i="21"/>
  <c r="D912" i="21"/>
  <c r="D913" i="21"/>
  <c r="D914" i="21"/>
  <c r="D915" i="21"/>
  <c r="D916" i="21"/>
  <c r="D917" i="21"/>
  <c r="D918" i="21"/>
  <c r="D919" i="21"/>
  <c r="D920" i="21"/>
  <c r="D921" i="21"/>
  <c r="D922" i="21"/>
  <c r="D923" i="21"/>
  <c r="D924" i="21"/>
  <c r="D925" i="21"/>
  <c r="D926" i="21"/>
  <c r="D927" i="21"/>
  <c r="D928" i="21"/>
  <c r="D929" i="21"/>
  <c r="D930" i="21"/>
  <c r="D931" i="21"/>
  <c r="D932" i="21"/>
  <c r="D933" i="21"/>
  <c r="D934" i="21"/>
  <c r="D935" i="21"/>
  <c r="D936" i="21"/>
  <c r="D937" i="21"/>
  <c r="D938" i="21"/>
  <c r="D939" i="21"/>
  <c r="D940" i="21"/>
  <c r="D941" i="21"/>
  <c r="D942" i="21"/>
  <c r="D943" i="21"/>
  <c r="D944" i="21"/>
  <c r="D945" i="21"/>
  <c r="D946" i="21"/>
  <c r="D947" i="21"/>
  <c r="D948" i="21"/>
  <c r="D949" i="21"/>
  <c r="D950" i="21"/>
  <c r="D951" i="21"/>
  <c r="D952" i="21"/>
  <c r="D953" i="21"/>
  <c r="D954" i="21"/>
  <c r="D955" i="21"/>
  <c r="D956" i="21"/>
  <c r="D957" i="21"/>
  <c r="D958" i="21"/>
  <c r="D959" i="21"/>
  <c r="D960" i="21"/>
  <c r="D961" i="21"/>
  <c r="D962" i="21"/>
  <c r="D963" i="21"/>
  <c r="D964" i="21"/>
  <c r="D965" i="21"/>
  <c r="D966" i="21"/>
  <c r="D967" i="21"/>
  <c r="D968" i="21"/>
  <c r="D969" i="21"/>
  <c r="D970" i="21"/>
  <c r="D971" i="21"/>
  <c r="D972" i="21"/>
  <c r="D973" i="21"/>
  <c r="D974" i="21"/>
  <c r="D975" i="21"/>
  <c r="D976" i="21"/>
  <c r="D977" i="21"/>
  <c r="D978" i="21"/>
  <c r="D979" i="21"/>
  <c r="D980" i="21"/>
  <c r="D981" i="21"/>
  <c r="D982" i="21"/>
  <c r="D983" i="21"/>
  <c r="D984" i="21"/>
  <c r="D985" i="21"/>
  <c r="D986" i="21"/>
  <c r="D987" i="21"/>
  <c r="D988" i="21"/>
  <c r="D989" i="21"/>
  <c r="D990" i="21"/>
  <c r="D991" i="21"/>
  <c r="D992" i="21"/>
  <c r="D993" i="21"/>
  <c r="D994" i="21"/>
  <c r="D995" i="21"/>
  <c r="D996" i="21"/>
  <c r="D997" i="21"/>
  <c r="D998" i="21"/>
  <c r="D999" i="21"/>
  <c r="D1000" i="21"/>
  <c r="D1001" i="21"/>
  <c r="D1002" i="21"/>
  <c r="D1003" i="21"/>
  <c r="D1004" i="21"/>
  <c r="D1005" i="21"/>
  <c r="D1006" i="21"/>
  <c r="D1007" i="21"/>
  <c r="D1008" i="21"/>
  <c r="D1009" i="21"/>
  <c r="D1010" i="21"/>
  <c r="D1011" i="21"/>
  <c r="D1012" i="21"/>
  <c r="D1013" i="21"/>
  <c r="D1014" i="21"/>
  <c r="D1015" i="21"/>
  <c r="D1016" i="21"/>
  <c r="D1017" i="21"/>
  <c r="D1018" i="21"/>
  <c r="D1019" i="21"/>
  <c r="D1020" i="21"/>
  <c r="D1021" i="21"/>
  <c r="D1022" i="21"/>
  <c r="D1023" i="21"/>
  <c r="D1024" i="21"/>
  <c r="D1025" i="21"/>
  <c r="D1026" i="21"/>
  <c r="D1027" i="21"/>
  <c r="D1028" i="21"/>
  <c r="D1029" i="21"/>
  <c r="D1030" i="21"/>
  <c r="D1031" i="21"/>
  <c r="D1032" i="21"/>
  <c r="D1033" i="21"/>
  <c r="D1034" i="21"/>
  <c r="D1035" i="21"/>
  <c r="D1036" i="21"/>
  <c r="D1037" i="21"/>
  <c r="D1038" i="21"/>
  <c r="D1039" i="21"/>
  <c r="D1040" i="21"/>
  <c r="D1041" i="21"/>
  <c r="D1042" i="21"/>
  <c r="D1043" i="21"/>
  <c r="D1044" i="21"/>
  <c r="D1045" i="21"/>
  <c r="D1046" i="21"/>
  <c r="D1047" i="21"/>
  <c r="D1048" i="21"/>
  <c r="D1049" i="21"/>
  <c r="D1050" i="21"/>
  <c r="D1051" i="21"/>
  <c r="D1052" i="21"/>
  <c r="D1053" i="21"/>
  <c r="D1054" i="21"/>
  <c r="D1055" i="21"/>
  <c r="D1056" i="21"/>
  <c r="D1057" i="21"/>
  <c r="D1058" i="21"/>
  <c r="D1059" i="21"/>
  <c r="D1060" i="21"/>
  <c r="D1061" i="21"/>
  <c r="D1062" i="21"/>
  <c r="D1063" i="21"/>
  <c r="D1064" i="21"/>
  <c r="D1065" i="21"/>
  <c r="D1066" i="21"/>
  <c r="D1067" i="21"/>
  <c r="D1068" i="21"/>
  <c r="D1069" i="21"/>
  <c r="D1070" i="21"/>
  <c r="D1071" i="21"/>
  <c r="D1072" i="21"/>
  <c r="D1073" i="21"/>
  <c r="D1074" i="21"/>
  <c r="D1075" i="21"/>
  <c r="D1076" i="21"/>
  <c r="D1077" i="21"/>
  <c r="D1078" i="21"/>
  <c r="D1079" i="21"/>
  <c r="D1080" i="21"/>
  <c r="D1081" i="21"/>
  <c r="D1082" i="21"/>
  <c r="D1083" i="21"/>
  <c r="D1084" i="21"/>
  <c r="D1085" i="21"/>
  <c r="D1086" i="21"/>
  <c r="D1087" i="21"/>
  <c r="D1088" i="21"/>
  <c r="D1089" i="21"/>
  <c r="D1090" i="21"/>
  <c r="D1091" i="21"/>
  <c r="D1092" i="21"/>
  <c r="D1093" i="21"/>
  <c r="D1094" i="21"/>
  <c r="D1095" i="21"/>
  <c r="D1096" i="21"/>
  <c r="D1097" i="21"/>
  <c r="D1098" i="21"/>
  <c r="D1099" i="21"/>
  <c r="D1100" i="21"/>
  <c r="D1101" i="21"/>
  <c r="D1102" i="21"/>
  <c r="D1103" i="21"/>
  <c r="D1104" i="21"/>
  <c r="D1105" i="21"/>
  <c r="D1106" i="21"/>
  <c r="D1107" i="21"/>
  <c r="D1108" i="21"/>
  <c r="D1109" i="21"/>
  <c r="D1110" i="21"/>
  <c r="D1111" i="21"/>
  <c r="D1112" i="21"/>
  <c r="D1113" i="21"/>
  <c r="D1114" i="21"/>
  <c r="D1115" i="21"/>
  <c r="D1116" i="21"/>
  <c r="D1117" i="21"/>
  <c r="D1118" i="21"/>
  <c r="D1119" i="21"/>
  <c r="D1120" i="21"/>
  <c r="D1121" i="21"/>
  <c r="D1122" i="21"/>
  <c r="D1123" i="21"/>
  <c r="D1124" i="21"/>
  <c r="D1125" i="21"/>
  <c r="D1126" i="21"/>
  <c r="D1127" i="21"/>
  <c r="D1128" i="21"/>
  <c r="D1129" i="21"/>
  <c r="D1130" i="21"/>
  <c r="D1131" i="21"/>
  <c r="D1132" i="21"/>
  <c r="D1133" i="21"/>
  <c r="D1134" i="21"/>
  <c r="D1135" i="21"/>
  <c r="D1136" i="21"/>
  <c r="D1137" i="21"/>
  <c r="D1138" i="21"/>
  <c r="D1139" i="21"/>
  <c r="D1140" i="21"/>
  <c r="D1141" i="21"/>
  <c r="D1142" i="21"/>
  <c r="D1143" i="21"/>
  <c r="D1144" i="21"/>
  <c r="D1145" i="21"/>
  <c r="D1146" i="21"/>
  <c r="D1147" i="21"/>
  <c r="D1148" i="21"/>
  <c r="D1" i="21"/>
  <c r="F172" i="5"/>
  <c r="F258" i="5"/>
  <c r="E4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20" i="5"/>
  <c r="E21" i="5"/>
  <c r="E22" i="5"/>
  <c r="E23" i="5"/>
  <c r="E24" i="5"/>
  <c r="E25" i="5"/>
  <c r="E26" i="5"/>
  <c r="E27" i="5"/>
  <c r="E28" i="5"/>
  <c r="E29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2" i="5"/>
  <c r="F58" i="5"/>
  <c r="I55" i="5"/>
  <c r="L55" i="5" s="1"/>
  <c r="I56" i="5"/>
  <c r="L56" i="5" s="1"/>
  <c r="I57" i="5"/>
  <c r="I58" i="5"/>
  <c r="H55" i="5"/>
  <c r="H56" i="5"/>
  <c r="M56" i="5" s="1"/>
  <c r="H57" i="5"/>
  <c r="M57" i="5" s="1"/>
  <c r="H58" i="5"/>
  <c r="K58" i="5" s="1"/>
  <c r="H84" i="5"/>
  <c r="H120" i="5" l="1"/>
  <c r="I120" i="5"/>
  <c r="I96" i="5"/>
  <c r="L96" i="5" s="1"/>
  <c r="I154" i="5"/>
  <c r="L154" i="5" s="1"/>
  <c r="F252" i="5"/>
  <c r="F77" i="5"/>
  <c r="I173" i="5"/>
  <c r="J173" i="5" s="1"/>
  <c r="F242" i="5"/>
  <c r="I113" i="5"/>
  <c r="J113" i="5" s="1"/>
  <c r="F240" i="5"/>
  <c r="I161" i="5"/>
  <c r="L161" i="5" s="1"/>
  <c r="I78" i="5"/>
  <c r="J78" i="5" s="1"/>
  <c r="F106" i="5"/>
  <c r="H264" i="5"/>
  <c r="M264" i="5" s="1"/>
  <c r="I77" i="5"/>
  <c r="L77" i="5" s="1"/>
  <c r="F79" i="5"/>
  <c r="H252" i="5"/>
  <c r="M252" i="5" s="1"/>
  <c r="I153" i="5"/>
  <c r="L153" i="5" s="1"/>
  <c r="H125" i="5"/>
  <c r="M125" i="5" s="1"/>
  <c r="F78" i="5"/>
  <c r="I66" i="5"/>
  <c r="L66" i="5" s="1"/>
  <c r="I121" i="5"/>
  <c r="L121" i="5" s="1"/>
  <c r="F156" i="5"/>
  <c r="I228" i="5"/>
  <c r="L228" i="5" s="1"/>
  <c r="H66" i="5"/>
  <c r="M66" i="5" s="1"/>
  <c r="F230" i="5"/>
  <c r="I171" i="5"/>
  <c r="L171" i="5" s="1"/>
  <c r="H65" i="5"/>
  <c r="K65" i="5" s="1"/>
  <c r="F228" i="5"/>
  <c r="H156" i="5"/>
  <c r="M156" i="5" s="1"/>
  <c r="I170" i="5"/>
  <c r="L170" i="5" s="1"/>
  <c r="I65" i="5"/>
  <c r="L65" i="5" s="1"/>
  <c r="H155" i="5"/>
  <c r="M155" i="5" s="1"/>
  <c r="F170" i="5"/>
  <c r="F158" i="5"/>
  <c r="I230" i="5"/>
  <c r="J230" i="5" s="1"/>
  <c r="F157" i="5"/>
  <c r="I229" i="5"/>
  <c r="L229" i="5" s="1"/>
  <c r="F155" i="5"/>
  <c r="H126" i="5"/>
  <c r="M126" i="5" s="1"/>
  <c r="I114" i="5"/>
  <c r="L114" i="5" s="1"/>
  <c r="F68" i="5"/>
  <c r="I104" i="5"/>
  <c r="L104" i="5" s="1"/>
  <c r="F67" i="5"/>
  <c r="I218" i="5"/>
  <c r="L218" i="5" s="1"/>
  <c r="I103" i="5"/>
  <c r="L103" i="5" s="1"/>
  <c r="F219" i="5"/>
  <c r="F150" i="5"/>
  <c r="H242" i="5"/>
  <c r="M242" i="5" s="1"/>
  <c r="I217" i="5"/>
  <c r="J217" i="5" s="1"/>
  <c r="I128" i="5"/>
  <c r="L128" i="5" s="1"/>
  <c r="I102" i="5"/>
  <c r="J102" i="5" s="1"/>
  <c r="F217" i="5"/>
  <c r="F137" i="5"/>
  <c r="H240" i="5"/>
  <c r="M240" i="5" s="1"/>
  <c r="I267" i="5"/>
  <c r="L267" i="5" s="1"/>
  <c r="I206" i="5"/>
  <c r="L206" i="5" s="1"/>
  <c r="I157" i="5"/>
  <c r="L157" i="5" s="1"/>
  <c r="H101" i="5"/>
  <c r="K101" i="5" s="1"/>
  <c r="I127" i="5"/>
  <c r="J127" i="5" s="1"/>
  <c r="I101" i="5"/>
  <c r="J101" i="5" s="1"/>
  <c r="F205" i="5"/>
  <c r="F127" i="5"/>
  <c r="I264" i="5"/>
  <c r="L264" i="5" s="1"/>
  <c r="I205" i="5"/>
  <c r="L205" i="5" s="1"/>
  <c r="H89" i="5"/>
  <c r="K89" i="5" s="1"/>
  <c r="I126" i="5"/>
  <c r="J126" i="5" s="1"/>
  <c r="F195" i="5"/>
  <c r="F125" i="5"/>
  <c r="I243" i="5"/>
  <c r="J243" i="5" s="1"/>
  <c r="I89" i="5"/>
  <c r="L89" i="5" s="1"/>
  <c r="F266" i="5"/>
  <c r="F193" i="5"/>
  <c r="F113" i="5"/>
  <c r="H207" i="5"/>
  <c r="M207" i="5" s="1"/>
  <c r="I123" i="5"/>
  <c r="J123" i="5" s="1"/>
  <c r="I80" i="5"/>
  <c r="J80" i="5" s="1"/>
  <c r="F181" i="5"/>
  <c r="I241" i="5"/>
  <c r="L241" i="5" s="1"/>
  <c r="I183" i="5"/>
  <c r="L183" i="5" s="1"/>
  <c r="I122" i="5"/>
  <c r="L122" i="5" s="1"/>
  <c r="I79" i="5"/>
  <c r="L79" i="5" s="1"/>
  <c r="F80" i="5"/>
  <c r="H181" i="5"/>
  <c r="M181" i="5" s="1"/>
  <c r="I231" i="5"/>
  <c r="L231" i="5" s="1"/>
  <c r="H61" i="5"/>
  <c r="K61" i="5" s="1"/>
  <c r="F135" i="5"/>
  <c r="F81" i="5"/>
  <c r="F112" i="5"/>
  <c r="F111" i="5"/>
  <c r="H235" i="5"/>
  <c r="M235" i="5" s="1"/>
  <c r="F110" i="5"/>
  <c r="F165" i="5"/>
  <c r="F108" i="5"/>
  <c r="H237" i="5"/>
  <c r="K237" i="5" s="1"/>
  <c r="I139" i="5"/>
  <c r="L139" i="5" s="1"/>
  <c r="I59" i="5"/>
  <c r="J59" i="5" s="1"/>
  <c r="F82" i="5"/>
  <c r="H153" i="5"/>
  <c r="M153" i="5" s="1"/>
  <c r="H60" i="5"/>
  <c r="M60" i="5" s="1"/>
  <c r="F134" i="5"/>
  <c r="F130" i="5"/>
  <c r="I268" i="5"/>
  <c r="L268" i="5" s="1"/>
  <c r="I73" i="5"/>
  <c r="L73" i="5" s="1"/>
  <c r="H112" i="5"/>
  <c r="K112" i="5" s="1"/>
  <c r="I100" i="5"/>
  <c r="L100" i="5" s="1"/>
  <c r="H134" i="5"/>
  <c r="M134" i="5" s="1"/>
  <c r="F202" i="5"/>
  <c r="F64" i="5"/>
  <c r="H100" i="5"/>
  <c r="M100" i="5" s="1"/>
  <c r="F201" i="5"/>
  <c r="H99" i="5"/>
  <c r="M99" i="5" s="1"/>
  <c r="I132" i="5"/>
  <c r="J132" i="5" s="1"/>
  <c r="F275" i="5"/>
  <c r="F200" i="5"/>
  <c r="F99" i="5"/>
  <c r="F62" i="5"/>
  <c r="H261" i="5"/>
  <c r="M261" i="5" s="1"/>
  <c r="H200" i="5"/>
  <c r="M200" i="5" s="1"/>
  <c r="H144" i="5"/>
  <c r="K144" i="5" s="1"/>
  <c r="I143" i="5"/>
  <c r="J143" i="5" s="1"/>
  <c r="F235" i="5"/>
  <c r="F98" i="5"/>
  <c r="F61" i="5"/>
  <c r="I110" i="5"/>
  <c r="L110" i="5" s="1"/>
  <c r="I86" i="5"/>
  <c r="J86" i="5" s="1"/>
  <c r="F273" i="5"/>
  <c r="F121" i="5"/>
  <c r="F60" i="5"/>
  <c r="H136" i="5"/>
  <c r="M136" i="5" s="1"/>
  <c r="H111" i="5"/>
  <c r="M111" i="5" s="1"/>
  <c r="I76" i="5"/>
  <c r="J76" i="5" s="1"/>
  <c r="H135" i="5"/>
  <c r="K135" i="5" s="1"/>
  <c r="H76" i="5"/>
  <c r="M76" i="5" s="1"/>
  <c r="I136" i="5"/>
  <c r="L136" i="5" s="1"/>
  <c r="I98" i="5"/>
  <c r="L98" i="5" s="1"/>
  <c r="I75" i="5"/>
  <c r="L75" i="5" s="1"/>
  <c r="F203" i="5"/>
  <c r="H75" i="5"/>
  <c r="M75" i="5" s="1"/>
  <c r="I74" i="5"/>
  <c r="L74" i="5" s="1"/>
  <c r="F239" i="5"/>
  <c r="H133" i="5"/>
  <c r="M133" i="5" s="1"/>
  <c r="H74" i="5"/>
  <c r="K74" i="5" s="1"/>
  <c r="F238" i="5"/>
  <c r="F124" i="5"/>
  <c r="F63" i="5"/>
  <c r="I144" i="5"/>
  <c r="L144" i="5" s="1"/>
  <c r="H132" i="5"/>
  <c r="K132" i="5" s="1"/>
  <c r="H72" i="5"/>
  <c r="M72" i="5" s="1"/>
  <c r="I88" i="5"/>
  <c r="L88" i="5" s="1"/>
  <c r="I72" i="5"/>
  <c r="L72" i="5" s="1"/>
  <c r="F237" i="5"/>
  <c r="F123" i="5"/>
  <c r="I87" i="5"/>
  <c r="L87" i="5" s="1"/>
  <c r="F274" i="5"/>
  <c r="F122" i="5"/>
  <c r="H143" i="5"/>
  <c r="K143" i="5" s="1"/>
  <c r="I142" i="5"/>
  <c r="L142" i="5" s="1"/>
  <c r="F94" i="5"/>
  <c r="H179" i="5"/>
  <c r="K179" i="5" s="1"/>
  <c r="H142" i="5"/>
  <c r="M142" i="5" s="1"/>
  <c r="H124" i="5"/>
  <c r="K124" i="5" s="1"/>
  <c r="H88" i="5"/>
  <c r="M88" i="5" s="1"/>
  <c r="H64" i="5"/>
  <c r="K64" i="5" s="1"/>
  <c r="I84" i="5"/>
  <c r="J84" i="5" s="1"/>
  <c r="F73" i="5"/>
  <c r="H178" i="5"/>
  <c r="K178" i="5" s="1"/>
  <c r="H140" i="5"/>
  <c r="M140" i="5" s="1"/>
  <c r="H87" i="5"/>
  <c r="M87" i="5" s="1"/>
  <c r="H63" i="5"/>
  <c r="M63" i="5" s="1"/>
  <c r="F118" i="5"/>
  <c r="H239" i="5"/>
  <c r="M239" i="5" s="1"/>
  <c r="H139" i="5"/>
  <c r="K139" i="5" s="1"/>
  <c r="H86" i="5"/>
  <c r="K86" i="5" s="1"/>
  <c r="H62" i="5"/>
  <c r="M62" i="5" s="1"/>
  <c r="F259" i="5"/>
  <c r="F70" i="5"/>
  <c r="H238" i="5"/>
  <c r="M238" i="5" s="1"/>
  <c r="F93" i="5"/>
  <c r="I256" i="5"/>
  <c r="L256" i="5" s="1"/>
  <c r="I140" i="5"/>
  <c r="J140" i="5" s="1"/>
  <c r="I97" i="5"/>
  <c r="J97" i="5" s="1"/>
  <c r="F149" i="5"/>
  <c r="F133" i="5"/>
  <c r="F105" i="5"/>
  <c r="F92" i="5"/>
  <c r="H201" i="5"/>
  <c r="K201" i="5" s="1"/>
  <c r="I255" i="5"/>
  <c r="L255" i="5" s="1"/>
  <c r="I197" i="5"/>
  <c r="L197" i="5" s="1"/>
  <c r="F91" i="5"/>
  <c r="H141" i="5"/>
  <c r="M141" i="5" s="1"/>
  <c r="I254" i="5"/>
  <c r="L254" i="5" s="1"/>
  <c r="F272" i="5"/>
  <c r="F147" i="5"/>
  <c r="F116" i="5"/>
  <c r="F103" i="5"/>
  <c r="F90" i="5"/>
  <c r="H195" i="5"/>
  <c r="M195" i="5" s="1"/>
  <c r="H159" i="5"/>
  <c r="M159" i="5" s="1"/>
  <c r="I253" i="5"/>
  <c r="L253" i="5" s="1"/>
  <c r="I91" i="5"/>
  <c r="J91" i="5" s="1"/>
  <c r="F271" i="5"/>
  <c r="F146" i="5"/>
  <c r="F129" i="5"/>
  <c r="F115" i="5"/>
  <c r="F102" i="5"/>
  <c r="H193" i="5"/>
  <c r="K193" i="5" s="1"/>
  <c r="H158" i="5"/>
  <c r="M158" i="5" s="1"/>
  <c r="I220" i="5"/>
  <c r="L220" i="5" s="1"/>
  <c r="I194" i="5"/>
  <c r="L194" i="5" s="1"/>
  <c r="I162" i="5"/>
  <c r="L162" i="5" s="1"/>
  <c r="I152" i="5"/>
  <c r="L152" i="5" s="1"/>
  <c r="F207" i="5"/>
  <c r="F148" i="5"/>
  <c r="F117" i="5"/>
  <c r="F104" i="5"/>
  <c r="I196" i="5"/>
  <c r="J196" i="5" s="1"/>
  <c r="H114" i="5"/>
  <c r="K114" i="5" s="1"/>
  <c r="H97" i="5"/>
  <c r="M97" i="5" s="1"/>
  <c r="I92" i="5"/>
  <c r="L92" i="5" s="1"/>
  <c r="H96" i="5"/>
  <c r="K96" i="5" s="1"/>
  <c r="I109" i="5"/>
  <c r="L109" i="5" s="1"/>
  <c r="H90" i="5"/>
  <c r="K90" i="5" s="1"/>
  <c r="I108" i="5"/>
  <c r="J108" i="5" s="1"/>
  <c r="F236" i="5"/>
  <c r="F159" i="5"/>
  <c r="F145" i="5"/>
  <c r="F128" i="5"/>
  <c r="H266" i="5"/>
  <c r="M266" i="5" s="1"/>
  <c r="H236" i="5"/>
  <c r="M236" i="5" s="1"/>
  <c r="H183" i="5"/>
  <c r="K183" i="5" s="1"/>
  <c r="I244" i="5"/>
  <c r="L244" i="5" s="1"/>
  <c r="I219" i="5"/>
  <c r="L219" i="5" s="1"/>
  <c r="H109" i="5"/>
  <c r="K109" i="5" s="1"/>
  <c r="F141" i="5"/>
  <c r="F85" i="5"/>
  <c r="F59" i="5"/>
  <c r="H260" i="5"/>
  <c r="M260" i="5" s="1"/>
  <c r="I209" i="5"/>
  <c r="L209" i="5" s="1"/>
  <c r="I116" i="5"/>
  <c r="L116" i="5" s="1"/>
  <c r="I68" i="5"/>
  <c r="L68" i="5" s="1"/>
  <c r="H259" i="5"/>
  <c r="M259" i="5" s="1"/>
  <c r="I208" i="5"/>
  <c r="L208" i="5" s="1"/>
  <c r="I182" i="5"/>
  <c r="L182" i="5" s="1"/>
  <c r="H85" i="5"/>
  <c r="M85" i="5" s="1"/>
  <c r="I115" i="5"/>
  <c r="L115" i="5" s="1"/>
  <c r="I67" i="5"/>
  <c r="L67" i="5" s="1"/>
  <c r="F254" i="5"/>
  <c r="F223" i="5"/>
  <c r="F69" i="5"/>
  <c r="H177" i="5"/>
  <c r="M177" i="5" s="1"/>
  <c r="H152" i="5"/>
  <c r="M152" i="5" s="1"/>
  <c r="I265" i="5"/>
  <c r="L265" i="5" s="1"/>
  <c r="I232" i="5"/>
  <c r="L232" i="5" s="1"/>
  <c r="F251" i="5"/>
  <c r="F216" i="5"/>
  <c r="H274" i="5"/>
  <c r="M274" i="5" s="1"/>
  <c r="H214" i="5"/>
  <c r="K214" i="5" s="1"/>
  <c r="H192" i="5"/>
  <c r="K192" i="5" s="1"/>
  <c r="H176" i="5"/>
  <c r="M176" i="5" s="1"/>
  <c r="F176" i="5"/>
  <c r="I176" i="5"/>
  <c r="L176" i="5" s="1"/>
  <c r="F248" i="5"/>
  <c r="F213" i="5"/>
  <c r="F191" i="5"/>
  <c r="H271" i="5"/>
  <c r="M271" i="5" s="1"/>
  <c r="H249" i="5"/>
  <c r="M249" i="5" s="1"/>
  <c r="H227" i="5"/>
  <c r="K227" i="5" s="1"/>
  <c r="H189" i="5"/>
  <c r="M189" i="5" s="1"/>
  <c r="H168" i="5"/>
  <c r="M168" i="5" s="1"/>
  <c r="F180" i="5"/>
  <c r="F179" i="5"/>
  <c r="H216" i="5"/>
  <c r="K216" i="5" s="1"/>
  <c r="F178" i="5"/>
  <c r="H275" i="5"/>
  <c r="M275" i="5" s="1"/>
  <c r="H215" i="5"/>
  <c r="M215" i="5" s="1"/>
  <c r="J231" i="5"/>
  <c r="F250" i="5"/>
  <c r="F215" i="5"/>
  <c r="F177" i="5"/>
  <c r="H273" i="5"/>
  <c r="K273" i="5" s="1"/>
  <c r="H251" i="5"/>
  <c r="M251" i="5" s="1"/>
  <c r="H213" i="5"/>
  <c r="K213" i="5" s="1"/>
  <c r="H191" i="5"/>
  <c r="M191" i="5" s="1"/>
  <c r="I227" i="5"/>
  <c r="J227" i="5" s="1"/>
  <c r="I204" i="5"/>
  <c r="L204" i="5" s="1"/>
  <c r="I180" i="5"/>
  <c r="L180" i="5" s="1"/>
  <c r="H270" i="5"/>
  <c r="M270" i="5" s="1"/>
  <c r="I270" i="5"/>
  <c r="L270" i="5" s="1"/>
  <c r="H258" i="5"/>
  <c r="M258" i="5" s="1"/>
  <c r="I258" i="5"/>
  <c r="L258" i="5" s="1"/>
  <c r="H246" i="5"/>
  <c r="K246" i="5" s="1"/>
  <c r="I246" i="5"/>
  <c r="L246" i="5" s="1"/>
  <c r="H234" i="5"/>
  <c r="K234" i="5" s="1"/>
  <c r="I234" i="5"/>
  <c r="L234" i="5" s="1"/>
  <c r="H222" i="5"/>
  <c r="M222" i="5" s="1"/>
  <c r="I222" i="5"/>
  <c r="L222" i="5" s="1"/>
  <c r="H211" i="5"/>
  <c r="M211" i="5" s="1"/>
  <c r="F211" i="5"/>
  <c r="I211" i="5"/>
  <c r="J211" i="5" s="1"/>
  <c r="H199" i="5"/>
  <c r="K199" i="5" s="1"/>
  <c r="F199" i="5"/>
  <c r="I199" i="5"/>
  <c r="J199" i="5" s="1"/>
  <c r="H187" i="5"/>
  <c r="K187" i="5" s="1"/>
  <c r="F187" i="5"/>
  <c r="I187" i="5"/>
  <c r="J187" i="5" s="1"/>
  <c r="H164" i="5"/>
  <c r="M164" i="5" s="1"/>
  <c r="F164" i="5"/>
  <c r="I164" i="5"/>
  <c r="L164" i="5" s="1"/>
  <c r="F249" i="5"/>
  <c r="F214" i="5"/>
  <c r="F192" i="5"/>
  <c r="H272" i="5"/>
  <c r="M272" i="5" s="1"/>
  <c r="H250" i="5"/>
  <c r="M250" i="5" s="1"/>
  <c r="H212" i="5"/>
  <c r="K212" i="5" s="1"/>
  <c r="H190" i="5"/>
  <c r="M190" i="5" s="1"/>
  <c r="H169" i="5"/>
  <c r="M169" i="5" s="1"/>
  <c r="F263" i="5"/>
  <c r="F247" i="5"/>
  <c r="F212" i="5"/>
  <c r="F190" i="5"/>
  <c r="F169" i="5"/>
  <c r="H248" i="5"/>
  <c r="M248" i="5" s="1"/>
  <c r="H226" i="5"/>
  <c r="M226" i="5" s="1"/>
  <c r="H188" i="5"/>
  <c r="M188" i="5" s="1"/>
  <c r="H167" i="5"/>
  <c r="M167" i="5" s="1"/>
  <c r="F262" i="5"/>
  <c r="F246" i="5"/>
  <c r="F226" i="5"/>
  <c r="F189" i="5"/>
  <c r="F168" i="5"/>
  <c r="H247" i="5"/>
  <c r="M247" i="5" s="1"/>
  <c r="H225" i="5"/>
  <c r="M225" i="5" s="1"/>
  <c r="H204" i="5"/>
  <c r="M204" i="5" s="1"/>
  <c r="H166" i="5"/>
  <c r="M166" i="5" s="1"/>
  <c r="F261" i="5"/>
  <c r="F225" i="5"/>
  <c r="F188" i="5"/>
  <c r="F167" i="5"/>
  <c r="H263" i="5"/>
  <c r="M263" i="5" s="1"/>
  <c r="H224" i="5"/>
  <c r="M224" i="5" s="1"/>
  <c r="H203" i="5"/>
  <c r="M203" i="5" s="1"/>
  <c r="H165" i="5"/>
  <c r="M165" i="5" s="1"/>
  <c r="F260" i="5"/>
  <c r="F224" i="5"/>
  <c r="F166" i="5"/>
  <c r="H262" i="5"/>
  <c r="K262" i="5" s="1"/>
  <c r="H223" i="5"/>
  <c r="M223" i="5" s="1"/>
  <c r="H202" i="5"/>
  <c r="K202" i="5" s="1"/>
  <c r="F268" i="5"/>
  <c r="F256" i="5"/>
  <c r="F244" i="5"/>
  <c r="F232" i="5"/>
  <c r="F209" i="5"/>
  <c r="F197" i="5"/>
  <c r="F185" i="5"/>
  <c r="F174" i="5"/>
  <c r="F162" i="5"/>
  <c r="F267" i="5"/>
  <c r="F255" i="5"/>
  <c r="F243" i="5"/>
  <c r="F231" i="5"/>
  <c r="F220" i="5"/>
  <c r="F208" i="5"/>
  <c r="F196" i="5"/>
  <c r="F184" i="5"/>
  <c r="F173" i="5"/>
  <c r="F269" i="5"/>
  <c r="F257" i="5"/>
  <c r="F245" i="5"/>
  <c r="F233" i="5"/>
  <c r="F221" i="5"/>
  <c r="F210" i="5"/>
  <c r="F198" i="5"/>
  <c r="F186" i="5"/>
  <c r="F175" i="5"/>
  <c r="F163" i="5"/>
  <c r="H269" i="5"/>
  <c r="M269" i="5" s="1"/>
  <c r="H257" i="5"/>
  <c r="M257" i="5" s="1"/>
  <c r="H245" i="5"/>
  <c r="M245" i="5" s="1"/>
  <c r="H233" i="5"/>
  <c r="M233" i="5" s="1"/>
  <c r="H221" i="5"/>
  <c r="M221" i="5" s="1"/>
  <c r="H210" i="5"/>
  <c r="M210" i="5" s="1"/>
  <c r="H198" i="5"/>
  <c r="M198" i="5" s="1"/>
  <c r="H186" i="5"/>
  <c r="K186" i="5" s="1"/>
  <c r="H175" i="5"/>
  <c r="K175" i="5" s="1"/>
  <c r="H163" i="5"/>
  <c r="M163" i="5" s="1"/>
  <c r="F265" i="5"/>
  <c r="F253" i="5"/>
  <c r="F241" i="5"/>
  <c r="F229" i="5"/>
  <c r="F218" i="5"/>
  <c r="F206" i="5"/>
  <c r="F194" i="5"/>
  <c r="F182" i="5"/>
  <c r="F171" i="5"/>
  <c r="F161" i="5"/>
  <c r="I150" i="5"/>
  <c r="L150" i="5" s="1"/>
  <c r="H138" i="5"/>
  <c r="K138" i="5" s="1"/>
  <c r="H131" i="5"/>
  <c r="K131" i="5" s="1"/>
  <c r="H119" i="5"/>
  <c r="M119" i="5" s="1"/>
  <c r="H107" i="5"/>
  <c r="M107" i="5" s="1"/>
  <c r="H95" i="5"/>
  <c r="M95" i="5" s="1"/>
  <c r="H83" i="5"/>
  <c r="K83" i="5" s="1"/>
  <c r="H71" i="5"/>
  <c r="K71" i="5" s="1"/>
  <c r="H148" i="5"/>
  <c r="M148" i="5" s="1"/>
  <c r="I146" i="5"/>
  <c r="L146" i="5" s="1"/>
  <c r="H130" i="5"/>
  <c r="M130" i="5" s="1"/>
  <c r="H118" i="5"/>
  <c r="M118" i="5" s="1"/>
  <c r="H106" i="5"/>
  <c r="K106" i="5" s="1"/>
  <c r="H94" i="5"/>
  <c r="M94" i="5" s="1"/>
  <c r="H82" i="5"/>
  <c r="M82" i="5" s="1"/>
  <c r="H70" i="5"/>
  <c r="M70" i="5" s="1"/>
  <c r="H147" i="5"/>
  <c r="M147" i="5" s="1"/>
  <c r="I145" i="5"/>
  <c r="L145" i="5" s="1"/>
  <c r="H151" i="5"/>
  <c r="M151" i="5" s="1"/>
  <c r="I149" i="5"/>
  <c r="L149" i="5" s="1"/>
  <c r="H137" i="5"/>
  <c r="M137" i="5" s="1"/>
  <c r="H129" i="5"/>
  <c r="M129" i="5" s="1"/>
  <c r="H117" i="5"/>
  <c r="M117" i="5" s="1"/>
  <c r="H105" i="5"/>
  <c r="K105" i="5" s="1"/>
  <c r="H93" i="5"/>
  <c r="K93" i="5" s="1"/>
  <c r="H81" i="5"/>
  <c r="K81" i="5" s="1"/>
  <c r="H69" i="5"/>
  <c r="M69" i="5" s="1"/>
  <c r="I138" i="5"/>
  <c r="L138" i="5" s="1"/>
  <c r="I131" i="5"/>
  <c r="L131" i="5" s="1"/>
  <c r="I119" i="5"/>
  <c r="L119" i="5" s="1"/>
  <c r="I107" i="5"/>
  <c r="L107" i="5" s="1"/>
  <c r="I95" i="5"/>
  <c r="L95" i="5" s="1"/>
  <c r="I83" i="5"/>
  <c r="L83" i="5" s="1"/>
  <c r="I71" i="5"/>
  <c r="L71" i="5" s="1"/>
  <c r="I151" i="5"/>
  <c r="L151" i="5" s="1"/>
  <c r="J185" i="5"/>
  <c r="J238" i="5"/>
  <c r="J249" i="5"/>
  <c r="J190" i="5"/>
  <c r="J163" i="5"/>
  <c r="J147" i="5"/>
  <c r="J135" i="5"/>
  <c r="J262" i="5"/>
  <c r="J248" i="5"/>
  <c r="J223" i="5"/>
  <c r="J184" i="5"/>
  <c r="J167" i="5"/>
  <c r="J261" i="5"/>
  <c r="J195" i="5"/>
  <c r="J201" i="5"/>
  <c r="L248" i="5"/>
  <c r="J186" i="5"/>
  <c r="J215" i="5"/>
  <c r="J203" i="5"/>
  <c r="J189" i="5"/>
  <c r="J181" i="5"/>
  <c r="L147" i="5"/>
  <c r="J247" i="5"/>
  <c r="J235" i="5"/>
  <c r="L238" i="5"/>
  <c r="K244" i="5"/>
  <c r="L158" i="5"/>
  <c r="J158" i="5"/>
  <c r="L245" i="5"/>
  <c r="J245" i="5"/>
  <c r="K253" i="5"/>
  <c r="J252" i="5"/>
  <c r="L262" i="5"/>
  <c r="J202" i="5"/>
  <c r="L202" i="5"/>
  <c r="L207" i="5"/>
  <c r="J207" i="5"/>
  <c r="J212" i="5"/>
  <c r="J166" i="5"/>
  <c r="J188" i="5"/>
  <c r="J239" i="5"/>
  <c r="J213" i="5"/>
  <c r="J257" i="5"/>
  <c r="K217" i="5"/>
  <c r="K232" i="5"/>
  <c r="K267" i="5"/>
  <c r="K229" i="5"/>
  <c r="K80" i="5"/>
  <c r="K194" i="5"/>
  <c r="J237" i="5"/>
  <c r="J156" i="5"/>
  <c r="J155" i="5"/>
  <c r="K150" i="5"/>
  <c r="M197" i="5"/>
  <c r="K197" i="5"/>
  <c r="J221" i="5"/>
  <c r="J198" i="5"/>
  <c r="M267" i="5"/>
  <c r="K218" i="5"/>
  <c r="L190" i="5"/>
  <c r="J274" i="5"/>
  <c r="J233" i="5"/>
  <c r="K185" i="5"/>
  <c r="L237" i="5"/>
  <c r="J193" i="5"/>
  <c r="K184" i="5"/>
  <c r="M194" i="5"/>
  <c r="M243" i="5"/>
  <c r="K243" i="5"/>
  <c r="K220" i="5"/>
  <c r="M220" i="5"/>
  <c r="M171" i="5"/>
  <c r="K171" i="5"/>
  <c r="L224" i="5"/>
  <c r="J224" i="5"/>
  <c r="L214" i="5"/>
  <c r="J214" i="5"/>
  <c r="J251" i="5"/>
  <c r="J169" i="5"/>
  <c r="K254" i="5"/>
  <c r="M255" i="5"/>
  <c r="K255" i="5"/>
  <c r="M208" i="5"/>
  <c r="K208" i="5"/>
  <c r="M173" i="5"/>
  <c r="K173" i="5"/>
  <c r="M228" i="5"/>
  <c r="K228" i="5"/>
  <c r="M160" i="5"/>
  <c r="K160" i="5"/>
  <c r="L263" i="5"/>
  <c r="J263" i="5"/>
  <c r="L159" i="5"/>
  <c r="J159" i="5"/>
  <c r="L148" i="5"/>
  <c r="J148" i="5"/>
  <c r="J174" i="5"/>
  <c r="L156" i="5"/>
  <c r="J179" i="5"/>
  <c r="L179" i="5"/>
  <c r="L259" i="5"/>
  <c r="J259" i="5"/>
  <c r="M265" i="5"/>
  <c r="K265" i="5"/>
  <c r="M219" i="5"/>
  <c r="K219" i="5"/>
  <c r="L226" i="5"/>
  <c r="J226" i="5"/>
  <c r="J216" i="5"/>
  <c r="L216" i="5"/>
  <c r="K205" i="5"/>
  <c r="L249" i="5"/>
  <c r="M268" i="5"/>
  <c r="K268" i="5"/>
  <c r="K180" i="5"/>
  <c r="J273" i="5"/>
  <c r="L273" i="5"/>
  <c r="J260" i="5"/>
  <c r="L260" i="5"/>
  <c r="L250" i="5"/>
  <c r="J250" i="5"/>
  <c r="L165" i="5"/>
  <c r="J165" i="5"/>
  <c r="L155" i="5"/>
  <c r="L191" i="5"/>
  <c r="J191" i="5"/>
  <c r="L242" i="5"/>
  <c r="J242" i="5"/>
  <c r="J178" i="5"/>
  <c r="L178" i="5"/>
  <c r="J272" i="5"/>
  <c r="K241" i="5"/>
  <c r="J269" i="5"/>
  <c r="M230" i="5"/>
  <c r="K230" i="5"/>
  <c r="M209" i="5"/>
  <c r="K209" i="5"/>
  <c r="M174" i="5"/>
  <c r="K174" i="5"/>
  <c r="M145" i="5"/>
  <c r="K145" i="5"/>
  <c r="L240" i="5"/>
  <c r="J240" i="5"/>
  <c r="L200" i="5"/>
  <c r="J200" i="5"/>
  <c r="L177" i="5"/>
  <c r="J177" i="5"/>
  <c r="L168" i="5"/>
  <c r="J168" i="5"/>
  <c r="J275" i="5"/>
  <c r="M256" i="5"/>
  <c r="K256" i="5"/>
  <c r="M162" i="5"/>
  <c r="K162" i="5"/>
  <c r="J225" i="5"/>
  <c r="J236" i="5"/>
  <c r="J175" i="5"/>
  <c r="K206" i="5"/>
  <c r="K157" i="5"/>
  <c r="L233" i="5"/>
  <c r="K182" i="5"/>
  <c r="M182" i="5"/>
  <c r="M170" i="5"/>
  <c r="K170" i="5"/>
  <c r="K161" i="5"/>
  <c r="M161" i="5"/>
  <c r="M196" i="5"/>
  <c r="K196" i="5"/>
  <c r="J210" i="5"/>
  <c r="J172" i="5"/>
  <c r="J141" i="5"/>
  <c r="K154" i="5"/>
  <c r="M154" i="5"/>
  <c r="K149" i="5"/>
  <c r="M146" i="5"/>
  <c r="K146" i="5"/>
  <c r="J271" i="5"/>
  <c r="L271" i="5"/>
  <c r="M231" i="5"/>
  <c r="K231" i="5"/>
  <c r="M172" i="5"/>
  <c r="K172" i="5"/>
  <c r="L192" i="5"/>
  <c r="J192" i="5"/>
  <c r="J266" i="5"/>
  <c r="J160" i="5"/>
  <c r="K123" i="5"/>
  <c r="K73" i="5"/>
  <c r="K68" i="5"/>
  <c r="J130" i="5"/>
  <c r="J120" i="5"/>
  <c r="K122" i="5"/>
  <c r="K102" i="5"/>
  <c r="K77" i="5"/>
  <c r="J105" i="5"/>
  <c r="M123" i="5"/>
  <c r="M58" i="5"/>
  <c r="M80" i="5"/>
  <c r="L135" i="5"/>
  <c r="M110" i="5"/>
  <c r="K110" i="5"/>
  <c r="L133" i="5"/>
  <c r="J133" i="5"/>
  <c r="L118" i="5"/>
  <c r="J118" i="5"/>
  <c r="M122" i="5"/>
  <c r="M77" i="5"/>
  <c r="J112" i="5"/>
  <c r="L93" i="5"/>
  <c r="J93" i="5"/>
  <c r="K79" i="5"/>
  <c r="M104" i="5"/>
  <c r="K104" i="5"/>
  <c r="M84" i="5"/>
  <c r="K84" i="5"/>
  <c r="L105" i="5"/>
  <c r="L124" i="5"/>
  <c r="J124" i="5"/>
  <c r="J64" i="5"/>
  <c r="L64" i="5"/>
  <c r="K103" i="5"/>
  <c r="M103" i="5"/>
  <c r="J85" i="5"/>
  <c r="K67" i="5"/>
  <c r="M67" i="5"/>
  <c r="L60" i="5"/>
  <c r="J60" i="5"/>
  <c r="K115" i="5"/>
  <c r="M115" i="5"/>
  <c r="M127" i="5"/>
  <c r="K127" i="5"/>
  <c r="K91" i="5"/>
  <c r="M102" i="5"/>
  <c r="L137" i="5"/>
  <c r="J137" i="5"/>
  <c r="J129" i="5"/>
  <c r="L129" i="5"/>
  <c r="J70" i="5"/>
  <c r="L70" i="5"/>
  <c r="K128" i="5"/>
  <c r="M128" i="5"/>
  <c r="K116" i="5"/>
  <c r="M116" i="5"/>
  <c r="L117" i="5"/>
  <c r="J117" i="5"/>
  <c r="L99" i="5"/>
  <c r="J99" i="5"/>
  <c r="L90" i="5"/>
  <c r="J90" i="5"/>
  <c r="L82" i="5"/>
  <c r="J82" i="5"/>
  <c r="J96" i="5"/>
  <c r="K59" i="5"/>
  <c r="M120" i="5"/>
  <c r="K120" i="5"/>
  <c r="K121" i="5"/>
  <c r="M121" i="5"/>
  <c r="J111" i="5"/>
  <c r="L111" i="5"/>
  <c r="L106" i="5"/>
  <c r="J106" i="5"/>
  <c r="L81" i="5"/>
  <c r="J81" i="5"/>
  <c r="J62" i="5"/>
  <c r="K57" i="5"/>
  <c r="L58" i="5"/>
  <c r="J58" i="5"/>
  <c r="K56" i="5"/>
  <c r="L130" i="5"/>
  <c r="K98" i="5"/>
  <c r="M98" i="5"/>
  <c r="K108" i="5"/>
  <c r="M108" i="5"/>
  <c r="K78" i="5"/>
  <c r="M78" i="5"/>
  <c r="K55" i="5"/>
  <c r="M55" i="5"/>
  <c r="L134" i="5"/>
  <c r="J134" i="5"/>
  <c r="L57" i="5"/>
  <c r="J57" i="5"/>
  <c r="J69" i="5"/>
  <c r="J61" i="5"/>
  <c r="K92" i="5"/>
  <c r="J125" i="5"/>
  <c r="L120" i="5"/>
  <c r="M73" i="5"/>
  <c r="M68" i="5"/>
  <c r="K113" i="5"/>
  <c r="L63" i="5"/>
  <c r="J63" i="5"/>
  <c r="J94" i="5"/>
  <c r="J55" i="5"/>
  <c r="J56" i="5"/>
  <c r="G53" i="5"/>
  <c r="L173" i="5" l="1"/>
  <c r="K125" i="5"/>
  <c r="J154" i="5"/>
  <c r="J268" i="5"/>
  <c r="L230" i="5"/>
  <c r="M101" i="5"/>
  <c r="L113" i="5"/>
  <c r="L243" i="5"/>
  <c r="J218" i="5"/>
  <c r="J103" i="5"/>
  <c r="J79" i="5"/>
  <c r="L126" i="5"/>
  <c r="K240" i="5"/>
  <c r="L84" i="5"/>
  <c r="K155" i="5"/>
  <c r="J100" i="5"/>
  <c r="J204" i="5"/>
  <c r="K242" i="5"/>
  <c r="L59" i="5"/>
  <c r="J228" i="5"/>
  <c r="J171" i="5"/>
  <c r="K66" i="5"/>
  <c r="L86" i="5"/>
  <c r="M131" i="5"/>
  <c r="K264" i="5"/>
  <c r="K252" i="5"/>
  <c r="J153" i="5"/>
  <c r="J77" i="5"/>
  <c r="M237" i="5"/>
  <c r="K250" i="5"/>
  <c r="K70" i="5"/>
  <c r="K140" i="5"/>
  <c r="K181" i="5"/>
  <c r="J229" i="5"/>
  <c r="L78" i="5"/>
  <c r="K126" i="5"/>
  <c r="K152" i="5"/>
  <c r="J122" i="5"/>
  <c r="M178" i="5"/>
  <c r="J161" i="5"/>
  <c r="M112" i="5"/>
  <c r="J89" i="5"/>
  <c r="J66" i="5"/>
  <c r="K166" i="5"/>
  <c r="J176" i="5"/>
  <c r="M65" i="5"/>
  <c r="J65" i="5"/>
  <c r="K164" i="5"/>
  <c r="K156" i="5"/>
  <c r="J170" i="5"/>
  <c r="K62" i="5"/>
  <c r="K85" i="5"/>
  <c r="J183" i="5"/>
  <c r="J182" i="5"/>
  <c r="J73" i="5"/>
  <c r="J74" i="5"/>
  <c r="K75" i="5"/>
  <c r="J267" i="5"/>
  <c r="J104" i="5"/>
  <c r="K191" i="5"/>
  <c r="J88" i="5"/>
  <c r="K207" i="5"/>
  <c r="L196" i="5"/>
  <c r="J144" i="5"/>
  <c r="J114" i="5"/>
  <c r="M89" i="5"/>
  <c r="K107" i="5"/>
  <c r="J241" i="5"/>
  <c r="J121" i="5"/>
  <c r="K134" i="5"/>
  <c r="M139" i="5"/>
  <c r="M61" i="5"/>
  <c r="K97" i="5"/>
  <c r="M183" i="5"/>
  <c r="K239" i="5"/>
  <c r="L127" i="5"/>
  <c r="L143" i="5"/>
  <c r="M114" i="5"/>
  <c r="L80" i="5"/>
  <c r="L101" i="5"/>
  <c r="J264" i="5"/>
  <c r="L132" i="5"/>
  <c r="J128" i="5"/>
  <c r="K63" i="5"/>
  <c r="J75" i="5"/>
  <c r="L102" i="5"/>
  <c r="K99" i="5"/>
  <c r="J205" i="5"/>
  <c r="J157" i="5"/>
  <c r="J206" i="5"/>
  <c r="L123" i="5"/>
  <c r="M132" i="5"/>
  <c r="L217" i="5"/>
  <c r="K177" i="5"/>
  <c r="K142" i="5"/>
  <c r="K198" i="5"/>
  <c r="J139" i="5"/>
  <c r="M143" i="5"/>
  <c r="K153" i="5"/>
  <c r="M144" i="5"/>
  <c r="M105" i="5"/>
  <c r="J149" i="5"/>
  <c r="J244" i="5"/>
  <c r="K251" i="5"/>
  <c r="K72" i="5"/>
  <c r="K111" i="5"/>
  <c r="K275" i="5"/>
  <c r="M179" i="5"/>
  <c r="J151" i="5"/>
  <c r="K235" i="5"/>
  <c r="K260" i="5"/>
  <c r="L76" i="5"/>
  <c r="K60" i="5"/>
  <c r="J72" i="5"/>
  <c r="J142" i="5"/>
  <c r="K211" i="5"/>
  <c r="J197" i="5"/>
  <c r="M192" i="5"/>
  <c r="J255" i="5"/>
  <c r="J234" i="5"/>
  <c r="M213" i="5"/>
  <c r="J146" i="5"/>
  <c r="M74" i="5"/>
  <c r="M187" i="5"/>
  <c r="M90" i="5"/>
  <c r="M201" i="5"/>
  <c r="M234" i="5"/>
  <c r="K176" i="5"/>
  <c r="L108" i="5"/>
  <c r="L140" i="5"/>
  <c r="L97" i="5"/>
  <c r="M138" i="5"/>
  <c r="M64" i="5"/>
  <c r="K117" i="5"/>
  <c r="L187" i="5"/>
  <c r="M214" i="5"/>
  <c r="J254" i="5"/>
  <c r="K87" i="5"/>
  <c r="K133" i="5"/>
  <c r="L91" i="5"/>
  <c r="K238" i="5"/>
  <c r="K200" i="5"/>
  <c r="K119" i="5"/>
  <c r="J83" i="5"/>
  <c r="M135" i="5"/>
  <c r="M96" i="5"/>
  <c r="K100" i="5"/>
  <c r="K158" i="5"/>
  <c r="J209" i="5"/>
  <c r="K203" i="5"/>
  <c r="J265" i="5"/>
  <c r="K141" i="5"/>
  <c r="J87" i="5"/>
  <c r="K88" i="5"/>
  <c r="K222" i="5"/>
  <c r="M124" i="5"/>
  <c r="K76" i="5"/>
  <c r="M81" i="5"/>
  <c r="J110" i="5"/>
  <c r="M246" i="5"/>
  <c r="K168" i="5"/>
  <c r="M93" i="5"/>
  <c r="J256" i="5"/>
  <c r="M216" i="5"/>
  <c r="K259" i="5"/>
  <c r="K261" i="5"/>
  <c r="J136" i="5"/>
  <c r="J98" i="5"/>
  <c r="M175" i="5"/>
  <c r="K165" i="5"/>
  <c r="M86" i="5"/>
  <c r="M109" i="5"/>
  <c r="K136" i="5"/>
  <c r="K258" i="5"/>
  <c r="J219" i="5"/>
  <c r="K82" i="5"/>
  <c r="M227" i="5"/>
  <c r="J71" i="5"/>
  <c r="J220" i="5"/>
  <c r="J258" i="5"/>
  <c r="J115" i="5"/>
  <c r="J253" i="5"/>
  <c r="K226" i="5"/>
  <c r="M273" i="5"/>
  <c r="J152" i="5"/>
  <c r="M83" i="5"/>
  <c r="M186" i="5"/>
  <c r="L199" i="5"/>
  <c r="J67" i="5"/>
  <c r="J109" i="5"/>
  <c r="K148" i="5"/>
  <c r="M212" i="5"/>
  <c r="K137" i="5"/>
  <c r="K245" i="5"/>
  <c r="M193" i="5"/>
  <c r="K159" i="5"/>
  <c r="K190" i="5"/>
  <c r="K236" i="5"/>
  <c r="J68" i="5"/>
  <c r="K271" i="5"/>
  <c r="K169" i="5"/>
  <c r="K189" i="5"/>
  <c r="J116" i="5"/>
  <c r="K167" i="5"/>
  <c r="K151" i="5"/>
  <c r="K263" i="5"/>
  <c r="J95" i="5"/>
  <c r="K129" i="5"/>
  <c r="K223" i="5"/>
  <c r="K249" i="5"/>
  <c r="K215" i="5"/>
  <c r="K266" i="5"/>
  <c r="K118" i="5"/>
  <c r="K94" i="5"/>
  <c r="J232" i="5"/>
  <c r="J194" i="5"/>
  <c r="K274" i="5"/>
  <c r="J162" i="5"/>
  <c r="K95" i="5"/>
  <c r="J92" i="5"/>
  <c r="K195" i="5"/>
  <c r="J208" i="5"/>
  <c r="J150" i="5"/>
  <c r="J164" i="5"/>
  <c r="M262" i="5"/>
  <c r="K225" i="5"/>
  <c r="M202" i="5"/>
  <c r="J270" i="5"/>
  <c r="J222" i="5"/>
  <c r="K247" i="5"/>
  <c r="L211" i="5"/>
  <c r="K210" i="5"/>
  <c r="K270" i="5"/>
  <c r="M199" i="5"/>
  <c r="K248" i="5"/>
  <c r="K233" i="5"/>
  <c r="K188" i="5"/>
  <c r="J180" i="5"/>
  <c r="K204" i="5"/>
  <c r="J246" i="5"/>
  <c r="K163" i="5"/>
  <c r="K257" i="5"/>
  <c r="K224" i="5"/>
  <c r="K272" i="5"/>
  <c r="K269" i="5"/>
  <c r="L227" i="5"/>
  <c r="K221" i="5"/>
  <c r="M106" i="5"/>
  <c r="M71" i="5"/>
  <c r="J107" i="5"/>
  <c r="J119" i="5"/>
  <c r="K69" i="5"/>
  <c r="K147" i="5"/>
  <c r="J131" i="5"/>
  <c r="J145" i="5"/>
  <c r="K130" i="5"/>
  <c r="J138" i="5"/>
  <c r="H53" i="5"/>
  <c r="G33" i="5" l="1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I53" i="5"/>
  <c r="G54" i="5"/>
  <c r="I43" i="5" l="1"/>
  <c r="L43" i="5" s="1"/>
  <c r="I40" i="5"/>
  <c r="L40" i="5" s="1"/>
  <c r="I54" i="5"/>
  <c r="J54" i="5" s="1"/>
  <c r="I41" i="5"/>
  <c r="L41" i="5" s="1"/>
  <c r="I52" i="5"/>
  <c r="L52" i="5" s="1"/>
  <c r="I51" i="5"/>
  <c r="J51" i="5" s="1"/>
  <c r="I39" i="5"/>
  <c r="L39" i="5" s="1"/>
  <c r="H49" i="5"/>
  <c r="M49" i="5" s="1"/>
  <c r="H37" i="5"/>
  <c r="M37" i="5" s="1"/>
  <c r="I48" i="5"/>
  <c r="L48" i="5" s="1"/>
  <c r="I47" i="5"/>
  <c r="J47" i="5" s="1"/>
  <c r="I35" i="5"/>
  <c r="L35" i="5" s="1"/>
  <c r="I46" i="5"/>
  <c r="L46" i="5" s="1"/>
  <c r="I34" i="5"/>
  <c r="L34" i="5" s="1"/>
  <c r="H33" i="5"/>
  <c r="M33" i="5" s="1"/>
  <c r="I42" i="5"/>
  <c r="L42" i="5" s="1"/>
  <c r="H50" i="5"/>
  <c r="M50" i="5" s="1"/>
  <c r="I38" i="5"/>
  <c r="L38" i="5" s="1"/>
  <c r="I36" i="5"/>
  <c r="J36" i="5" s="1"/>
  <c r="H44" i="5"/>
  <c r="K44" i="5" s="1"/>
  <c r="H42" i="5"/>
  <c r="K42" i="5" s="1"/>
  <c r="H43" i="5"/>
  <c r="K43" i="5" s="1"/>
  <c r="H41" i="5"/>
  <c r="K41" i="5" s="1"/>
  <c r="I49" i="5"/>
  <c r="L49" i="5" s="1"/>
  <c r="I50" i="5"/>
  <c r="J50" i="5" s="1"/>
  <c r="H40" i="5"/>
  <c r="K40" i="5" s="1"/>
  <c r="I37" i="5"/>
  <c r="J37" i="5" s="1"/>
  <c r="H39" i="5"/>
  <c r="K39" i="5" s="1"/>
  <c r="H38" i="5"/>
  <c r="K38" i="5" s="1"/>
  <c r="H45" i="5"/>
  <c r="I45" i="5"/>
  <c r="I33" i="5"/>
  <c r="L53" i="5"/>
  <c r="J53" i="5"/>
  <c r="H54" i="5"/>
  <c r="H52" i="5"/>
  <c r="H51" i="5"/>
  <c r="I44" i="5"/>
  <c r="H48" i="5"/>
  <c r="H36" i="5"/>
  <c r="H47" i="5"/>
  <c r="H35" i="5"/>
  <c r="H46" i="5"/>
  <c r="H34" i="5"/>
  <c r="M44" i="5" l="1"/>
  <c r="J43" i="5"/>
  <c r="L36" i="5"/>
  <c r="L54" i="5"/>
  <c r="J46" i="5"/>
  <c r="J39" i="5"/>
  <c r="K49" i="5"/>
  <c r="J40" i="5"/>
  <c r="J41" i="5"/>
  <c r="L47" i="5"/>
  <c r="J48" i="5"/>
  <c r="L51" i="5"/>
  <c r="K33" i="5"/>
  <c r="J35" i="5"/>
  <c r="J42" i="5"/>
  <c r="K37" i="5"/>
  <c r="J38" i="5"/>
  <c r="J52" i="5"/>
  <c r="J34" i="5"/>
  <c r="K50" i="5"/>
  <c r="M42" i="5"/>
  <c r="M43" i="5"/>
  <c r="L50" i="5"/>
  <c r="M41" i="5"/>
  <c r="L37" i="5"/>
  <c r="J49" i="5"/>
  <c r="M38" i="5"/>
  <c r="M40" i="5"/>
  <c r="M39" i="5"/>
  <c r="J33" i="5"/>
  <c r="L33" i="5"/>
  <c r="L44" i="5"/>
  <c r="J44" i="5"/>
  <c r="K51" i="5"/>
  <c r="M51" i="5"/>
  <c r="K52" i="5"/>
  <c r="M52" i="5"/>
  <c r="K53" i="5"/>
  <c r="M53" i="5"/>
  <c r="M34" i="5"/>
  <c r="K34" i="5"/>
  <c r="K54" i="5"/>
  <c r="M54" i="5"/>
  <c r="M46" i="5"/>
  <c r="K46" i="5"/>
  <c r="M35" i="5"/>
  <c r="K35" i="5"/>
  <c r="M47" i="5"/>
  <c r="K47" i="5"/>
  <c r="L45" i="5"/>
  <c r="J45" i="5"/>
  <c r="M36" i="5"/>
  <c r="K36" i="5"/>
  <c r="K45" i="5"/>
  <c r="M45" i="5"/>
  <c r="M48" i="5"/>
  <c r="K48" i="5"/>
  <c r="G32" i="5" l="1"/>
  <c r="G31" i="5"/>
  <c r="G30" i="5"/>
  <c r="G29" i="5"/>
  <c r="G28" i="5"/>
  <c r="H29" i="5" l="1"/>
  <c r="M29" i="5" s="1"/>
  <c r="H32" i="5"/>
  <c r="M32" i="5" s="1"/>
  <c r="H28" i="5"/>
  <c r="M28" i="5" s="1"/>
  <c r="H30" i="5"/>
  <c r="M30" i="5" s="1"/>
  <c r="H31" i="5"/>
  <c r="M31" i="5" s="1"/>
  <c r="I28" i="5"/>
  <c r="L28" i="5" s="1"/>
  <c r="I31" i="5"/>
  <c r="L31" i="5" s="1"/>
  <c r="I32" i="5"/>
  <c r="L32" i="5" s="1"/>
  <c r="I30" i="5"/>
  <c r="I29" i="5"/>
  <c r="L29" i="5" s="1"/>
  <c r="K30" i="5" l="1"/>
  <c r="L30" i="5"/>
  <c r="J30" i="5"/>
  <c r="H3" i="5"/>
  <c r="M3" i="5" s="1"/>
  <c r="H4" i="5"/>
  <c r="M4" i="5" s="1"/>
  <c r="H5" i="5"/>
  <c r="M5" i="5" s="1"/>
  <c r="H6" i="5"/>
  <c r="M6" i="5" s="1"/>
  <c r="H7" i="5"/>
  <c r="M7" i="5" s="1"/>
  <c r="H8" i="5"/>
  <c r="M8" i="5" s="1"/>
  <c r="H9" i="5"/>
  <c r="M9" i="5" s="1"/>
  <c r="H10" i="5"/>
  <c r="M10" i="5" s="1"/>
  <c r="H11" i="5"/>
  <c r="M11" i="5" s="1"/>
  <c r="H12" i="5"/>
  <c r="M12" i="5" s="1"/>
  <c r="H13" i="5"/>
  <c r="M13" i="5" s="1"/>
  <c r="H14" i="5"/>
  <c r="M14" i="5" s="1"/>
  <c r="H15" i="5"/>
  <c r="M15" i="5" s="1"/>
  <c r="H16" i="5"/>
  <c r="M16" i="5" s="1"/>
  <c r="H17" i="5"/>
  <c r="M17" i="5" s="1"/>
  <c r="H18" i="5"/>
  <c r="M18" i="5" s="1"/>
  <c r="H19" i="5"/>
  <c r="M19" i="5" s="1"/>
  <c r="H20" i="5"/>
  <c r="H21" i="5"/>
  <c r="H22" i="5"/>
  <c r="H23" i="5"/>
  <c r="H24" i="5"/>
  <c r="H25" i="5"/>
  <c r="H26" i="5"/>
  <c r="H27" i="5"/>
  <c r="H2" i="5"/>
  <c r="M2" i="5" s="1"/>
  <c r="K25" i="5" l="1"/>
  <c r="M25" i="5"/>
  <c r="M27" i="5"/>
  <c r="K27" i="5"/>
  <c r="K26" i="5"/>
  <c r="M26" i="5"/>
  <c r="M24" i="5"/>
  <c r="M22" i="5"/>
  <c r="K21" i="5"/>
  <c r="M21" i="5"/>
  <c r="M23" i="5"/>
  <c r="M20" i="5"/>
  <c r="F27" i="5" l="1"/>
  <c r="I27" i="5"/>
  <c r="I25" i="5"/>
  <c r="I26" i="5"/>
  <c r="F25" i="5"/>
  <c r="F26" i="5"/>
  <c r="J27" i="5" l="1"/>
  <c r="L27" i="5"/>
  <c r="L26" i="5"/>
  <c r="J26" i="5"/>
  <c r="L25" i="5"/>
  <c r="J25" i="5"/>
  <c r="K24" i="5" l="1"/>
  <c r="I21" i="5" l="1"/>
  <c r="L21" i="5" s="1"/>
  <c r="I22" i="5"/>
  <c r="L22" i="5" s="1"/>
  <c r="I23" i="5"/>
  <c r="L23" i="5" s="1"/>
  <c r="I24" i="5"/>
  <c r="I20" i="5"/>
  <c r="L20" i="5" s="1"/>
  <c r="I19" i="5"/>
  <c r="I18" i="5"/>
  <c r="L18" i="5" s="1"/>
  <c r="I6" i="5"/>
  <c r="L6" i="5" s="1"/>
  <c r="I7" i="5"/>
  <c r="L7" i="5" s="1"/>
  <c r="I8" i="5"/>
  <c r="L8" i="5" s="1"/>
  <c r="I9" i="5"/>
  <c r="L9" i="5" s="1"/>
  <c r="I10" i="5"/>
  <c r="I11" i="5"/>
  <c r="L11" i="5" s="1"/>
  <c r="I12" i="5"/>
  <c r="I13" i="5"/>
  <c r="L13" i="5" s="1"/>
  <c r="I14" i="5"/>
  <c r="L14" i="5" s="1"/>
  <c r="I15" i="5"/>
  <c r="L15" i="5" s="1"/>
  <c r="I16" i="5"/>
  <c r="L16" i="5" s="1"/>
  <c r="I17" i="5"/>
  <c r="L17" i="5" s="1"/>
  <c r="I3" i="5"/>
  <c r="L3" i="5" s="1"/>
  <c r="I4" i="5"/>
  <c r="L4" i="5" s="1"/>
  <c r="I5" i="5"/>
  <c r="I2" i="5"/>
  <c r="L2" i="5" s="1"/>
  <c r="F5" i="5"/>
  <c r="F20" i="5"/>
  <c r="F16" i="5"/>
  <c r="F17" i="5"/>
  <c r="F8" i="5"/>
  <c r="F6" i="5"/>
  <c r="F9" i="5"/>
  <c r="F12" i="5"/>
  <c r="F13" i="5"/>
  <c r="F14" i="5"/>
  <c r="F19" i="5"/>
  <c r="F7" i="5"/>
  <c r="F10" i="5"/>
  <c r="F2" i="5"/>
  <c r="F3" i="5"/>
  <c r="F4" i="5"/>
  <c r="F22" i="5"/>
  <c r="F23" i="5"/>
  <c r="F24" i="5"/>
  <c r="F11" i="5"/>
  <c r="F15" i="5"/>
  <c r="F21" i="5"/>
  <c r="F18" i="5"/>
  <c r="L24" i="5" l="1"/>
  <c r="J24" i="5"/>
  <c r="L19" i="5"/>
  <c r="L10" i="5"/>
  <c r="L12" i="5"/>
  <c r="K20" i="5" l="1"/>
  <c r="K22" i="5"/>
  <c r="K23" i="5"/>
  <c r="K14" i="5" l="1"/>
  <c r="K13" i="5"/>
  <c r="K12" i="5"/>
  <c r="J12" i="5"/>
  <c r="K3" i="5"/>
  <c r="K2" i="5"/>
  <c r="K7" i="5"/>
  <c r="K9" i="5"/>
  <c r="J21" i="5"/>
  <c r="K6" i="5"/>
  <c r="K11" i="5"/>
  <c r="K8" i="5"/>
  <c r="K18" i="5"/>
  <c r="J18" i="5"/>
  <c r="J20" i="5"/>
  <c r="K5" i="5"/>
  <c r="K4" i="5"/>
  <c r="K10" i="5"/>
  <c r="J10" i="5"/>
  <c r="K19" i="5"/>
  <c r="J19" i="5"/>
  <c r="K17" i="5"/>
  <c r="K16" i="5"/>
  <c r="J23" i="5"/>
  <c r="K15" i="5"/>
  <c r="J22" i="5"/>
  <c r="J15" i="5"/>
  <c r="J17" i="5"/>
  <c r="J16" i="5"/>
  <c r="J14" i="5"/>
  <c r="J13" i="5"/>
  <c r="J11" i="5"/>
  <c r="J9" i="5"/>
  <c r="J8" i="5"/>
  <c r="J7" i="5"/>
  <c r="J6" i="5"/>
  <c r="J4" i="5"/>
  <c r="J3" i="5"/>
  <c r="J2" i="5"/>
  <c r="J5" i="5" l="1"/>
  <c r="L5" i="5"/>
  <c r="J31" i="5" l="1"/>
  <c r="K31" i="5"/>
  <c r="J28" i="5"/>
  <c r="K28" i="5"/>
  <c r="J29" i="5"/>
  <c r="K29" i="5"/>
  <c r="J32" i="5"/>
  <c r="K3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tc={3D50A179-D5C5-40C9-B9C6-35F56957B4E3}</author>
  </authors>
  <commentList>
    <comment ref="D263" authorId="0" shapeId="0" xr:uid="{3D50A179-D5C5-40C9-B9C6-35F56957B4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modifica manualmente a la 256 para disminuir la cantidad de PaP al dejarla monoartículo.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tc={4BC8EA23-E48F-4522-9AA9-FE503C309501}</author>
  </authors>
  <commentList>
    <comment ref="B1089" authorId="0" shapeId="0" xr:uid="{4BC8EA23-E48F-4522-9AA9-FE503C3095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modifica manualmente a la 256 para disminuir la cantidad de PaP al dejarla monoartículo.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7000000}" name="Conexión6" type="1" refreshedVersion="8" savePassword="1" saveData="1">
    <dbPr connection="DSN=IZARO SQL CONSULTA;UID=sqlconsulta;PWD=sqlconsulta.;APP=Microsoft Office 2016;WSID=SRVPROTGN;DATABASE=dbizaro;LANGUAGE=Español" command="SELECT * FROM foperaciones"/>
  </connection>
  <connection id="2" xr16:uid="{1AF8E447-3049-435E-B61E-AF7D96949FF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505B8981-4692-4CD2-84D3-AFEDA4796AEA}" name="WorksheetConnection_MAESTRO FLEJE.xlsx!Tabla1" type="102" refreshedVersion="8" minRefreshableVersion="5">
    <extLst>
      <ext xmlns:x15="http://schemas.microsoft.com/office/spreadsheetml/2010/11/main" uri="{DE250136-89BD-433C-8126-D09CA5730AF9}">
        <x15:connection id="Tabla1" autoDelete="1">
          <x15:rangePr sourceName="_xlcn.WorksheetConnection_MAESTROFLEJE.xlsxTabla11"/>
        </x15:connection>
      </ext>
    </extLst>
  </connection>
</connections>
</file>

<file path=xl/sharedStrings.xml><?xml version="1.0" encoding="utf-8"?>
<sst xmlns="http://schemas.openxmlformats.org/spreadsheetml/2006/main" count="9973" uniqueCount="478">
  <si>
    <t>Articulo</t>
  </si>
  <si>
    <t>piezas por dia(24h)</t>
  </si>
  <si>
    <t>Piezas por minuto</t>
  </si>
  <si>
    <t>Piezas por hora</t>
  </si>
  <si>
    <t>%OEE</t>
  </si>
  <si>
    <t>421809A</t>
  </si>
  <si>
    <t>422136</t>
  </si>
  <si>
    <t>421016</t>
  </si>
  <si>
    <t>422449</t>
  </si>
  <si>
    <t>422125A</t>
  </si>
  <si>
    <t>422125MAS</t>
  </si>
  <si>
    <t>421175</t>
  </si>
  <si>
    <t>421019</t>
  </si>
  <si>
    <t>421404D</t>
  </si>
  <si>
    <t>421895B</t>
  </si>
  <si>
    <t>422060</t>
  </si>
  <si>
    <t>422086</t>
  </si>
  <si>
    <t>421109B</t>
  </si>
  <si>
    <t>421429F</t>
  </si>
  <si>
    <t>451383</t>
  </si>
  <si>
    <t>451384</t>
  </si>
  <si>
    <t>451558</t>
  </si>
  <si>
    <t>421613A</t>
  </si>
  <si>
    <t>422087E</t>
  </si>
  <si>
    <t>piezas por dia(16h)</t>
  </si>
  <si>
    <t>piezas por semana (5dias)-24H</t>
  </si>
  <si>
    <t>piezas por semana (5dias)-16H</t>
  </si>
  <si>
    <t>Piezas por dia con OEE-24H</t>
  </si>
  <si>
    <t>Piezas por dia con OEE-16H</t>
  </si>
  <si>
    <t>421653L</t>
  </si>
  <si>
    <t>Volumen anual</t>
  </si>
  <si>
    <t>422089A</t>
  </si>
  <si>
    <t>422216D</t>
  </si>
  <si>
    <t>421910A</t>
  </si>
  <si>
    <t>422048A</t>
  </si>
  <si>
    <t>422144A</t>
  </si>
  <si>
    <t>421075A</t>
  </si>
  <si>
    <t>400208</t>
  </si>
  <si>
    <t>(en blanco)</t>
  </si>
  <si>
    <t>400211</t>
  </si>
  <si>
    <t>400213</t>
  </si>
  <si>
    <t>400213R</t>
  </si>
  <si>
    <t>400256</t>
  </si>
  <si>
    <t>400291R</t>
  </si>
  <si>
    <t>400292</t>
  </si>
  <si>
    <t>400293</t>
  </si>
  <si>
    <t>400296</t>
  </si>
  <si>
    <t>400298</t>
  </si>
  <si>
    <t>400299</t>
  </si>
  <si>
    <t>400303</t>
  </si>
  <si>
    <t>400304</t>
  </si>
  <si>
    <t>400307</t>
  </si>
  <si>
    <t>400311</t>
  </si>
  <si>
    <t>400312</t>
  </si>
  <si>
    <t>400312R</t>
  </si>
  <si>
    <t>400314</t>
  </si>
  <si>
    <t>400990</t>
  </si>
  <si>
    <t>402372/CO</t>
  </si>
  <si>
    <t>402373/CO</t>
  </si>
  <si>
    <t>403076</t>
  </si>
  <si>
    <t>403085</t>
  </si>
  <si>
    <t>403092</t>
  </si>
  <si>
    <t>403107</t>
  </si>
  <si>
    <t>403109</t>
  </si>
  <si>
    <t>403110</t>
  </si>
  <si>
    <t>403584</t>
  </si>
  <si>
    <t>403763</t>
  </si>
  <si>
    <t>403901</t>
  </si>
  <si>
    <t>403978A</t>
  </si>
  <si>
    <t>403980</t>
  </si>
  <si>
    <t>403988</t>
  </si>
  <si>
    <t>403993</t>
  </si>
  <si>
    <t>403994</t>
  </si>
  <si>
    <t>403996</t>
  </si>
  <si>
    <t>403998</t>
  </si>
  <si>
    <t>404003</t>
  </si>
  <si>
    <t>404006</t>
  </si>
  <si>
    <t>404014</t>
  </si>
  <si>
    <t>404015</t>
  </si>
  <si>
    <t>404018</t>
  </si>
  <si>
    <t>404020</t>
  </si>
  <si>
    <t>404033</t>
  </si>
  <si>
    <t>404034A</t>
  </si>
  <si>
    <t>404053</t>
  </si>
  <si>
    <t>404055</t>
  </si>
  <si>
    <t>404648/HUN</t>
  </si>
  <si>
    <t>404670A</t>
  </si>
  <si>
    <t>404672/CO</t>
  </si>
  <si>
    <t>406445</t>
  </si>
  <si>
    <t>406457</t>
  </si>
  <si>
    <t>406460</t>
  </si>
  <si>
    <t>406469</t>
  </si>
  <si>
    <t>406505</t>
  </si>
  <si>
    <t>406508</t>
  </si>
  <si>
    <t>406518</t>
  </si>
  <si>
    <t>406546</t>
  </si>
  <si>
    <t>406717</t>
  </si>
  <si>
    <t>406884</t>
  </si>
  <si>
    <t>406970</t>
  </si>
  <si>
    <t>407010</t>
  </si>
  <si>
    <t>407040</t>
  </si>
  <si>
    <t>407062/CO</t>
  </si>
  <si>
    <t>407076</t>
  </si>
  <si>
    <t>407102</t>
  </si>
  <si>
    <t>407169</t>
  </si>
  <si>
    <t>407476</t>
  </si>
  <si>
    <t>407477</t>
  </si>
  <si>
    <t>407483</t>
  </si>
  <si>
    <t>407485</t>
  </si>
  <si>
    <t>407501</t>
  </si>
  <si>
    <t>407516</t>
  </si>
  <si>
    <t>407518</t>
  </si>
  <si>
    <t>407522</t>
  </si>
  <si>
    <t>407522A</t>
  </si>
  <si>
    <t>407535</t>
  </si>
  <si>
    <t>407541</t>
  </si>
  <si>
    <t>407575A</t>
  </si>
  <si>
    <t>407595</t>
  </si>
  <si>
    <t>407612</t>
  </si>
  <si>
    <t>407617</t>
  </si>
  <si>
    <t>407620</t>
  </si>
  <si>
    <t>407621A</t>
  </si>
  <si>
    <t>407992</t>
  </si>
  <si>
    <t>408439B</t>
  </si>
  <si>
    <t>408440B</t>
  </si>
  <si>
    <t>408644</t>
  </si>
  <si>
    <t>411563</t>
  </si>
  <si>
    <t>411564</t>
  </si>
  <si>
    <t>412198A</t>
  </si>
  <si>
    <t>412203</t>
  </si>
  <si>
    <t>412206</t>
  </si>
  <si>
    <t>412366</t>
  </si>
  <si>
    <t>412584</t>
  </si>
  <si>
    <t>412604</t>
  </si>
  <si>
    <t>412607</t>
  </si>
  <si>
    <t>413115</t>
  </si>
  <si>
    <t>413180</t>
  </si>
  <si>
    <t>413186</t>
  </si>
  <si>
    <t>413190</t>
  </si>
  <si>
    <t>413240</t>
  </si>
  <si>
    <t>413240C</t>
  </si>
  <si>
    <t>413242/CO</t>
  </si>
  <si>
    <t>413253</t>
  </si>
  <si>
    <t>413481S</t>
  </si>
  <si>
    <t>420321</t>
  </si>
  <si>
    <t>420323</t>
  </si>
  <si>
    <t>421102</t>
  </si>
  <si>
    <t>421125</t>
  </si>
  <si>
    <t>421654</t>
  </si>
  <si>
    <t>421686</t>
  </si>
  <si>
    <t>421728I</t>
  </si>
  <si>
    <t>421867</t>
  </si>
  <si>
    <t>421904I</t>
  </si>
  <si>
    <t>421979</t>
  </si>
  <si>
    <t>421979B</t>
  </si>
  <si>
    <t>422003</t>
  </si>
  <si>
    <t>422007</t>
  </si>
  <si>
    <t>422016</t>
  </si>
  <si>
    <t>422054B</t>
  </si>
  <si>
    <t>422088</t>
  </si>
  <si>
    <t>422185</t>
  </si>
  <si>
    <t>422185A</t>
  </si>
  <si>
    <t>422262</t>
  </si>
  <si>
    <t>422297</t>
  </si>
  <si>
    <t>422413A</t>
  </si>
  <si>
    <t>422414A</t>
  </si>
  <si>
    <t>422420</t>
  </si>
  <si>
    <t>422468</t>
  </si>
  <si>
    <t>422470</t>
  </si>
  <si>
    <t>422480</t>
  </si>
  <si>
    <t>422481</t>
  </si>
  <si>
    <t>422749A</t>
  </si>
  <si>
    <t>450024</t>
  </si>
  <si>
    <t>450072</t>
  </si>
  <si>
    <t>450072B</t>
  </si>
  <si>
    <t>450084A</t>
  </si>
  <si>
    <t>450256</t>
  </si>
  <si>
    <t>450303A</t>
  </si>
  <si>
    <t>450316</t>
  </si>
  <si>
    <t>450335A</t>
  </si>
  <si>
    <t>450348</t>
  </si>
  <si>
    <t>450366P</t>
  </si>
  <si>
    <t>450431</t>
  </si>
  <si>
    <t>450431A</t>
  </si>
  <si>
    <t>450431S</t>
  </si>
  <si>
    <t>450601B</t>
  </si>
  <si>
    <t>450636</t>
  </si>
  <si>
    <t>450647</t>
  </si>
  <si>
    <t>450731A</t>
  </si>
  <si>
    <t>450829</t>
  </si>
  <si>
    <t>450940</t>
  </si>
  <si>
    <t>450962</t>
  </si>
  <si>
    <t>451002</t>
  </si>
  <si>
    <t>451033P</t>
  </si>
  <si>
    <t>451052A</t>
  </si>
  <si>
    <t>451106A</t>
  </si>
  <si>
    <t>451381A</t>
  </si>
  <si>
    <t>451443C</t>
  </si>
  <si>
    <t>451460A</t>
  </si>
  <si>
    <t>451481/CO</t>
  </si>
  <si>
    <t>451492C</t>
  </si>
  <si>
    <t>451570P</t>
  </si>
  <si>
    <t>451572</t>
  </si>
  <si>
    <t>451583</t>
  </si>
  <si>
    <t>451584</t>
  </si>
  <si>
    <t>451596F</t>
  </si>
  <si>
    <t>451600</t>
  </si>
  <si>
    <t>451621</t>
  </si>
  <si>
    <t>451621S</t>
  </si>
  <si>
    <t>451621T</t>
  </si>
  <si>
    <t>451655C</t>
  </si>
  <si>
    <t>451691/CO</t>
  </si>
  <si>
    <t>451707</t>
  </si>
  <si>
    <t>451811</t>
  </si>
  <si>
    <t>451844</t>
  </si>
  <si>
    <t>451860I</t>
  </si>
  <si>
    <t>451860IA</t>
  </si>
  <si>
    <t>451892</t>
  </si>
  <si>
    <t>451906</t>
  </si>
  <si>
    <t>451928B</t>
  </si>
  <si>
    <t>451973A</t>
  </si>
  <si>
    <t>452017</t>
  </si>
  <si>
    <t>452065</t>
  </si>
  <si>
    <t>452083</t>
  </si>
  <si>
    <t>452085</t>
  </si>
  <si>
    <t>452089</t>
  </si>
  <si>
    <t>452101</t>
  </si>
  <si>
    <t>452106</t>
  </si>
  <si>
    <t>452108</t>
  </si>
  <si>
    <t>452128</t>
  </si>
  <si>
    <t>452130</t>
  </si>
  <si>
    <t>452164</t>
  </si>
  <si>
    <t>452196</t>
  </si>
  <si>
    <t>452295S</t>
  </si>
  <si>
    <t>452366</t>
  </si>
  <si>
    <t>452367</t>
  </si>
  <si>
    <t>452466</t>
  </si>
  <si>
    <t>452526</t>
  </si>
  <si>
    <t>452551</t>
  </si>
  <si>
    <t>452579</t>
  </si>
  <si>
    <t>452590</t>
  </si>
  <si>
    <t>452629</t>
  </si>
  <si>
    <t>452761</t>
  </si>
  <si>
    <t>452777</t>
  </si>
  <si>
    <t>452802</t>
  </si>
  <si>
    <t>452920C</t>
  </si>
  <si>
    <t>452920L</t>
  </si>
  <si>
    <t>452952</t>
  </si>
  <si>
    <t>452965</t>
  </si>
  <si>
    <t>452971</t>
  </si>
  <si>
    <t>452973</t>
  </si>
  <si>
    <t>452976</t>
  </si>
  <si>
    <t>452985A</t>
  </si>
  <si>
    <t>453010</t>
  </si>
  <si>
    <t>453037</t>
  </si>
  <si>
    <t>453055</t>
  </si>
  <si>
    <t>453074</t>
  </si>
  <si>
    <t>453108</t>
  </si>
  <si>
    <t>453195</t>
  </si>
  <si>
    <t>453215</t>
  </si>
  <si>
    <t>453257</t>
  </si>
  <si>
    <t>453275A</t>
  </si>
  <si>
    <t>453288</t>
  </si>
  <si>
    <t>453298</t>
  </si>
  <si>
    <t>453299</t>
  </si>
  <si>
    <t>453333</t>
  </si>
  <si>
    <t>453363</t>
  </si>
  <si>
    <t>453367</t>
  </si>
  <si>
    <t>453368</t>
  </si>
  <si>
    <t>453378</t>
  </si>
  <si>
    <t>453385</t>
  </si>
  <si>
    <t>453389</t>
  </si>
  <si>
    <t>453395A</t>
  </si>
  <si>
    <t>453396</t>
  </si>
  <si>
    <t>453400</t>
  </si>
  <si>
    <t>453401</t>
  </si>
  <si>
    <t>453409</t>
  </si>
  <si>
    <t>453414</t>
  </si>
  <si>
    <t>453418</t>
  </si>
  <si>
    <t>453419</t>
  </si>
  <si>
    <t>453423</t>
  </si>
  <si>
    <t>453449</t>
  </si>
  <si>
    <t>453451</t>
  </si>
  <si>
    <t>453462</t>
  </si>
  <si>
    <t>453483</t>
  </si>
  <si>
    <t>453487B</t>
  </si>
  <si>
    <t>453516</t>
  </si>
  <si>
    <t>453523</t>
  </si>
  <si>
    <t>453526</t>
  </si>
  <si>
    <t>453528</t>
  </si>
  <si>
    <t>453554</t>
  </si>
  <si>
    <t>453584</t>
  </si>
  <si>
    <t>453585</t>
  </si>
  <si>
    <t>453590</t>
  </si>
  <si>
    <t>453591</t>
  </si>
  <si>
    <t>453618</t>
  </si>
  <si>
    <t>453630</t>
  </si>
  <si>
    <t>453633</t>
  </si>
  <si>
    <t>453643</t>
  </si>
  <si>
    <t>453644</t>
  </si>
  <si>
    <t>453645</t>
  </si>
  <si>
    <t>453656A</t>
  </si>
  <si>
    <t>453659</t>
  </si>
  <si>
    <t>453660</t>
  </si>
  <si>
    <t>453686</t>
  </si>
  <si>
    <t>453690</t>
  </si>
  <si>
    <t>453713</t>
  </si>
  <si>
    <t>453719</t>
  </si>
  <si>
    <t>453748</t>
  </si>
  <si>
    <t>453762</t>
  </si>
  <si>
    <t>453766</t>
  </si>
  <si>
    <t>Total general</t>
  </si>
  <si>
    <t>400282</t>
  </si>
  <si>
    <t>400309</t>
  </si>
  <si>
    <t>404003B</t>
  </si>
  <si>
    <t>404004A</t>
  </si>
  <si>
    <t>404051</t>
  </si>
  <si>
    <t>404430</t>
  </si>
  <si>
    <t>404448</t>
  </si>
  <si>
    <t>404676</t>
  </si>
  <si>
    <t>405680A</t>
  </si>
  <si>
    <t>406492</t>
  </si>
  <si>
    <t>406503</t>
  </si>
  <si>
    <t>407073</t>
  </si>
  <si>
    <t>407103</t>
  </si>
  <si>
    <t>407110</t>
  </si>
  <si>
    <t>407159</t>
  </si>
  <si>
    <t>407444</t>
  </si>
  <si>
    <t>407484</t>
  </si>
  <si>
    <t>407528</t>
  </si>
  <si>
    <t>407542</t>
  </si>
  <si>
    <t>407550</t>
  </si>
  <si>
    <t>407554</t>
  </si>
  <si>
    <t>407618</t>
  </si>
  <si>
    <t>407917</t>
  </si>
  <si>
    <t>411490</t>
  </si>
  <si>
    <t>411933</t>
  </si>
  <si>
    <t>412524</t>
  </si>
  <si>
    <t>420324</t>
  </si>
  <si>
    <t>421060A</t>
  </si>
  <si>
    <t>421098B</t>
  </si>
  <si>
    <t>421099A</t>
  </si>
  <si>
    <t>421100</t>
  </si>
  <si>
    <t>450179</t>
  </si>
  <si>
    <t>450431R</t>
  </si>
  <si>
    <t>451189/CO</t>
  </si>
  <si>
    <t>451401</t>
  </si>
  <si>
    <t>451516</t>
  </si>
  <si>
    <t>451520P</t>
  </si>
  <si>
    <t>451792</t>
  </si>
  <si>
    <t>452053</t>
  </si>
  <si>
    <t>452169</t>
  </si>
  <si>
    <t>452357E</t>
  </si>
  <si>
    <t>452781</t>
  </si>
  <si>
    <t>453035</t>
  </si>
  <si>
    <t>453123A</t>
  </si>
  <si>
    <t>453379A</t>
  </si>
  <si>
    <t>453479</t>
  </si>
  <si>
    <t>453488A</t>
  </si>
  <si>
    <t>453640</t>
  </si>
  <si>
    <t>453641</t>
  </si>
  <si>
    <t>453657</t>
  </si>
  <si>
    <t>MEs</t>
  </si>
  <si>
    <t>Previsto</t>
  </si>
  <si>
    <t>Suma F+P</t>
  </si>
  <si>
    <t>PiezasDI</t>
  </si>
  <si>
    <t>01-Ene</t>
  </si>
  <si>
    <t>02-Feb</t>
  </si>
  <si>
    <t>03-Mar</t>
  </si>
  <si>
    <t>04-Abr</t>
  </si>
  <si>
    <t>05-May</t>
  </si>
  <si>
    <t>06-Jun</t>
  </si>
  <si>
    <t>07-Jul</t>
  </si>
  <si>
    <t>08-Ago</t>
  </si>
  <si>
    <t>09-Sep</t>
  </si>
  <si>
    <t>10-Oct</t>
  </si>
  <si>
    <t>11-Nov</t>
  </si>
  <si>
    <t>12-Dic</t>
  </si>
  <si>
    <t>450271</t>
  </si>
  <si>
    <t>402035E/CO</t>
  </si>
  <si>
    <t>402336A</t>
  </si>
  <si>
    <t>453879</t>
  </si>
  <si>
    <t>403577</t>
  </si>
  <si>
    <t>403844</t>
  </si>
  <si>
    <t>403970</t>
  </si>
  <si>
    <t>404041</t>
  </si>
  <si>
    <t>404043</t>
  </si>
  <si>
    <t>451460C</t>
  </si>
  <si>
    <t>453876A</t>
  </si>
  <si>
    <t>403372</t>
  </si>
  <si>
    <t>403388</t>
  </si>
  <si>
    <t>403980A</t>
  </si>
  <si>
    <t>403987</t>
  </si>
  <si>
    <t>404011</t>
  </si>
  <si>
    <t>451460B</t>
  </si>
  <si>
    <t>452820</t>
  </si>
  <si>
    <t>453629A</t>
  </si>
  <si>
    <t>453766A</t>
  </si>
  <si>
    <t>453888</t>
  </si>
  <si>
    <t>453900</t>
  </si>
  <si>
    <t>453836</t>
  </si>
  <si>
    <t>453853</t>
  </si>
  <si>
    <t>453867</t>
  </si>
  <si>
    <t>453894</t>
  </si>
  <si>
    <t>453914</t>
  </si>
  <si>
    <t>453922</t>
  </si>
  <si>
    <t>0200/1479Y</t>
  </si>
  <si>
    <t>422468A</t>
  </si>
  <si>
    <t>4314KLT1618</t>
  </si>
  <si>
    <t>4314SP1618</t>
  </si>
  <si>
    <t>4314TAP1618</t>
  </si>
  <si>
    <t>PEF</t>
  </si>
  <si>
    <t>404438</t>
  </si>
  <si>
    <t>406449</t>
  </si>
  <si>
    <t>406453</t>
  </si>
  <si>
    <t>406465</t>
  </si>
  <si>
    <t>406473A</t>
  </si>
  <si>
    <t>406513</t>
  </si>
  <si>
    <t>400279</t>
  </si>
  <si>
    <t>400301</t>
  </si>
  <si>
    <t>405714</t>
  </si>
  <si>
    <t>412525</t>
  </si>
  <si>
    <t>453385A</t>
  </si>
  <si>
    <t>400303B</t>
  </si>
  <si>
    <t>453772</t>
  </si>
  <si>
    <t>453805</t>
  </si>
  <si>
    <t>453601</t>
  </si>
  <si>
    <t>453621</t>
  </si>
  <si>
    <t>453759A</t>
  </si>
  <si>
    <t>451820S</t>
  </si>
  <si>
    <t>453410</t>
  </si>
  <si>
    <t>453738</t>
  </si>
  <si>
    <t>421809B</t>
  </si>
  <si>
    <t>451040</t>
  </si>
  <si>
    <t>453916</t>
  </si>
  <si>
    <t>422661B</t>
  </si>
  <si>
    <t>422151E</t>
  </si>
  <si>
    <t>422749C</t>
  </si>
  <si>
    <t>422749D</t>
  </si>
  <si>
    <t>453322A</t>
  </si>
  <si>
    <t>453902</t>
  </si>
  <si>
    <t>422930</t>
  </si>
  <si>
    <t>451700A</t>
  </si>
  <si>
    <t>452778</t>
  </si>
  <si>
    <t>453800</t>
  </si>
  <si>
    <t>453881</t>
  </si>
  <si>
    <t>453773</t>
  </si>
  <si>
    <t>453935</t>
  </si>
  <si>
    <t>407034</t>
  </si>
  <si>
    <t>407099</t>
  </si>
  <si>
    <t>401451/CO</t>
  </si>
  <si>
    <t>422601</t>
  </si>
  <si>
    <t>422440B</t>
  </si>
  <si>
    <t>422440BPT</t>
  </si>
  <si>
    <t>422903</t>
  </si>
  <si>
    <t>407586</t>
  </si>
  <si>
    <t>421109C</t>
  </si>
  <si>
    <t>450612</t>
  </si>
  <si>
    <t>452196PT</t>
  </si>
  <si>
    <t>422443</t>
  </si>
  <si>
    <t>422444</t>
  </si>
  <si>
    <t>453666</t>
  </si>
  <si>
    <t>453666A</t>
  </si>
  <si>
    <t>407496</t>
  </si>
  <si>
    <t>422459</t>
  </si>
  <si>
    <t>4314KLT1520</t>
  </si>
  <si>
    <t>4314LID1520</t>
  </si>
  <si>
    <t>4314TAP1520</t>
  </si>
  <si>
    <t>4321KLT1520</t>
  </si>
  <si>
    <t>4321LID1520</t>
  </si>
  <si>
    <t>PEF1520</t>
  </si>
  <si>
    <t>Demanda Anual</t>
  </si>
  <si>
    <t>dias laborales 2026</t>
  </si>
  <si>
    <t>Centro</t>
  </si>
  <si>
    <t>451407A</t>
  </si>
  <si>
    <t>451898B</t>
  </si>
  <si>
    <t>Preparacion</t>
  </si>
  <si>
    <t>STOCK MEDIO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</si>
</sst>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#,##0_ ;[Red]\-#,##0\ "/>
    <numFmt numFmtId="166" formatCode="#,##0.00_ ;[Red]\-#,##0.0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16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indexed="64"/>
      </left>
      <right style="thin">
        <color indexed="64"/>
      </right>
      <top style="thin">
        <color rgb="FFABABAB"/>
      </top>
      <bottom/>
      <diagonal/>
    </border>
    <border>
      <left/>
      <right style="thin">
        <color indexed="64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rgb="FFABABAB"/>
      </top>
      <bottom style="thin">
        <color indexed="64"/>
      </bottom>
      <diagonal/>
    </border>
    <border>
      <left style="thin">
        <color rgb="FFABABAB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ABABAB"/>
      </top>
      <bottom style="thin">
        <color rgb="FFABABAB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164" fontId="0" fillId="0" borderId="0" xfId="1" applyNumberFormat="1" applyFont="1" applyFill="1" applyAlignment="1">
      <alignment horizontal="center"/>
    </xf>
    <xf numFmtId="0" fontId="2" fillId="5" borderId="0" xfId="1" applyNumberFormat="1" applyFont="1" applyFill="1" applyAlignment="1">
      <alignment horizontal="center"/>
    </xf>
    <xf numFmtId="164" fontId="2" fillId="5" borderId="0" xfId="1" applyNumberFormat="1" applyFont="1" applyFill="1" applyAlignment="1">
      <alignment horizontal="center"/>
    </xf>
    <xf numFmtId="164" fontId="2" fillId="6" borderId="0" xfId="1" applyNumberFormat="1" applyFont="1" applyFill="1" applyAlignment="1">
      <alignment horizontal="center"/>
    </xf>
    <xf numFmtId="164" fontId="0" fillId="6" borderId="0" xfId="1" applyNumberFormat="1" applyFont="1" applyFill="1" applyAlignment="1">
      <alignment horizontal="center"/>
    </xf>
    <xf numFmtId="164" fontId="2" fillId="3" borderId="0" xfId="1" applyNumberFormat="1" applyFont="1" applyFill="1" applyAlignment="1">
      <alignment horizontal="center"/>
    </xf>
    <xf numFmtId="164" fontId="0" fillId="3" borderId="0" xfId="1" applyNumberFormat="1" applyFont="1" applyFill="1" applyAlignment="1">
      <alignment horizontal="center"/>
    </xf>
    <xf numFmtId="164" fontId="2" fillId="7" borderId="0" xfId="1" applyNumberFormat="1" applyFont="1" applyFill="1" applyAlignment="1">
      <alignment horizontal="center"/>
    </xf>
    <xf numFmtId="164" fontId="0" fillId="7" borderId="0" xfId="1" applyNumberFormat="1" applyFont="1" applyFill="1" applyAlignment="1">
      <alignment horizontal="center"/>
    </xf>
    <xf numFmtId="0" fontId="2" fillId="2" borderId="0" xfId="1" applyNumberFormat="1" applyFont="1" applyFill="1" applyAlignment="1">
      <alignment horizontal="center"/>
    </xf>
    <xf numFmtId="0" fontId="3" fillId="9" borderId="1" xfId="0" applyFont="1" applyFill="1" applyBorder="1"/>
    <xf numFmtId="0" fontId="3" fillId="9" borderId="4" xfId="0" applyFont="1" applyFill="1" applyBorder="1"/>
    <xf numFmtId="3" fontId="3" fillId="13" borderId="9" xfId="0" applyNumberFormat="1" applyFont="1" applyFill="1" applyBorder="1" applyAlignment="1">
      <alignment horizontal="center"/>
    </xf>
    <xf numFmtId="3" fontId="3" fillId="14" borderId="2" xfId="0" applyNumberFormat="1" applyFont="1" applyFill="1" applyBorder="1" applyAlignment="1">
      <alignment horizontal="center"/>
    </xf>
    <xf numFmtId="3" fontId="3" fillId="8" borderId="10" xfId="0" applyNumberFormat="1" applyFont="1" applyFill="1" applyBorder="1" applyAlignment="1">
      <alignment horizontal="center"/>
    </xf>
    <xf numFmtId="0" fontId="3" fillId="0" borderId="1" xfId="0" applyFont="1" applyBorder="1"/>
    <xf numFmtId="3" fontId="3" fillId="11" borderId="3" xfId="0" applyNumberFormat="1" applyFont="1" applyFill="1" applyBorder="1"/>
    <xf numFmtId="3" fontId="3" fillId="12" borderId="4" xfId="0" applyNumberFormat="1" applyFont="1" applyFill="1" applyBorder="1"/>
    <xf numFmtId="3" fontId="3" fillId="15" borderId="2" xfId="0" applyNumberFormat="1" applyFont="1" applyFill="1" applyBorder="1"/>
    <xf numFmtId="0" fontId="3" fillId="0" borderId="5" xfId="0" applyFont="1" applyBorder="1"/>
    <xf numFmtId="0" fontId="3" fillId="0" borderId="11" xfId="0" applyFont="1" applyBorder="1"/>
    <xf numFmtId="3" fontId="3" fillId="11" borderId="12" xfId="0" applyNumberFormat="1" applyFont="1" applyFill="1" applyBorder="1"/>
    <xf numFmtId="3" fontId="3" fillId="12" borderId="13" xfId="0" applyNumberFormat="1" applyFont="1" applyFill="1" applyBorder="1"/>
    <xf numFmtId="3" fontId="3" fillId="15" borderId="0" xfId="0" applyNumberFormat="1" applyFont="1" applyFill="1"/>
    <xf numFmtId="3" fontId="3" fillId="11" borderId="14" xfId="0" applyNumberFormat="1" applyFont="1" applyFill="1" applyBorder="1"/>
    <xf numFmtId="0" fontId="4" fillId="0" borderId="6" xfId="0" applyFont="1" applyBorder="1"/>
    <xf numFmtId="0" fontId="4" fillId="0" borderId="15" xfId="0" applyFont="1" applyBorder="1"/>
    <xf numFmtId="3" fontId="3" fillId="11" borderId="7" xfId="0" applyNumberFormat="1" applyFont="1" applyFill="1" applyBorder="1"/>
    <xf numFmtId="3" fontId="3" fillId="12" borderId="8" xfId="0" applyNumberFormat="1" applyFont="1" applyFill="1" applyBorder="1"/>
    <xf numFmtId="3" fontId="3" fillId="15" borderId="8" xfId="0" applyNumberFormat="1" applyFont="1" applyFill="1" applyBorder="1"/>
    <xf numFmtId="0" fontId="4" fillId="0" borderId="0" xfId="0" applyFont="1"/>
    <xf numFmtId="3" fontId="4" fillId="11" borderId="0" xfId="0" applyNumberFormat="1" applyFont="1" applyFill="1"/>
    <xf numFmtId="3" fontId="4" fillId="15" borderId="0" xfId="0" applyNumberFormat="1" applyFont="1" applyFill="1"/>
    <xf numFmtId="3" fontId="4" fillId="10" borderId="0" xfId="0" applyNumberFormat="1" applyFont="1" applyFill="1"/>
    <xf numFmtId="3" fontId="0" fillId="0" borderId="0" xfId="0" applyNumberFormat="1"/>
    <xf numFmtId="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1" applyNumberFormat="1" applyFont="1" applyAlignment="1">
      <alignment horizontal="right"/>
    </xf>
    <xf numFmtId="0" fontId="5" fillId="0" borderId="0" xfId="0" applyFont="1" applyAlignment="1">
      <alignment horizontal="center"/>
    </xf>
    <xf numFmtId="1" fontId="5" fillId="0" borderId="0" xfId="0" applyNumberFormat="1" applyFont="1"/>
    <xf numFmtId="0" fontId="5" fillId="16" borderId="0" xfId="0" applyFont="1" applyFill="1" applyAlignment="1">
      <alignment horizontal="center"/>
    </xf>
    <xf numFmtId="1" fontId="5" fillId="16" borderId="0" xfId="0" applyNumberFormat="1" applyFont="1" applyFill="1"/>
    <xf numFmtId="1" fontId="5" fillId="17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9" fontId="0" fillId="0" borderId="0" xfId="0" applyNumberFormat="1"/>
    <xf numFmtId="10" fontId="0" fillId="0" borderId="0" xfId="0" applyNumberFormat="1"/>
    <xf numFmtId="9" fontId="5" fillId="0" borderId="0" xfId="2" applyFont="1"/>
    <xf numFmtId="9" fontId="0" fillId="0" borderId="0" xfId="2" applyFont="1"/>
    <xf numFmtId="164" fontId="5" fillId="0" borderId="0" xfId="1" applyNumberFormat="1" applyFont="1"/>
    <xf numFmtId="9" fontId="2" fillId="5" borderId="0" xfId="2" applyFont="1" applyFill="1" applyAlignment="1">
      <alignment horizontal="center"/>
    </xf>
    <xf numFmtId="9" fontId="2" fillId="4" borderId="0" xfId="2" applyFont="1" applyFill="1" applyAlignment="1">
      <alignment horizontal="center"/>
    </xf>
    <xf numFmtId="164" fontId="0" fillId="9" borderId="0" xfId="1" applyNumberFormat="1" applyFont="1" applyFill="1" applyAlignment="1">
      <alignment horizontal="center"/>
    </xf>
    <xf numFmtId="0" fontId="2" fillId="9" borderId="0" xfId="1" applyNumberFormat="1" applyFont="1" applyFill="1" applyAlignment="1">
      <alignment horizontal="center"/>
    </xf>
    <xf numFmtId="164" fontId="5" fillId="9" borderId="0" xfId="1" applyNumberFormat="1" applyFont="1" applyFill="1"/>
    <xf numFmtId="9" fontId="2" fillId="9" borderId="0" xfId="2" applyFont="1" applyFill="1" applyAlignment="1">
      <alignment horizontal="center"/>
    </xf>
    <xf numFmtId="164" fontId="0" fillId="0" borderId="0" xfId="1" applyNumberFormat="1" applyFont="1"/>
  </cellXfs>
  <cellStyles count="3">
    <cellStyle name="Millares" xfId="1" builtinId="3"/>
    <cellStyle name="Normal" xfId="0" builtinId="0"/>
    <cellStyle name="Porcentaje" xfId="2" builtinId="5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indexed="4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indexed="1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indexed="43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border diagonalUp="0" diagonalDown="0">
        <left style="thin">
          <color rgb="FFABABAB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border diagonalUp="0" diagonalDown="0">
        <left style="thin">
          <color rgb="FFABABAB"/>
        </left>
        <right/>
        <top style="thin">
          <color indexed="65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ebastián Varela" id="{FE269257-9877-4858-B6DD-2E908DDE3C58}" userId="S::sebastianvar@rpk.es::edaf2319-fc36-4ba7-a65d-d370a7e5d6a9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smael Rodriguez" refreshedDate="45951.62892476852" backgroundQuery="1" createdVersion="8" refreshedVersion="8" minRefreshableVersion="3" recordCount="0" supportSubquery="1" supportAdvancedDrill="1" xr:uid="{1DDB7E94-E3CB-477B-BE2B-A759E49F1060}">
  <cacheSource type="external" connectionId="2"/>
  <cacheFields count="2">
    <cacheField name="[Tabla1].[Articulo].[Articulo]" caption="Articulo" numFmtId="0" level="1">
      <sharedItems count="439">
        <s v="400208"/>
        <s v="400211"/>
        <s v="400213"/>
        <s v="400213R"/>
        <s v="400256"/>
        <s v="400279"/>
        <s v="400282"/>
        <s v="400291R"/>
        <s v="400292"/>
        <s v="400293"/>
        <s v="400296"/>
        <s v="400298"/>
        <s v="400299"/>
        <s v="400301"/>
        <s v="400303"/>
        <s v="400303B"/>
        <s v="400304"/>
        <s v="400307"/>
        <s v="400309"/>
        <s v="400311"/>
        <s v="400312"/>
        <s v="400312R"/>
        <s v="400314"/>
        <s v="400990"/>
        <s v="401451/CO"/>
        <s v="402035E/CO"/>
        <s v="402336A"/>
        <s v="402372/CO"/>
        <s v="402373/CO"/>
        <s v="403076"/>
        <s v="403085"/>
        <s v="403092"/>
        <s v="403107"/>
        <s v="403109"/>
        <s v="403110"/>
        <s v="403372"/>
        <s v="403388"/>
        <s v="403577"/>
        <s v="403584"/>
        <s v="403763"/>
        <s v="403844"/>
        <s v="403901"/>
        <s v="403970"/>
        <s v="403978A"/>
        <s v="403980"/>
        <s v="403980A"/>
        <s v="403987"/>
        <s v="403988"/>
        <s v="403993"/>
        <s v="403994"/>
        <s v="403996"/>
        <s v="403998"/>
        <s v="404003"/>
        <s v="404003B"/>
        <s v="404004A"/>
        <s v="404006"/>
        <s v="404011"/>
        <s v="404014"/>
        <s v="404015"/>
        <s v="404018"/>
        <s v="404020"/>
        <s v="404033"/>
        <s v="404034A"/>
        <s v="404041"/>
        <s v="404043"/>
        <s v="404051"/>
        <s v="404053"/>
        <s v="404055"/>
        <s v="404430"/>
        <s v="404438"/>
        <s v="404448"/>
        <s v="404648/HUN"/>
        <s v="404670A"/>
        <s v="404672/CO"/>
        <s v="404676"/>
        <s v="405680A"/>
        <s v="405714"/>
        <s v="406445"/>
        <s v="406449"/>
        <s v="406453"/>
        <s v="406457"/>
        <s v="406460"/>
        <s v="406465"/>
        <s v="406469"/>
        <s v="406473A"/>
        <s v="406492"/>
        <s v="406503"/>
        <s v="406505"/>
        <s v="406508"/>
        <s v="406513"/>
        <s v="406518"/>
        <s v="406546"/>
        <s v="406717"/>
        <s v="406884"/>
        <s v="406970"/>
        <s v="407010"/>
        <s v="407034"/>
        <s v="407040"/>
        <s v="407062/CO"/>
        <s v="407073"/>
        <s v="407076"/>
        <s v="407099"/>
        <s v="407102"/>
        <s v="407103"/>
        <s v="407110"/>
        <s v="407159"/>
        <s v="407169"/>
        <s v="407444"/>
        <s v="407476"/>
        <s v="407477"/>
        <s v="407483"/>
        <s v="407484"/>
        <s v="407485"/>
        <s v="407496"/>
        <s v="407501"/>
        <s v="407516"/>
        <s v="407518"/>
        <s v="407522"/>
        <s v="407522A"/>
        <s v="407528"/>
        <s v="407535"/>
        <s v="407541"/>
        <s v="407542"/>
        <s v="407550"/>
        <s v="407554"/>
        <s v="407575A"/>
        <s v="407586"/>
        <s v="407595"/>
        <s v="407612"/>
        <s v="407617"/>
        <s v="407618"/>
        <s v="407620"/>
        <s v="407621A"/>
        <s v="407917"/>
        <s v="407992"/>
        <s v="408439B"/>
        <s v="408440B"/>
        <s v="408644"/>
        <s v="411490"/>
        <s v="411563"/>
        <s v="411564"/>
        <s v="411933"/>
        <s v="412198A"/>
        <s v="412203"/>
        <s v="412206"/>
        <s v="412366"/>
        <s v="412524"/>
        <s v="412525"/>
        <s v="412584"/>
        <s v="412604"/>
        <s v="412607"/>
        <s v="413115"/>
        <s v="413180"/>
        <s v="413186"/>
        <s v="413190"/>
        <s v="413240"/>
        <s v="413240C"/>
        <s v="413242/CO"/>
        <s v="413253"/>
        <s v="413481S"/>
        <s v="420321"/>
        <s v="420323"/>
        <s v="420324"/>
        <s v="421016"/>
        <s v="421019"/>
        <s v="421060A"/>
        <s v="421075A"/>
        <s v="421098B"/>
        <s v="421099A"/>
        <s v="421100"/>
        <s v="421102"/>
        <s v="421109B"/>
        <s v="421109C"/>
        <s v="421125"/>
        <s v="421175"/>
        <s v="421404D"/>
        <s v="421429F"/>
        <s v="421613A"/>
        <s v="421653L"/>
        <s v="421654"/>
        <s v="421686"/>
        <s v="421728I"/>
        <s v="421809A"/>
        <s v="421809B"/>
        <s v="421867"/>
        <s v="421895B"/>
        <s v="421904I"/>
        <s v="421910A"/>
        <s v="421979"/>
        <s v="421979B"/>
        <s v="422003"/>
        <s v="422007"/>
        <s v="422016"/>
        <s v="422048A"/>
        <s v="422054B"/>
        <s v="422060"/>
        <s v="422086"/>
        <s v="422087E"/>
        <s v="422088"/>
        <s v="422089A"/>
        <s v="422125A"/>
        <s v="422125MAS"/>
        <s v="422136"/>
        <s v="422144A"/>
        <s v="422151E"/>
        <s v="422185"/>
        <s v="422185A"/>
        <s v="422216D"/>
        <s v="422262"/>
        <s v="422297"/>
        <s v="422413A"/>
        <s v="422414A"/>
        <s v="422420"/>
        <s v="422440B"/>
        <s v="422440BPT"/>
        <s v="422443"/>
        <s v="422444"/>
        <s v="422449"/>
        <s v="422459"/>
        <s v="422468"/>
        <s v="422468A"/>
        <s v="422470"/>
        <s v="422480"/>
        <s v="422481"/>
        <s v="422601"/>
        <s v="422661B"/>
        <s v="422749A"/>
        <s v="422749C"/>
        <s v="422749D"/>
        <s v="422903"/>
        <s v="422930"/>
        <s v="4314KLT1520"/>
        <s v="4314KLT1618"/>
        <s v="4314LID1520"/>
        <s v="4314SP1618"/>
        <s v="4314TAP1520"/>
        <s v="4314TAP1618"/>
        <s v="4321KLT1520"/>
        <s v="4321LID1520"/>
        <s v="450024"/>
        <s v="450072"/>
        <s v="450072B"/>
        <s v="450084A"/>
        <s v="450179"/>
        <s v="450256"/>
        <s v="450271"/>
        <s v="450303A"/>
        <s v="450316"/>
        <s v="450335A"/>
        <s v="450348"/>
        <s v="450366P"/>
        <s v="450431"/>
        <s v="450431A"/>
        <s v="450431R"/>
        <s v="450431S"/>
        <s v="450601B"/>
        <s v="450612"/>
        <s v="450636"/>
        <s v="450647"/>
        <s v="450731A"/>
        <s v="450829"/>
        <s v="450940"/>
        <s v="450962"/>
        <s v="451002"/>
        <s v="451033P"/>
        <s v="451040"/>
        <s v="451052A"/>
        <s v="451106A"/>
        <s v="451189/CO"/>
        <s v="451381A"/>
        <s v="451383"/>
        <s v="451384"/>
        <s v="451401"/>
        <s v="451443C"/>
        <s v="451460A"/>
        <s v="451460B"/>
        <s v="451460C"/>
        <s v="451481/CO"/>
        <s v="451492C"/>
        <s v="451516"/>
        <s v="451520P"/>
        <s v="451558"/>
        <s v="451570P"/>
        <s v="451572"/>
        <s v="451583"/>
        <s v="451584"/>
        <s v="451596F"/>
        <s v="451600"/>
        <s v="451621"/>
        <s v="451621S"/>
        <s v="451621T"/>
        <s v="451655C"/>
        <s v="451691/CO"/>
        <s v="451700A"/>
        <s v="451707"/>
        <s v="451792"/>
        <s v="451811"/>
        <s v="451820S"/>
        <s v="451844"/>
        <s v="451860I"/>
        <s v="451860IA"/>
        <s v="451892"/>
        <s v="451906"/>
        <s v="451928B"/>
        <s v="451973A"/>
        <s v="452017"/>
        <s v="452053"/>
        <s v="452065"/>
        <s v="452083"/>
        <s v="452085"/>
        <s v="452089"/>
        <s v="452101"/>
        <s v="452106"/>
        <s v="452108"/>
        <s v="452128"/>
        <s v="452130"/>
        <s v="452164"/>
        <s v="452169"/>
        <s v="452196"/>
        <s v="452196PT"/>
        <s v="452295S"/>
        <s v="452357E"/>
        <s v="452366"/>
        <s v="452367"/>
        <s v="452466"/>
        <s v="452526"/>
        <s v="452551"/>
        <s v="452579"/>
        <s v="452590"/>
        <s v="452629"/>
        <s v="452761"/>
        <s v="452777"/>
        <s v="452778"/>
        <s v="452781"/>
        <s v="452802"/>
        <s v="452820"/>
        <s v="452920C"/>
        <s v="452920L"/>
        <s v="452952"/>
        <s v="452965"/>
        <s v="452971"/>
        <s v="452973"/>
        <s v="452976"/>
        <s v="452985A"/>
        <s v="453010"/>
        <s v="453035"/>
        <s v="453037"/>
        <s v="453055"/>
        <s v="453074"/>
        <s v="453108"/>
        <s v="453123A"/>
        <s v="453195"/>
        <s v="453215"/>
        <s v="453257"/>
        <s v="453275A"/>
        <s v="453288"/>
        <s v="453298"/>
        <s v="453299"/>
        <s v="453322A"/>
        <s v="453333"/>
        <s v="453363"/>
        <s v="453367"/>
        <s v="453368"/>
        <s v="453378"/>
        <s v="453379A"/>
        <s v="453385"/>
        <s v="453385A"/>
        <s v="453389"/>
        <s v="453395A"/>
        <s v="453396"/>
        <s v="453400"/>
        <s v="453401"/>
        <s v="453409"/>
        <s v="453410"/>
        <s v="453414"/>
        <s v="453418"/>
        <s v="453419"/>
        <s v="453423"/>
        <s v="453449"/>
        <s v="453451"/>
        <s v="453462"/>
        <s v="453479"/>
        <s v="453483"/>
        <s v="453487B"/>
        <s v="453488A"/>
        <s v="453516"/>
        <s v="453523"/>
        <s v="453526"/>
        <s v="453528"/>
        <s v="453554"/>
        <s v="453584"/>
        <s v="453585"/>
        <s v="453590"/>
        <s v="453591"/>
        <s v="453601"/>
        <s v="453618"/>
        <s v="453621"/>
        <s v="453629A"/>
        <s v="453630"/>
        <s v="453633"/>
        <s v="453640"/>
        <s v="453641"/>
        <s v="453643"/>
        <s v="453644"/>
        <s v="453645"/>
        <s v="453656A"/>
        <s v="453657"/>
        <s v="453659"/>
        <s v="453660"/>
        <s v="453666"/>
        <s v="453666A"/>
        <s v="453686"/>
        <s v="453690"/>
        <s v="453713"/>
        <s v="453719"/>
        <s v="453738"/>
        <s v="453748"/>
        <s v="453759A"/>
        <s v="453762"/>
        <s v="453766"/>
        <s v="453766A"/>
        <s v="453772"/>
        <s v="453773"/>
        <s v="453800"/>
        <s v="453805"/>
        <s v="453836"/>
        <s v="453853"/>
        <s v="453867"/>
        <s v="453876A"/>
        <s v="453879"/>
        <s v="453881"/>
        <s v="453888"/>
        <s v="453894"/>
        <s v="453900"/>
        <s v="453902"/>
        <s v="453914"/>
        <s v="453916"/>
        <s v="453922"/>
        <s v="453935"/>
      </sharedItems>
    </cacheField>
    <cacheField name="[Measures].[Suma de Previsto]" caption="Suma de Previsto" numFmtId="0" hierarchy="21" level="32767"/>
  </cacheFields>
  <cacheHierarchies count="22">
    <cacheHierarchy uniqueName="[Tabla1].[Articulo]" caption="Articulo" attribute="1" defaultMemberUniqueName="[Tabla1].[Articulo].[All]" allUniqueName="[Tabla1].[Articulo].[All]" dimensionUniqueName="[Tabla1]" displayFolder="" count="2" memberValueDatatype="130" unbalanced="0">
      <fieldsUsage count="2">
        <fieldUsage x="-1"/>
        <fieldUsage x="0"/>
      </fieldsUsage>
    </cacheHierarchy>
    <cacheHierarchy uniqueName="[Tabla1].[MEs]" caption="MEs" attribute="1" defaultMemberUniqueName="[Tabla1].[MEs].[All]" allUniqueName="[Tabla1].[MEs].[All]" dimensionUniqueName="[Tabla1]" displayFolder="" count="0" memberValueDatatype="130" unbalanced="0"/>
    <cacheHierarchy uniqueName="[Tabla1].[Previsto]" caption="Previsto" attribute="1" defaultMemberUniqueName="[Tabla1].[Previsto].[All]" allUniqueName="[Tabla1].[Previsto].[All]" dimensionUniqueName="[Tabla1]" displayFolder="" count="0" memberValueDatatype="5" unbalanced="0"/>
    <cacheHierarchy uniqueName="[Tabla1].[Realizado]" caption="Realizado" attribute="1" defaultMemberUniqueName="[Tabla1].[Realizado].[All]" allUniqueName="[Tabla1].[Realizado].[All]" dimensionUniqueName="[Tabla1]" displayFolder="" count="0" memberValueDatatype="20" unbalanced="0"/>
    <cacheHierarchy uniqueName="[Tabla1].[%]" caption="%" attribute="1" defaultMemberUniqueName="[Tabla1].[%].[All]" allUniqueName="[Tabla1].[%].[All]" dimensionUniqueName="[Tabla1]" displayFolder="" count="0" memberValueDatatype="20" unbalanced="0"/>
    <cacheHierarchy uniqueName="[Tabla1].[C.Real.Ant.]" caption="C.Real.Ant." attribute="1" defaultMemberUniqueName="[Tabla1].[C.Real.Ant.].[All]" allUniqueName="[Tabla1].[C.Real.Ant.].[All]" dimensionUniqueName="[Tabla1]" displayFolder="" count="0" memberValueDatatype="20" unbalanced="0"/>
    <cacheHierarchy uniqueName="[Tabla1].[Previsto.]" caption="Previsto." attribute="1" defaultMemberUniqueName="[Tabla1].[Previsto.].[All]" allUniqueName="[Tabla1].[Previsto.].[All]" dimensionUniqueName="[Tabla1]" displayFolder="" count="0" memberValueDatatype="5" unbalanced="0"/>
    <cacheHierarchy uniqueName="[Tabla1].[Realizado.]" caption="Realizado." attribute="1" defaultMemberUniqueName="[Tabla1].[Realizado.].[All]" allUniqueName="[Tabla1].[Realizado.].[All]" dimensionUniqueName="[Tabla1]" displayFolder="" count="0" memberValueDatatype="20" unbalanced="0"/>
    <cacheHierarchy uniqueName="[Tabla1].[%.]" caption="%." attribute="1" defaultMemberUniqueName="[Tabla1].[%.].[All]" allUniqueName="[Tabla1].[%.].[All]" dimensionUniqueName="[Tabla1]" displayFolder="" count="0" memberValueDatatype="20" unbalanced="0"/>
    <cacheHierarchy uniqueName="[Tabla1].[I.Real.Ant.]" caption="I.Real.Ant." attribute="1" defaultMemberUniqueName="[Tabla1].[I.Real.Ant.].[All]" allUniqueName="[Tabla1].[I.Real.Ant.].[All]" dimensionUniqueName="[Tabla1]" displayFolder="" count="0" memberValueDatatype="5" unbalanced="0"/>
    <cacheHierarchy uniqueName="[Tabla1].[Firme]" caption="Firme" attribute="1" defaultMemberUniqueName="[Tabla1].[Firme].[All]" allUniqueName="[Tabla1].[Firme].[All]" dimensionUniqueName="[Tabla1]" displayFolder="" count="0" memberValueDatatype="20" unbalanced="0"/>
    <cacheHierarchy uniqueName="[Tabla1].[Previsión]" caption="Previsión" attribute="1" defaultMemberUniqueName="[Tabla1].[Previsión].[All]" allUniqueName="[Tabla1].[Previsión].[All]" dimensionUniqueName="[Tabla1]" displayFolder="" count="0" memberValueDatatype="20" unbalanced="0"/>
    <cacheHierarchy uniqueName="[Tabla1].[Suma F+P]" caption="Suma F+P" attribute="1" defaultMemberUniqueName="[Tabla1].[Suma F+P].[All]" allUniqueName="[Tabla1].[Suma F+P].[All]" dimensionUniqueName="[Tabla1]" displayFolder="" count="0" memberValueDatatype="20" unbalanced="0"/>
    <cacheHierarchy uniqueName="[Tabla1].[PiezasDI]" caption="PiezasDI" attribute="1" defaultMemberUniqueName="[Tabla1].[PiezasDI].[All]" allUniqueName="[Tabla1].[PiezasDI].[All]" dimensionUniqueName="[Tabla1]" displayFolder="" count="0" memberValueDatatype="20" unbalanced="0"/>
    <cacheHierarchy uniqueName="[Tabla1].[Firme.]" caption="Firme." attribute="1" defaultMemberUniqueName="[Tabla1].[Firme.].[All]" allUniqueName="[Tabla1].[Firme.].[All]" dimensionUniqueName="[Tabla1]" displayFolder="" count="0" memberValueDatatype="5" unbalanced="0"/>
    <cacheHierarchy uniqueName="[Tabla1].[Previsión.]" caption="Previsión." attribute="1" defaultMemberUniqueName="[Tabla1].[Previsión.].[All]" allUniqueName="[Tabla1].[Previsión.].[All]" dimensionUniqueName="[Tabla1]" displayFolder="" count="0" memberValueDatatype="5" unbalanced="0"/>
    <cacheHierarchy uniqueName="[Tabla1].[Suma F+P.]" caption="Suma F+P." attribute="1" defaultMemberUniqueName="[Tabla1].[Suma F+P.].[All]" allUniqueName="[Tabla1].[Suma F+P.].[All]" dimensionUniqueName="[Tabla1]" displayFolder="" count="0" memberValueDatatype="5" unbalanced="0"/>
    <cacheHierarchy uniqueName="[Tabla1].[Fir+Pre+Rea.]" caption="Fir+Pre+Rea." attribute="1" defaultMemberUniqueName="[Tabla1].[Fir+Pre+Rea.].[All]" allUniqueName="[Tabla1].[Fir+Pre+Rea.].[All]" dimensionUniqueName="[Tabla1]" displayFolder="" count="0" memberValueDatatype="5" unbalanced="0"/>
    <cacheHierarchy uniqueName="[Tabla1].[%..]" caption="%.." attribute="1" defaultMemberUniqueName="[Tabla1].[%..].[All]" allUniqueName="[Tabla1].[%..].[All]" dimensionUniqueName="[Tabla1]" displayFolder="" count="0" memberValueDatatype="5" unbalanced="0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Suma de Previsto]" caption="Suma de Previsto" measure="1" displayFolder="" measureGroup="Tab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A4814D-906D-46D7-B5DB-A8DC91283649}" name="TablaDinámica1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Articulo">
  <location ref="P1:Q441" firstHeaderRow="1" firstDataRow="1" firstDataCol="1"/>
  <pivotFields count="2">
    <pivotField axis="axisRow" allDrilled="1" subtotalTop="0" showAll="0" dataSourceSort="1" defaultSubtotal="0" defaultAttributeDrillState="1">
      <items count="439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  <item s="1" x="119"/>
        <item s="1" x="120"/>
        <item s="1" x="121"/>
        <item s="1" x="122"/>
        <item s="1" x="123"/>
        <item s="1" x="124"/>
        <item s="1" x="125"/>
        <item s="1" x="126"/>
        <item s="1" x="127"/>
        <item s="1" x="128"/>
        <item s="1" x="129"/>
        <item s="1" x="130"/>
        <item s="1" x="131"/>
        <item s="1" x="132"/>
        <item s="1" x="133"/>
        <item s="1" x="134"/>
        <item s="1" x="135"/>
        <item s="1" x="136"/>
        <item s="1" x="137"/>
        <item s="1" x="138"/>
        <item s="1" x="139"/>
        <item s="1" x="140"/>
        <item s="1" x="141"/>
        <item s="1" x="142"/>
        <item s="1" x="143"/>
        <item s="1" x="144"/>
        <item s="1" x="145"/>
        <item s="1" x="146"/>
        <item s="1" x="147"/>
        <item s="1" x="148"/>
        <item s="1" x="149"/>
        <item s="1" x="150"/>
        <item s="1" x="151"/>
        <item s="1" x="152"/>
        <item s="1" x="153"/>
        <item s="1" x="154"/>
        <item s="1" x="155"/>
        <item s="1" x="156"/>
        <item s="1" x="157"/>
        <item s="1" x="158"/>
        <item s="1" x="159"/>
        <item s="1" x="160"/>
        <item s="1" x="161"/>
        <item s="1" x="162"/>
        <item s="1" x="163"/>
        <item s="1" x="164"/>
        <item s="1" x="165"/>
        <item s="1" x="166"/>
        <item s="1" x="167"/>
        <item s="1" x="168"/>
        <item s="1" x="169"/>
        <item s="1" x="170"/>
        <item s="1" x="171"/>
        <item s="1" x="172"/>
        <item s="1" x="173"/>
        <item s="1" x="174"/>
        <item s="1" x="175"/>
        <item s="1" x="176"/>
        <item s="1" x="177"/>
        <item s="1" x="178"/>
        <item s="1" x="179"/>
        <item s="1" x="180"/>
        <item s="1" x="181"/>
        <item s="1" x="182"/>
        <item s="1" x="183"/>
        <item s="1" x="184"/>
        <item s="1" x="185"/>
        <item s="1" x="186"/>
        <item s="1" x="187"/>
        <item s="1" x="188"/>
        <item s="1" x="189"/>
        <item s="1" x="190"/>
        <item s="1" x="191"/>
        <item s="1" x="192"/>
        <item s="1" x="193"/>
        <item s="1" x="194"/>
        <item s="1" x="195"/>
        <item s="1" x="196"/>
        <item s="1" x="197"/>
        <item s="1" x="198"/>
        <item s="1" x="199"/>
        <item s="1" x="200"/>
        <item s="1" x="201"/>
        <item s="1" x="202"/>
        <item s="1" x="203"/>
        <item s="1" x="204"/>
        <item s="1" x="205"/>
        <item s="1" x="206"/>
        <item s="1" x="207"/>
        <item s="1" x="208"/>
        <item s="1" x="209"/>
        <item s="1" x="210"/>
        <item s="1" x="211"/>
        <item s="1" x="212"/>
        <item s="1" x="213"/>
        <item s="1" x="214"/>
        <item s="1" x="215"/>
        <item s="1" x="216"/>
        <item s="1" x="217"/>
        <item s="1" x="218"/>
        <item s="1" x="219"/>
        <item s="1" x="220"/>
        <item s="1" x="221"/>
        <item s="1" x="222"/>
        <item s="1" x="223"/>
        <item s="1" x="224"/>
        <item s="1" x="225"/>
        <item s="1" x="226"/>
        <item s="1" x="227"/>
        <item s="1" x="228"/>
        <item s="1" x="229"/>
        <item s="1" x="230"/>
        <item s="1" x="231"/>
        <item s="1" x="232"/>
        <item s="1" x="233"/>
        <item s="1" x="234"/>
        <item s="1" x="235"/>
        <item s="1" x="236"/>
        <item s="1" x="237"/>
        <item s="1" x="238"/>
        <item s="1" x="239"/>
        <item s="1" x="240"/>
        <item s="1" x="241"/>
        <item s="1" x="242"/>
        <item s="1" x="243"/>
        <item s="1" x="244"/>
        <item s="1" x="245"/>
        <item s="1" x="246"/>
        <item s="1" x="247"/>
        <item s="1" x="248"/>
        <item s="1" x="249"/>
        <item s="1" x="250"/>
        <item s="1" x="251"/>
        <item s="1" x="252"/>
        <item s="1" x="253"/>
        <item s="1" x="254"/>
        <item s="1" x="255"/>
        <item s="1" x="256"/>
        <item s="1" x="257"/>
        <item s="1" x="258"/>
        <item s="1" x="259"/>
        <item s="1" x="260"/>
        <item s="1" x="261"/>
        <item s="1" x="262"/>
        <item s="1" x="263"/>
        <item s="1" x="264"/>
        <item s="1" x="265"/>
        <item s="1" x="266"/>
        <item s="1" x="267"/>
        <item s="1" x="268"/>
        <item s="1" x="269"/>
        <item s="1" x="270"/>
        <item s="1" x="271"/>
        <item s="1" x="272"/>
        <item s="1" x="273"/>
        <item s="1" x="274"/>
        <item s="1" x="275"/>
        <item s="1" x="276"/>
        <item s="1" x="277"/>
        <item s="1" x="278"/>
        <item s="1" x="279"/>
        <item s="1" x="280"/>
        <item s="1" x="281"/>
        <item s="1" x="282"/>
        <item s="1" x="283"/>
        <item s="1" x="284"/>
        <item s="1" x="285"/>
        <item s="1" x="286"/>
        <item s="1" x="287"/>
        <item s="1" x="288"/>
        <item s="1" x="289"/>
        <item s="1" x="290"/>
        <item s="1" x="291"/>
        <item s="1" x="292"/>
        <item s="1" x="293"/>
        <item s="1" x="294"/>
        <item s="1" x="295"/>
        <item s="1" x="296"/>
        <item s="1" x="297"/>
        <item s="1" x="298"/>
        <item s="1" x="299"/>
        <item s="1" x="300"/>
        <item s="1" x="301"/>
        <item s="1" x="302"/>
        <item s="1" x="303"/>
        <item s="1" x="304"/>
        <item s="1" x="305"/>
        <item s="1" x="306"/>
        <item s="1" x="307"/>
        <item s="1" x="308"/>
        <item s="1" x="309"/>
        <item s="1" x="310"/>
        <item s="1" x="311"/>
        <item s="1" x="312"/>
        <item s="1" x="313"/>
        <item s="1" x="314"/>
        <item s="1" x="315"/>
        <item s="1" x="316"/>
        <item s="1" x="317"/>
        <item s="1" x="318"/>
        <item s="1" x="319"/>
        <item s="1" x="320"/>
        <item s="1" x="321"/>
        <item s="1" x="322"/>
        <item s="1" x="323"/>
        <item s="1" x="324"/>
        <item s="1" x="325"/>
        <item s="1" x="326"/>
        <item s="1" x="327"/>
        <item s="1" x="328"/>
        <item s="1" x="329"/>
        <item s="1" x="330"/>
        <item s="1" x="331"/>
        <item s="1" x="332"/>
        <item s="1" x="333"/>
        <item s="1" x="334"/>
        <item s="1" x="335"/>
        <item s="1" x="336"/>
        <item s="1" x="337"/>
        <item s="1" x="338"/>
        <item s="1" x="339"/>
        <item s="1" x="340"/>
        <item s="1" x="341"/>
        <item s="1" x="342"/>
        <item s="1" x="343"/>
        <item s="1" x="344"/>
        <item s="1" x="345"/>
        <item s="1" x="346"/>
        <item s="1" x="347"/>
        <item s="1" x="348"/>
        <item s="1" x="349"/>
        <item s="1" x="350"/>
        <item s="1" x="351"/>
        <item s="1" x="352"/>
        <item s="1" x="353"/>
        <item s="1" x="354"/>
        <item s="1" x="355"/>
        <item s="1" x="356"/>
        <item s="1" x="357"/>
        <item s="1" x="358"/>
        <item s="1" x="359"/>
        <item s="1" x="360"/>
        <item s="1" x="361"/>
        <item s="1" x="362"/>
        <item s="1" x="363"/>
        <item s="1" x="364"/>
        <item s="1" x="365"/>
        <item s="1" x="366"/>
        <item s="1" x="367"/>
        <item s="1" x="368"/>
        <item s="1" x="369"/>
        <item s="1" x="370"/>
        <item s="1" x="371"/>
        <item s="1" x="372"/>
        <item s="1" x="373"/>
        <item s="1" x="374"/>
        <item s="1" x="375"/>
        <item s="1" x="376"/>
        <item s="1" x="377"/>
        <item s="1" x="378"/>
        <item s="1" x="379"/>
        <item s="1" x="380"/>
        <item s="1" x="381"/>
        <item s="1" x="382"/>
        <item s="1" x="383"/>
        <item s="1" x="384"/>
        <item s="1" x="385"/>
        <item s="1" x="386"/>
        <item s="1" x="387"/>
        <item s="1" x="388"/>
        <item s="1" x="389"/>
        <item s="1" x="390"/>
        <item s="1" x="391"/>
        <item s="1" x="392"/>
        <item s="1" x="393"/>
        <item s="1" x="394"/>
        <item s="1" x="395"/>
        <item s="1" x="396"/>
        <item s="1" x="397"/>
        <item s="1" x="398"/>
        <item s="1" x="399"/>
        <item s="1" x="400"/>
        <item s="1" x="401"/>
        <item s="1" x="402"/>
        <item s="1" x="403"/>
        <item s="1" x="404"/>
        <item s="1" x="405"/>
        <item s="1" x="406"/>
        <item s="1" x="407"/>
        <item s="1" x="408"/>
        <item s="1" x="409"/>
        <item s="1" x="410"/>
        <item s="1" x="411"/>
        <item s="1" x="412"/>
        <item s="1" x="413"/>
        <item s="1" x="414"/>
        <item s="1" x="415"/>
        <item s="1" x="416"/>
        <item s="1" x="417"/>
        <item s="1" x="418"/>
        <item s="1" x="419"/>
        <item s="1" x="420"/>
        <item s="1" x="421"/>
        <item s="1" x="422"/>
        <item s="1" x="423"/>
        <item s="1" x="424"/>
        <item s="1" x="425"/>
        <item s="1" x="426"/>
        <item s="1" x="427"/>
        <item s="1" x="428"/>
        <item s="1" x="429"/>
        <item s="1" x="430"/>
        <item s="1" x="431"/>
        <item s="1" x="432"/>
        <item s="1" x="433"/>
        <item s="1" x="434"/>
        <item s="1" x="435"/>
        <item s="1" x="436"/>
        <item s="1" x="437"/>
        <item s="1" x="438"/>
      </items>
    </pivotField>
    <pivotField dataField="1" subtotalTop="0" showAll="0" defaultSubtotal="0"/>
  </pivotFields>
  <rowFields count="1">
    <field x="0"/>
  </rowFields>
  <rowItems count="4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 t="grand">
      <x/>
    </i>
  </rowItems>
  <colItems count="1">
    <i/>
  </colItems>
  <dataFields count="1">
    <dataField name="Demanda Anual" fld="1" baseField="0" baseItem="0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Demanda Anual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ESTRO FLEJE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0DFF73-4ABE-463E-A105-22C179DE1E21}" name="Tabla1" displayName="Tabla1" ref="A1:E4462" totalsRowShown="0">
  <tableColumns count="5">
    <tableColumn id="1" xr3:uid="{9649D01B-D96D-4DAC-A56F-8DBFB46E4BCC}" name="Articulo" dataDxfId="4"/>
    <tableColumn id="2" xr3:uid="{3B73F452-3255-47BD-A207-8EB54C6F16AA}" name="MEs" dataDxfId="3"/>
    <tableColumn id="3" xr3:uid="{359A4682-3878-4428-98CC-E87F48BF8B66}" name="Previsto" dataDxfId="2"/>
    <tableColumn id="13" xr3:uid="{D06455E9-3324-469A-A7D1-16B5C164C4B1}" name="Suma F+P" dataDxfId="1"/>
    <tableColumn id="14" xr3:uid="{FCE4EEDF-8EF9-4222-8863-E3728D728693}" name="PiezasD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63" dT="2025-05-05T08:33:58.36" personId="{FE269257-9877-4858-B6DD-2E908DDE3C58}" id="{3D50A179-D5C5-40C9-B9C6-35F56957B4E3}">
    <text>Se modifica manualmente a la 256 para disminuir la cantidad de PaP al dejarla monoartículo.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089" dT="2025-05-05T08:33:58.36" personId="{FE269257-9877-4858-B6DD-2E908DDE3C58}" id="{4BC8EA23-E48F-4522-9AA9-FE503C309501}">
    <text>Se modifica manualmente a la 256 para disminuir la cantidad de PaP al dejarla monoartículo.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2AD22-F388-4629-A1EB-1EAE272D370C}">
  <sheetPr codeName="Hoja1">
    <tabColor rgb="FF0070C0"/>
  </sheetPr>
  <dimension ref="A1:N275"/>
  <sheetViews>
    <sheetView workbookViewId="0">
      <pane xSplit="3" topLeftCell="D1" activePane="topRight" state="frozen"/>
      <selection pane="topRight" activeCell="B1" sqref="B1:B95"/>
    </sheetView>
  </sheetViews>
  <sheetFormatPr baseColWidth="10" defaultRowHeight="14.4" x14ac:dyDescent="0.3"/>
  <cols>
    <col min="1" max="1" width="18.5546875" style="1" bestFit="1" customWidth="1"/>
    <col min="2" max="2" width="18.5546875" style="1" customWidth="1"/>
    <col min="3" max="3" width="15.109375" style="10" customWidth="1"/>
    <col min="4" max="4" width="11.5546875" style="1" customWidth="1"/>
    <col min="5" max="5" width="15.44140625" style="9" customWidth="1"/>
    <col min="6" max="6" width="18.88671875" style="1" customWidth="1"/>
    <col min="7" max="7" width="14.6640625" style="1" customWidth="1"/>
    <col min="8" max="8" width="17.6640625" style="5" customWidth="1"/>
    <col min="9" max="9" width="18.109375" style="1" customWidth="1"/>
    <col min="10" max="10" width="25.6640625" style="7" customWidth="1"/>
    <col min="11" max="11" width="25.6640625" style="5" customWidth="1"/>
    <col min="12" max="13" width="27.33203125" style="1" customWidth="1"/>
    <col min="14" max="14" width="15.88671875" style="55" bestFit="1" customWidth="1"/>
    <col min="15" max="16384" width="11.5546875" style="1"/>
  </cols>
  <sheetData>
    <row r="1" spans="1:14" s="3" customFormat="1" x14ac:dyDescent="0.3">
      <c r="A1" s="3" t="s">
        <v>472</v>
      </c>
      <c r="B1" s="2" t="s">
        <v>476</v>
      </c>
      <c r="C1" s="2" t="s">
        <v>0</v>
      </c>
      <c r="D1" s="3" t="s">
        <v>473</v>
      </c>
      <c r="E1" s="8" t="s">
        <v>30</v>
      </c>
      <c r="F1" s="3" t="s">
        <v>2</v>
      </c>
      <c r="G1" s="3" t="s">
        <v>3</v>
      </c>
      <c r="H1" s="4" t="s">
        <v>24</v>
      </c>
      <c r="I1" s="3" t="s">
        <v>1</v>
      </c>
      <c r="J1" s="6" t="s">
        <v>27</v>
      </c>
      <c r="K1" s="4" t="s">
        <v>28</v>
      </c>
      <c r="L1" s="3" t="s">
        <v>25</v>
      </c>
      <c r="M1" s="3" t="s">
        <v>26</v>
      </c>
      <c r="N1" s="54" t="s">
        <v>4</v>
      </c>
    </row>
    <row r="2" spans="1:14" x14ac:dyDescent="0.3">
      <c r="A2" s="1">
        <v>238</v>
      </c>
      <c r="B2" s="1">
        <v>0</v>
      </c>
      <c r="C2" s="10">
        <v>420321</v>
      </c>
      <c r="D2" s="1">
        <v>506</v>
      </c>
      <c r="E2" s="9">
        <f>VLOOKUP(C2,Hoja1!A2:B440,2,0)</f>
        <v>220000</v>
      </c>
      <c r="F2" s="1">
        <f t="shared" ref="F2:F19" si="0">G2/60</f>
        <v>83.333333333333329</v>
      </c>
      <c r="G2" s="1">
        <v>5000</v>
      </c>
      <c r="H2" s="5">
        <f>G2*16</f>
        <v>80000</v>
      </c>
      <c r="I2" s="1">
        <f t="shared" ref="I2:I59" si="1">G2*24</f>
        <v>120000</v>
      </c>
      <c r="J2" s="7">
        <f t="shared" ref="J2:J59" si="2">I2*N2</f>
        <v>69288</v>
      </c>
      <c r="K2" s="5">
        <f t="shared" ref="K2:K59" si="3">H2*N2</f>
        <v>46192</v>
      </c>
      <c r="L2" s="1">
        <f t="shared" ref="L2:L59" si="4">I2*5</f>
        <v>600000</v>
      </c>
      <c r="M2" s="1">
        <f>H2*5</f>
        <v>400000</v>
      </c>
      <c r="N2" s="55">
        <v>0.57740000000000002</v>
      </c>
    </row>
    <row r="3" spans="1:14" x14ac:dyDescent="0.3">
      <c r="A3" s="1">
        <v>238</v>
      </c>
      <c r="B3" s="1">
        <v>0</v>
      </c>
      <c r="C3" s="10">
        <v>420323</v>
      </c>
      <c r="D3" s="1">
        <v>506</v>
      </c>
      <c r="E3" s="9">
        <v>80000</v>
      </c>
      <c r="F3" s="1">
        <f t="shared" si="0"/>
        <v>50</v>
      </c>
      <c r="G3" s="1">
        <v>3000</v>
      </c>
      <c r="H3" s="5">
        <f t="shared" ref="H3:H59" si="5">G3*16</f>
        <v>48000</v>
      </c>
      <c r="I3" s="1">
        <f t="shared" si="1"/>
        <v>72000</v>
      </c>
      <c r="J3" s="7">
        <f t="shared" si="2"/>
        <v>43200</v>
      </c>
      <c r="K3" s="5">
        <f t="shared" si="3"/>
        <v>28800</v>
      </c>
      <c r="L3" s="1">
        <f t="shared" si="4"/>
        <v>360000</v>
      </c>
      <c r="M3" s="1">
        <f t="shared" ref="M3:M59" si="6">H3*5</f>
        <v>240000</v>
      </c>
      <c r="N3" s="55">
        <v>0.6</v>
      </c>
    </row>
    <row r="4" spans="1:14" x14ac:dyDescent="0.3">
      <c r="A4" s="1">
        <v>238</v>
      </c>
      <c r="B4" s="1">
        <v>0</v>
      </c>
      <c r="C4" s="10">
        <v>420324</v>
      </c>
      <c r="D4" s="1">
        <v>504</v>
      </c>
      <c r="E4" s="9">
        <f>VLOOKUP(C4,Hoja1!A4:B442,2,0)</f>
        <v>362000</v>
      </c>
      <c r="F4" s="1">
        <f t="shared" si="0"/>
        <v>48.333333333333336</v>
      </c>
      <c r="G4" s="1">
        <v>2900</v>
      </c>
      <c r="H4" s="5">
        <f t="shared" si="5"/>
        <v>46400</v>
      </c>
      <c r="I4" s="1">
        <f t="shared" si="1"/>
        <v>69600</v>
      </c>
      <c r="J4" s="7">
        <f t="shared" si="2"/>
        <v>32426.639999999999</v>
      </c>
      <c r="K4" s="5">
        <f t="shared" si="3"/>
        <v>21617.759999999998</v>
      </c>
      <c r="L4" s="1">
        <f t="shared" si="4"/>
        <v>348000</v>
      </c>
      <c r="M4" s="1">
        <f t="shared" si="6"/>
        <v>232000</v>
      </c>
      <c r="N4" s="55">
        <v>0.46589999999999998</v>
      </c>
    </row>
    <row r="5" spans="1:14" x14ac:dyDescent="0.3">
      <c r="A5" s="1">
        <v>238</v>
      </c>
      <c r="B5" s="1">
        <v>0</v>
      </c>
      <c r="C5" s="10">
        <v>421016</v>
      </c>
      <c r="D5" s="1">
        <v>504</v>
      </c>
      <c r="E5" s="9">
        <v>40000</v>
      </c>
      <c r="F5" s="1">
        <f t="shared" si="0"/>
        <v>70</v>
      </c>
      <c r="G5" s="1">
        <v>4200</v>
      </c>
      <c r="H5" s="5">
        <f t="shared" si="5"/>
        <v>67200</v>
      </c>
      <c r="I5" s="1">
        <f t="shared" si="1"/>
        <v>100800</v>
      </c>
      <c r="J5" s="7">
        <f t="shared" si="2"/>
        <v>88230.239999999991</v>
      </c>
      <c r="K5" s="5">
        <f t="shared" si="3"/>
        <v>58820.159999999996</v>
      </c>
      <c r="L5" s="1">
        <f t="shared" si="4"/>
        <v>504000</v>
      </c>
      <c r="M5" s="1">
        <f t="shared" si="6"/>
        <v>336000</v>
      </c>
      <c r="N5" s="55">
        <v>0.87529999999999997</v>
      </c>
    </row>
    <row r="6" spans="1:14" x14ac:dyDescent="0.3">
      <c r="A6" s="1">
        <v>238</v>
      </c>
      <c r="B6" s="1">
        <v>0</v>
      </c>
      <c r="C6" s="10">
        <v>421019</v>
      </c>
      <c r="D6" s="1">
        <v>506</v>
      </c>
      <c r="E6" s="9">
        <f>VLOOKUP(C6,Hoja1!A6:B444,2,0)</f>
        <v>12000</v>
      </c>
      <c r="F6" s="1">
        <f t="shared" si="0"/>
        <v>100</v>
      </c>
      <c r="G6" s="1">
        <v>6000</v>
      </c>
      <c r="H6" s="5">
        <f t="shared" si="5"/>
        <v>96000</v>
      </c>
      <c r="I6" s="1">
        <f t="shared" si="1"/>
        <v>144000</v>
      </c>
      <c r="J6" s="7">
        <f t="shared" si="2"/>
        <v>65462.400000000001</v>
      </c>
      <c r="K6" s="5">
        <f t="shared" si="3"/>
        <v>43641.599999999999</v>
      </c>
      <c r="L6" s="1">
        <f t="shared" si="4"/>
        <v>720000</v>
      </c>
      <c r="M6" s="1">
        <f t="shared" si="6"/>
        <v>480000</v>
      </c>
      <c r="N6" s="55">
        <v>0.4546</v>
      </c>
    </row>
    <row r="7" spans="1:14" x14ac:dyDescent="0.3">
      <c r="A7" s="1">
        <v>238</v>
      </c>
      <c r="B7" s="1">
        <v>0</v>
      </c>
      <c r="C7" s="10" t="s">
        <v>456</v>
      </c>
      <c r="D7" s="1">
        <v>507</v>
      </c>
      <c r="E7" s="9">
        <f>VLOOKUP(C7,Hoja1!A7:B445,2,0)</f>
        <v>3520000</v>
      </c>
      <c r="F7" s="1">
        <f t="shared" si="0"/>
        <v>58.333333333333336</v>
      </c>
      <c r="G7" s="1">
        <v>3500</v>
      </c>
      <c r="H7" s="5">
        <f t="shared" si="5"/>
        <v>56000</v>
      </c>
      <c r="I7" s="1">
        <f t="shared" si="1"/>
        <v>84000</v>
      </c>
      <c r="J7" s="7">
        <f t="shared" si="2"/>
        <v>63000</v>
      </c>
      <c r="K7" s="5">
        <f t="shared" si="3"/>
        <v>42000</v>
      </c>
      <c r="L7" s="1">
        <f t="shared" si="4"/>
        <v>420000</v>
      </c>
      <c r="M7" s="1">
        <f t="shared" si="6"/>
        <v>280000</v>
      </c>
      <c r="N7" s="55">
        <v>0.75</v>
      </c>
    </row>
    <row r="8" spans="1:14" x14ac:dyDescent="0.3">
      <c r="A8" s="1">
        <v>238</v>
      </c>
      <c r="B8" s="1">
        <v>0</v>
      </c>
      <c r="C8" s="10">
        <v>421175</v>
      </c>
      <c r="D8" s="1">
        <v>506</v>
      </c>
      <c r="E8" s="9">
        <f>VLOOKUP(C8,Hoja1!A8:B446,2,0)</f>
        <v>0</v>
      </c>
      <c r="F8" s="1">
        <f t="shared" si="0"/>
        <v>100</v>
      </c>
      <c r="G8" s="1">
        <v>6000</v>
      </c>
      <c r="H8" s="5">
        <f t="shared" si="5"/>
        <v>96000</v>
      </c>
      <c r="I8" s="1">
        <f t="shared" si="1"/>
        <v>144000</v>
      </c>
      <c r="J8" s="7">
        <f t="shared" si="2"/>
        <v>37828.799999999996</v>
      </c>
      <c r="K8" s="5">
        <f t="shared" si="3"/>
        <v>25219.200000000001</v>
      </c>
      <c r="L8" s="1">
        <f t="shared" si="4"/>
        <v>720000</v>
      </c>
      <c r="M8" s="1">
        <f t="shared" si="6"/>
        <v>480000</v>
      </c>
      <c r="N8" s="55">
        <v>0.26269999999999999</v>
      </c>
    </row>
    <row r="9" spans="1:14" x14ac:dyDescent="0.3">
      <c r="A9" s="1">
        <v>238</v>
      </c>
      <c r="B9" s="1">
        <v>0</v>
      </c>
      <c r="C9" s="10" t="s">
        <v>13</v>
      </c>
      <c r="D9" s="1">
        <v>505</v>
      </c>
      <c r="E9" s="9">
        <f>VLOOKUP(C9,Hoja1!A9:B447,2,0)</f>
        <v>180000</v>
      </c>
      <c r="F9" s="1">
        <f t="shared" si="0"/>
        <v>50</v>
      </c>
      <c r="G9" s="1">
        <v>3000</v>
      </c>
      <c r="H9" s="5">
        <f t="shared" si="5"/>
        <v>48000</v>
      </c>
      <c r="I9" s="1">
        <f t="shared" si="1"/>
        <v>72000</v>
      </c>
      <c r="J9" s="7">
        <f t="shared" si="2"/>
        <v>46080</v>
      </c>
      <c r="K9" s="5">
        <f t="shared" si="3"/>
        <v>30720</v>
      </c>
      <c r="L9" s="1">
        <f t="shared" si="4"/>
        <v>360000</v>
      </c>
      <c r="M9" s="1">
        <f t="shared" si="6"/>
        <v>240000</v>
      </c>
      <c r="N9" s="55">
        <v>0.64</v>
      </c>
    </row>
    <row r="10" spans="1:14" x14ac:dyDescent="0.3">
      <c r="A10" s="1">
        <v>238</v>
      </c>
      <c r="B10" s="1">
        <v>0</v>
      </c>
      <c r="C10" s="10" t="s">
        <v>18</v>
      </c>
      <c r="D10" s="1">
        <v>506</v>
      </c>
      <c r="E10" s="9">
        <f>VLOOKUP(C10,Hoja1!A10:B448,2,0)</f>
        <v>1411200</v>
      </c>
      <c r="F10" s="1">
        <f t="shared" si="0"/>
        <v>116.68333333333334</v>
      </c>
      <c r="G10" s="1">
        <v>7001</v>
      </c>
      <c r="H10" s="5">
        <f t="shared" si="5"/>
        <v>112016</v>
      </c>
      <c r="I10" s="1">
        <f t="shared" si="1"/>
        <v>168024</v>
      </c>
      <c r="J10" s="7">
        <f t="shared" si="2"/>
        <v>117868.836</v>
      </c>
      <c r="K10" s="5">
        <f t="shared" si="3"/>
        <v>78579.224000000002</v>
      </c>
      <c r="L10" s="1">
        <f t="shared" si="4"/>
        <v>840120</v>
      </c>
      <c r="M10" s="1">
        <f t="shared" si="6"/>
        <v>560080</v>
      </c>
      <c r="N10" s="55">
        <v>0.70150000000000001</v>
      </c>
    </row>
    <row r="11" spans="1:14" x14ac:dyDescent="0.3">
      <c r="A11" s="1">
        <v>238</v>
      </c>
      <c r="B11" s="1">
        <v>0</v>
      </c>
      <c r="C11" s="10" t="s">
        <v>22</v>
      </c>
      <c r="D11" s="1">
        <v>505</v>
      </c>
      <c r="E11" s="9">
        <f>VLOOKUP(C11,Hoja1!A11:B449,2,0)</f>
        <v>735000</v>
      </c>
      <c r="F11" s="1">
        <f t="shared" si="0"/>
        <v>60</v>
      </c>
      <c r="G11" s="1">
        <v>3600</v>
      </c>
      <c r="H11" s="5">
        <f t="shared" si="5"/>
        <v>57600</v>
      </c>
      <c r="I11" s="1">
        <f t="shared" si="1"/>
        <v>86400</v>
      </c>
      <c r="J11" s="7">
        <f t="shared" si="2"/>
        <v>56160</v>
      </c>
      <c r="K11" s="5">
        <f t="shared" si="3"/>
        <v>37440</v>
      </c>
      <c r="L11" s="1">
        <f t="shared" si="4"/>
        <v>432000</v>
      </c>
      <c r="M11" s="1">
        <f t="shared" si="6"/>
        <v>288000</v>
      </c>
      <c r="N11" s="55">
        <v>0.65</v>
      </c>
    </row>
    <row r="12" spans="1:14" x14ac:dyDescent="0.3">
      <c r="A12" s="1">
        <v>238</v>
      </c>
      <c r="B12" s="1">
        <v>0</v>
      </c>
      <c r="C12" s="10" t="s">
        <v>14</v>
      </c>
      <c r="D12" s="1">
        <v>502</v>
      </c>
      <c r="E12" s="9">
        <f>VLOOKUP(C12,Hoja1!A12:B450,2,0)</f>
        <v>30000</v>
      </c>
      <c r="F12" s="1">
        <f t="shared" si="0"/>
        <v>66.666666666666671</v>
      </c>
      <c r="G12" s="1">
        <v>4000</v>
      </c>
      <c r="H12" s="5">
        <f t="shared" si="5"/>
        <v>64000</v>
      </c>
      <c r="I12" s="1">
        <f t="shared" si="1"/>
        <v>96000</v>
      </c>
      <c r="J12" s="7">
        <f t="shared" si="2"/>
        <v>39264</v>
      </c>
      <c r="K12" s="5">
        <f t="shared" si="3"/>
        <v>26176</v>
      </c>
      <c r="L12" s="1">
        <f t="shared" si="4"/>
        <v>480000</v>
      </c>
      <c r="M12" s="1">
        <f t="shared" si="6"/>
        <v>320000</v>
      </c>
      <c r="N12" s="55">
        <v>0.40899999999999997</v>
      </c>
    </row>
    <row r="13" spans="1:14" x14ac:dyDescent="0.3">
      <c r="A13" s="1">
        <v>238</v>
      </c>
      <c r="B13" s="1">
        <v>0</v>
      </c>
      <c r="C13" s="10">
        <v>422060</v>
      </c>
      <c r="D13" s="1">
        <v>505</v>
      </c>
      <c r="E13" s="9">
        <f>VLOOKUP(C13,Hoja1!A13:B451,2,0)</f>
        <v>0</v>
      </c>
      <c r="F13" s="1">
        <f t="shared" si="0"/>
        <v>50</v>
      </c>
      <c r="G13" s="1">
        <v>3000</v>
      </c>
      <c r="H13" s="5">
        <f t="shared" si="5"/>
        <v>48000</v>
      </c>
      <c r="I13" s="1">
        <f t="shared" si="1"/>
        <v>72000</v>
      </c>
      <c r="J13" s="7">
        <f t="shared" si="2"/>
        <v>18993.599999999999</v>
      </c>
      <c r="K13" s="5">
        <f t="shared" si="3"/>
        <v>12662.4</v>
      </c>
      <c r="L13" s="1">
        <f t="shared" si="4"/>
        <v>360000</v>
      </c>
      <c r="M13" s="1">
        <f t="shared" si="6"/>
        <v>240000</v>
      </c>
      <c r="N13" s="55">
        <v>0.26379999999999998</v>
      </c>
    </row>
    <row r="14" spans="1:14" x14ac:dyDescent="0.3">
      <c r="A14" s="1">
        <v>238</v>
      </c>
      <c r="B14" s="1">
        <v>0</v>
      </c>
      <c r="C14" s="10">
        <v>422086</v>
      </c>
      <c r="D14" s="1">
        <v>504</v>
      </c>
      <c r="E14" s="9">
        <f>VLOOKUP(C14,Hoja1!A14:B452,2,0)</f>
        <v>1012000</v>
      </c>
      <c r="F14" s="1">
        <f t="shared" si="0"/>
        <v>50</v>
      </c>
      <c r="G14" s="1">
        <v>3000</v>
      </c>
      <c r="H14" s="5">
        <f t="shared" si="5"/>
        <v>48000</v>
      </c>
      <c r="I14" s="1">
        <f t="shared" si="1"/>
        <v>72000</v>
      </c>
      <c r="J14" s="7">
        <f t="shared" si="2"/>
        <v>51033.599999999999</v>
      </c>
      <c r="K14" s="5">
        <f t="shared" si="3"/>
        <v>34022.400000000001</v>
      </c>
      <c r="L14" s="1">
        <f t="shared" si="4"/>
        <v>360000</v>
      </c>
      <c r="M14" s="1">
        <f t="shared" si="6"/>
        <v>240000</v>
      </c>
      <c r="N14" s="55">
        <v>0.70879999999999999</v>
      </c>
    </row>
    <row r="15" spans="1:14" x14ac:dyDescent="0.3">
      <c r="A15" s="1">
        <v>238</v>
      </c>
      <c r="B15" s="1">
        <v>0</v>
      </c>
      <c r="C15" s="10" t="s">
        <v>23</v>
      </c>
      <c r="D15" s="1">
        <v>502</v>
      </c>
      <c r="E15" s="9">
        <f>VLOOKUP(C15,Hoja1!A15:B453,2,0)</f>
        <v>792000</v>
      </c>
      <c r="F15" s="1">
        <f t="shared" si="0"/>
        <v>58.333333333333336</v>
      </c>
      <c r="G15" s="1">
        <v>3500</v>
      </c>
      <c r="H15" s="5">
        <f t="shared" si="5"/>
        <v>56000</v>
      </c>
      <c r="I15" s="1">
        <f t="shared" si="1"/>
        <v>84000</v>
      </c>
      <c r="J15" s="7">
        <f t="shared" si="2"/>
        <v>37800</v>
      </c>
      <c r="K15" s="5">
        <f t="shared" si="3"/>
        <v>25200</v>
      </c>
      <c r="L15" s="1">
        <f t="shared" si="4"/>
        <v>420000</v>
      </c>
      <c r="M15" s="1">
        <f t="shared" si="6"/>
        <v>280000</v>
      </c>
      <c r="N15" s="55">
        <v>0.45</v>
      </c>
    </row>
    <row r="16" spans="1:14" x14ac:dyDescent="0.3">
      <c r="A16" s="1">
        <v>238</v>
      </c>
      <c r="B16" s="1">
        <v>0</v>
      </c>
      <c r="C16" s="10" t="s">
        <v>9</v>
      </c>
      <c r="D16" s="1">
        <v>504</v>
      </c>
      <c r="E16" s="9">
        <f>VLOOKUP(C16,Hoja1!A16:B454,2,0)</f>
        <v>708000</v>
      </c>
      <c r="F16" s="1">
        <f t="shared" si="0"/>
        <v>58.333333333333336</v>
      </c>
      <c r="G16" s="1">
        <v>3500</v>
      </c>
      <c r="H16" s="5">
        <f t="shared" si="5"/>
        <v>56000</v>
      </c>
      <c r="I16" s="1">
        <f t="shared" si="1"/>
        <v>84000</v>
      </c>
      <c r="J16" s="7">
        <f t="shared" si="2"/>
        <v>50400</v>
      </c>
      <c r="K16" s="5">
        <f t="shared" si="3"/>
        <v>33600</v>
      </c>
      <c r="L16" s="1">
        <f t="shared" si="4"/>
        <v>420000</v>
      </c>
      <c r="M16" s="1">
        <f t="shared" si="6"/>
        <v>280000</v>
      </c>
      <c r="N16" s="55">
        <v>0.6</v>
      </c>
    </row>
    <row r="17" spans="1:14" x14ac:dyDescent="0.3">
      <c r="A17" s="1">
        <v>238</v>
      </c>
      <c r="B17" s="1">
        <v>0</v>
      </c>
      <c r="C17" s="10" t="s">
        <v>10</v>
      </c>
      <c r="D17" s="1">
        <v>504</v>
      </c>
      <c r="E17" s="9">
        <f>VLOOKUP(C17,Hoja1!A17:B455,2,0)</f>
        <v>20000</v>
      </c>
      <c r="F17" s="1">
        <f t="shared" si="0"/>
        <v>58.333333333333336</v>
      </c>
      <c r="G17" s="1">
        <v>3500</v>
      </c>
      <c r="H17" s="5">
        <f t="shared" si="5"/>
        <v>56000</v>
      </c>
      <c r="I17" s="1">
        <f t="shared" si="1"/>
        <v>84000</v>
      </c>
      <c r="J17" s="7">
        <f t="shared" si="2"/>
        <v>50400</v>
      </c>
      <c r="K17" s="5">
        <f t="shared" si="3"/>
        <v>33600</v>
      </c>
      <c r="L17" s="1">
        <f t="shared" si="4"/>
        <v>420000</v>
      </c>
      <c r="M17" s="1">
        <f t="shared" si="6"/>
        <v>280000</v>
      </c>
      <c r="N17" s="55">
        <v>0.6</v>
      </c>
    </row>
    <row r="18" spans="1:14" x14ac:dyDescent="0.3">
      <c r="A18" s="1">
        <v>238</v>
      </c>
      <c r="B18" s="1">
        <v>0</v>
      </c>
      <c r="C18" s="10">
        <v>422136</v>
      </c>
      <c r="D18" s="1">
        <v>505</v>
      </c>
      <c r="E18" s="9">
        <f>VLOOKUP(C18,Hoja1!A18:B456,2,0)</f>
        <v>234000</v>
      </c>
      <c r="F18" s="1">
        <f t="shared" si="0"/>
        <v>83.333333333333329</v>
      </c>
      <c r="G18" s="1">
        <v>5000</v>
      </c>
      <c r="H18" s="5">
        <f t="shared" si="5"/>
        <v>80000</v>
      </c>
      <c r="I18" s="1">
        <f t="shared" si="1"/>
        <v>120000</v>
      </c>
      <c r="J18" s="7">
        <f t="shared" si="2"/>
        <v>72000</v>
      </c>
      <c r="K18" s="5">
        <f t="shared" si="3"/>
        <v>48000</v>
      </c>
      <c r="L18" s="1">
        <f t="shared" si="4"/>
        <v>600000</v>
      </c>
      <c r="M18" s="1">
        <f t="shared" si="6"/>
        <v>400000</v>
      </c>
      <c r="N18" s="55">
        <v>0.6</v>
      </c>
    </row>
    <row r="19" spans="1:14" x14ac:dyDescent="0.3">
      <c r="A19" s="1">
        <v>238</v>
      </c>
      <c r="B19" s="1">
        <v>0</v>
      </c>
      <c r="C19" s="10" t="s">
        <v>436</v>
      </c>
      <c r="D19" s="1">
        <v>504</v>
      </c>
      <c r="E19" s="9">
        <v>20000</v>
      </c>
      <c r="F19" s="1">
        <f t="shared" si="0"/>
        <v>50</v>
      </c>
      <c r="G19" s="1">
        <v>3000</v>
      </c>
      <c r="H19" s="5">
        <f t="shared" si="5"/>
        <v>48000</v>
      </c>
      <c r="I19" s="1">
        <f t="shared" si="1"/>
        <v>72000</v>
      </c>
      <c r="J19" s="7">
        <f t="shared" si="2"/>
        <v>43200</v>
      </c>
      <c r="K19" s="5">
        <f t="shared" si="3"/>
        <v>28800</v>
      </c>
      <c r="L19" s="1">
        <f t="shared" si="4"/>
        <v>360000</v>
      </c>
      <c r="M19" s="1">
        <f t="shared" si="6"/>
        <v>240000</v>
      </c>
      <c r="N19" s="55">
        <v>0.6</v>
      </c>
    </row>
    <row r="20" spans="1:14" x14ac:dyDescent="0.3">
      <c r="A20" s="1">
        <v>238</v>
      </c>
      <c r="B20" s="1">
        <v>0</v>
      </c>
      <c r="C20" s="10">
        <v>422449</v>
      </c>
      <c r="D20" s="1">
        <v>504</v>
      </c>
      <c r="E20" s="9">
        <f>VLOOKUP(C20,Hoja1!A20:B458,2,0)</f>
        <v>1500000</v>
      </c>
      <c r="F20" s="1">
        <f t="shared" ref="F20:F27" si="7">G20/60</f>
        <v>50</v>
      </c>
      <c r="G20" s="1">
        <v>3000</v>
      </c>
      <c r="H20" s="5">
        <f t="shared" si="5"/>
        <v>48000</v>
      </c>
      <c r="I20" s="1">
        <f t="shared" si="1"/>
        <v>72000</v>
      </c>
      <c r="J20" s="7">
        <f t="shared" si="2"/>
        <v>52891.200000000004</v>
      </c>
      <c r="K20" s="5">
        <f t="shared" si="3"/>
        <v>35260.800000000003</v>
      </c>
      <c r="L20" s="1">
        <f t="shared" si="4"/>
        <v>360000</v>
      </c>
      <c r="M20" s="1">
        <f t="shared" si="6"/>
        <v>240000</v>
      </c>
      <c r="N20" s="55">
        <v>0.73460000000000003</v>
      </c>
    </row>
    <row r="21" spans="1:14" x14ac:dyDescent="0.3">
      <c r="A21" s="1">
        <v>238</v>
      </c>
      <c r="B21" s="1">
        <v>0</v>
      </c>
      <c r="C21" s="10" t="s">
        <v>435</v>
      </c>
      <c r="D21" s="1">
        <v>505</v>
      </c>
      <c r="E21" s="9">
        <f>VLOOKUP(C21,Hoja1!A21:B459,2,0)</f>
        <v>0</v>
      </c>
      <c r="F21" s="1">
        <f>G21/60</f>
        <v>75</v>
      </c>
      <c r="G21" s="1">
        <v>4500</v>
      </c>
      <c r="H21" s="5">
        <f t="shared" si="5"/>
        <v>72000</v>
      </c>
      <c r="I21" s="1">
        <f t="shared" si="1"/>
        <v>108000</v>
      </c>
      <c r="J21" s="7">
        <f t="shared" si="2"/>
        <v>18662.400000000001</v>
      </c>
      <c r="K21" s="5">
        <f t="shared" si="3"/>
        <v>12441.6</v>
      </c>
      <c r="L21" s="1">
        <f t="shared" si="4"/>
        <v>540000</v>
      </c>
      <c r="M21" s="1">
        <f t="shared" si="6"/>
        <v>360000</v>
      </c>
      <c r="N21" s="55">
        <v>0.17280000000000001</v>
      </c>
    </row>
    <row r="22" spans="1:14" x14ac:dyDescent="0.3">
      <c r="A22" s="1">
        <v>238</v>
      </c>
      <c r="B22" s="1">
        <v>0</v>
      </c>
      <c r="C22" s="10">
        <v>451383</v>
      </c>
      <c r="D22" s="1">
        <v>506</v>
      </c>
      <c r="E22" s="9">
        <f>VLOOKUP(C22,Hoja1!A22:B460,2,0)</f>
        <v>254000</v>
      </c>
      <c r="F22" s="1">
        <f t="shared" si="7"/>
        <v>80</v>
      </c>
      <c r="G22" s="1">
        <v>4800</v>
      </c>
      <c r="H22" s="5">
        <f t="shared" si="5"/>
        <v>76800</v>
      </c>
      <c r="I22" s="1">
        <f t="shared" si="1"/>
        <v>115200</v>
      </c>
      <c r="J22" s="7">
        <f t="shared" si="2"/>
        <v>78462.720000000001</v>
      </c>
      <c r="K22" s="5">
        <f t="shared" si="3"/>
        <v>52308.480000000003</v>
      </c>
      <c r="L22" s="1">
        <f t="shared" si="4"/>
        <v>576000</v>
      </c>
      <c r="M22" s="1">
        <f t="shared" si="6"/>
        <v>384000</v>
      </c>
      <c r="N22" s="55">
        <v>0.68110000000000004</v>
      </c>
    </row>
    <row r="23" spans="1:14" x14ac:dyDescent="0.3">
      <c r="A23" s="1">
        <v>238</v>
      </c>
      <c r="B23" s="1">
        <v>0</v>
      </c>
      <c r="C23" s="10">
        <v>451384</v>
      </c>
      <c r="D23" s="1">
        <v>504</v>
      </c>
      <c r="E23" s="9">
        <f>VLOOKUP(C23,Hoja1!A23:B461,2,0)</f>
        <v>66000</v>
      </c>
      <c r="F23" s="1">
        <f t="shared" si="7"/>
        <v>50</v>
      </c>
      <c r="G23" s="1">
        <v>3000</v>
      </c>
      <c r="H23" s="5">
        <f t="shared" si="5"/>
        <v>48000</v>
      </c>
      <c r="I23" s="1">
        <f t="shared" si="1"/>
        <v>72000</v>
      </c>
      <c r="J23" s="7">
        <f t="shared" si="2"/>
        <v>64562.400000000001</v>
      </c>
      <c r="K23" s="5">
        <f t="shared" si="3"/>
        <v>43041.600000000006</v>
      </c>
      <c r="L23" s="1">
        <f t="shared" si="4"/>
        <v>360000</v>
      </c>
      <c r="M23" s="1">
        <f t="shared" si="6"/>
        <v>240000</v>
      </c>
      <c r="N23" s="55">
        <v>0.89670000000000005</v>
      </c>
    </row>
    <row r="24" spans="1:14" x14ac:dyDescent="0.3">
      <c r="A24" s="1">
        <v>238</v>
      </c>
      <c r="B24" s="1">
        <v>0</v>
      </c>
      <c r="C24" s="10">
        <v>451558</v>
      </c>
      <c r="D24" s="1">
        <v>506</v>
      </c>
      <c r="E24" s="9">
        <f>VLOOKUP(C24,Hoja1!A24:B462,2,0)</f>
        <v>66000</v>
      </c>
      <c r="F24" s="1">
        <f t="shared" si="7"/>
        <v>20</v>
      </c>
      <c r="G24" s="1">
        <v>1200</v>
      </c>
      <c r="H24" s="5">
        <f t="shared" si="5"/>
        <v>19200</v>
      </c>
      <c r="I24" s="1">
        <f t="shared" si="1"/>
        <v>28800</v>
      </c>
      <c r="J24" s="7">
        <f t="shared" si="2"/>
        <v>20420.64</v>
      </c>
      <c r="K24" s="5">
        <f t="shared" si="3"/>
        <v>13613.759999999998</v>
      </c>
      <c r="L24" s="1">
        <f t="shared" si="4"/>
        <v>144000</v>
      </c>
      <c r="M24" s="1">
        <f t="shared" si="6"/>
        <v>96000</v>
      </c>
      <c r="N24" s="55">
        <v>0.70904999999999996</v>
      </c>
    </row>
    <row r="25" spans="1:14" x14ac:dyDescent="0.3">
      <c r="A25" s="1">
        <v>238</v>
      </c>
      <c r="B25" s="1">
        <v>0</v>
      </c>
      <c r="C25" s="10" t="s">
        <v>438</v>
      </c>
      <c r="D25" s="1">
        <v>506</v>
      </c>
      <c r="E25" s="9">
        <f>VLOOKUP(C25,Hoja1!A25:B463,2,0)</f>
        <v>328000</v>
      </c>
      <c r="F25" s="1">
        <f t="shared" si="7"/>
        <v>50</v>
      </c>
      <c r="G25" s="1">
        <v>3000</v>
      </c>
      <c r="H25" s="5">
        <f t="shared" si="5"/>
        <v>48000</v>
      </c>
      <c r="I25" s="1">
        <f t="shared" si="1"/>
        <v>72000</v>
      </c>
      <c r="J25" s="7">
        <f t="shared" si="2"/>
        <v>28800</v>
      </c>
      <c r="K25" s="5">
        <f t="shared" si="3"/>
        <v>19200</v>
      </c>
      <c r="L25" s="1">
        <f t="shared" si="4"/>
        <v>360000</v>
      </c>
      <c r="M25" s="1">
        <f t="shared" si="6"/>
        <v>240000</v>
      </c>
      <c r="N25" s="55">
        <v>0.4</v>
      </c>
    </row>
    <row r="26" spans="1:14" x14ac:dyDescent="0.3">
      <c r="A26" s="1">
        <v>238</v>
      </c>
      <c r="B26" s="1">
        <v>0</v>
      </c>
      <c r="C26" s="10">
        <v>422016</v>
      </c>
      <c r="D26" s="1">
        <v>522</v>
      </c>
      <c r="E26" s="9">
        <f>VLOOKUP(C26,Hoja1!A26:B464,2,0)</f>
        <v>3780000</v>
      </c>
      <c r="F26" s="1">
        <f t="shared" si="7"/>
        <v>50</v>
      </c>
      <c r="G26" s="1">
        <v>3000</v>
      </c>
      <c r="H26" s="5">
        <f t="shared" si="5"/>
        <v>48000</v>
      </c>
      <c r="I26" s="1">
        <f t="shared" si="1"/>
        <v>72000</v>
      </c>
      <c r="J26" s="7">
        <f t="shared" si="2"/>
        <v>32400</v>
      </c>
      <c r="K26" s="5">
        <f t="shared" si="3"/>
        <v>21600</v>
      </c>
      <c r="L26" s="1">
        <f t="shared" si="4"/>
        <v>360000</v>
      </c>
      <c r="M26" s="1">
        <f t="shared" si="6"/>
        <v>240000</v>
      </c>
      <c r="N26" s="55">
        <v>0.45</v>
      </c>
    </row>
    <row r="27" spans="1:14" x14ac:dyDescent="0.3">
      <c r="A27" s="1">
        <v>238</v>
      </c>
      <c r="B27" s="1">
        <v>0</v>
      </c>
      <c r="C27" s="10">
        <v>453195</v>
      </c>
      <c r="D27" s="1">
        <v>522</v>
      </c>
      <c r="E27" s="9">
        <f>VLOOKUP(C27,Hoja1!A27:B465,2,0)</f>
        <v>344000</v>
      </c>
      <c r="F27" s="1">
        <f t="shared" si="7"/>
        <v>16.666666666666668</v>
      </c>
      <c r="G27" s="1">
        <v>1000</v>
      </c>
      <c r="H27" s="5">
        <f t="shared" si="5"/>
        <v>16000</v>
      </c>
      <c r="I27" s="1">
        <f t="shared" si="1"/>
        <v>24000</v>
      </c>
      <c r="J27" s="7">
        <f t="shared" si="2"/>
        <v>10800</v>
      </c>
      <c r="K27" s="5">
        <f t="shared" si="3"/>
        <v>7200</v>
      </c>
      <c r="L27" s="1">
        <f t="shared" si="4"/>
        <v>120000</v>
      </c>
      <c r="M27" s="1">
        <f t="shared" si="6"/>
        <v>80000</v>
      </c>
      <c r="N27" s="55">
        <v>0.45</v>
      </c>
    </row>
    <row r="28" spans="1:14" x14ac:dyDescent="0.3">
      <c r="A28" s="1">
        <v>238</v>
      </c>
      <c r="B28" s="1">
        <v>0</v>
      </c>
      <c r="C28" s="10">
        <v>421654</v>
      </c>
      <c r="D28" s="1">
        <v>521</v>
      </c>
      <c r="E28" s="9">
        <f>VLOOKUP(C28,Hoja1!A28:B466,2,0)</f>
        <v>12064000</v>
      </c>
      <c r="F28" s="1">
        <v>130</v>
      </c>
      <c r="G28" s="1">
        <f t="shared" ref="G28:G54" si="8">F28*60</f>
        <v>7800</v>
      </c>
      <c r="H28" s="5">
        <f t="shared" si="5"/>
        <v>124800</v>
      </c>
      <c r="I28" s="1">
        <f t="shared" si="1"/>
        <v>187200</v>
      </c>
      <c r="J28" s="7">
        <f t="shared" si="2"/>
        <v>131039.99999999999</v>
      </c>
      <c r="K28" s="5">
        <f t="shared" si="3"/>
        <v>87360</v>
      </c>
      <c r="L28" s="1">
        <f t="shared" si="4"/>
        <v>936000</v>
      </c>
      <c r="M28" s="1">
        <f t="shared" si="6"/>
        <v>624000</v>
      </c>
      <c r="N28" s="55">
        <v>0.7</v>
      </c>
    </row>
    <row r="29" spans="1:14" x14ac:dyDescent="0.3">
      <c r="A29" s="1">
        <v>238</v>
      </c>
      <c r="B29" s="1">
        <v>0</v>
      </c>
      <c r="C29" s="10" t="s">
        <v>432</v>
      </c>
      <c r="D29" s="1">
        <v>502</v>
      </c>
      <c r="E29" s="9">
        <f>VLOOKUP(C29,Hoja1!A29:B467,2,0)</f>
        <v>7700000</v>
      </c>
      <c r="F29" s="1">
        <v>100</v>
      </c>
      <c r="G29" s="1">
        <f t="shared" si="8"/>
        <v>6000</v>
      </c>
      <c r="H29" s="5">
        <f t="shared" si="5"/>
        <v>96000</v>
      </c>
      <c r="I29" s="1">
        <f t="shared" si="1"/>
        <v>144000</v>
      </c>
      <c r="J29" s="7">
        <f t="shared" si="2"/>
        <v>76708.799999999988</v>
      </c>
      <c r="K29" s="5">
        <f t="shared" si="3"/>
        <v>51139.199999999997</v>
      </c>
      <c r="L29" s="1">
        <f t="shared" si="4"/>
        <v>720000</v>
      </c>
      <c r="M29" s="1">
        <f t="shared" si="6"/>
        <v>480000</v>
      </c>
      <c r="N29" s="55">
        <v>0.53269999999999995</v>
      </c>
    </row>
    <row r="30" spans="1:14" x14ac:dyDescent="0.3">
      <c r="A30" s="1">
        <v>238</v>
      </c>
      <c r="B30" s="1">
        <v>0</v>
      </c>
      <c r="C30" s="10" t="s">
        <v>164</v>
      </c>
      <c r="D30" s="1">
        <v>523</v>
      </c>
      <c r="E30" s="9">
        <v>1840000</v>
      </c>
      <c r="F30" s="1">
        <v>80</v>
      </c>
      <c r="G30" s="1">
        <f t="shared" si="8"/>
        <v>4800</v>
      </c>
      <c r="H30" s="5">
        <f t="shared" si="5"/>
        <v>76800</v>
      </c>
      <c r="I30" s="1">
        <f t="shared" si="1"/>
        <v>115200</v>
      </c>
      <c r="J30" s="7">
        <f t="shared" si="2"/>
        <v>74880</v>
      </c>
      <c r="K30" s="5">
        <f t="shared" si="3"/>
        <v>49920</v>
      </c>
      <c r="L30" s="1">
        <f t="shared" si="4"/>
        <v>576000</v>
      </c>
      <c r="M30" s="1">
        <f t="shared" si="6"/>
        <v>384000</v>
      </c>
      <c r="N30" s="55">
        <v>0.65</v>
      </c>
    </row>
    <row r="31" spans="1:14" x14ac:dyDescent="0.3">
      <c r="A31" s="1">
        <v>238</v>
      </c>
      <c r="B31" s="1">
        <v>0</v>
      </c>
      <c r="C31" s="10" t="s">
        <v>150</v>
      </c>
      <c r="D31" s="1">
        <v>521</v>
      </c>
      <c r="E31" s="9">
        <v>608000</v>
      </c>
      <c r="F31" s="1">
        <v>122</v>
      </c>
      <c r="G31" s="1">
        <f t="shared" si="8"/>
        <v>7320</v>
      </c>
      <c r="H31" s="5">
        <f t="shared" si="5"/>
        <v>117120</v>
      </c>
      <c r="I31" s="1">
        <f t="shared" si="1"/>
        <v>175680</v>
      </c>
      <c r="J31" s="7">
        <f t="shared" si="2"/>
        <v>70272</v>
      </c>
      <c r="K31" s="5">
        <f t="shared" si="3"/>
        <v>46848</v>
      </c>
      <c r="L31" s="1">
        <f t="shared" si="4"/>
        <v>878400</v>
      </c>
      <c r="M31" s="1">
        <f t="shared" si="6"/>
        <v>585600</v>
      </c>
      <c r="N31" s="55">
        <v>0.4</v>
      </c>
    </row>
    <row r="32" spans="1:14" x14ac:dyDescent="0.3">
      <c r="A32" s="1">
        <v>238</v>
      </c>
      <c r="B32" s="1">
        <v>0</v>
      </c>
      <c r="C32" s="10" t="s">
        <v>29</v>
      </c>
      <c r="D32" s="1">
        <v>520</v>
      </c>
      <c r="E32" s="9">
        <f>VLOOKUP(C32,Hoja1!A32:B470,2,0)</f>
        <v>23312000</v>
      </c>
      <c r="F32" s="1">
        <v>140</v>
      </c>
      <c r="G32" s="1">
        <f t="shared" si="8"/>
        <v>8400</v>
      </c>
      <c r="H32" s="5">
        <f t="shared" si="5"/>
        <v>134400</v>
      </c>
      <c r="I32" s="1">
        <f t="shared" si="1"/>
        <v>201600</v>
      </c>
      <c r="J32" s="7">
        <f t="shared" si="2"/>
        <v>151200</v>
      </c>
      <c r="K32" s="5">
        <f t="shared" si="3"/>
        <v>100800</v>
      </c>
      <c r="L32" s="1">
        <f t="shared" si="4"/>
        <v>1008000</v>
      </c>
      <c r="M32" s="1">
        <f t="shared" si="6"/>
        <v>672000</v>
      </c>
      <c r="N32" s="55">
        <v>0.75</v>
      </c>
    </row>
    <row r="33" spans="1:14" x14ac:dyDescent="0.3">
      <c r="A33" s="1">
        <v>238</v>
      </c>
      <c r="B33" s="1">
        <v>0</v>
      </c>
      <c r="C33" s="10" t="s">
        <v>154</v>
      </c>
      <c r="D33" s="1">
        <v>550</v>
      </c>
      <c r="E33" s="9">
        <f>VLOOKUP(C33,Hoja1!A33:B471,2,0)</f>
        <v>7200000</v>
      </c>
      <c r="F33" s="41">
        <v>300</v>
      </c>
      <c r="G33" s="1">
        <f t="shared" si="8"/>
        <v>18000</v>
      </c>
      <c r="H33" s="5">
        <f t="shared" si="5"/>
        <v>288000</v>
      </c>
      <c r="I33" s="1">
        <f t="shared" si="1"/>
        <v>432000</v>
      </c>
      <c r="J33" s="7">
        <f t="shared" si="2"/>
        <v>216000</v>
      </c>
      <c r="K33" s="5">
        <f t="shared" si="3"/>
        <v>144000</v>
      </c>
      <c r="L33" s="1">
        <f t="shared" si="4"/>
        <v>2160000</v>
      </c>
      <c r="M33" s="1">
        <f t="shared" si="6"/>
        <v>1440000</v>
      </c>
      <c r="N33" s="55">
        <v>0.5</v>
      </c>
    </row>
    <row r="34" spans="1:14" x14ac:dyDescent="0.3">
      <c r="A34" s="1">
        <v>238</v>
      </c>
      <c r="B34" s="1">
        <v>0</v>
      </c>
      <c r="C34" s="10">
        <v>422185</v>
      </c>
      <c r="D34" s="1">
        <v>550</v>
      </c>
      <c r="E34" s="9">
        <f>VLOOKUP(C34,Hoja1!A34:B472,2,0)</f>
        <v>290000</v>
      </c>
      <c r="F34" s="41">
        <v>50</v>
      </c>
      <c r="G34" s="1">
        <f t="shared" si="8"/>
        <v>3000</v>
      </c>
      <c r="H34" s="5">
        <f t="shared" si="5"/>
        <v>48000</v>
      </c>
      <c r="I34" s="1">
        <f t="shared" si="1"/>
        <v>72000</v>
      </c>
      <c r="J34" s="7">
        <f t="shared" si="2"/>
        <v>33782.400000000001</v>
      </c>
      <c r="K34" s="5">
        <f t="shared" si="3"/>
        <v>22521.599999999999</v>
      </c>
      <c r="L34" s="1">
        <f t="shared" si="4"/>
        <v>360000</v>
      </c>
      <c r="M34" s="1">
        <f t="shared" si="6"/>
        <v>240000</v>
      </c>
      <c r="N34" s="55">
        <v>0.46920000000000001</v>
      </c>
    </row>
    <row r="35" spans="1:14" x14ac:dyDescent="0.3">
      <c r="A35" s="1">
        <v>238</v>
      </c>
      <c r="B35" s="1">
        <v>0</v>
      </c>
      <c r="C35" s="10" t="s">
        <v>407</v>
      </c>
      <c r="D35" s="1">
        <v>550</v>
      </c>
      <c r="E35" s="9">
        <f>VLOOKUP(C35,Hoja1!A35:B473,2,0)</f>
        <v>96000</v>
      </c>
      <c r="F35" s="41">
        <v>50</v>
      </c>
      <c r="G35" s="1">
        <f t="shared" si="8"/>
        <v>3000</v>
      </c>
      <c r="H35" s="5">
        <f t="shared" si="5"/>
        <v>48000</v>
      </c>
      <c r="I35" s="1">
        <f t="shared" si="1"/>
        <v>72000</v>
      </c>
      <c r="J35" s="7">
        <f t="shared" si="2"/>
        <v>38138.399999999994</v>
      </c>
      <c r="K35" s="5">
        <f t="shared" si="3"/>
        <v>25425.599999999999</v>
      </c>
      <c r="L35" s="1">
        <f t="shared" si="4"/>
        <v>360000</v>
      </c>
      <c r="M35" s="1">
        <f t="shared" si="6"/>
        <v>240000</v>
      </c>
      <c r="N35" s="55">
        <v>0.52969999999999995</v>
      </c>
    </row>
    <row r="36" spans="1:14" x14ac:dyDescent="0.3">
      <c r="A36" s="1">
        <v>238</v>
      </c>
      <c r="B36" s="1">
        <v>0</v>
      </c>
      <c r="C36" s="10" t="s">
        <v>31</v>
      </c>
      <c r="D36" s="1">
        <v>500</v>
      </c>
      <c r="E36" s="9">
        <f>VLOOKUP(C36,Hoja1!A36:B474,2,0)</f>
        <v>1194000</v>
      </c>
      <c r="F36" s="41">
        <v>100</v>
      </c>
      <c r="G36" s="1">
        <f t="shared" si="8"/>
        <v>6000</v>
      </c>
      <c r="H36" s="5">
        <f t="shared" si="5"/>
        <v>96000</v>
      </c>
      <c r="I36" s="1">
        <f t="shared" si="1"/>
        <v>144000</v>
      </c>
      <c r="J36" s="7">
        <f t="shared" si="2"/>
        <v>79200</v>
      </c>
      <c r="K36" s="5">
        <f t="shared" si="3"/>
        <v>52800.000000000007</v>
      </c>
      <c r="L36" s="1">
        <f t="shared" si="4"/>
        <v>720000</v>
      </c>
      <c r="M36" s="1">
        <f t="shared" si="6"/>
        <v>480000</v>
      </c>
      <c r="N36" s="55">
        <v>0.55000000000000004</v>
      </c>
    </row>
    <row r="37" spans="1:14" x14ac:dyDescent="0.3">
      <c r="A37" s="1">
        <v>238</v>
      </c>
      <c r="B37" s="1">
        <v>0</v>
      </c>
      <c r="C37" s="10">
        <v>422003</v>
      </c>
      <c r="D37" s="1">
        <v>550</v>
      </c>
      <c r="E37" s="9">
        <f>VLOOKUP(C37,Hoja1!A37:B475,2,0)</f>
        <v>864000</v>
      </c>
      <c r="F37" s="41">
        <v>83</v>
      </c>
      <c r="G37" s="1">
        <f t="shared" si="8"/>
        <v>4980</v>
      </c>
      <c r="H37" s="5">
        <f t="shared" si="5"/>
        <v>79680</v>
      </c>
      <c r="I37" s="1">
        <f t="shared" si="1"/>
        <v>119520</v>
      </c>
      <c r="J37" s="7">
        <f t="shared" si="2"/>
        <v>59760</v>
      </c>
      <c r="K37" s="5">
        <f t="shared" si="3"/>
        <v>39840</v>
      </c>
      <c r="L37" s="1">
        <f t="shared" si="4"/>
        <v>597600</v>
      </c>
      <c r="M37" s="1">
        <f t="shared" si="6"/>
        <v>398400</v>
      </c>
      <c r="N37" s="55">
        <v>0.5</v>
      </c>
    </row>
    <row r="38" spans="1:14" x14ac:dyDescent="0.3">
      <c r="A38" s="1">
        <v>238</v>
      </c>
      <c r="B38" s="1">
        <v>0</v>
      </c>
      <c r="C38" s="10" t="s">
        <v>158</v>
      </c>
      <c r="D38" s="1">
        <v>550</v>
      </c>
      <c r="E38" s="9">
        <f>VLOOKUP(C38,Hoja1!A38:B476,2,0)</f>
        <v>1908000</v>
      </c>
      <c r="F38" s="41">
        <v>83</v>
      </c>
      <c r="G38" s="1">
        <f t="shared" si="8"/>
        <v>4980</v>
      </c>
      <c r="H38" s="5">
        <f t="shared" si="5"/>
        <v>79680</v>
      </c>
      <c r="I38" s="1">
        <f t="shared" si="1"/>
        <v>119520</v>
      </c>
      <c r="J38" s="7">
        <f t="shared" si="2"/>
        <v>59676.336000000003</v>
      </c>
      <c r="K38" s="5">
        <f t="shared" si="3"/>
        <v>39784.224000000002</v>
      </c>
      <c r="L38" s="1">
        <f t="shared" si="4"/>
        <v>597600</v>
      </c>
      <c r="M38" s="1">
        <f t="shared" si="6"/>
        <v>398400</v>
      </c>
      <c r="N38" s="55">
        <v>0.49930000000000002</v>
      </c>
    </row>
    <row r="39" spans="1:14" x14ac:dyDescent="0.3">
      <c r="A39" s="1">
        <v>238</v>
      </c>
      <c r="B39" s="1">
        <v>0</v>
      </c>
      <c r="C39" s="10">
        <v>422470</v>
      </c>
      <c r="D39" s="1">
        <v>550</v>
      </c>
      <c r="E39" s="9">
        <f>VLOOKUP(C39,Hoja1!A39:B477,2,0)</f>
        <v>216000</v>
      </c>
      <c r="F39" s="41">
        <v>100</v>
      </c>
      <c r="G39" s="1">
        <f t="shared" si="8"/>
        <v>6000</v>
      </c>
      <c r="H39" s="5">
        <f t="shared" si="5"/>
        <v>96000</v>
      </c>
      <c r="I39" s="1">
        <f t="shared" si="1"/>
        <v>144000</v>
      </c>
      <c r="J39" s="7">
        <f t="shared" si="2"/>
        <v>65188.799999999996</v>
      </c>
      <c r="K39" s="5">
        <f t="shared" si="3"/>
        <v>43459.199999999997</v>
      </c>
      <c r="L39" s="1">
        <f t="shared" si="4"/>
        <v>720000</v>
      </c>
      <c r="M39" s="1">
        <f t="shared" si="6"/>
        <v>480000</v>
      </c>
      <c r="N39" s="55">
        <v>0.45269999999999999</v>
      </c>
    </row>
    <row r="40" spans="1:14" x14ac:dyDescent="0.3">
      <c r="A40" s="1">
        <v>238</v>
      </c>
      <c r="B40" s="1">
        <v>0</v>
      </c>
      <c r="C40" s="10" t="s">
        <v>32</v>
      </c>
      <c r="D40" s="1">
        <v>550</v>
      </c>
      <c r="E40" s="9">
        <f>VLOOKUP(C40,Hoja1!A40:B478,2,0)</f>
        <v>0</v>
      </c>
      <c r="F40" s="41">
        <v>83</v>
      </c>
      <c r="G40" s="1">
        <f t="shared" si="8"/>
        <v>4980</v>
      </c>
      <c r="H40" s="5">
        <f t="shared" si="5"/>
        <v>79680</v>
      </c>
      <c r="I40" s="1">
        <f t="shared" si="1"/>
        <v>119520</v>
      </c>
      <c r="J40" s="7">
        <f t="shared" si="2"/>
        <v>20736.719999999998</v>
      </c>
      <c r="K40" s="5">
        <f t="shared" si="3"/>
        <v>13824.48</v>
      </c>
      <c r="L40" s="1">
        <f t="shared" si="4"/>
        <v>597600</v>
      </c>
      <c r="M40" s="1">
        <f t="shared" si="6"/>
        <v>398400</v>
      </c>
      <c r="N40" s="55">
        <v>0.17349999999999999</v>
      </c>
    </row>
    <row r="41" spans="1:14" x14ac:dyDescent="0.3">
      <c r="A41" s="1">
        <v>238</v>
      </c>
      <c r="B41" s="1">
        <v>0</v>
      </c>
      <c r="C41" s="10" t="s">
        <v>452</v>
      </c>
      <c r="D41" s="1">
        <v>500</v>
      </c>
      <c r="E41" s="9">
        <f>VLOOKUP(C41,Hoja1!A41:B479,2,0)</f>
        <v>400000</v>
      </c>
      <c r="F41" s="41">
        <v>100</v>
      </c>
      <c r="G41" s="1">
        <f t="shared" si="8"/>
        <v>6000</v>
      </c>
      <c r="H41" s="5">
        <f t="shared" si="5"/>
        <v>96000</v>
      </c>
      <c r="I41" s="1">
        <f t="shared" si="1"/>
        <v>144000</v>
      </c>
      <c r="J41" s="7">
        <f t="shared" si="2"/>
        <v>34156.799999999996</v>
      </c>
      <c r="K41" s="5">
        <f t="shared" si="3"/>
        <v>22771.200000000001</v>
      </c>
      <c r="L41" s="1">
        <f t="shared" si="4"/>
        <v>720000</v>
      </c>
      <c r="M41" s="1">
        <f t="shared" si="6"/>
        <v>480000</v>
      </c>
      <c r="N41" s="55">
        <v>0.23719999999999999</v>
      </c>
    </row>
    <row r="42" spans="1:14" x14ac:dyDescent="0.3">
      <c r="A42" s="1">
        <v>238</v>
      </c>
      <c r="B42" s="1">
        <v>0</v>
      </c>
      <c r="C42" s="10">
        <v>422088</v>
      </c>
      <c r="D42" s="1">
        <v>500</v>
      </c>
      <c r="E42" s="9">
        <f>VLOOKUP(C42,Hoja1!A42:B480,2,0)</f>
        <v>912000</v>
      </c>
      <c r="F42" s="41">
        <v>83</v>
      </c>
      <c r="G42" s="1">
        <f t="shared" si="8"/>
        <v>4980</v>
      </c>
      <c r="H42" s="5">
        <f t="shared" si="5"/>
        <v>79680</v>
      </c>
      <c r="I42" s="1">
        <f t="shared" si="1"/>
        <v>119520</v>
      </c>
      <c r="J42" s="7">
        <f t="shared" si="2"/>
        <v>49815.936000000002</v>
      </c>
      <c r="K42" s="5">
        <f t="shared" si="3"/>
        <v>33210.624000000003</v>
      </c>
      <c r="L42" s="1">
        <f t="shared" si="4"/>
        <v>597600</v>
      </c>
      <c r="M42" s="1">
        <f t="shared" si="6"/>
        <v>398400</v>
      </c>
      <c r="N42" s="55">
        <v>0.4168</v>
      </c>
    </row>
    <row r="43" spans="1:14" x14ac:dyDescent="0.3">
      <c r="A43" s="1">
        <v>238</v>
      </c>
      <c r="B43" s="1">
        <v>0</v>
      </c>
      <c r="C43" s="10" t="s">
        <v>33</v>
      </c>
      <c r="D43" s="1">
        <v>500</v>
      </c>
      <c r="E43" s="9">
        <f>VLOOKUP(C43,Hoja1!A43:B481,2,0)</f>
        <v>1920000</v>
      </c>
      <c r="F43" s="41">
        <v>80</v>
      </c>
      <c r="G43" s="1">
        <f t="shared" si="8"/>
        <v>4800</v>
      </c>
      <c r="H43" s="5">
        <f t="shared" si="5"/>
        <v>76800</v>
      </c>
      <c r="I43" s="1">
        <f t="shared" si="1"/>
        <v>115200</v>
      </c>
      <c r="J43" s="7">
        <f t="shared" si="2"/>
        <v>57600</v>
      </c>
      <c r="K43" s="5">
        <f t="shared" si="3"/>
        <v>38400</v>
      </c>
      <c r="L43" s="1">
        <f t="shared" si="4"/>
        <v>576000</v>
      </c>
      <c r="M43" s="1">
        <f t="shared" si="6"/>
        <v>384000</v>
      </c>
      <c r="N43" s="55">
        <v>0.5</v>
      </c>
    </row>
    <row r="44" spans="1:14" x14ac:dyDescent="0.3">
      <c r="A44" s="1">
        <v>238</v>
      </c>
      <c r="B44" s="1">
        <v>0</v>
      </c>
      <c r="C44" s="10">
        <v>422007</v>
      </c>
      <c r="D44" s="1">
        <v>500</v>
      </c>
      <c r="E44" s="9">
        <f>VLOOKUP(C44,Hoja1!A44:B482,2,0)</f>
        <v>580000</v>
      </c>
      <c r="F44" s="41">
        <v>100</v>
      </c>
      <c r="G44" s="1">
        <f t="shared" si="8"/>
        <v>6000</v>
      </c>
      <c r="H44" s="5">
        <f t="shared" si="5"/>
        <v>96000</v>
      </c>
      <c r="I44" s="1">
        <f t="shared" si="1"/>
        <v>144000</v>
      </c>
      <c r="J44" s="7">
        <f t="shared" si="2"/>
        <v>72000</v>
      </c>
      <c r="K44" s="5">
        <f t="shared" si="3"/>
        <v>48000</v>
      </c>
      <c r="L44" s="1">
        <f t="shared" si="4"/>
        <v>720000</v>
      </c>
      <c r="M44" s="1">
        <f t="shared" si="6"/>
        <v>480000</v>
      </c>
      <c r="N44" s="55">
        <v>0.5</v>
      </c>
    </row>
    <row r="45" spans="1:14" x14ac:dyDescent="0.3">
      <c r="A45" s="1">
        <v>238</v>
      </c>
      <c r="B45" s="1">
        <v>0</v>
      </c>
      <c r="C45" s="10">
        <v>422420</v>
      </c>
      <c r="D45" s="1">
        <v>500</v>
      </c>
      <c r="E45" s="9">
        <f>VLOOKUP(C45,Hoja1!A45:B483,2,0)</f>
        <v>40000</v>
      </c>
      <c r="F45" s="41">
        <v>83</v>
      </c>
      <c r="G45" s="1">
        <f t="shared" si="8"/>
        <v>4980</v>
      </c>
      <c r="H45" s="5">
        <f t="shared" si="5"/>
        <v>79680</v>
      </c>
      <c r="I45" s="1">
        <f t="shared" si="1"/>
        <v>119520</v>
      </c>
      <c r="J45" s="7">
        <f t="shared" si="2"/>
        <v>84859.199999999997</v>
      </c>
      <c r="K45" s="5">
        <f t="shared" si="3"/>
        <v>56572.799999999996</v>
      </c>
      <c r="L45" s="1">
        <f t="shared" si="4"/>
        <v>597600</v>
      </c>
      <c r="M45" s="1">
        <f t="shared" si="6"/>
        <v>398400</v>
      </c>
      <c r="N45" s="55">
        <v>0.71</v>
      </c>
    </row>
    <row r="46" spans="1:14" x14ac:dyDescent="0.3">
      <c r="A46" s="1">
        <v>238</v>
      </c>
      <c r="B46" s="1">
        <v>0</v>
      </c>
      <c r="C46" s="10">
        <v>422480</v>
      </c>
      <c r="D46" s="1">
        <v>500</v>
      </c>
      <c r="E46" s="9">
        <f>VLOOKUP(C46,Hoja1!A46:B484,2,0)</f>
        <v>106500</v>
      </c>
      <c r="F46" s="41">
        <v>50</v>
      </c>
      <c r="G46" s="1">
        <f t="shared" si="8"/>
        <v>3000</v>
      </c>
      <c r="H46" s="5">
        <f t="shared" si="5"/>
        <v>48000</v>
      </c>
      <c r="I46" s="1">
        <f t="shared" si="1"/>
        <v>72000</v>
      </c>
      <c r="J46" s="7">
        <f t="shared" si="2"/>
        <v>36000</v>
      </c>
      <c r="K46" s="5">
        <f t="shared" si="3"/>
        <v>24000</v>
      </c>
      <c r="L46" s="1">
        <f t="shared" si="4"/>
        <v>360000</v>
      </c>
      <c r="M46" s="1">
        <f t="shared" si="6"/>
        <v>240000</v>
      </c>
      <c r="N46" s="55">
        <v>0.5</v>
      </c>
    </row>
    <row r="47" spans="1:14" x14ac:dyDescent="0.3">
      <c r="A47" s="1">
        <v>238</v>
      </c>
      <c r="B47" s="1">
        <v>0</v>
      </c>
      <c r="C47" s="10">
        <v>422481</v>
      </c>
      <c r="D47" s="1">
        <v>500</v>
      </c>
      <c r="E47" s="9">
        <f>VLOOKUP(C47,Hoja1!A47:B485,2,0)</f>
        <v>28000</v>
      </c>
      <c r="F47" s="41">
        <v>50</v>
      </c>
      <c r="G47" s="1">
        <f t="shared" si="8"/>
        <v>3000</v>
      </c>
      <c r="H47" s="5">
        <f t="shared" si="5"/>
        <v>48000</v>
      </c>
      <c r="I47" s="1">
        <f t="shared" si="1"/>
        <v>72000</v>
      </c>
      <c r="J47" s="7">
        <f t="shared" si="2"/>
        <v>36000</v>
      </c>
      <c r="K47" s="5">
        <f t="shared" si="3"/>
        <v>24000</v>
      </c>
      <c r="L47" s="1">
        <f t="shared" si="4"/>
        <v>360000</v>
      </c>
      <c r="M47" s="1">
        <f t="shared" si="6"/>
        <v>240000</v>
      </c>
      <c r="N47" s="55">
        <v>0.5</v>
      </c>
    </row>
    <row r="48" spans="1:14" x14ac:dyDescent="0.3">
      <c r="A48" s="1">
        <v>238</v>
      </c>
      <c r="B48" s="1">
        <v>0</v>
      </c>
      <c r="C48" s="10">
        <v>422297</v>
      </c>
      <c r="D48" s="1">
        <v>500</v>
      </c>
      <c r="E48" s="9">
        <f>VLOOKUP(C48,Hoja1!A48:B486,2,0)</f>
        <v>2080000</v>
      </c>
      <c r="F48" s="41">
        <v>400</v>
      </c>
      <c r="G48" s="1">
        <f t="shared" si="8"/>
        <v>24000</v>
      </c>
      <c r="H48" s="5">
        <f t="shared" si="5"/>
        <v>384000</v>
      </c>
      <c r="I48" s="1">
        <f t="shared" si="1"/>
        <v>576000</v>
      </c>
      <c r="J48" s="7">
        <f t="shared" si="2"/>
        <v>432000</v>
      </c>
      <c r="K48" s="5">
        <f t="shared" si="3"/>
        <v>288000</v>
      </c>
      <c r="L48" s="1">
        <f t="shared" si="4"/>
        <v>2880000</v>
      </c>
      <c r="M48" s="1">
        <f t="shared" si="6"/>
        <v>1920000</v>
      </c>
      <c r="N48" s="55">
        <v>0.75</v>
      </c>
    </row>
    <row r="49" spans="1:14" x14ac:dyDescent="0.3">
      <c r="A49" s="1">
        <v>238</v>
      </c>
      <c r="B49" s="1">
        <v>0</v>
      </c>
      <c r="C49" s="10" t="s">
        <v>35</v>
      </c>
      <c r="D49" s="1">
        <v>500</v>
      </c>
      <c r="E49" s="9">
        <f>VLOOKUP(C49,Hoja1!A49:B487,2,0)</f>
        <v>258000</v>
      </c>
      <c r="F49" s="41">
        <v>83</v>
      </c>
      <c r="G49" s="1">
        <f t="shared" si="8"/>
        <v>4980</v>
      </c>
      <c r="H49" s="5">
        <f t="shared" si="5"/>
        <v>79680</v>
      </c>
      <c r="I49" s="1">
        <f t="shared" si="1"/>
        <v>119520</v>
      </c>
      <c r="J49" s="7">
        <f t="shared" si="2"/>
        <v>59760</v>
      </c>
      <c r="K49" s="5">
        <f t="shared" si="3"/>
        <v>39840</v>
      </c>
      <c r="L49" s="1">
        <f t="shared" si="4"/>
        <v>597600</v>
      </c>
      <c r="M49" s="1">
        <f t="shared" si="6"/>
        <v>398400</v>
      </c>
      <c r="N49" s="55">
        <v>0.5</v>
      </c>
    </row>
    <row r="50" spans="1:14" x14ac:dyDescent="0.3">
      <c r="A50" s="1">
        <v>238</v>
      </c>
      <c r="B50" s="1">
        <v>0</v>
      </c>
      <c r="C50" s="10">
        <v>421867</v>
      </c>
      <c r="D50" s="1">
        <v>550</v>
      </c>
      <c r="E50" s="9">
        <f>VLOOKUP(C50,Hoja1!A50:B488,2,0)</f>
        <v>756000</v>
      </c>
      <c r="F50" s="41">
        <v>80</v>
      </c>
      <c r="G50" s="1">
        <f t="shared" si="8"/>
        <v>4800</v>
      </c>
      <c r="H50" s="5">
        <f t="shared" si="5"/>
        <v>76800</v>
      </c>
      <c r="I50" s="1">
        <f t="shared" si="1"/>
        <v>115200</v>
      </c>
      <c r="J50" s="7">
        <f t="shared" si="2"/>
        <v>72610.559999999998</v>
      </c>
      <c r="K50" s="5">
        <f t="shared" si="3"/>
        <v>48407.040000000001</v>
      </c>
      <c r="L50" s="1">
        <f t="shared" si="4"/>
        <v>576000</v>
      </c>
      <c r="M50" s="1">
        <f t="shared" si="6"/>
        <v>384000</v>
      </c>
      <c r="N50" s="55">
        <v>0.63029999999999997</v>
      </c>
    </row>
    <row r="51" spans="1:14" x14ac:dyDescent="0.3">
      <c r="A51" s="1">
        <v>238</v>
      </c>
      <c r="B51" s="1">
        <v>0</v>
      </c>
      <c r="C51" s="10">
        <v>422262</v>
      </c>
      <c r="D51" s="1">
        <v>500</v>
      </c>
      <c r="E51" s="9">
        <f>VLOOKUP(C51,Hoja1!A51:B489,2,0)</f>
        <v>64000</v>
      </c>
      <c r="F51" s="41">
        <v>100</v>
      </c>
      <c r="G51" s="1">
        <f t="shared" si="8"/>
        <v>6000</v>
      </c>
      <c r="H51" s="5">
        <f t="shared" si="5"/>
        <v>96000</v>
      </c>
      <c r="I51" s="1">
        <f t="shared" si="1"/>
        <v>144000</v>
      </c>
      <c r="J51" s="7">
        <f t="shared" si="2"/>
        <v>25228.799999999999</v>
      </c>
      <c r="K51" s="5">
        <f t="shared" si="3"/>
        <v>16819.2</v>
      </c>
      <c r="L51" s="1">
        <f t="shared" si="4"/>
        <v>720000</v>
      </c>
      <c r="M51" s="1">
        <f t="shared" si="6"/>
        <v>480000</v>
      </c>
      <c r="N51" s="55">
        <v>0.17519999999999999</v>
      </c>
    </row>
    <row r="52" spans="1:14" x14ac:dyDescent="0.3">
      <c r="A52" s="1">
        <v>238</v>
      </c>
      <c r="B52" s="1">
        <v>0</v>
      </c>
      <c r="C52" s="10">
        <v>422459</v>
      </c>
      <c r="D52" s="1">
        <v>500</v>
      </c>
      <c r="E52" s="9">
        <f>VLOOKUP(C52,Hoja1!A52:B490,2,0)</f>
        <v>80000</v>
      </c>
      <c r="F52" s="41">
        <v>400</v>
      </c>
      <c r="G52" s="1">
        <f t="shared" si="8"/>
        <v>24000</v>
      </c>
      <c r="H52" s="5">
        <f t="shared" si="5"/>
        <v>384000</v>
      </c>
      <c r="I52" s="1">
        <f t="shared" si="1"/>
        <v>576000</v>
      </c>
      <c r="J52" s="7">
        <f t="shared" si="2"/>
        <v>432000</v>
      </c>
      <c r="K52" s="5">
        <f t="shared" si="3"/>
        <v>288000</v>
      </c>
      <c r="L52" s="1">
        <f t="shared" si="4"/>
        <v>2880000</v>
      </c>
      <c r="M52" s="1">
        <f t="shared" si="6"/>
        <v>1920000</v>
      </c>
      <c r="N52" s="55">
        <v>0.75</v>
      </c>
    </row>
    <row r="53" spans="1:14" x14ac:dyDescent="0.3">
      <c r="A53" s="1">
        <v>238</v>
      </c>
      <c r="B53" s="1">
        <v>0</v>
      </c>
      <c r="C53" s="10" t="s">
        <v>36</v>
      </c>
      <c r="D53" s="1">
        <v>501</v>
      </c>
      <c r="E53" s="9">
        <f>VLOOKUP(C53,Hoja1!A53:B491,2,0)</f>
        <v>1081470</v>
      </c>
      <c r="F53" s="41">
        <v>58</v>
      </c>
      <c r="G53" s="1">
        <f t="shared" si="8"/>
        <v>3480</v>
      </c>
      <c r="H53" s="5">
        <f t="shared" si="5"/>
        <v>55680</v>
      </c>
      <c r="I53" s="1">
        <f t="shared" si="1"/>
        <v>83520</v>
      </c>
      <c r="J53" s="7">
        <f t="shared" si="2"/>
        <v>41760</v>
      </c>
      <c r="K53" s="5">
        <f t="shared" si="3"/>
        <v>27840</v>
      </c>
      <c r="L53" s="1">
        <f t="shared" si="4"/>
        <v>417600</v>
      </c>
      <c r="M53" s="1">
        <f t="shared" si="6"/>
        <v>278400</v>
      </c>
      <c r="N53" s="55">
        <v>0.5</v>
      </c>
    </row>
    <row r="54" spans="1:14" x14ac:dyDescent="0.3">
      <c r="A54" s="1">
        <v>238</v>
      </c>
      <c r="B54" s="1">
        <v>0</v>
      </c>
      <c r="C54" s="10">
        <v>421686</v>
      </c>
      <c r="D54" s="1">
        <v>501</v>
      </c>
      <c r="E54" s="9">
        <f>VLOOKUP(C54,Hoja1!A54:B492,2,0)</f>
        <v>30000</v>
      </c>
      <c r="F54" s="41">
        <v>50</v>
      </c>
      <c r="G54" s="1">
        <f t="shared" si="8"/>
        <v>3000</v>
      </c>
      <c r="H54" s="5">
        <f t="shared" si="5"/>
        <v>48000</v>
      </c>
      <c r="I54" s="1">
        <f t="shared" si="1"/>
        <v>72000</v>
      </c>
      <c r="J54" s="7">
        <f t="shared" si="2"/>
        <v>34884</v>
      </c>
      <c r="K54" s="5">
        <f t="shared" si="3"/>
        <v>23256</v>
      </c>
      <c r="L54" s="1">
        <f t="shared" si="4"/>
        <v>360000</v>
      </c>
      <c r="M54" s="1">
        <f t="shared" si="6"/>
        <v>240000</v>
      </c>
      <c r="N54" s="55">
        <v>0.48449999999999999</v>
      </c>
    </row>
    <row r="55" spans="1:14" x14ac:dyDescent="0.3">
      <c r="A55" s="1">
        <v>238</v>
      </c>
      <c r="B55" s="1">
        <v>0</v>
      </c>
      <c r="C55" s="10">
        <v>422443</v>
      </c>
      <c r="D55" s="1">
        <v>523</v>
      </c>
      <c r="E55" s="9">
        <v>4548000</v>
      </c>
      <c r="F55" s="1">
        <v>120</v>
      </c>
      <c r="G55" s="1">
        <v>4000</v>
      </c>
      <c r="H55" s="5">
        <f t="shared" si="5"/>
        <v>64000</v>
      </c>
      <c r="I55" s="1">
        <f t="shared" si="1"/>
        <v>96000</v>
      </c>
      <c r="J55" s="7">
        <f t="shared" si="2"/>
        <v>76800</v>
      </c>
      <c r="K55" s="5">
        <f t="shared" si="3"/>
        <v>51200</v>
      </c>
      <c r="L55" s="1">
        <f t="shared" si="4"/>
        <v>480000</v>
      </c>
      <c r="M55" s="1">
        <f t="shared" si="6"/>
        <v>320000</v>
      </c>
      <c r="N55" s="55">
        <v>0.8</v>
      </c>
    </row>
    <row r="56" spans="1:14" x14ac:dyDescent="0.3">
      <c r="A56" s="1">
        <v>238</v>
      </c>
      <c r="B56" s="1">
        <v>0</v>
      </c>
      <c r="C56" s="10">
        <v>422444</v>
      </c>
      <c r="D56" s="1">
        <v>523</v>
      </c>
      <c r="E56" s="9">
        <v>4548000</v>
      </c>
      <c r="F56" s="1">
        <v>120</v>
      </c>
      <c r="G56" s="1">
        <v>4000</v>
      </c>
      <c r="H56" s="5">
        <f t="shared" si="5"/>
        <v>64000</v>
      </c>
      <c r="I56" s="1">
        <f t="shared" si="1"/>
        <v>96000</v>
      </c>
      <c r="J56" s="7">
        <f t="shared" si="2"/>
        <v>76800</v>
      </c>
      <c r="K56" s="5">
        <f t="shared" si="3"/>
        <v>51200</v>
      </c>
      <c r="L56" s="1">
        <f t="shared" si="4"/>
        <v>480000</v>
      </c>
      <c r="M56" s="1">
        <f t="shared" si="6"/>
        <v>320000</v>
      </c>
      <c r="N56" s="55">
        <v>0.8</v>
      </c>
    </row>
    <row r="57" spans="1:14" x14ac:dyDescent="0.3">
      <c r="A57" s="1">
        <v>238</v>
      </c>
      <c r="B57" s="1">
        <v>0</v>
      </c>
      <c r="C57" s="10">
        <v>422097</v>
      </c>
      <c r="D57" s="1">
        <v>523</v>
      </c>
      <c r="E57" s="9">
        <v>9574162</v>
      </c>
      <c r="F57" s="1">
        <v>120</v>
      </c>
      <c r="G57" s="1">
        <v>8500</v>
      </c>
      <c r="H57" s="5">
        <f t="shared" si="5"/>
        <v>136000</v>
      </c>
      <c r="I57" s="1">
        <f t="shared" si="1"/>
        <v>204000</v>
      </c>
      <c r="J57" s="7">
        <f t="shared" si="2"/>
        <v>163200</v>
      </c>
      <c r="K57" s="5">
        <f t="shared" si="3"/>
        <v>108800</v>
      </c>
      <c r="L57" s="1">
        <f t="shared" si="4"/>
        <v>1020000</v>
      </c>
      <c r="M57" s="1">
        <f t="shared" si="6"/>
        <v>680000</v>
      </c>
      <c r="N57" s="55">
        <v>0.8</v>
      </c>
    </row>
    <row r="58" spans="1:14" x14ac:dyDescent="0.3">
      <c r="A58" s="1">
        <v>238</v>
      </c>
      <c r="B58" s="1">
        <v>0</v>
      </c>
      <c r="C58" s="10">
        <v>422769</v>
      </c>
      <c r="D58" s="1">
        <v>523</v>
      </c>
      <c r="E58" s="9">
        <v>158800</v>
      </c>
      <c r="F58" s="1">
        <f t="shared" ref="F58:F71" si="9">G58/60</f>
        <v>66.666666666666671</v>
      </c>
      <c r="G58" s="1">
        <v>4000</v>
      </c>
      <c r="H58" s="5">
        <f t="shared" si="5"/>
        <v>64000</v>
      </c>
      <c r="I58" s="1">
        <f t="shared" si="1"/>
        <v>96000</v>
      </c>
      <c r="J58" s="7">
        <f t="shared" si="2"/>
        <v>76800</v>
      </c>
      <c r="K58" s="5">
        <f t="shared" si="3"/>
        <v>51200</v>
      </c>
      <c r="L58" s="1">
        <f t="shared" si="4"/>
        <v>480000</v>
      </c>
      <c r="M58" s="1">
        <f t="shared" si="6"/>
        <v>320000</v>
      </c>
      <c r="N58" s="55">
        <v>0.8</v>
      </c>
    </row>
    <row r="59" spans="1:14" x14ac:dyDescent="0.3">
      <c r="A59" s="1">
        <v>238</v>
      </c>
      <c r="B59" s="1">
        <v>0</v>
      </c>
      <c r="C59" s="10">
        <v>400208</v>
      </c>
      <c r="D59" s="1">
        <v>142</v>
      </c>
      <c r="E59" s="53">
        <f>IFERROR(VLOOKUP(C59,Hoja1!A$2:B492,2,0),"0")</f>
        <v>688600</v>
      </c>
      <c r="F59" s="1">
        <f t="shared" si="9"/>
        <v>133.33333333333334</v>
      </c>
      <c r="G59" s="43">
        <f>VLOOKUP(C59,Hoja2!A:C,3,0)</f>
        <v>8000</v>
      </c>
      <c r="H59" s="5">
        <f t="shared" si="5"/>
        <v>128000</v>
      </c>
      <c r="I59" s="1">
        <f t="shared" si="1"/>
        <v>192000</v>
      </c>
      <c r="J59" s="7">
        <f t="shared" si="2"/>
        <v>140874.60768633976</v>
      </c>
      <c r="K59" s="5">
        <f t="shared" si="3"/>
        <v>93916.405124226512</v>
      </c>
      <c r="L59" s="1">
        <f t="shared" si="4"/>
        <v>960000</v>
      </c>
      <c r="M59" s="1">
        <f t="shared" si="6"/>
        <v>640000</v>
      </c>
      <c r="N59" s="55">
        <f>IFERROR(VLOOKUP(D59,Hoja2!B:D,3,0),"100%")</f>
        <v>0.73372191503301964</v>
      </c>
    </row>
    <row r="60" spans="1:14" x14ac:dyDescent="0.3">
      <c r="A60" s="1">
        <v>238</v>
      </c>
      <c r="B60" s="1">
        <v>0</v>
      </c>
      <c r="C60" s="10">
        <v>400211</v>
      </c>
      <c r="D60" s="1">
        <v>142</v>
      </c>
      <c r="E60" s="53">
        <f>IFERROR(VLOOKUP(C60,Hoja1!A$2:B497,2,0),"0")</f>
        <v>644600</v>
      </c>
      <c r="F60" s="1">
        <f t="shared" si="9"/>
        <v>133.33333333333334</v>
      </c>
      <c r="G60" s="43">
        <f>VLOOKUP(C60,Hoja2!A:C,3,0)</f>
        <v>8000</v>
      </c>
      <c r="H60" s="5">
        <f t="shared" ref="H60:H72" si="10">G60*16</f>
        <v>128000</v>
      </c>
      <c r="I60" s="1">
        <f t="shared" ref="I60:I72" si="11">G60*24</f>
        <v>192000</v>
      </c>
      <c r="J60" s="7">
        <f t="shared" ref="J60:J72" si="12">I60*N60</f>
        <v>140874.60768633976</v>
      </c>
      <c r="K60" s="5">
        <f t="shared" ref="K60:K72" si="13">H60*N60</f>
        <v>93916.405124226512</v>
      </c>
      <c r="L60" s="1">
        <f t="shared" ref="L60:L72" si="14">I60*5</f>
        <v>960000</v>
      </c>
      <c r="M60" s="1">
        <f t="shared" ref="M60:M72" si="15">H60*5</f>
        <v>640000</v>
      </c>
      <c r="N60" s="55">
        <f>IFERROR(VLOOKUP(D60,Hoja2!B:D,3,0),"100%")</f>
        <v>0.73372191503301964</v>
      </c>
    </row>
    <row r="61" spans="1:14" x14ac:dyDescent="0.3">
      <c r="A61" s="1">
        <v>238</v>
      </c>
      <c r="B61" s="1">
        <v>0</v>
      </c>
      <c r="C61" s="10">
        <v>400213</v>
      </c>
      <c r="D61" s="1">
        <v>142</v>
      </c>
      <c r="E61" s="53">
        <f>IFERROR(VLOOKUP(C61,Hoja1!A$2:B502,2,0),"0")</f>
        <v>83600</v>
      </c>
      <c r="F61" s="1">
        <f t="shared" si="9"/>
        <v>133.33333333333334</v>
      </c>
      <c r="G61" s="43">
        <f>VLOOKUP(C61,Hoja2!A:C,3,0)</f>
        <v>8000</v>
      </c>
      <c r="H61" s="5">
        <f t="shared" si="10"/>
        <v>128000</v>
      </c>
      <c r="I61" s="1">
        <f t="shared" si="11"/>
        <v>192000</v>
      </c>
      <c r="J61" s="7">
        <f t="shared" si="12"/>
        <v>140874.60768633976</v>
      </c>
      <c r="K61" s="5">
        <f t="shared" si="13"/>
        <v>93916.405124226512</v>
      </c>
      <c r="L61" s="1">
        <f t="shared" si="14"/>
        <v>960000</v>
      </c>
      <c r="M61" s="1">
        <f t="shared" si="15"/>
        <v>640000</v>
      </c>
      <c r="N61" s="55">
        <f>IFERROR(VLOOKUP(D61,Hoja2!B:D,3,0),"100%")</f>
        <v>0.73372191503301964</v>
      </c>
    </row>
    <row r="62" spans="1:14" x14ac:dyDescent="0.3">
      <c r="A62" s="1">
        <v>238</v>
      </c>
      <c r="B62" s="1">
        <v>0</v>
      </c>
      <c r="C62" s="10" t="s">
        <v>41</v>
      </c>
      <c r="D62" s="1">
        <v>142</v>
      </c>
      <c r="E62" s="53">
        <f>IFERROR(VLOOKUP(C62,Hoja1!A$2:B507,2,0),"0")</f>
        <v>83600</v>
      </c>
      <c r="F62" s="1">
        <f t="shared" si="9"/>
        <v>116.66666666666667</v>
      </c>
      <c r="G62" s="43">
        <f>VLOOKUP(C62,Hoja2!A:C,3,0)</f>
        <v>7000</v>
      </c>
      <c r="H62" s="5">
        <f t="shared" si="10"/>
        <v>112000</v>
      </c>
      <c r="I62" s="1">
        <f t="shared" si="11"/>
        <v>168000</v>
      </c>
      <c r="J62" s="7">
        <f t="shared" si="12"/>
        <v>123265.28172554731</v>
      </c>
      <c r="K62" s="5">
        <f t="shared" si="13"/>
        <v>82176.854483698204</v>
      </c>
      <c r="L62" s="1">
        <f t="shared" si="14"/>
        <v>840000</v>
      </c>
      <c r="M62" s="1">
        <f t="shared" si="15"/>
        <v>560000</v>
      </c>
      <c r="N62" s="55">
        <f>IFERROR(VLOOKUP(D62,Hoja2!B:D,3,0),"100%")</f>
        <v>0.73372191503301964</v>
      </c>
    </row>
    <row r="63" spans="1:14" x14ac:dyDescent="0.3">
      <c r="A63" s="1">
        <v>238</v>
      </c>
      <c r="B63" s="1">
        <v>0</v>
      </c>
      <c r="C63" s="10">
        <v>400279</v>
      </c>
      <c r="D63" s="1">
        <v>124</v>
      </c>
      <c r="E63" s="53">
        <f>IFERROR(VLOOKUP(C63,Hoja1!A$2:B512,2,0),"0")</f>
        <v>0</v>
      </c>
      <c r="F63" s="1">
        <f t="shared" si="9"/>
        <v>100</v>
      </c>
      <c r="G63" s="43">
        <f>VLOOKUP(C63,Hoja2!A:C,3,0)</f>
        <v>6000</v>
      </c>
      <c r="H63" s="5">
        <f t="shared" si="10"/>
        <v>96000</v>
      </c>
      <c r="I63" s="1">
        <f t="shared" si="11"/>
        <v>144000</v>
      </c>
      <c r="J63" s="7">
        <f t="shared" si="12"/>
        <v>109521.12676056338</v>
      </c>
      <c r="K63" s="5">
        <f t="shared" si="13"/>
        <v>73014.084507042251</v>
      </c>
      <c r="L63" s="1">
        <f t="shared" si="14"/>
        <v>720000</v>
      </c>
      <c r="M63" s="1">
        <f t="shared" si="15"/>
        <v>480000</v>
      </c>
      <c r="N63" s="55">
        <f>IFERROR(VLOOKUP(D63,Hoja2!B:D,3,0),"100%")</f>
        <v>0.76056338028169013</v>
      </c>
    </row>
    <row r="64" spans="1:14" x14ac:dyDescent="0.3">
      <c r="A64" s="1">
        <v>238</v>
      </c>
      <c r="B64" s="1">
        <v>0</v>
      </c>
      <c r="C64" s="10" t="s">
        <v>43</v>
      </c>
      <c r="D64" s="1">
        <v>142</v>
      </c>
      <c r="E64" s="53">
        <f>IFERROR(VLOOKUP(C64,Hoja1!A$2:B517,2,0),"0")</f>
        <v>110000</v>
      </c>
      <c r="F64" s="1">
        <f t="shared" si="9"/>
        <v>116.66666666666667</v>
      </c>
      <c r="G64" s="43">
        <f>VLOOKUP(C64,Hoja2!A:C,3,0)</f>
        <v>7000</v>
      </c>
      <c r="H64" s="5">
        <f t="shared" si="10"/>
        <v>112000</v>
      </c>
      <c r="I64" s="1">
        <f t="shared" si="11"/>
        <v>168000</v>
      </c>
      <c r="J64" s="7">
        <f t="shared" si="12"/>
        <v>123265.28172554731</v>
      </c>
      <c r="K64" s="5">
        <f t="shared" si="13"/>
        <v>82176.854483698204</v>
      </c>
      <c r="L64" s="1">
        <f t="shared" si="14"/>
        <v>840000</v>
      </c>
      <c r="M64" s="1">
        <f t="shared" si="15"/>
        <v>560000</v>
      </c>
      <c r="N64" s="55">
        <f>IFERROR(VLOOKUP(D64,Hoja2!B:D,3,0),"100%")</f>
        <v>0.73372191503301964</v>
      </c>
    </row>
    <row r="65" spans="1:14" x14ac:dyDescent="0.3">
      <c r="A65" s="1">
        <v>238</v>
      </c>
      <c r="B65" s="1">
        <v>0</v>
      </c>
      <c r="C65" s="10">
        <v>400292</v>
      </c>
      <c r="D65" s="1">
        <v>142</v>
      </c>
      <c r="E65" s="53">
        <f>IFERROR(VLOOKUP(C65,Hoja1!A$2:B522,2,0),"0")</f>
        <v>24200</v>
      </c>
      <c r="F65" s="1">
        <f t="shared" si="9"/>
        <v>133.33333333333334</v>
      </c>
      <c r="G65" s="43">
        <f>VLOOKUP(C65,Hoja2!A:C,3,0)</f>
        <v>8000</v>
      </c>
      <c r="H65" s="5">
        <f t="shared" si="10"/>
        <v>128000</v>
      </c>
      <c r="I65" s="1">
        <f t="shared" si="11"/>
        <v>192000</v>
      </c>
      <c r="J65" s="7">
        <f t="shared" si="12"/>
        <v>140874.60768633976</v>
      </c>
      <c r="K65" s="5">
        <f t="shared" si="13"/>
        <v>93916.405124226512</v>
      </c>
      <c r="L65" s="1">
        <f t="shared" si="14"/>
        <v>960000</v>
      </c>
      <c r="M65" s="1">
        <f t="shared" si="15"/>
        <v>640000</v>
      </c>
      <c r="N65" s="55">
        <f>IFERROR(VLOOKUP(D65,Hoja2!B:D,3,0),"100%")</f>
        <v>0.73372191503301964</v>
      </c>
    </row>
    <row r="66" spans="1:14" x14ac:dyDescent="0.3">
      <c r="A66" s="1">
        <v>238</v>
      </c>
      <c r="B66" s="1">
        <v>0</v>
      </c>
      <c r="C66" s="10">
        <v>400293</v>
      </c>
      <c r="D66" s="1">
        <v>142</v>
      </c>
      <c r="E66" s="53">
        <f>IFERROR(VLOOKUP(C66,Hoja1!A$2:B527,2,0),"0")</f>
        <v>1414600</v>
      </c>
      <c r="F66" s="1">
        <f t="shared" si="9"/>
        <v>166.66666666666666</v>
      </c>
      <c r="G66" s="43">
        <f>VLOOKUP(C66,Hoja2!A:C,3,0)</f>
        <v>10000</v>
      </c>
      <c r="H66" s="5">
        <f t="shared" si="10"/>
        <v>160000</v>
      </c>
      <c r="I66" s="1">
        <f t="shared" si="11"/>
        <v>240000</v>
      </c>
      <c r="J66" s="7">
        <f t="shared" si="12"/>
        <v>176093.2596079247</v>
      </c>
      <c r="K66" s="5">
        <f t="shared" si="13"/>
        <v>117395.50640528314</v>
      </c>
      <c r="L66" s="1">
        <f t="shared" si="14"/>
        <v>1200000</v>
      </c>
      <c r="M66" s="1">
        <f t="shared" si="15"/>
        <v>800000</v>
      </c>
      <c r="N66" s="55">
        <f>IFERROR(VLOOKUP(D66,Hoja2!B:D,3,0),"100%")</f>
        <v>0.73372191503301964</v>
      </c>
    </row>
    <row r="67" spans="1:14" x14ac:dyDescent="0.3">
      <c r="A67" s="1">
        <v>238</v>
      </c>
      <c r="B67" s="1">
        <v>0</v>
      </c>
      <c r="C67" s="10">
        <v>400296</v>
      </c>
      <c r="D67" s="1">
        <v>142</v>
      </c>
      <c r="E67" s="53">
        <f>IFERROR(VLOOKUP(C67,Hoja1!A$2:B532,2,0),"0")</f>
        <v>338800</v>
      </c>
      <c r="F67" s="1">
        <f t="shared" si="9"/>
        <v>166.66666666666666</v>
      </c>
      <c r="G67" s="43">
        <f>VLOOKUP(C67,Hoja2!A:C,3,0)</f>
        <v>10000</v>
      </c>
      <c r="H67" s="5">
        <f t="shared" si="10"/>
        <v>160000</v>
      </c>
      <c r="I67" s="1">
        <f t="shared" si="11"/>
        <v>240000</v>
      </c>
      <c r="J67" s="7">
        <f t="shared" si="12"/>
        <v>176093.2596079247</v>
      </c>
      <c r="K67" s="5">
        <f t="shared" si="13"/>
        <v>117395.50640528314</v>
      </c>
      <c r="L67" s="1">
        <f t="shared" si="14"/>
        <v>1200000</v>
      </c>
      <c r="M67" s="1">
        <f t="shared" si="15"/>
        <v>800000</v>
      </c>
      <c r="N67" s="55">
        <f>IFERROR(VLOOKUP(D67,Hoja2!B:D,3,0),"100%")</f>
        <v>0.73372191503301964</v>
      </c>
    </row>
    <row r="68" spans="1:14" x14ac:dyDescent="0.3">
      <c r="A68" s="1">
        <v>238</v>
      </c>
      <c r="B68" s="1">
        <v>0</v>
      </c>
      <c r="C68" s="10">
        <v>400298</v>
      </c>
      <c r="D68" s="1">
        <v>142</v>
      </c>
      <c r="E68" s="53">
        <f>IFERROR(VLOOKUP(C68,Hoja1!A$2:B537,2,0),"0")</f>
        <v>145200</v>
      </c>
      <c r="F68" s="1">
        <f t="shared" si="9"/>
        <v>166.66666666666666</v>
      </c>
      <c r="G68" s="43">
        <f>VLOOKUP(C68,Hoja2!A:C,3,0)</f>
        <v>10000</v>
      </c>
      <c r="H68" s="5">
        <f t="shared" si="10"/>
        <v>160000</v>
      </c>
      <c r="I68" s="1">
        <f t="shared" si="11"/>
        <v>240000</v>
      </c>
      <c r="J68" s="7">
        <f t="shared" si="12"/>
        <v>176093.2596079247</v>
      </c>
      <c r="K68" s="5">
        <f t="shared" si="13"/>
        <v>117395.50640528314</v>
      </c>
      <c r="L68" s="1">
        <f t="shared" si="14"/>
        <v>1200000</v>
      </c>
      <c r="M68" s="1">
        <f t="shared" si="15"/>
        <v>800000</v>
      </c>
      <c r="N68" s="55">
        <f>IFERROR(VLOOKUP(D68,Hoja2!B:D,3,0),"100%")</f>
        <v>0.73372191503301964</v>
      </c>
    </row>
    <row r="69" spans="1:14" x14ac:dyDescent="0.3">
      <c r="A69" s="1">
        <v>238</v>
      </c>
      <c r="B69" s="1">
        <v>0</v>
      </c>
      <c r="C69" s="10">
        <v>400299</v>
      </c>
      <c r="D69" s="1">
        <v>142</v>
      </c>
      <c r="E69" s="53">
        <f>IFERROR(VLOOKUP(C69,Hoja1!A$2:B542,2,0),"0")</f>
        <v>169400</v>
      </c>
      <c r="F69" s="1">
        <f t="shared" si="9"/>
        <v>166.66666666666666</v>
      </c>
      <c r="G69" s="43">
        <f>VLOOKUP(C69,Hoja2!A:C,3,0)</f>
        <v>10000</v>
      </c>
      <c r="H69" s="5">
        <f t="shared" si="10"/>
        <v>160000</v>
      </c>
      <c r="I69" s="1">
        <f t="shared" si="11"/>
        <v>240000</v>
      </c>
      <c r="J69" s="7">
        <f t="shared" si="12"/>
        <v>176093.2596079247</v>
      </c>
      <c r="K69" s="5">
        <f t="shared" si="13"/>
        <v>117395.50640528314</v>
      </c>
      <c r="L69" s="1">
        <f t="shared" si="14"/>
        <v>1200000</v>
      </c>
      <c r="M69" s="1">
        <f t="shared" si="15"/>
        <v>800000</v>
      </c>
      <c r="N69" s="55">
        <f>IFERROR(VLOOKUP(D69,Hoja2!B:D,3,0),"100%")</f>
        <v>0.73372191503301964</v>
      </c>
    </row>
    <row r="70" spans="1:14" x14ac:dyDescent="0.3">
      <c r="A70" s="1">
        <v>238</v>
      </c>
      <c r="B70" s="1">
        <v>0</v>
      </c>
      <c r="C70" s="10">
        <v>400303</v>
      </c>
      <c r="D70" s="1">
        <v>142</v>
      </c>
      <c r="E70" s="53">
        <f>IFERROR(VLOOKUP(C70,Hoja1!A$2:B547,2,0),"0")</f>
        <v>24200</v>
      </c>
      <c r="F70" s="1">
        <f t="shared" si="9"/>
        <v>100</v>
      </c>
      <c r="G70" s="43">
        <f>VLOOKUP(C70,Hoja2!A:C,3,0)</f>
        <v>6000</v>
      </c>
      <c r="H70" s="5">
        <f t="shared" si="10"/>
        <v>96000</v>
      </c>
      <c r="I70" s="1">
        <f t="shared" si="11"/>
        <v>144000</v>
      </c>
      <c r="J70" s="7">
        <f t="shared" si="12"/>
        <v>105655.95576475484</v>
      </c>
      <c r="K70" s="5">
        <f t="shared" si="13"/>
        <v>70437.303843169881</v>
      </c>
      <c r="L70" s="1">
        <f t="shared" si="14"/>
        <v>720000</v>
      </c>
      <c r="M70" s="1">
        <f t="shared" si="15"/>
        <v>480000</v>
      </c>
      <c r="N70" s="55">
        <f>IFERROR(VLOOKUP(D70,Hoja2!B:D,3,0),"100%")</f>
        <v>0.73372191503301964</v>
      </c>
    </row>
    <row r="71" spans="1:14" x14ac:dyDescent="0.3">
      <c r="A71" s="1">
        <v>238</v>
      </c>
      <c r="B71" s="1">
        <v>0</v>
      </c>
      <c r="C71" s="10">
        <v>400311</v>
      </c>
      <c r="D71" s="1">
        <v>142</v>
      </c>
      <c r="E71" s="53">
        <f>IFERROR(VLOOKUP(C71,Hoja1!A$2:B552,2,0),"0")</f>
        <v>1573000</v>
      </c>
      <c r="F71" s="1">
        <f t="shared" si="9"/>
        <v>166.66666666666666</v>
      </c>
      <c r="G71" s="43">
        <f>VLOOKUP(C71,Hoja2!A:C,3,0)</f>
        <v>10000</v>
      </c>
      <c r="H71" s="5">
        <f t="shared" si="10"/>
        <v>160000</v>
      </c>
      <c r="I71" s="1">
        <f t="shared" si="11"/>
        <v>240000</v>
      </c>
      <c r="J71" s="7">
        <f t="shared" si="12"/>
        <v>176093.2596079247</v>
      </c>
      <c r="K71" s="5">
        <f t="shared" si="13"/>
        <v>117395.50640528314</v>
      </c>
      <c r="L71" s="1">
        <f t="shared" si="14"/>
        <v>1200000</v>
      </c>
      <c r="M71" s="1">
        <f t="shared" si="15"/>
        <v>800000</v>
      </c>
      <c r="N71" s="55">
        <f>IFERROR(VLOOKUP(D71,Hoja2!B:D,3,0),"100%")</f>
        <v>0.73372191503301964</v>
      </c>
    </row>
    <row r="72" spans="1:14" x14ac:dyDescent="0.3">
      <c r="A72" s="1">
        <v>238</v>
      </c>
      <c r="B72" s="1">
        <v>0</v>
      </c>
      <c r="C72" s="10">
        <v>400312</v>
      </c>
      <c r="D72" s="1">
        <v>406</v>
      </c>
      <c r="E72" s="53">
        <f>IFERROR(VLOOKUP(C72,Hoja1!A$2:B557,2,0),"0")</f>
        <v>59400</v>
      </c>
      <c r="F72" s="1">
        <f t="shared" ref="F72:F85" si="16">G72/60</f>
        <v>66.666666666666671</v>
      </c>
      <c r="G72" s="43">
        <f>VLOOKUP(C72,Hoja2!A:C,3,0)</f>
        <v>4000</v>
      </c>
      <c r="H72" s="5">
        <f t="shared" si="10"/>
        <v>64000</v>
      </c>
      <c r="I72" s="1">
        <f t="shared" si="11"/>
        <v>96000</v>
      </c>
      <c r="J72" s="7">
        <f t="shared" si="12"/>
        <v>51618.140656538679</v>
      </c>
      <c r="K72" s="5">
        <f t="shared" si="13"/>
        <v>34412.093771025786</v>
      </c>
      <c r="L72" s="1">
        <f t="shared" si="14"/>
        <v>480000</v>
      </c>
      <c r="M72" s="1">
        <f t="shared" si="15"/>
        <v>320000</v>
      </c>
      <c r="N72" s="55">
        <f>IFERROR(VLOOKUP(D72,Hoja2!B:D,3,0),"100%")</f>
        <v>0.53768896517227793</v>
      </c>
    </row>
    <row r="73" spans="1:14" x14ac:dyDescent="0.3">
      <c r="A73" s="1">
        <v>238</v>
      </c>
      <c r="B73" s="1">
        <v>0</v>
      </c>
      <c r="C73" s="10" t="s">
        <v>54</v>
      </c>
      <c r="D73" s="1">
        <v>406</v>
      </c>
      <c r="E73" s="53">
        <f>IFERROR(VLOOKUP(C73,Hoja1!A$2:B562,2,0),"0")</f>
        <v>72600</v>
      </c>
      <c r="F73" s="1">
        <f t="shared" si="16"/>
        <v>66.666666666666671</v>
      </c>
      <c r="G73" s="43">
        <f>VLOOKUP(C73,Hoja2!A:C,3,0)</f>
        <v>4000</v>
      </c>
      <c r="H73" s="5">
        <f t="shared" ref="H73:H86" si="17">G73*16</f>
        <v>64000</v>
      </c>
      <c r="I73" s="1">
        <f t="shared" ref="I73:I85" si="18">G73*24</f>
        <v>96000</v>
      </c>
      <c r="J73" s="7">
        <f t="shared" ref="J73:J85" si="19">I73*N73</f>
        <v>51618.140656538679</v>
      </c>
      <c r="K73" s="5">
        <f t="shared" ref="K73:K85" si="20">H73*N73</f>
        <v>34412.093771025786</v>
      </c>
      <c r="L73" s="1">
        <f t="shared" ref="L73:L85" si="21">I73*5</f>
        <v>480000</v>
      </c>
      <c r="M73" s="1">
        <f t="shared" ref="M73:M86" si="22">H73*5</f>
        <v>320000</v>
      </c>
      <c r="N73" s="55">
        <f>IFERROR(VLOOKUP(D73,Hoja2!B:D,3,0),"100%")</f>
        <v>0.53768896517227793</v>
      </c>
    </row>
    <row r="74" spans="1:14" x14ac:dyDescent="0.3">
      <c r="A74" s="1">
        <v>238</v>
      </c>
      <c r="B74" s="1">
        <v>0</v>
      </c>
      <c r="C74" s="10">
        <v>400314</v>
      </c>
      <c r="D74" s="1">
        <v>401</v>
      </c>
      <c r="E74" s="53">
        <f>IFERROR(VLOOKUP(C74,Hoja1!A$2:B567,2,0),"0")</f>
        <v>83600</v>
      </c>
      <c r="F74" s="1">
        <f t="shared" si="16"/>
        <v>38.333333333333336</v>
      </c>
      <c r="G74" s="43">
        <f>VLOOKUP(C74,Hoja2!A:C,3,0)</f>
        <v>2300</v>
      </c>
      <c r="H74" s="5">
        <f t="shared" si="17"/>
        <v>36800</v>
      </c>
      <c r="I74" s="1">
        <f t="shared" si="18"/>
        <v>55200</v>
      </c>
      <c r="J74" s="7">
        <f t="shared" si="19"/>
        <v>30013.302901802825</v>
      </c>
      <c r="K74" s="5">
        <f t="shared" si="20"/>
        <v>20008.868601201884</v>
      </c>
      <c r="L74" s="1">
        <f t="shared" si="21"/>
        <v>276000</v>
      </c>
      <c r="M74" s="1">
        <f t="shared" si="22"/>
        <v>184000</v>
      </c>
      <c r="N74" s="55">
        <f>IFERROR(VLOOKUP(D74,Hoja2!B:D,3,0),"100%")</f>
        <v>0.54371925546744249</v>
      </c>
    </row>
    <row r="75" spans="1:14" x14ac:dyDescent="0.3">
      <c r="A75" s="1">
        <v>238</v>
      </c>
      <c r="B75" s="1">
        <v>0</v>
      </c>
      <c r="C75" s="10">
        <v>402079</v>
      </c>
      <c r="D75" s="1">
        <v>136</v>
      </c>
      <c r="E75" s="53" t="str">
        <f>IFERROR(VLOOKUP(C75,Hoja1!A$2:B576,2,0),"0")</f>
        <v>0</v>
      </c>
      <c r="F75" s="1">
        <f t="shared" si="16"/>
        <v>66.666666666666671</v>
      </c>
      <c r="G75" s="43">
        <f>VLOOKUP(C75,Hoja2!A:C,3,0)</f>
        <v>4000</v>
      </c>
      <c r="H75" s="5">
        <f t="shared" si="17"/>
        <v>64000</v>
      </c>
      <c r="I75" s="1">
        <f t="shared" si="18"/>
        <v>96000</v>
      </c>
      <c r="J75" s="7">
        <f t="shared" si="19"/>
        <v>70182.973762321199</v>
      </c>
      <c r="K75" s="5">
        <f t="shared" si="20"/>
        <v>46788.649174880804</v>
      </c>
      <c r="L75" s="1">
        <f t="shared" si="21"/>
        <v>480000</v>
      </c>
      <c r="M75" s="1">
        <f t="shared" si="22"/>
        <v>320000</v>
      </c>
      <c r="N75" s="55">
        <f>IFERROR(VLOOKUP(D75,Hoja2!B:D,3,0),"100%")</f>
        <v>0.73107264335751254</v>
      </c>
    </row>
    <row r="76" spans="1:14" x14ac:dyDescent="0.3">
      <c r="A76" s="1">
        <v>238</v>
      </c>
      <c r="B76" s="1">
        <v>0</v>
      </c>
      <c r="C76" s="10">
        <v>403076</v>
      </c>
      <c r="D76" s="1">
        <v>207</v>
      </c>
      <c r="E76" s="53">
        <f>IFERROR(VLOOKUP(C76,Hoja1!A$2:B578,2,0),"0")</f>
        <v>1102200</v>
      </c>
      <c r="F76" s="1">
        <f t="shared" si="16"/>
        <v>30</v>
      </c>
      <c r="G76" s="43">
        <f>VLOOKUP(C76,Hoja2!A:C,3,0)</f>
        <v>1800</v>
      </c>
      <c r="H76" s="5">
        <f t="shared" si="17"/>
        <v>28800</v>
      </c>
      <c r="I76" s="1">
        <f t="shared" si="18"/>
        <v>43200</v>
      </c>
      <c r="J76" s="7">
        <f t="shared" si="19"/>
        <v>39124.224957791026</v>
      </c>
      <c r="K76" s="5">
        <f t="shared" si="20"/>
        <v>26082.816638527351</v>
      </c>
      <c r="L76" s="1">
        <f t="shared" si="21"/>
        <v>216000</v>
      </c>
      <c r="M76" s="1">
        <f t="shared" si="22"/>
        <v>144000</v>
      </c>
      <c r="N76" s="55">
        <f>IFERROR(VLOOKUP(D76,Hoja2!B:D,3,0),"100%")</f>
        <v>0.90565335550442194</v>
      </c>
    </row>
    <row r="77" spans="1:14" x14ac:dyDescent="0.3">
      <c r="A77" s="1">
        <v>238</v>
      </c>
      <c r="B77" s="1">
        <v>0</v>
      </c>
      <c r="C77" s="10">
        <v>403085</v>
      </c>
      <c r="D77" s="1">
        <v>214</v>
      </c>
      <c r="E77" s="53">
        <f>IFERROR(VLOOKUP(C77,Hoja1!A$2:B582,2,0),"0")</f>
        <v>266200</v>
      </c>
      <c r="F77" s="1">
        <f t="shared" si="16"/>
        <v>30</v>
      </c>
      <c r="G77" s="43">
        <f>VLOOKUP(C77,Hoja2!A:C,3,0)</f>
        <v>1800</v>
      </c>
      <c r="H77" s="5">
        <f t="shared" si="17"/>
        <v>28800</v>
      </c>
      <c r="I77" s="1">
        <f t="shared" si="18"/>
        <v>43200</v>
      </c>
      <c r="J77" s="7">
        <f t="shared" si="19"/>
        <v>39648.10517302739</v>
      </c>
      <c r="K77" s="5">
        <f t="shared" si="20"/>
        <v>26432.070115351595</v>
      </c>
      <c r="L77" s="1">
        <f t="shared" si="21"/>
        <v>216000</v>
      </c>
      <c r="M77" s="1">
        <f t="shared" si="22"/>
        <v>144000</v>
      </c>
      <c r="N77" s="55">
        <f>IFERROR(VLOOKUP(D77,Hoja2!B:D,3,0),"100%")</f>
        <v>0.91778021233859708</v>
      </c>
    </row>
    <row r="78" spans="1:14" x14ac:dyDescent="0.3">
      <c r="A78" s="1">
        <v>238</v>
      </c>
      <c r="B78" s="1">
        <v>0</v>
      </c>
      <c r="C78" s="10">
        <v>403092</v>
      </c>
      <c r="D78" s="1">
        <v>207</v>
      </c>
      <c r="E78" s="53">
        <f>IFERROR(VLOOKUP(C78,Hoja1!A$2:B586,2,0),"0")</f>
        <v>0</v>
      </c>
      <c r="F78" s="1">
        <f t="shared" si="16"/>
        <v>21.666666666666668</v>
      </c>
      <c r="G78" s="43">
        <f>VLOOKUP(C78,Hoja2!A:C,3,0)</f>
        <v>1300</v>
      </c>
      <c r="H78" s="5">
        <f t="shared" si="17"/>
        <v>20800</v>
      </c>
      <c r="I78" s="1">
        <f t="shared" si="18"/>
        <v>31200</v>
      </c>
      <c r="J78" s="7">
        <f t="shared" si="19"/>
        <v>28256.384691737963</v>
      </c>
      <c r="K78" s="5">
        <f t="shared" si="20"/>
        <v>18837.589794491978</v>
      </c>
      <c r="L78" s="1">
        <f t="shared" si="21"/>
        <v>156000</v>
      </c>
      <c r="M78" s="1">
        <f t="shared" si="22"/>
        <v>104000</v>
      </c>
      <c r="N78" s="55">
        <f>IFERROR(VLOOKUP(D78,Hoja2!B:D,3,0),"100%")</f>
        <v>0.90565335550442194</v>
      </c>
    </row>
    <row r="79" spans="1:14" x14ac:dyDescent="0.3">
      <c r="A79" s="1">
        <v>238</v>
      </c>
      <c r="B79" s="1">
        <v>0</v>
      </c>
      <c r="C79" s="10">
        <v>403106</v>
      </c>
      <c r="D79" s="1">
        <v>207</v>
      </c>
      <c r="E79" s="53" t="str">
        <f>IFERROR(VLOOKUP(C79,Hoja1!A$2:B590,2,0),"0")</f>
        <v>0</v>
      </c>
      <c r="F79" s="1">
        <f t="shared" si="16"/>
        <v>10</v>
      </c>
      <c r="G79" s="43">
        <f>VLOOKUP(C79,Hoja2!A:C,3,0)</f>
        <v>600</v>
      </c>
      <c r="H79" s="5">
        <f t="shared" si="17"/>
        <v>9600</v>
      </c>
      <c r="I79" s="1">
        <f t="shared" si="18"/>
        <v>14400</v>
      </c>
      <c r="J79" s="7">
        <f t="shared" si="19"/>
        <v>13041.408319263675</v>
      </c>
      <c r="K79" s="5">
        <f t="shared" si="20"/>
        <v>8694.2722128424502</v>
      </c>
      <c r="L79" s="1">
        <f t="shared" si="21"/>
        <v>72000</v>
      </c>
      <c r="M79" s="1">
        <f t="shared" si="22"/>
        <v>48000</v>
      </c>
      <c r="N79" s="55">
        <f>IFERROR(VLOOKUP(D79,Hoja2!B:D,3,0),"100%")</f>
        <v>0.90565335550442194</v>
      </c>
    </row>
    <row r="80" spans="1:14" x14ac:dyDescent="0.3">
      <c r="A80" s="1">
        <v>238</v>
      </c>
      <c r="B80" s="1">
        <v>0</v>
      </c>
      <c r="C80" s="10">
        <v>403109</v>
      </c>
      <c r="D80" s="1">
        <v>207</v>
      </c>
      <c r="E80" s="53">
        <f>IFERROR(VLOOKUP(C80,Hoja1!A$2:B595,2,0),"0")</f>
        <v>132000</v>
      </c>
      <c r="F80" s="1">
        <f t="shared" si="16"/>
        <v>13.333333333333334</v>
      </c>
      <c r="G80" s="43">
        <f>VLOOKUP(C80,Hoja2!A:C,3,0)</f>
        <v>800</v>
      </c>
      <c r="H80" s="5">
        <f t="shared" si="17"/>
        <v>12800</v>
      </c>
      <c r="I80" s="1">
        <f t="shared" si="18"/>
        <v>19200</v>
      </c>
      <c r="J80" s="7">
        <f t="shared" si="19"/>
        <v>17388.5444256849</v>
      </c>
      <c r="K80" s="5">
        <f t="shared" si="20"/>
        <v>11592.362950456602</v>
      </c>
      <c r="L80" s="1">
        <f t="shared" si="21"/>
        <v>96000</v>
      </c>
      <c r="M80" s="1">
        <f t="shared" si="22"/>
        <v>64000</v>
      </c>
      <c r="N80" s="55">
        <f>IFERROR(VLOOKUP(D80,Hoja2!B:D,3,0),"100%")</f>
        <v>0.90565335550442194</v>
      </c>
    </row>
    <row r="81" spans="1:14" x14ac:dyDescent="0.3">
      <c r="A81" s="1">
        <v>238</v>
      </c>
      <c r="B81" s="1">
        <v>0</v>
      </c>
      <c r="C81" s="10">
        <v>403110</v>
      </c>
      <c r="D81" s="1">
        <v>207</v>
      </c>
      <c r="E81" s="53">
        <f>IFERROR(VLOOKUP(C81,Hoja1!A$2:B600,2,0),"0")</f>
        <v>110000</v>
      </c>
      <c r="F81" s="1">
        <f t="shared" si="16"/>
        <v>10</v>
      </c>
      <c r="G81" s="43">
        <f>VLOOKUP(C81,Hoja2!A:C,3,0)</f>
        <v>600</v>
      </c>
      <c r="H81" s="5">
        <f t="shared" si="17"/>
        <v>9600</v>
      </c>
      <c r="I81" s="1">
        <f t="shared" si="18"/>
        <v>14400</v>
      </c>
      <c r="J81" s="7">
        <f t="shared" si="19"/>
        <v>13041.408319263675</v>
      </c>
      <c r="K81" s="5">
        <f t="shared" si="20"/>
        <v>8694.2722128424502</v>
      </c>
      <c r="L81" s="1">
        <f t="shared" si="21"/>
        <v>72000</v>
      </c>
      <c r="M81" s="1">
        <f t="shared" si="22"/>
        <v>48000</v>
      </c>
      <c r="N81" s="55">
        <f>IFERROR(VLOOKUP(D81,Hoja2!B:D,3,0),"100%")</f>
        <v>0.90565335550442194</v>
      </c>
    </row>
    <row r="82" spans="1:14" x14ac:dyDescent="0.3">
      <c r="A82" s="1">
        <v>238</v>
      </c>
      <c r="B82" s="1">
        <v>0</v>
      </c>
      <c r="C82" s="10">
        <v>403577</v>
      </c>
      <c r="D82" s="1">
        <v>207</v>
      </c>
      <c r="E82" s="53">
        <f>IFERROR(VLOOKUP(C82,Hoja1!A$2:B605,2,0),"0")</f>
        <v>0</v>
      </c>
      <c r="F82" s="1">
        <f t="shared" si="16"/>
        <v>10</v>
      </c>
      <c r="G82" s="43">
        <f>VLOOKUP(C82,Hoja2!A:C,3,0)</f>
        <v>600</v>
      </c>
      <c r="H82" s="5">
        <f t="shared" si="17"/>
        <v>9600</v>
      </c>
      <c r="I82" s="1">
        <f t="shared" si="18"/>
        <v>14400</v>
      </c>
      <c r="J82" s="7">
        <f t="shared" si="19"/>
        <v>13041.408319263675</v>
      </c>
      <c r="K82" s="5">
        <f t="shared" si="20"/>
        <v>8694.2722128424502</v>
      </c>
      <c r="L82" s="1">
        <f t="shared" si="21"/>
        <v>72000</v>
      </c>
      <c r="M82" s="1">
        <f t="shared" si="22"/>
        <v>48000</v>
      </c>
      <c r="N82" s="55">
        <f>IFERROR(VLOOKUP(D82,Hoja2!B:D,3,0),"100%")</f>
        <v>0.90565335550442194</v>
      </c>
    </row>
    <row r="83" spans="1:14" x14ac:dyDescent="0.3">
      <c r="A83" s="1">
        <v>238</v>
      </c>
      <c r="B83" s="1">
        <v>0</v>
      </c>
      <c r="C83" s="10">
        <v>403584</v>
      </c>
      <c r="D83" s="1">
        <v>213</v>
      </c>
      <c r="E83" s="53">
        <f>IFERROR(VLOOKUP(C83,Hoja1!A$2:B609,2,0),"0")</f>
        <v>24200</v>
      </c>
      <c r="F83" s="1">
        <f t="shared" si="16"/>
        <v>10</v>
      </c>
      <c r="G83" s="43">
        <f>VLOOKUP(C83,Hoja2!A:C,3,0)</f>
        <v>600</v>
      </c>
      <c r="H83" s="5">
        <f t="shared" si="17"/>
        <v>9600</v>
      </c>
      <c r="I83" s="1">
        <f t="shared" si="18"/>
        <v>14400</v>
      </c>
      <c r="J83" s="7">
        <f t="shared" si="19"/>
        <v>12846.443647302474</v>
      </c>
      <c r="K83" s="5">
        <f t="shared" si="20"/>
        <v>8564.2957648683168</v>
      </c>
      <c r="L83" s="1">
        <f t="shared" si="21"/>
        <v>72000</v>
      </c>
      <c r="M83" s="1">
        <f t="shared" si="22"/>
        <v>48000</v>
      </c>
      <c r="N83" s="55">
        <f>IFERROR(VLOOKUP(D83,Hoja2!B:D,3,0),"100%")</f>
        <v>0.89211414217378293</v>
      </c>
    </row>
    <row r="84" spans="1:14" x14ac:dyDescent="0.3">
      <c r="A84" s="1">
        <v>238</v>
      </c>
      <c r="B84" s="1">
        <v>0</v>
      </c>
      <c r="C84" s="10">
        <v>403763</v>
      </c>
      <c r="D84" s="1">
        <v>207</v>
      </c>
      <c r="E84" s="53">
        <f>IFERROR(VLOOKUP(C84,Hoja1!A$2:B614,2,0),"0")</f>
        <v>0</v>
      </c>
      <c r="F84" s="1">
        <f t="shared" si="16"/>
        <v>20</v>
      </c>
      <c r="G84" s="43">
        <f>VLOOKUP(C84,Hoja2!A:C,3,0)</f>
        <v>1200</v>
      </c>
      <c r="H84" s="5">
        <f t="shared" si="17"/>
        <v>19200</v>
      </c>
      <c r="I84" s="1">
        <f t="shared" si="18"/>
        <v>28800</v>
      </c>
      <c r="J84" s="7">
        <f t="shared" si="19"/>
        <v>26082.816638527351</v>
      </c>
      <c r="K84" s="5">
        <f t="shared" si="20"/>
        <v>17388.5444256849</v>
      </c>
      <c r="L84" s="1">
        <f t="shared" si="21"/>
        <v>144000</v>
      </c>
      <c r="M84" s="1">
        <f t="shared" si="22"/>
        <v>96000</v>
      </c>
      <c r="N84" s="55">
        <f>IFERROR(VLOOKUP(D84,Hoja2!B:D,3,0),"100%")</f>
        <v>0.90565335550442194</v>
      </c>
    </row>
    <row r="85" spans="1:14" x14ac:dyDescent="0.3">
      <c r="A85" s="1">
        <v>238</v>
      </c>
      <c r="B85" s="1">
        <v>0</v>
      </c>
      <c r="C85" s="10">
        <v>403844</v>
      </c>
      <c r="D85" s="1">
        <v>207</v>
      </c>
      <c r="E85" s="53">
        <f>IFERROR(VLOOKUP(C85,Hoja1!A$2:B618,2,0),"0")</f>
        <v>0</v>
      </c>
      <c r="F85" s="1">
        <f t="shared" si="16"/>
        <v>13.333333333333334</v>
      </c>
      <c r="G85" s="43">
        <f>VLOOKUP(C85,Hoja2!A:C,3,0)</f>
        <v>800</v>
      </c>
      <c r="H85" s="5">
        <f t="shared" si="17"/>
        <v>12800</v>
      </c>
      <c r="I85" s="1">
        <f t="shared" si="18"/>
        <v>19200</v>
      </c>
      <c r="J85" s="7">
        <f t="shared" si="19"/>
        <v>17388.5444256849</v>
      </c>
      <c r="K85" s="5">
        <f t="shared" si="20"/>
        <v>11592.362950456602</v>
      </c>
      <c r="L85" s="1">
        <f t="shared" si="21"/>
        <v>96000</v>
      </c>
      <c r="M85" s="1">
        <f t="shared" si="22"/>
        <v>64000</v>
      </c>
      <c r="N85" s="55">
        <f>IFERROR(VLOOKUP(D85,Hoja2!B:D,3,0),"100%")</f>
        <v>0.90565335550442194</v>
      </c>
    </row>
    <row r="86" spans="1:14" x14ac:dyDescent="0.3">
      <c r="A86" s="1">
        <v>238</v>
      </c>
      <c r="B86" s="1">
        <v>0</v>
      </c>
      <c r="C86" s="10">
        <v>403901</v>
      </c>
      <c r="D86" s="1">
        <v>213</v>
      </c>
      <c r="E86" s="53">
        <f>IFERROR(VLOOKUP(C86,Hoja1!A$2:B624,2,0),"0")</f>
        <v>327800</v>
      </c>
      <c r="F86" s="1">
        <f t="shared" ref="F86:F100" si="23">G86/60</f>
        <v>20</v>
      </c>
      <c r="G86" s="43">
        <f>VLOOKUP(C86,Hoja2!A:C,3,0)</f>
        <v>1200</v>
      </c>
      <c r="H86" s="5">
        <f t="shared" si="17"/>
        <v>19200</v>
      </c>
      <c r="I86" s="1">
        <f t="shared" ref="I86:I101" si="24">G86*24</f>
        <v>28800</v>
      </c>
      <c r="J86" s="7">
        <f t="shared" ref="J86:J101" si="25">I86*N86</f>
        <v>25692.887294604949</v>
      </c>
      <c r="K86" s="5">
        <f t="shared" ref="K86:K101" si="26">H86*N86</f>
        <v>17128.591529736634</v>
      </c>
      <c r="L86" s="1">
        <f t="shared" ref="L86:L101" si="27">I86*5</f>
        <v>144000</v>
      </c>
      <c r="M86" s="1">
        <f t="shared" si="22"/>
        <v>96000</v>
      </c>
      <c r="N86" s="55">
        <f>IFERROR(VLOOKUP(D86,Hoja2!B:D,3,0),"100%")</f>
        <v>0.89211414217378293</v>
      </c>
    </row>
    <row r="87" spans="1:14" x14ac:dyDescent="0.3">
      <c r="A87" s="1">
        <v>238</v>
      </c>
      <c r="B87" s="1">
        <v>0</v>
      </c>
      <c r="C87" s="10">
        <v>403970</v>
      </c>
      <c r="D87" s="1">
        <v>217</v>
      </c>
      <c r="E87" s="53">
        <f>IFERROR(VLOOKUP(C87,Hoja1!A$2:B628,2,0),"0")</f>
        <v>0</v>
      </c>
      <c r="F87" s="1">
        <f t="shared" si="23"/>
        <v>41.666666666666664</v>
      </c>
      <c r="G87" s="43">
        <f>VLOOKUP(C87,Hoja2!A:C,3,0)</f>
        <v>2500</v>
      </c>
      <c r="H87" s="5">
        <f t="shared" ref="H87:H101" si="28">G87*16</f>
        <v>40000</v>
      </c>
      <c r="I87" s="1">
        <f t="shared" si="24"/>
        <v>60000</v>
      </c>
      <c r="J87" s="7">
        <f t="shared" si="25"/>
        <v>51822.020794067386</v>
      </c>
      <c r="K87" s="5">
        <f t="shared" si="26"/>
        <v>34548.013862711588</v>
      </c>
      <c r="L87" s="1">
        <f t="shared" si="27"/>
        <v>300000</v>
      </c>
      <c r="M87" s="1">
        <f t="shared" ref="M87:M101" si="29">H87*5</f>
        <v>200000</v>
      </c>
      <c r="N87" s="55">
        <f>IFERROR(VLOOKUP(D87,Hoja2!B:D,3,0),"100%")</f>
        <v>0.86370034656778971</v>
      </c>
    </row>
    <row r="88" spans="1:14" x14ac:dyDescent="0.3">
      <c r="A88" s="1">
        <v>238</v>
      </c>
      <c r="B88" s="1">
        <v>0</v>
      </c>
      <c r="C88" s="10" t="s">
        <v>68</v>
      </c>
      <c r="D88" s="1">
        <v>221</v>
      </c>
      <c r="E88" s="53">
        <f>IFERROR(VLOOKUP(C88,Hoja1!A$2:B633,2,0),"0")</f>
        <v>121000</v>
      </c>
      <c r="F88" s="1">
        <f t="shared" si="23"/>
        <v>16.666666666666668</v>
      </c>
      <c r="G88" s="43">
        <f>VLOOKUP(C88,Hoja2!A:C,3,0)</f>
        <v>1000</v>
      </c>
      <c r="H88" s="5">
        <f t="shared" si="28"/>
        <v>16000</v>
      </c>
      <c r="I88" s="1">
        <f t="shared" si="24"/>
        <v>24000</v>
      </c>
      <c r="J88" s="7">
        <f t="shared" si="25"/>
        <v>20748.425708423867</v>
      </c>
      <c r="K88" s="5">
        <f t="shared" si="26"/>
        <v>13832.283805615913</v>
      </c>
      <c r="L88" s="1">
        <f t="shared" si="27"/>
        <v>120000</v>
      </c>
      <c r="M88" s="1">
        <f t="shared" si="29"/>
        <v>80000</v>
      </c>
      <c r="N88" s="55">
        <f>IFERROR(VLOOKUP(D88,Hoja2!B:D,3,0),"100%")</f>
        <v>0.86451773785099451</v>
      </c>
    </row>
    <row r="89" spans="1:14" x14ac:dyDescent="0.3">
      <c r="A89" s="1">
        <v>238</v>
      </c>
      <c r="B89" s="1">
        <v>0</v>
      </c>
      <c r="C89" s="10" t="s">
        <v>391</v>
      </c>
      <c r="D89" s="1">
        <v>217</v>
      </c>
      <c r="E89" s="53">
        <f>IFERROR(VLOOKUP(C89,Hoja1!A$2:B637,2,0),"0")</f>
        <v>0</v>
      </c>
      <c r="F89" s="1">
        <f t="shared" si="23"/>
        <v>36.666666666666664</v>
      </c>
      <c r="G89" s="43">
        <f>VLOOKUP(C89,Hoja2!A:C,3,0)</f>
        <v>2200</v>
      </c>
      <c r="H89" s="5">
        <f t="shared" si="28"/>
        <v>35200</v>
      </c>
      <c r="I89" s="1">
        <f t="shared" si="24"/>
        <v>52800</v>
      </c>
      <c r="J89" s="7">
        <f t="shared" si="25"/>
        <v>45603.378298779295</v>
      </c>
      <c r="K89" s="5">
        <f t="shared" si="26"/>
        <v>30402.252199186198</v>
      </c>
      <c r="L89" s="1">
        <f t="shared" si="27"/>
        <v>264000</v>
      </c>
      <c r="M89" s="1">
        <f t="shared" si="29"/>
        <v>176000</v>
      </c>
      <c r="N89" s="55">
        <f>IFERROR(VLOOKUP(D89,Hoja2!B:D,3,0),"100%")</f>
        <v>0.86370034656778971</v>
      </c>
    </row>
    <row r="90" spans="1:14" x14ac:dyDescent="0.3">
      <c r="A90" s="1">
        <v>238</v>
      </c>
      <c r="B90" s="1">
        <v>0</v>
      </c>
      <c r="C90" s="10">
        <v>403981</v>
      </c>
      <c r="D90" s="1">
        <v>213</v>
      </c>
      <c r="E90" s="53" t="str">
        <f>IFERROR(VLOOKUP(C90,Hoja1!A$2:B641,2,0),"0")</f>
        <v>0</v>
      </c>
      <c r="F90" s="1">
        <f t="shared" si="23"/>
        <v>26.666666666666668</v>
      </c>
      <c r="G90" s="43">
        <f>VLOOKUP(C90,Hoja2!A:C,3,0)</f>
        <v>1600</v>
      </c>
      <c r="H90" s="5">
        <f t="shared" si="28"/>
        <v>25600</v>
      </c>
      <c r="I90" s="1">
        <f t="shared" si="24"/>
        <v>38400</v>
      </c>
      <c r="J90" s="7">
        <f t="shared" si="25"/>
        <v>34257.183059473267</v>
      </c>
      <c r="K90" s="5">
        <f t="shared" si="26"/>
        <v>22838.122039648842</v>
      </c>
      <c r="L90" s="1">
        <f t="shared" si="27"/>
        <v>192000</v>
      </c>
      <c r="M90" s="1">
        <f t="shared" si="29"/>
        <v>128000</v>
      </c>
      <c r="N90" s="55">
        <f>IFERROR(VLOOKUP(D90,Hoja2!B:D,3,0),"100%")</f>
        <v>0.89211414217378293</v>
      </c>
    </row>
    <row r="91" spans="1:14" x14ac:dyDescent="0.3">
      <c r="A91" s="1">
        <v>238</v>
      </c>
      <c r="B91" s="1">
        <v>0</v>
      </c>
      <c r="C91" s="10">
        <v>403988</v>
      </c>
      <c r="D91" s="1">
        <v>221</v>
      </c>
      <c r="E91" s="53">
        <f>IFERROR(VLOOKUP(C91,Hoja1!A$2:B645,2,0),"0")</f>
        <v>0</v>
      </c>
      <c r="F91" s="1">
        <f t="shared" si="23"/>
        <v>12</v>
      </c>
      <c r="G91" s="43">
        <f>VLOOKUP(C91,Hoja2!A:C,3,0)</f>
        <v>720</v>
      </c>
      <c r="H91" s="5">
        <f t="shared" si="28"/>
        <v>11520</v>
      </c>
      <c r="I91" s="1">
        <f t="shared" si="24"/>
        <v>17280</v>
      </c>
      <c r="J91" s="7">
        <f t="shared" si="25"/>
        <v>14938.866510065185</v>
      </c>
      <c r="K91" s="5">
        <f t="shared" si="26"/>
        <v>9959.2443400434568</v>
      </c>
      <c r="L91" s="1">
        <f t="shared" si="27"/>
        <v>86400</v>
      </c>
      <c r="M91" s="1">
        <f t="shared" si="29"/>
        <v>57600</v>
      </c>
      <c r="N91" s="55">
        <f>IFERROR(VLOOKUP(D91,Hoja2!B:D,3,0),"100%")</f>
        <v>0.86451773785099451</v>
      </c>
    </row>
    <row r="92" spans="1:14" x14ac:dyDescent="0.3">
      <c r="A92" s="1">
        <v>238</v>
      </c>
      <c r="B92" s="1">
        <v>0</v>
      </c>
      <c r="C92" s="10">
        <v>403993</v>
      </c>
      <c r="D92" s="1">
        <v>221</v>
      </c>
      <c r="E92" s="53">
        <f>IFERROR(VLOOKUP(C92,Hoja1!A$2:B649,2,0),"0")</f>
        <v>0</v>
      </c>
      <c r="F92" s="1">
        <f t="shared" si="23"/>
        <v>8.3333333333333339</v>
      </c>
      <c r="G92" s="43">
        <f>VLOOKUP(C92,Hoja2!A:C,3,0)</f>
        <v>500</v>
      </c>
      <c r="H92" s="5">
        <f t="shared" si="28"/>
        <v>8000</v>
      </c>
      <c r="I92" s="1">
        <f t="shared" si="24"/>
        <v>12000</v>
      </c>
      <c r="J92" s="7">
        <f t="shared" si="25"/>
        <v>10374.212854211934</v>
      </c>
      <c r="K92" s="5">
        <f t="shared" si="26"/>
        <v>6916.1419028079563</v>
      </c>
      <c r="L92" s="1">
        <f t="shared" si="27"/>
        <v>60000</v>
      </c>
      <c r="M92" s="1">
        <f t="shared" si="29"/>
        <v>40000</v>
      </c>
      <c r="N92" s="55">
        <f>IFERROR(VLOOKUP(D92,Hoja2!B:D,3,0),"100%")</f>
        <v>0.86451773785099451</v>
      </c>
    </row>
    <row r="93" spans="1:14" x14ac:dyDescent="0.3">
      <c r="A93" s="1">
        <v>238</v>
      </c>
      <c r="B93" s="1">
        <v>0</v>
      </c>
      <c r="C93" s="10">
        <v>403994</v>
      </c>
      <c r="D93" s="1">
        <v>221</v>
      </c>
      <c r="E93" s="53">
        <f>IFERROR(VLOOKUP(C93,Hoja1!A$2:B652,2,0),"0")</f>
        <v>290400</v>
      </c>
      <c r="F93" s="1">
        <f t="shared" si="23"/>
        <v>21.666666666666668</v>
      </c>
      <c r="G93" s="43">
        <f>VLOOKUP(C93,Hoja2!A:C,3,0)</f>
        <v>1300</v>
      </c>
      <c r="H93" s="5">
        <f t="shared" si="28"/>
        <v>20800</v>
      </c>
      <c r="I93" s="1">
        <f t="shared" si="24"/>
        <v>31200</v>
      </c>
      <c r="J93" s="7">
        <f t="shared" si="25"/>
        <v>26972.953420951028</v>
      </c>
      <c r="K93" s="5">
        <f t="shared" si="26"/>
        <v>17981.968947300687</v>
      </c>
      <c r="L93" s="1">
        <f t="shared" si="27"/>
        <v>156000</v>
      </c>
      <c r="M93" s="1">
        <f t="shared" si="29"/>
        <v>104000</v>
      </c>
      <c r="N93" s="55">
        <f>IFERROR(VLOOKUP(D93,Hoja2!B:D,3,0),"100%")</f>
        <v>0.86451773785099451</v>
      </c>
    </row>
    <row r="94" spans="1:14" x14ac:dyDescent="0.3">
      <c r="A94" s="1">
        <v>238</v>
      </c>
      <c r="B94" s="1">
        <v>0</v>
      </c>
      <c r="C94" s="10">
        <v>403996</v>
      </c>
      <c r="D94" s="1">
        <v>221</v>
      </c>
      <c r="E94" s="53">
        <f>IFERROR(VLOOKUP(C94,Hoja1!A$2:B656,2,0),"0")</f>
        <v>204600</v>
      </c>
      <c r="F94" s="1">
        <f t="shared" si="23"/>
        <v>20</v>
      </c>
      <c r="G94" s="43">
        <f>VLOOKUP(C94,Hoja2!A:C,3,0)</f>
        <v>1200</v>
      </c>
      <c r="H94" s="5">
        <f t="shared" si="28"/>
        <v>19200</v>
      </c>
      <c r="I94" s="1">
        <f t="shared" si="24"/>
        <v>28800</v>
      </c>
      <c r="J94" s="7">
        <f t="shared" si="25"/>
        <v>24898.110850108642</v>
      </c>
      <c r="K94" s="5">
        <f t="shared" si="26"/>
        <v>16598.740566739096</v>
      </c>
      <c r="L94" s="1">
        <f t="shared" si="27"/>
        <v>144000</v>
      </c>
      <c r="M94" s="1">
        <f t="shared" si="29"/>
        <v>96000</v>
      </c>
      <c r="N94" s="55">
        <f>IFERROR(VLOOKUP(D94,Hoja2!B:D,3,0),"100%")</f>
        <v>0.86451773785099451</v>
      </c>
    </row>
    <row r="95" spans="1:14" x14ac:dyDescent="0.3">
      <c r="A95" s="1">
        <v>238</v>
      </c>
      <c r="B95" s="1">
        <v>0</v>
      </c>
      <c r="C95" s="10">
        <v>404003</v>
      </c>
      <c r="D95" s="1">
        <v>214</v>
      </c>
      <c r="E95" s="53">
        <f>IFERROR(VLOOKUP(C95,Hoja1!A$2:B660,2,0),"0")</f>
        <v>2699400</v>
      </c>
      <c r="F95" s="1">
        <f t="shared" si="23"/>
        <v>33.333333333333336</v>
      </c>
      <c r="G95" s="43">
        <f>VLOOKUP(C95,Hoja2!A:C,3,0)</f>
        <v>2000</v>
      </c>
      <c r="H95" s="5">
        <f t="shared" si="28"/>
        <v>32000</v>
      </c>
      <c r="I95" s="1">
        <f t="shared" si="24"/>
        <v>48000</v>
      </c>
      <c r="J95" s="7">
        <f t="shared" si="25"/>
        <v>44053.450192252662</v>
      </c>
      <c r="K95" s="5">
        <f t="shared" si="26"/>
        <v>29368.966794835105</v>
      </c>
      <c r="L95" s="1">
        <f t="shared" si="27"/>
        <v>240000</v>
      </c>
      <c r="M95" s="1">
        <f t="shared" si="29"/>
        <v>160000</v>
      </c>
      <c r="N95" s="55">
        <f>IFERROR(VLOOKUP(D95,Hoja2!B:D,3,0),"100%")</f>
        <v>0.91778021233859708</v>
      </c>
    </row>
    <row r="96" spans="1:14" x14ac:dyDescent="0.3">
      <c r="A96" s="1">
        <v>238</v>
      </c>
      <c r="B96" s="1">
        <v>0</v>
      </c>
      <c r="C96" s="10" t="s">
        <v>314</v>
      </c>
      <c r="D96" s="1">
        <v>221</v>
      </c>
      <c r="E96" s="53">
        <f>IFERROR(VLOOKUP(C96,Hoja1!A$2:B664,2,0),"0")</f>
        <v>37400</v>
      </c>
      <c r="F96" s="1">
        <f t="shared" si="23"/>
        <v>30</v>
      </c>
      <c r="G96" s="43">
        <f>VLOOKUP(C96,Hoja2!A:C,3,0)</f>
        <v>1800</v>
      </c>
      <c r="H96" s="5">
        <f t="shared" si="28"/>
        <v>28800</v>
      </c>
      <c r="I96" s="1">
        <f t="shared" si="24"/>
        <v>43200</v>
      </c>
      <c r="J96" s="7">
        <f t="shared" si="25"/>
        <v>37347.166275162963</v>
      </c>
      <c r="K96" s="5">
        <f t="shared" si="26"/>
        <v>24898.110850108642</v>
      </c>
      <c r="L96" s="1">
        <f t="shared" si="27"/>
        <v>216000</v>
      </c>
      <c r="M96" s="1">
        <f t="shared" si="29"/>
        <v>144000</v>
      </c>
      <c r="N96" s="55">
        <f>IFERROR(VLOOKUP(D96,Hoja2!B:D,3,0),"100%")</f>
        <v>0.86451773785099451</v>
      </c>
    </row>
    <row r="97" spans="1:14" x14ac:dyDescent="0.3">
      <c r="A97" s="1">
        <v>238</v>
      </c>
      <c r="B97" s="1">
        <v>0</v>
      </c>
      <c r="C97" s="10">
        <v>404006</v>
      </c>
      <c r="D97" s="1">
        <v>221</v>
      </c>
      <c r="E97" s="53">
        <f>IFERROR(VLOOKUP(C97,Hoja1!A$2:B668,2,0),"0")</f>
        <v>59400</v>
      </c>
      <c r="F97" s="1">
        <f t="shared" si="23"/>
        <v>18.333333333333332</v>
      </c>
      <c r="G97" s="43">
        <f>VLOOKUP(C97,Hoja2!A:C,3,0)</f>
        <v>1100</v>
      </c>
      <c r="H97" s="5">
        <f t="shared" si="28"/>
        <v>17600</v>
      </c>
      <c r="I97" s="1">
        <f t="shared" si="24"/>
        <v>26400</v>
      </c>
      <c r="J97" s="7">
        <f t="shared" si="25"/>
        <v>22823.268279266256</v>
      </c>
      <c r="K97" s="5">
        <f t="shared" si="26"/>
        <v>15215.512186177504</v>
      </c>
      <c r="L97" s="1">
        <f t="shared" si="27"/>
        <v>132000</v>
      </c>
      <c r="M97" s="1">
        <f t="shared" si="29"/>
        <v>88000</v>
      </c>
      <c r="N97" s="55">
        <f>IFERROR(VLOOKUP(D97,Hoja2!B:D,3,0),"100%")</f>
        <v>0.86451773785099451</v>
      </c>
    </row>
    <row r="98" spans="1:14" x14ac:dyDescent="0.3">
      <c r="A98" s="1">
        <v>238</v>
      </c>
      <c r="B98" s="1">
        <v>0</v>
      </c>
      <c r="C98" s="10">
        <v>404014</v>
      </c>
      <c r="D98" s="1">
        <v>213</v>
      </c>
      <c r="E98" s="53">
        <f>IFERROR(VLOOKUP(C98,Hoja1!A$2:B672,2,0),"0")</f>
        <v>13200</v>
      </c>
      <c r="F98" s="1">
        <f t="shared" si="23"/>
        <v>10</v>
      </c>
      <c r="G98" s="43">
        <f>VLOOKUP(C98,Hoja2!A:C,3,0)</f>
        <v>600</v>
      </c>
      <c r="H98" s="5">
        <f t="shared" si="28"/>
        <v>9600</v>
      </c>
      <c r="I98" s="1">
        <f t="shared" si="24"/>
        <v>14400</v>
      </c>
      <c r="J98" s="7">
        <f t="shared" si="25"/>
        <v>12846.443647302474</v>
      </c>
      <c r="K98" s="5">
        <f t="shared" si="26"/>
        <v>8564.2957648683168</v>
      </c>
      <c r="L98" s="1">
        <f t="shared" si="27"/>
        <v>72000</v>
      </c>
      <c r="M98" s="1">
        <f t="shared" si="29"/>
        <v>48000</v>
      </c>
      <c r="N98" s="55">
        <f>IFERROR(VLOOKUP(D98,Hoja2!B:D,3,0),"100%")</f>
        <v>0.89211414217378293</v>
      </c>
    </row>
    <row r="99" spans="1:14" x14ac:dyDescent="0.3">
      <c r="A99" s="1">
        <v>238</v>
      </c>
      <c r="B99" s="1">
        <v>0</v>
      </c>
      <c r="C99" s="10">
        <v>404015</v>
      </c>
      <c r="D99" s="1">
        <v>221</v>
      </c>
      <c r="E99" s="53">
        <f>IFERROR(VLOOKUP(C99,Hoja1!A$2:B677,2,0),"0")</f>
        <v>72600</v>
      </c>
      <c r="F99" s="1">
        <f t="shared" si="23"/>
        <v>20</v>
      </c>
      <c r="G99" s="43">
        <f>VLOOKUP(C99,Hoja2!A:C,3,0)</f>
        <v>1200</v>
      </c>
      <c r="H99" s="5">
        <f t="shared" si="28"/>
        <v>19200</v>
      </c>
      <c r="I99" s="1">
        <f t="shared" si="24"/>
        <v>28800</v>
      </c>
      <c r="J99" s="7">
        <f t="shared" si="25"/>
        <v>24898.110850108642</v>
      </c>
      <c r="K99" s="5">
        <f t="shared" si="26"/>
        <v>16598.740566739096</v>
      </c>
      <c r="L99" s="1">
        <f t="shared" si="27"/>
        <v>144000</v>
      </c>
      <c r="M99" s="1">
        <f t="shared" si="29"/>
        <v>96000</v>
      </c>
      <c r="N99" s="55">
        <f>IFERROR(VLOOKUP(D99,Hoja2!B:D,3,0),"100%")</f>
        <v>0.86451773785099451</v>
      </c>
    </row>
    <row r="100" spans="1:14" x14ac:dyDescent="0.3">
      <c r="A100" s="1">
        <v>238</v>
      </c>
      <c r="B100" s="1">
        <v>0</v>
      </c>
      <c r="C100" s="10">
        <v>404018</v>
      </c>
      <c r="D100" s="1">
        <v>217</v>
      </c>
      <c r="E100" s="53">
        <f>IFERROR(VLOOKUP(C100,Hoja1!A$2:B681,2,0),"0")</f>
        <v>107800</v>
      </c>
      <c r="F100" s="1">
        <f t="shared" si="23"/>
        <v>10</v>
      </c>
      <c r="G100" s="43">
        <f>VLOOKUP(C100,Hoja2!A:C,3,0)</f>
        <v>600</v>
      </c>
      <c r="H100" s="5">
        <f t="shared" si="28"/>
        <v>9600</v>
      </c>
      <c r="I100" s="1">
        <f t="shared" si="24"/>
        <v>14400</v>
      </c>
      <c r="J100" s="7">
        <f t="shared" si="25"/>
        <v>12437.284990576172</v>
      </c>
      <c r="K100" s="5">
        <f t="shared" si="26"/>
        <v>8291.5233270507815</v>
      </c>
      <c r="L100" s="1">
        <f t="shared" si="27"/>
        <v>72000</v>
      </c>
      <c r="M100" s="1">
        <f t="shared" si="29"/>
        <v>48000</v>
      </c>
      <c r="N100" s="55">
        <f>IFERROR(VLOOKUP(D100,Hoja2!B:D,3,0),"100%")</f>
        <v>0.86370034656778971</v>
      </c>
    </row>
    <row r="101" spans="1:14" x14ac:dyDescent="0.3">
      <c r="A101" s="1">
        <v>238</v>
      </c>
      <c r="B101" s="1">
        <v>0</v>
      </c>
      <c r="C101" s="10">
        <v>404020</v>
      </c>
      <c r="D101" s="1">
        <v>217</v>
      </c>
      <c r="E101" s="53">
        <f>IFERROR(VLOOKUP(C101,Hoja1!A$2:B686,2,0),"0")</f>
        <v>642400</v>
      </c>
      <c r="F101" s="1">
        <f t="shared" ref="F101:F115" si="30">G101/60</f>
        <v>26.666666666666668</v>
      </c>
      <c r="G101" s="43">
        <f>VLOOKUP(C101,Hoja2!A:C,3,0)</f>
        <v>1600</v>
      </c>
      <c r="H101" s="5">
        <f t="shared" si="28"/>
        <v>25600</v>
      </c>
      <c r="I101" s="1">
        <f t="shared" si="24"/>
        <v>38400</v>
      </c>
      <c r="J101" s="7">
        <f t="shared" si="25"/>
        <v>33166.093308203126</v>
      </c>
      <c r="K101" s="5">
        <f t="shared" si="26"/>
        <v>22110.728872135416</v>
      </c>
      <c r="L101" s="1">
        <f t="shared" si="27"/>
        <v>192000</v>
      </c>
      <c r="M101" s="1">
        <f t="shared" si="29"/>
        <v>128000</v>
      </c>
      <c r="N101" s="55">
        <f>IFERROR(VLOOKUP(D101,Hoja2!B:D,3,0),"100%")</f>
        <v>0.86370034656778971</v>
      </c>
    </row>
    <row r="102" spans="1:14" x14ac:dyDescent="0.3">
      <c r="A102" s="1">
        <v>238</v>
      </c>
      <c r="B102" s="1">
        <v>0</v>
      </c>
      <c r="C102" s="10">
        <v>404033</v>
      </c>
      <c r="D102" s="1">
        <v>207</v>
      </c>
      <c r="E102" s="53">
        <f>IFERROR(VLOOKUP(C102,Hoja1!A$2:B690,2,0),"0")</f>
        <v>459800</v>
      </c>
      <c r="F102" s="1">
        <f t="shared" si="30"/>
        <v>30</v>
      </c>
      <c r="G102" s="43">
        <f>VLOOKUP(C102,Hoja2!A:C,3,0)</f>
        <v>1800</v>
      </c>
      <c r="H102" s="5">
        <f t="shared" ref="H102:H118" si="31">G102*16</f>
        <v>28800</v>
      </c>
      <c r="I102" s="1">
        <f t="shared" ref="I102:I118" si="32">G102*24</f>
        <v>43200</v>
      </c>
      <c r="J102" s="7">
        <f t="shared" ref="J102:J118" si="33">I102*N102</f>
        <v>39124.224957791026</v>
      </c>
      <c r="K102" s="5">
        <f t="shared" ref="K102:K118" si="34">H102*N102</f>
        <v>26082.816638527351</v>
      </c>
      <c r="L102" s="1">
        <f t="shared" ref="L102:L118" si="35">I102*5</f>
        <v>216000</v>
      </c>
      <c r="M102" s="1">
        <f t="shared" ref="M102:M118" si="36">H102*5</f>
        <v>144000</v>
      </c>
      <c r="N102" s="55">
        <f>IFERROR(VLOOKUP(D102,Hoja2!B:D,3,0),"100%")</f>
        <v>0.90565335550442194</v>
      </c>
    </row>
    <row r="103" spans="1:14" x14ac:dyDescent="0.3">
      <c r="A103" s="1">
        <v>238</v>
      </c>
      <c r="B103" s="1">
        <v>0</v>
      </c>
      <c r="C103" s="10" t="s">
        <v>82</v>
      </c>
      <c r="D103" s="1">
        <v>207</v>
      </c>
      <c r="E103" s="53">
        <f>IFERROR(VLOOKUP(C103,Hoja1!A$2:B694,2,0),"0")</f>
        <v>83600</v>
      </c>
      <c r="F103" s="1">
        <f t="shared" si="30"/>
        <v>26.666666666666668</v>
      </c>
      <c r="G103" s="43">
        <f>VLOOKUP(C103,Hoja2!A:C,3,0)</f>
        <v>1600</v>
      </c>
      <c r="H103" s="5">
        <f t="shared" si="31"/>
        <v>25600</v>
      </c>
      <c r="I103" s="1">
        <f t="shared" si="32"/>
        <v>38400</v>
      </c>
      <c r="J103" s="7">
        <f t="shared" si="33"/>
        <v>34777.088851369801</v>
      </c>
      <c r="K103" s="5">
        <f t="shared" si="34"/>
        <v>23184.725900913203</v>
      </c>
      <c r="L103" s="1">
        <f t="shared" si="35"/>
        <v>192000</v>
      </c>
      <c r="M103" s="1">
        <f t="shared" si="36"/>
        <v>128000</v>
      </c>
      <c r="N103" s="55">
        <f>IFERROR(VLOOKUP(D103,Hoja2!B:D,3,0),"100%")</f>
        <v>0.90565335550442194</v>
      </c>
    </row>
    <row r="104" spans="1:14" x14ac:dyDescent="0.3">
      <c r="A104" s="1">
        <v>238</v>
      </c>
      <c r="B104" s="1">
        <v>0</v>
      </c>
      <c r="C104" s="10">
        <v>404041</v>
      </c>
      <c r="D104" s="1">
        <v>217</v>
      </c>
      <c r="E104" s="53">
        <f>IFERROR(VLOOKUP(C104,Hoja1!A$2:B698,2,0),"0")</f>
        <v>61600</v>
      </c>
      <c r="F104" s="1">
        <f t="shared" si="30"/>
        <v>30</v>
      </c>
      <c r="G104" s="43">
        <f>VLOOKUP(C104,Hoja2!A:C,3,0)</f>
        <v>1800</v>
      </c>
      <c r="H104" s="5">
        <f t="shared" si="31"/>
        <v>28800</v>
      </c>
      <c r="I104" s="1">
        <f t="shared" si="32"/>
        <v>43200</v>
      </c>
      <c r="J104" s="7">
        <f t="shared" si="33"/>
        <v>37311.854971728513</v>
      </c>
      <c r="K104" s="5">
        <f t="shared" si="34"/>
        <v>24874.569981152345</v>
      </c>
      <c r="L104" s="1">
        <f t="shared" si="35"/>
        <v>216000</v>
      </c>
      <c r="M104" s="1">
        <f t="shared" si="36"/>
        <v>144000</v>
      </c>
      <c r="N104" s="55">
        <f>IFERROR(VLOOKUP(D104,Hoja2!B:D,3,0),"100%")</f>
        <v>0.86370034656778971</v>
      </c>
    </row>
    <row r="105" spans="1:14" x14ac:dyDescent="0.3">
      <c r="A105" s="1">
        <v>238</v>
      </c>
      <c r="B105" s="1">
        <v>0</v>
      </c>
      <c r="C105" s="10">
        <v>404043</v>
      </c>
      <c r="D105" s="1">
        <v>217</v>
      </c>
      <c r="E105" s="53">
        <f>IFERROR(VLOOKUP(C105,Hoja1!A$2:B702,2,0),"0")</f>
        <v>0</v>
      </c>
      <c r="F105" s="1">
        <f t="shared" si="30"/>
        <v>16.666666666666668</v>
      </c>
      <c r="G105" s="43">
        <f>VLOOKUP(C105,Hoja2!A:C,3,0)</f>
        <v>1000</v>
      </c>
      <c r="H105" s="5">
        <f t="shared" si="31"/>
        <v>16000</v>
      </c>
      <c r="I105" s="1">
        <f t="shared" si="32"/>
        <v>24000</v>
      </c>
      <c r="J105" s="7">
        <f t="shared" si="33"/>
        <v>20728.808317626954</v>
      </c>
      <c r="K105" s="5">
        <f t="shared" si="34"/>
        <v>13819.205545084635</v>
      </c>
      <c r="L105" s="1">
        <f t="shared" si="35"/>
        <v>120000</v>
      </c>
      <c r="M105" s="1">
        <f t="shared" si="36"/>
        <v>80000</v>
      </c>
      <c r="N105" s="55">
        <f>IFERROR(VLOOKUP(D105,Hoja2!B:D,3,0),"100%")</f>
        <v>0.86370034656778971</v>
      </c>
    </row>
    <row r="106" spans="1:14" x14ac:dyDescent="0.3">
      <c r="A106" s="1">
        <v>238</v>
      </c>
      <c r="B106" s="1">
        <v>0</v>
      </c>
      <c r="C106" s="10">
        <v>404051</v>
      </c>
      <c r="D106" s="1">
        <v>221</v>
      </c>
      <c r="E106" s="53">
        <f>IFERROR(VLOOKUP(C106,Hoja1!A$2:B708,2,0),"0")</f>
        <v>24200</v>
      </c>
      <c r="F106" s="1">
        <f t="shared" si="30"/>
        <v>18.333333333333332</v>
      </c>
      <c r="G106" s="43">
        <f>VLOOKUP(C106,Hoja2!A:C,3,0)</f>
        <v>1100</v>
      </c>
      <c r="H106" s="5">
        <f t="shared" si="31"/>
        <v>17600</v>
      </c>
      <c r="I106" s="1">
        <f t="shared" si="32"/>
        <v>26400</v>
      </c>
      <c r="J106" s="7">
        <f t="shared" si="33"/>
        <v>22823.268279266256</v>
      </c>
      <c r="K106" s="5">
        <f t="shared" si="34"/>
        <v>15215.512186177504</v>
      </c>
      <c r="L106" s="1">
        <f t="shared" si="35"/>
        <v>132000</v>
      </c>
      <c r="M106" s="1">
        <f t="shared" si="36"/>
        <v>88000</v>
      </c>
      <c r="N106" s="55">
        <f>IFERROR(VLOOKUP(D106,Hoja2!B:D,3,0),"100%")</f>
        <v>0.86451773785099451</v>
      </c>
    </row>
    <row r="107" spans="1:14" x14ac:dyDescent="0.3">
      <c r="A107" s="1">
        <v>238</v>
      </c>
      <c r="B107" s="1">
        <v>0</v>
      </c>
      <c r="C107" s="10">
        <v>404052</v>
      </c>
      <c r="D107" s="1">
        <v>213</v>
      </c>
      <c r="E107" s="53" t="str">
        <f>IFERROR(VLOOKUP(C107,Hoja1!A$2:B713,2,0),"0")</f>
        <v>0</v>
      </c>
      <c r="F107" s="1">
        <f t="shared" si="30"/>
        <v>30</v>
      </c>
      <c r="G107" s="43">
        <f>VLOOKUP(C107,Hoja2!A:C,3,0)</f>
        <v>1800</v>
      </c>
      <c r="H107" s="5">
        <f t="shared" si="31"/>
        <v>28800</v>
      </c>
      <c r="I107" s="1">
        <f t="shared" si="32"/>
        <v>43200</v>
      </c>
      <c r="J107" s="7">
        <f t="shared" si="33"/>
        <v>38539.330941907421</v>
      </c>
      <c r="K107" s="5">
        <f t="shared" si="34"/>
        <v>25692.887294604949</v>
      </c>
      <c r="L107" s="1">
        <f t="shared" si="35"/>
        <v>216000</v>
      </c>
      <c r="M107" s="1">
        <f t="shared" si="36"/>
        <v>144000</v>
      </c>
      <c r="N107" s="55">
        <f>IFERROR(VLOOKUP(D107,Hoja2!B:D,3,0),"100%")</f>
        <v>0.89211414217378293</v>
      </c>
    </row>
    <row r="108" spans="1:14" x14ac:dyDescent="0.3">
      <c r="A108" s="1">
        <v>238</v>
      </c>
      <c r="B108" s="1">
        <v>0</v>
      </c>
      <c r="C108" s="10">
        <v>404053</v>
      </c>
      <c r="D108" s="1">
        <v>221</v>
      </c>
      <c r="E108" s="53">
        <f>IFERROR(VLOOKUP(C108,Hoja1!A$2:B718,2,0),"0")</f>
        <v>338800</v>
      </c>
      <c r="F108" s="1">
        <f t="shared" si="30"/>
        <v>20</v>
      </c>
      <c r="G108" s="43">
        <f>VLOOKUP(C108,Hoja2!A:C,3,0)</f>
        <v>1200</v>
      </c>
      <c r="H108" s="5">
        <f t="shared" si="31"/>
        <v>19200</v>
      </c>
      <c r="I108" s="1">
        <f t="shared" si="32"/>
        <v>28800</v>
      </c>
      <c r="J108" s="7">
        <f t="shared" si="33"/>
        <v>24898.110850108642</v>
      </c>
      <c r="K108" s="5">
        <f t="shared" si="34"/>
        <v>16598.740566739096</v>
      </c>
      <c r="L108" s="1">
        <f t="shared" si="35"/>
        <v>144000</v>
      </c>
      <c r="M108" s="1">
        <f t="shared" si="36"/>
        <v>96000</v>
      </c>
      <c r="N108" s="55">
        <f>IFERROR(VLOOKUP(D108,Hoja2!B:D,3,0),"100%")</f>
        <v>0.86451773785099451</v>
      </c>
    </row>
    <row r="109" spans="1:14" x14ac:dyDescent="0.3">
      <c r="A109" s="1">
        <v>238</v>
      </c>
      <c r="B109" s="1">
        <v>0</v>
      </c>
      <c r="C109" s="10">
        <v>404055</v>
      </c>
      <c r="D109" s="1">
        <v>217</v>
      </c>
      <c r="E109" s="53">
        <f>IFERROR(VLOOKUP(C109,Hoja1!A$2:B722,2,0),"0")</f>
        <v>338800</v>
      </c>
      <c r="F109" s="1">
        <f t="shared" si="30"/>
        <v>25</v>
      </c>
      <c r="G109" s="43">
        <f>VLOOKUP(C109,Hoja2!A:C,3,0)</f>
        <v>1500</v>
      </c>
      <c r="H109" s="5">
        <f t="shared" si="31"/>
        <v>24000</v>
      </c>
      <c r="I109" s="1">
        <f t="shared" si="32"/>
        <v>36000</v>
      </c>
      <c r="J109" s="7">
        <f t="shared" si="33"/>
        <v>31093.212476440429</v>
      </c>
      <c r="K109" s="5">
        <f t="shared" si="34"/>
        <v>20728.808317626954</v>
      </c>
      <c r="L109" s="1">
        <f t="shared" si="35"/>
        <v>180000</v>
      </c>
      <c r="M109" s="1">
        <f t="shared" si="36"/>
        <v>120000</v>
      </c>
      <c r="N109" s="55">
        <f>IFERROR(VLOOKUP(D109,Hoja2!B:D,3,0),"100%")</f>
        <v>0.86370034656778971</v>
      </c>
    </row>
    <row r="110" spans="1:14" x14ac:dyDescent="0.3">
      <c r="A110" s="1">
        <v>238</v>
      </c>
      <c r="B110" s="1">
        <v>0</v>
      </c>
      <c r="C110" s="10" t="s">
        <v>85</v>
      </c>
      <c r="D110" s="1">
        <v>142</v>
      </c>
      <c r="E110" s="53">
        <f>IFERROR(VLOOKUP(C110,Hoja1!A$2:B726,2,0),"0")</f>
        <v>708000</v>
      </c>
      <c r="F110" s="1">
        <f t="shared" si="30"/>
        <v>166.66666666666666</v>
      </c>
      <c r="G110" s="43">
        <f>VLOOKUP(C110,Hoja2!A:C,3,0)</f>
        <v>10000</v>
      </c>
      <c r="H110" s="5">
        <f t="shared" si="31"/>
        <v>160000</v>
      </c>
      <c r="I110" s="1">
        <f t="shared" si="32"/>
        <v>240000</v>
      </c>
      <c r="J110" s="7">
        <f t="shared" si="33"/>
        <v>176093.2596079247</v>
      </c>
      <c r="K110" s="5">
        <f t="shared" si="34"/>
        <v>117395.50640528314</v>
      </c>
      <c r="L110" s="1">
        <f t="shared" si="35"/>
        <v>1200000</v>
      </c>
      <c r="M110" s="1">
        <f t="shared" si="36"/>
        <v>800000</v>
      </c>
      <c r="N110" s="55">
        <f>IFERROR(VLOOKUP(D110,Hoja2!B:D,3,0),"100%")</f>
        <v>0.73372191503301964</v>
      </c>
    </row>
    <row r="111" spans="1:14" x14ac:dyDescent="0.3">
      <c r="A111" s="1">
        <v>238</v>
      </c>
      <c r="B111" s="1">
        <v>0</v>
      </c>
      <c r="C111" s="10" t="s">
        <v>320</v>
      </c>
      <c r="D111" s="1">
        <v>122</v>
      </c>
      <c r="E111" s="53">
        <f>IFERROR(VLOOKUP(C111,Hoja1!A$2:B732,2,0),"0")</f>
        <v>203600</v>
      </c>
      <c r="F111" s="1">
        <f t="shared" si="30"/>
        <v>75</v>
      </c>
      <c r="G111" s="43">
        <f>VLOOKUP(C111,Hoja2!A:C,3,0)</f>
        <v>4500</v>
      </c>
      <c r="H111" s="5">
        <f t="shared" si="31"/>
        <v>72000</v>
      </c>
      <c r="I111" s="1">
        <f t="shared" si="32"/>
        <v>108000</v>
      </c>
      <c r="J111" s="7">
        <f t="shared" si="33"/>
        <v>78310.787653865613</v>
      </c>
      <c r="K111" s="5">
        <f t="shared" si="34"/>
        <v>52207.191769243735</v>
      </c>
      <c r="L111" s="1">
        <f t="shared" si="35"/>
        <v>540000</v>
      </c>
      <c r="M111" s="1">
        <f t="shared" si="36"/>
        <v>360000</v>
      </c>
      <c r="N111" s="55">
        <f>IFERROR(VLOOKUP(D111,Hoja2!B:D,3,0),"100%")</f>
        <v>0.72509988568394079</v>
      </c>
    </row>
    <row r="112" spans="1:14" x14ac:dyDescent="0.3">
      <c r="A112" s="1">
        <v>238</v>
      </c>
      <c r="B112" s="1">
        <v>0</v>
      </c>
      <c r="C112" s="10">
        <v>405714</v>
      </c>
      <c r="D112" s="1">
        <v>136</v>
      </c>
      <c r="E112" s="53">
        <f>IFERROR(VLOOKUP(C112,Hoja1!A$2:B734,2,0),"0")</f>
        <v>0</v>
      </c>
      <c r="F112" s="1">
        <f t="shared" si="30"/>
        <v>166.66666666666666</v>
      </c>
      <c r="G112" s="43">
        <f>VLOOKUP(C112,Hoja2!A:C,3,0)</f>
        <v>10000</v>
      </c>
      <c r="H112" s="5">
        <f t="shared" si="31"/>
        <v>160000</v>
      </c>
      <c r="I112" s="1">
        <f t="shared" si="32"/>
        <v>240000</v>
      </c>
      <c r="J112" s="7">
        <f t="shared" si="33"/>
        <v>175457.43440580301</v>
      </c>
      <c r="K112" s="5">
        <f t="shared" si="34"/>
        <v>116971.622937202</v>
      </c>
      <c r="L112" s="1">
        <f t="shared" si="35"/>
        <v>1200000</v>
      </c>
      <c r="M112" s="1">
        <f t="shared" si="36"/>
        <v>800000</v>
      </c>
      <c r="N112" s="55">
        <f>IFERROR(VLOOKUP(D112,Hoja2!B:D,3,0),"100%")</f>
        <v>0.73107264335751254</v>
      </c>
    </row>
    <row r="113" spans="1:14" x14ac:dyDescent="0.3">
      <c r="A113" s="1">
        <v>238</v>
      </c>
      <c r="B113" s="1">
        <v>0</v>
      </c>
      <c r="C113" s="10">
        <v>407076</v>
      </c>
      <c r="D113" s="1">
        <v>127</v>
      </c>
      <c r="E113" s="53">
        <f>IFERROR(VLOOKUP(C113,Hoja1!A$2:B739,2,0),"0")</f>
        <v>0</v>
      </c>
      <c r="F113" s="1">
        <f t="shared" si="30"/>
        <v>116.66666666666667</v>
      </c>
      <c r="G113" s="43">
        <f>VLOOKUP(C113,Hoja2!A:C,3,0)</f>
        <v>7000</v>
      </c>
      <c r="H113" s="5">
        <f t="shared" si="31"/>
        <v>112000</v>
      </c>
      <c r="I113" s="1">
        <f t="shared" si="32"/>
        <v>168000</v>
      </c>
      <c r="J113" s="7">
        <f t="shared" si="33"/>
        <v>129719.49593651378</v>
      </c>
      <c r="K113" s="5">
        <f t="shared" si="34"/>
        <v>86479.663957675861</v>
      </c>
      <c r="L113" s="1">
        <f t="shared" si="35"/>
        <v>840000</v>
      </c>
      <c r="M113" s="1">
        <f t="shared" si="36"/>
        <v>560000</v>
      </c>
      <c r="N113" s="55">
        <f>IFERROR(VLOOKUP(D113,Hoja2!B:D,3,0),"100%")</f>
        <v>0.772139856764963</v>
      </c>
    </row>
    <row r="114" spans="1:14" x14ac:dyDescent="0.3">
      <c r="A114" s="1">
        <v>238</v>
      </c>
      <c r="B114" s="1">
        <v>0</v>
      </c>
      <c r="C114" s="10">
        <v>407444</v>
      </c>
      <c r="D114" s="1">
        <v>122</v>
      </c>
      <c r="E114" s="53">
        <f>IFERROR(VLOOKUP(C114,Hoja1!A$2:B742,2,0),"0")</f>
        <v>109000</v>
      </c>
      <c r="F114" s="1">
        <f t="shared" si="30"/>
        <v>75</v>
      </c>
      <c r="G114" s="43">
        <f>VLOOKUP(C114,Hoja2!A:C,3,0)</f>
        <v>4500</v>
      </c>
      <c r="H114" s="5">
        <f t="shared" si="31"/>
        <v>72000</v>
      </c>
      <c r="I114" s="1">
        <f t="shared" si="32"/>
        <v>108000</v>
      </c>
      <c r="J114" s="7">
        <f t="shared" si="33"/>
        <v>78310.787653865613</v>
      </c>
      <c r="K114" s="5">
        <f t="shared" si="34"/>
        <v>52207.191769243735</v>
      </c>
      <c r="L114" s="1">
        <f t="shared" si="35"/>
        <v>540000</v>
      </c>
      <c r="M114" s="1">
        <f t="shared" si="36"/>
        <v>360000</v>
      </c>
      <c r="N114" s="55">
        <f>IFERROR(VLOOKUP(D114,Hoja2!B:D,3,0),"100%")</f>
        <v>0.72509988568394079</v>
      </c>
    </row>
    <row r="115" spans="1:14" x14ac:dyDescent="0.3">
      <c r="A115" s="1">
        <v>238</v>
      </c>
      <c r="B115" s="1">
        <v>0</v>
      </c>
      <c r="C115" s="10">
        <v>407518</v>
      </c>
      <c r="D115" s="1">
        <v>136</v>
      </c>
      <c r="E115" s="53">
        <f>IFERROR(VLOOKUP(C115,Hoja1!A$2:B745,2,0),"0")</f>
        <v>329100</v>
      </c>
      <c r="F115" s="1">
        <f t="shared" si="30"/>
        <v>83.333333333333329</v>
      </c>
      <c r="G115" s="43">
        <f>VLOOKUP(C115,Hoja2!A:C,3,0)</f>
        <v>5000</v>
      </c>
      <c r="H115" s="5">
        <f t="shared" si="31"/>
        <v>80000</v>
      </c>
      <c r="I115" s="1">
        <f t="shared" si="32"/>
        <v>120000</v>
      </c>
      <c r="J115" s="7">
        <f t="shared" si="33"/>
        <v>87728.717202901506</v>
      </c>
      <c r="K115" s="5">
        <f t="shared" si="34"/>
        <v>58485.811468601001</v>
      </c>
      <c r="L115" s="1">
        <f t="shared" si="35"/>
        <v>600000</v>
      </c>
      <c r="M115" s="1">
        <f t="shared" si="36"/>
        <v>400000</v>
      </c>
      <c r="N115" s="55">
        <f>IFERROR(VLOOKUP(D115,Hoja2!B:D,3,0),"100%")</f>
        <v>0.73107264335751254</v>
      </c>
    </row>
    <row r="116" spans="1:14" x14ac:dyDescent="0.3">
      <c r="A116" s="1">
        <v>238</v>
      </c>
      <c r="B116" s="1">
        <v>0</v>
      </c>
      <c r="C116" s="10">
        <v>407605</v>
      </c>
      <c r="D116" s="1">
        <v>122</v>
      </c>
      <c r="E116" s="53" t="str">
        <f>IFERROR(VLOOKUP(C116,Hoja1!A$2:B747,2,0),"0")</f>
        <v>0</v>
      </c>
      <c r="F116" s="1">
        <f t="shared" ref="F116:F135" si="37">G116/60</f>
        <v>91.666666666666671</v>
      </c>
      <c r="G116" s="43">
        <f>VLOOKUP(C116,Hoja2!A:C,3,0)</f>
        <v>5500</v>
      </c>
      <c r="H116" s="5">
        <f t="shared" si="31"/>
        <v>88000</v>
      </c>
      <c r="I116" s="1">
        <f t="shared" si="32"/>
        <v>132000</v>
      </c>
      <c r="J116" s="7">
        <f t="shared" si="33"/>
        <v>95713.184910280179</v>
      </c>
      <c r="K116" s="5">
        <f t="shared" si="34"/>
        <v>63808.789940186791</v>
      </c>
      <c r="L116" s="1">
        <f t="shared" si="35"/>
        <v>660000</v>
      </c>
      <c r="M116" s="1">
        <f t="shared" si="36"/>
        <v>440000</v>
      </c>
      <c r="N116" s="55">
        <f>IFERROR(VLOOKUP(D116,Hoja2!B:D,3,0),"100%")</f>
        <v>0.72509988568394079</v>
      </c>
    </row>
    <row r="117" spans="1:14" x14ac:dyDescent="0.3">
      <c r="A117" s="1">
        <v>238</v>
      </c>
      <c r="B117" s="1">
        <v>0</v>
      </c>
      <c r="C117" s="10">
        <v>407612</v>
      </c>
      <c r="D117" s="1">
        <v>122</v>
      </c>
      <c r="E117" s="53">
        <f>IFERROR(VLOOKUP(C117,Hoja1!A$2:B749,2,0),"0")</f>
        <v>158400</v>
      </c>
      <c r="F117" s="1">
        <f t="shared" si="37"/>
        <v>108.33333333333333</v>
      </c>
      <c r="G117" s="43">
        <f>VLOOKUP(C117,Hoja2!A:C,3,0)</f>
        <v>6500</v>
      </c>
      <c r="H117" s="5">
        <f t="shared" si="31"/>
        <v>104000</v>
      </c>
      <c r="I117" s="1">
        <f t="shared" si="32"/>
        <v>156000</v>
      </c>
      <c r="J117" s="7">
        <f t="shared" si="33"/>
        <v>113115.58216669476</v>
      </c>
      <c r="K117" s="5">
        <f t="shared" si="34"/>
        <v>75410.38811112984</v>
      </c>
      <c r="L117" s="1">
        <f t="shared" si="35"/>
        <v>780000</v>
      </c>
      <c r="M117" s="1">
        <f t="shared" si="36"/>
        <v>520000</v>
      </c>
      <c r="N117" s="55">
        <f>IFERROR(VLOOKUP(D117,Hoja2!B:D,3,0),"100%")</f>
        <v>0.72509988568394079</v>
      </c>
    </row>
    <row r="118" spans="1:14" x14ac:dyDescent="0.3">
      <c r="A118" s="1">
        <v>238</v>
      </c>
      <c r="B118" s="1">
        <v>0</v>
      </c>
      <c r="C118" s="10" t="s">
        <v>121</v>
      </c>
      <c r="D118" s="1">
        <v>136</v>
      </c>
      <c r="E118" s="53">
        <f>IFERROR(VLOOKUP(C118,Hoja1!A$2:B751,2,0),"0")</f>
        <v>714000</v>
      </c>
      <c r="F118" s="1">
        <f t="shared" si="37"/>
        <v>75</v>
      </c>
      <c r="G118" s="43">
        <f>VLOOKUP(C118,Hoja2!A:C,3,0)</f>
        <v>4500</v>
      </c>
      <c r="H118" s="5">
        <f t="shared" si="31"/>
        <v>72000</v>
      </c>
      <c r="I118" s="1">
        <f t="shared" si="32"/>
        <v>108000</v>
      </c>
      <c r="J118" s="7">
        <f t="shared" si="33"/>
        <v>78955.845482611359</v>
      </c>
      <c r="K118" s="5">
        <f t="shared" si="34"/>
        <v>52637.230321740906</v>
      </c>
      <c r="L118" s="1">
        <f t="shared" si="35"/>
        <v>540000</v>
      </c>
      <c r="M118" s="1">
        <f t="shared" si="36"/>
        <v>360000</v>
      </c>
      <c r="N118" s="55">
        <f>IFERROR(VLOOKUP(D118,Hoja2!B:D,3,0),"100%")</f>
        <v>0.73107264335751254</v>
      </c>
    </row>
    <row r="119" spans="1:14" x14ac:dyDescent="0.3">
      <c r="A119" s="1">
        <v>238</v>
      </c>
      <c r="B119" s="1">
        <v>0</v>
      </c>
      <c r="C119" s="10">
        <v>408644</v>
      </c>
      <c r="D119" s="1">
        <v>122</v>
      </c>
      <c r="E119" s="53">
        <f>IFERROR(VLOOKUP(C119,Hoja1!A$2:B753,2,0),"0")</f>
        <v>0</v>
      </c>
      <c r="F119" s="1">
        <f t="shared" si="37"/>
        <v>83.333333333333329</v>
      </c>
      <c r="G119" s="43">
        <f>VLOOKUP(C119,Hoja2!A:C,3,0)</f>
        <v>5000</v>
      </c>
      <c r="H119" s="5">
        <f t="shared" ref="H119:H136" si="38">G119*16</f>
        <v>80000</v>
      </c>
      <c r="I119" s="1">
        <f t="shared" ref="I119:I136" si="39">G119*24</f>
        <v>120000</v>
      </c>
      <c r="J119" s="7">
        <f t="shared" ref="J119:J136" si="40">I119*N119</f>
        <v>87011.986282072889</v>
      </c>
      <c r="K119" s="5">
        <f t="shared" ref="K119:K136" si="41">H119*N119</f>
        <v>58007.990854715266</v>
      </c>
      <c r="L119" s="1">
        <f t="shared" ref="L119:L136" si="42">I119*5</f>
        <v>600000</v>
      </c>
      <c r="M119" s="1">
        <f t="shared" ref="M119:M136" si="43">H119*5</f>
        <v>400000</v>
      </c>
      <c r="N119" s="55">
        <f>IFERROR(VLOOKUP(D119,Hoja2!B:D,3,0),"100%")</f>
        <v>0.72509988568394079</v>
      </c>
    </row>
    <row r="120" spans="1:14" x14ac:dyDescent="0.3">
      <c r="A120" s="1">
        <v>238</v>
      </c>
      <c r="B120" s="1">
        <v>0</v>
      </c>
      <c r="C120" s="10">
        <v>411490</v>
      </c>
      <c r="D120" s="1">
        <v>454</v>
      </c>
      <c r="E120" s="53">
        <f>IFERROR(VLOOKUP(C120,Hoja1!A$2:B755,2,0),"0")</f>
        <v>53000</v>
      </c>
      <c r="F120" s="1">
        <f t="shared" si="37"/>
        <v>8.3333333333333339</v>
      </c>
      <c r="G120" s="43">
        <f>VLOOKUP(C120,Hoja2!A:C,3,0)</f>
        <v>500</v>
      </c>
      <c r="H120" s="5">
        <f t="shared" si="38"/>
        <v>8000</v>
      </c>
      <c r="I120" s="1">
        <f t="shared" si="39"/>
        <v>12000</v>
      </c>
      <c r="J120" s="7">
        <f t="shared" si="40"/>
        <v>8566.1481595564437</v>
      </c>
      <c r="K120" s="5">
        <f t="shared" si="41"/>
        <v>5710.7654397042961</v>
      </c>
      <c r="L120" s="1">
        <f t="shared" si="42"/>
        <v>60000</v>
      </c>
      <c r="M120" s="1">
        <f t="shared" si="43"/>
        <v>40000</v>
      </c>
      <c r="N120" s="55">
        <f>IFERROR(VLOOKUP(D120,Hoja2!B:D,3,0),"100%")</f>
        <v>0.71384567996303705</v>
      </c>
    </row>
    <row r="121" spans="1:14" x14ac:dyDescent="0.3">
      <c r="A121" s="1">
        <v>238</v>
      </c>
      <c r="B121" s="1">
        <v>0</v>
      </c>
      <c r="C121" s="10">
        <v>411933</v>
      </c>
      <c r="D121" s="1">
        <v>142</v>
      </c>
      <c r="E121" s="53">
        <f>IFERROR(VLOOKUP(C121,Hoja1!A$2:B757,2,0),"0")</f>
        <v>59400</v>
      </c>
      <c r="F121" s="1">
        <f t="shared" si="37"/>
        <v>166.66666666666666</v>
      </c>
      <c r="G121" s="43">
        <f>VLOOKUP(C121,Hoja2!A:C,3,0)</f>
        <v>10000</v>
      </c>
      <c r="H121" s="5">
        <f t="shared" si="38"/>
        <v>160000</v>
      </c>
      <c r="I121" s="1">
        <f t="shared" si="39"/>
        <v>240000</v>
      </c>
      <c r="J121" s="7">
        <f t="shared" si="40"/>
        <v>176093.2596079247</v>
      </c>
      <c r="K121" s="5">
        <f t="shared" si="41"/>
        <v>117395.50640528314</v>
      </c>
      <c r="L121" s="1">
        <f t="shared" si="42"/>
        <v>1200000</v>
      </c>
      <c r="M121" s="1">
        <f t="shared" si="43"/>
        <v>800000</v>
      </c>
      <c r="N121" s="55">
        <f>IFERROR(VLOOKUP(D121,Hoja2!B:D,3,0),"100%")</f>
        <v>0.73372191503301964</v>
      </c>
    </row>
    <row r="122" spans="1:14" x14ac:dyDescent="0.3">
      <c r="A122" s="1">
        <v>238</v>
      </c>
      <c r="B122" s="1">
        <v>0</v>
      </c>
      <c r="C122" s="10" t="s">
        <v>128</v>
      </c>
      <c r="D122" s="1">
        <v>412</v>
      </c>
      <c r="E122" s="53">
        <f>IFERROR(VLOOKUP(C122,Hoja1!A$2:B762,2,0),"0")</f>
        <v>660000</v>
      </c>
      <c r="F122" s="1">
        <f t="shared" si="37"/>
        <v>60</v>
      </c>
      <c r="G122" s="43">
        <f>VLOOKUP(C122,Hoja2!A:C,3,0)</f>
        <v>3600</v>
      </c>
      <c r="H122" s="5">
        <f t="shared" si="38"/>
        <v>57600</v>
      </c>
      <c r="I122" s="1">
        <f t="shared" si="39"/>
        <v>86400</v>
      </c>
      <c r="J122" s="7">
        <f t="shared" si="40"/>
        <v>59269.779374037971</v>
      </c>
      <c r="K122" s="5">
        <f t="shared" si="41"/>
        <v>39513.186249358645</v>
      </c>
      <c r="L122" s="1">
        <f t="shared" si="42"/>
        <v>432000</v>
      </c>
      <c r="M122" s="1">
        <f t="shared" si="43"/>
        <v>288000</v>
      </c>
      <c r="N122" s="55">
        <f>IFERROR(VLOOKUP(D122,Hoja2!B:D,3,0),"100%")</f>
        <v>0.68599281682914315</v>
      </c>
    </row>
    <row r="123" spans="1:14" x14ac:dyDescent="0.3">
      <c r="A123" s="1">
        <v>238</v>
      </c>
      <c r="B123" s="1">
        <v>0</v>
      </c>
      <c r="C123" s="10">
        <v>412203</v>
      </c>
      <c r="D123" s="1">
        <v>412</v>
      </c>
      <c r="E123" s="53">
        <f>IFERROR(VLOOKUP(C123,Hoja1!A$2:B766,2,0),"0")</f>
        <v>88000</v>
      </c>
      <c r="F123" s="1">
        <f t="shared" si="37"/>
        <v>60</v>
      </c>
      <c r="G123" s="43">
        <f>VLOOKUP(C123,Hoja2!A:C,3,0)</f>
        <v>3600</v>
      </c>
      <c r="H123" s="5">
        <f t="shared" si="38"/>
        <v>57600</v>
      </c>
      <c r="I123" s="1">
        <f t="shared" si="39"/>
        <v>86400</v>
      </c>
      <c r="J123" s="7">
        <f t="shared" si="40"/>
        <v>59269.779374037971</v>
      </c>
      <c r="K123" s="5">
        <f t="shared" si="41"/>
        <v>39513.186249358645</v>
      </c>
      <c r="L123" s="1">
        <f t="shared" si="42"/>
        <v>432000</v>
      </c>
      <c r="M123" s="1">
        <f t="shared" si="43"/>
        <v>288000</v>
      </c>
      <c r="N123" s="55">
        <f>IFERROR(VLOOKUP(D123,Hoja2!B:D,3,0),"100%")</f>
        <v>0.68599281682914315</v>
      </c>
    </row>
    <row r="124" spans="1:14" x14ac:dyDescent="0.3">
      <c r="A124" s="1">
        <v>238</v>
      </c>
      <c r="B124" s="1">
        <v>0</v>
      </c>
      <c r="C124" s="10">
        <v>412206</v>
      </c>
      <c r="D124" s="1">
        <v>412</v>
      </c>
      <c r="E124" s="53">
        <f>IFERROR(VLOOKUP(C124,Hoja1!A$2:B769,2,0),"0")</f>
        <v>298000</v>
      </c>
      <c r="F124" s="1">
        <f t="shared" si="37"/>
        <v>50</v>
      </c>
      <c r="G124" s="43">
        <f>VLOOKUP(C124,Hoja2!A:C,3,0)</f>
        <v>3000</v>
      </c>
      <c r="H124" s="5">
        <f t="shared" si="38"/>
        <v>48000</v>
      </c>
      <c r="I124" s="1">
        <f t="shared" si="39"/>
        <v>72000</v>
      </c>
      <c r="J124" s="7">
        <f t="shared" si="40"/>
        <v>49391.482811698304</v>
      </c>
      <c r="K124" s="5">
        <f t="shared" si="41"/>
        <v>32927.655207798874</v>
      </c>
      <c r="L124" s="1">
        <f t="shared" si="42"/>
        <v>360000</v>
      </c>
      <c r="M124" s="1">
        <f t="shared" si="43"/>
        <v>240000</v>
      </c>
      <c r="N124" s="55">
        <f>IFERROR(VLOOKUP(D124,Hoja2!B:D,3,0),"100%")</f>
        <v>0.68599281682914315</v>
      </c>
    </row>
    <row r="125" spans="1:14" x14ac:dyDescent="0.3">
      <c r="A125" s="1">
        <v>238</v>
      </c>
      <c r="B125" s="1">
        <v>0</v>
      </c>
      <c r="C125" s="10">
        <v>412366</v>
      </c>
      <c r="D125" s="1">
        <v>127</v>
      </c>
      <c r="E125" s="53">
        <f>IFERROR(VLOOKUP(C125,Hoja1!A$2:B772,2,0),"0")</f>
        <v>811800</v>
      </c>
      <c r="F125" s="1">
        <f t="shared" si="37"/>
        <v>116.66666666666667</v>
      </c>
      <c r="G125" s="43">
        <f>VLOOKUP(C125,Hoja2!A:C,3,0)</f>
        <v>7000</v>
      </c>
      <c r="H125" s="5">
        <f t="shared" si="38"/>
        <v>112000</v>
      </c>
      <c r="I125" s="1">
        <f t="shared" si="39"/>
        <v>168000</v>
      </c>
      <c r="J125" s="7">
        <f t="shared" si="40"/>
        <v>129719.49593651378</v>
      </c>
      <c r="K125" s="5">
        <f t="shared" si="41"/>
        <v>86479.663957675861</v>
      </c>
      <c r="L125" s="1">
        <f t="shared" si="42"/>
        <v>840000</v>
      </c>
      <c r="M125" s="1">
        <f t="shared" si="43"/>
        <v>560000</v>
      </c>
      <c r="N125" s="55">
        <f>IFERROR(VLOOKUP(D125,Hoja2!B:D,3,0),"100%")</f>
        <v>0.772139856764963</v>
      </c>
    </row>
    <row r="126" spans="1:14" x14ac:dyDescent="0.3">
      <c r="A126" s="1">
        <v>238</v>
      </c>
      <c r="B126" s="1">
        <v>0</v>
      </c>
      <c r="C126" s="10">
        <v>412440</v>
      </c>
      <c r="D126" s="1">
        <v>142</v>
      </c>
      <c r="E126" s="53" t="str">
        <f>IFERROR(VLOOKUP(C126,Hoja1!A$2:B774,2,0),"0")</f>
        <v>0</v>
      </c>
      <c r="F126" s="1">
        <f t="shared" si="37"/>
        <v>166.66666666666666</v>
      </c>
      <c r="G126" s="43">
        <f>VLOOKUP(C126,Hoja2!A:C,3,0)</f>
        <v>10000</v>
      </c>
      <c r="H126" s="5">
        <f t="shared" si="38"/>
        <v>160000</v>
      </c>
      <c r="I126" s="1">
        <f t="shared" si="39"/>
        <v>240000</v>
      </c>
      <c r="J126" s="7">
        <f t="shared" si="40"/>
        <v>176093.2596079247</v>
      </c>
      <c r="K126" s="5">
        <f t="shared" si="41"/>
        <v>117395.50640528314</v>
      </c>
      <c r="L126" s="1">
        <f t="shared" si="42"/>
        <v>1200000</v>
      </c>
      <c r="M126" s="1">
        <f t="shared" si="43"/>
        <v>800000</v>
      </c>
      <c r="N126" s="55">
        <f>IFERROR(VLOOKUP(D126,Hoja2!B:D,3,0),"100%")</f>
        <v>0.73372191503301964</v>
      </c>
    </row>
    <row r="127" spans="1:14" x14ac:dyDescent="0.3">
      <c r="A127" s="1">
        <v>238</v>
      </c>
      <c r="B127" s="1">
        <v>0</v>
      </c>
      <c r="C127" s="10">
        <v>412524</v>
      </c>
      <c r="D127" s="1">
        <v>401</v>
      </c>
      <c r="E127" s="53">
        <f>IFERROR(VLOOKUP(C127,Hoja1!A$2:B779,2,0),"0")</f>
        <v>85800</v>
      </c>
      <c r="F127" s="1">
        <f t="shared" si="37"/>
        <v>36.666666666666664</v>
      </c>
      <c r="G127" s="43">
        <f>VLOOKUP(C127,Hoja2!A:C,3,0)</f>
        <v>2200</v>
      </c>
      <c r="H127" s="5">
        <f t="shared" si="38"/>
        <v>35200</v>
      </c>
      <c r="I127" s="1">
        <f t="shared" si="39"/>
        <v>52800</v>
      </c>
      <c r="J127" s="7">
        <f t="shared" si="40"/>
        <v>28708.376688680964</v>
      </c>
      <c r="K127" s="5">
        <f t="shared" si="41"/>
        <v>19138.917792453976</v>
      </c>
      <c r="L127" s="1">
        <f t="shared" si="42"/>
        <v>264000</v>
      </c>
      <c r="M127" s="1">
        <f t="shared" si="43"/>
        <v>176000</v>
      </c>
      <c r="N127" s="55">
        <f>IFERROR(VLOOKUP(D127,Hoja2!B:D,3,0),"100%")</f>
        <v>0.54371925546744249</v>
      </c>
    </row>
    <row r="128" spans="1:14" x14ac:dyDescent="0.3">
      <c r="A128" s="1">
        <v>238</v>
      </c>
      <c r="B128" s="1">
        <v>0</v>
      </c>
      <c r="C128" s="10">
        <v>412604</v>
      </c>
      <c r="D128" s="1">
        <v>221</v>
      </c>
      <c r="E128" s="53">
        <v>0</v>
      </c>
      <c r="F128" s="1">
        <f t="shared" si="37"/>
        <v>30</v>
      </c>
      <c r="G128" s="43">
        <f>VLOOKUP(C128,Hoja2!A:C,3,0)</f>
        <v>1800</v>
      </c>
      <c r="H128" s="5">
        <f t="shared" si="38"/>
        <v>28800</v>
      </c>
      <c r="I128" s="1">
        <f t="shared" si="39"/>
        <v>43200</v>
      </c>
      <c r="J128" s="7">
        <f t="shared" si="40"/>
        <v>37347.166275162963</v>
      </c>
      <c r="K128" s="5">
        <f t="shared" si="41"/>
        <v>24898.110850108642</v>
      </c>
      <c r="L128" s="1">
        <f t="shared" si="42"/>
        <v>216000</v>
      </c>
      <c r="M128" s="1">
        <f t="shared" si="43"/>
        <v>144000</v>
      </c>
      <c r="N128" s="55">
        <f>IFERROR(VLOOKUP(D128,Hoja2!B:D,3,0),"100%")</f>
        <v>0.86451773785099451</v>
      </c>
    </row>
    <row r="129" spans="1:14" x14ac:dyDescent="0.3">
      <c r="A129" s="1">
        <v>238</v>
      </c>
      <c r="B129" s="1">
        <v>0</v>
      </c>
      <c r="C129" s="10">
        <v>412607</v>
      </c>
      <c r="D129" s="1">
        <v>213</v>
      </c>
      <c r="E129" s="53">
        <v>0</v>
      </c>
      <c r="F129" s="1">
        <f t="shared" si="37"/>
        <v>33.333333333333336</v>
      </c>
      <c r="G129" s="43">
        <f>VLOOKUP(C129,Hoja2!A:C,3,0)</f>
        <v>2000</v>
      </c>
      <c r="H129" s="5">
        <f t="shared" si="38"/>
        <v>32000</v>
      </c>
      <c r="I129" s="1">
        <f t="shared" si="39"/>
        <v>48000</v>
      </c>
      <c r="J129" s="7">
        <f t="shared" si="40"/>
        <v>42821.478824341582</v>
      </c>
      <c r="K129" s="5">
        <f t="shared" si="41"/>
        <v>28547.652549561055</v>
      </c>
      <c r="L129" s="1">
        <f t="shared" si="42"/>
        <v>240000</v>
      </c>
      <c r="M129" s="1">
        <f t="shared" si="43"/>
        <v>160000</v>
      </c>
      <c r="N129" s="55">
        <f>IFERROR(VLOOKUP(D129,Hoja2!B:D,3,0),"100%")</f>
        <v>0.89211414217378293</v>
      </c>
    </row>
    <row r="130" spans="1:14" x14ac:dyDescent="0.3">
      <c r="A130" s="1">
        <v>238</v>
      </c>
      <c r="B130" s="1">
        <v>0</v>
      </c>
      <c r="C130" s="10">
        <v>413115</v>
      </c>
      <c r="D130" s="1">
        <v>142</v>
      </c>
      <c r="E130" s="53">
        <f>IFERROR(VLOOKUP(C130,Hoja1!A$2:B791,2,0),"0")</f>
        <v>169400</v>
      </c>
      <c r="F130" s="1">
        <f t="shared" si="37"/>
        <v>133.33333333333334</v>
      </c>
      <c r="G130" s="43">
        <f>VLOOKUP(C130,Hoja2!A:C,3,0)</f>
        <v>8000</v>
      </c>
      <c r="H130" s="5">
        <f t="shared" si="38"/>
        <v>128000</v>
      </c>
      <c r="I130" s="1">
        <f t="shared" si="39"/>
        <v>192000</v>
      </c>
      <c r="J130" s="7">
        <f t="shared" si="40"/>
        <v>140874.60768633976</v>
      </c>
      <c r="K130" s="5">
        <f t="shared" si="41"/>
        <v>93916.405124226512</v>
      </c>
      <c r="L130" s="1">
        <f t="shared" si="42"/>
        <v>960000</v>
      </c>
      <c r="M130" s="1">
        <f t="shared" si="43"/>
        <v>640000</v>
      </c>
      <c r="N130" s="55">
        <f>IFERROR(VLOOKUP(D130,Hoja2!B:D,3,0),"100%")</f>
        <v>0.73372191503301964</v>
      </c>
    </row>
    <row r="131" spans="1:14" x14ac:dyDescent="0.3">
      <c r="A131" s="1">
        <v>238</v>
      </c>
      <c r="B131" s="1">
        <v>0</v>
      </c>
      <c r="C131" s="10">
        <v>413180</v>
      </c>
      <c r="D131" s="1">
        <v>125</v>
      </c>
      <c r="E131" s="53">
        <f>IFERROR(VLOOKUP(C131,Hoja1!A$2:B796,2,0),"0")</f>
        <v>0</v>
      </c>
      <c r="F131" s="1">
        <f t="shared" si="37"/>
        <v>0.05</v>
      </c>
      <c r="G131" s="43">
        <f>VLOOKUP(C131,Hoja2!A:C,3,0)</f>
        <v>3</v>
      </c>
      <c r="H131" s="5">
        <f t="shared" si="38"/>
        <v>48</v>
      </c>
      <c r="I131" s="1">
        <f t="shared" si="39"/>
        <v>72</v>
      </c>
      <c r="J131" s="7">
        <f t="shared" si="40"/>
        <v>37.071125916055962</v>
      </c>
      <c r="K131" s="5">
        <f t="shared" si="41"/>
        <v>24.714083944037309</v>
      </c>
      <c r="L131" s="1">
        <f t="shared" si="42"/>
        <v>360</v>
      </c>
      <c r="M131" s="1">
        <f t="shared" si="43"/>
        <v>240</v>
      </c>
      <c r="N131" s="55">
        <f>IFERROR(VLOOKUP(D131,Hoja2!B:D,3,0),"100%")</f>
        <v>0.51487674883411061</v>
      </c>
    </row>
    <row r="132" spans="1:14" x14ac:dyDescent="0.3">
      <c r="A132" s="1">
        <v>238</v>
      </c>
      <c r="B132" s="1">
        <v>0</v>
      </c>
      <c r="C132" s="10">
        <v>413185</v>
      </c>
      <c r="D132" s="1">
        <v>125</v>
      </c>
      <c r="E132" s="53" t="str">
        <f>IFERROR(VLOOKUP(C132,Hoja1!A$2:B798,2,0),"0")</f>
        <v>0</v>
      </c>
      <c r="F132" s="1">
        <f t="shared" si="37"/>
        <v>6.6666666666666666E-2</v>
      </c>
      <c r="G132" s="43">
        <f>VLOOKUP(C132,Hoja2!A:C,3,0)</f>
        <v>4</v>
      </c>
      <c r="H132" s="5">
        <f t="shared" si="38"/>
        <v>64</v>
      </c>
      <c r="I132" s="1">
        <f t="shared" si="39"/>
        <v>96</v>
      </c>
      <c r="J132" s="7">
        <f t="shared" si="40"/>
        <v>49.428167888074618</v>
      </c>
      <c r="K132" s="5">
        <f t="shared" si="41"/>
        <v>32.952111925383079</v>
      </c>
      <c r="L132" s="1">
        <f t="shared" si="42"/>
        <v>480</v>
      </c>
      <c r="M132" s="1">
        <f t="shared" si="43"/>
        <v>320</v>
      </c>
      <c r="N132" s="55">
        <f>IFERROR(VLOOKUP(D132,Hoja2!B:D,3,0),"100%")</f>
        <v>0.51487674883411061</v>
      </c>
    </row>
    <row r="133" spans="1:14" x14ac:dyDescent="0.3">
      <c r="A133" s="1">
        <v>238</v>
      </c>
      <c r="B133" s="1">
        <v>0</v>
      </c>
      <c r="C133" s="10">
        <v>413190</v>
      </c>
      <c r="D133" s="1">
        <v>125</v>
      </c>
      <c r="E133" s="53">
        <f>IFERROR(VLOOKUP(C133,Hoja1!A$2:B800,2,0),"0")</f>
        <v>0</v>
      </c>
      <c r="F133" s="1">
        <f t="shared" si="37"/>
        <v>0.05</v>
      </c>
      <c r="G133" s="43">
        <f>VLOOKUP(C133,Hoja2!A:C,3,0)</f>
        <v>3</v>
      </c>
      <c r="H133" s="5">
        <f t="shared" si="38"/>
        <v>48</v>
      </c>
      <c r="I133" s="1">
        <f t="shared" si="39"/>
        <v>72</v>
      </c>
      <c r="J133" s="7">
        <f t="shared" si="40"/>
        <v>37.071125916055962</v>
      </c>
      <c r="K133" s="5">
        <f t="shared" si="41"/>
        <v>24.714083944037309</v>
      </c>
      <c r="L133" s="1">
        <f t="shared" si="42"/>
        <v>360</v>
      </c>
      <c r="M133" s="1">
        <f t="shared" si="43"/>
        <v>240</v>
      </c>
      <c r="N133" s="55">
        <f>IFERROR(VLOOKUP(D133,Hoja2!B:D,3,0),"100%")</f>
        <v>0.51487674883411061</v>
      </c>
    </row>
    <row r="134" spans="1:14" x14ac:dyDescent="0.3">
      <c r="A134" s="1">
        <v>238</v>
      </c>
      <c r="B134" s="1">
        <v>0</v>
      </c>
      <c r="C134" s="10">
        <v>413240</v>
      </c>
      <c r="D134" s="1">
        <v>417</v>
      </c>
      <c r="E134" s="53">
        <f>IFERROR(VLOOKUP(C134,Hoja1!A$2:B802,2,0),"0")</f>
        <v>506000</v>
      </c>
      <c r="F134" s="1">
        <f t="shared" si="37"/>
        <v>30</v>
      </c>
      <c r="G134" s="43">
        <f>VLOOKUP(C134,Hoja2!A:C,3,0)</f>
        <v>1800</v>
      </c>
      <c r="H134" s="5">
        <f t="shared" si="38"/>
        <v>28800</v>
      </c>
      <c r="I134" s="1">
        <f t="shared" si="39"/>
        <v>43200</v>
      </c>
      <c r="J134" s="7">
        <f t="shared" si="40"/>
        <v>25330.837433023284</v>
      </c>
      <c r="K134" s="5">
        <f t="shared" si="41"/>
        <v>16887.224955348855</v>
      </c>
      <c r="L134" s="1">
        <f t="shared" si="42"/>
        <v>216000</v>
      </c>
      <c r="M134" s="1">
        <f t="shared" si="43"/>
        <v>144000</v>
      </c>
      <c r="N134" s="55">
        <f>IFERROR(VLOOKUP(D134,Hoja2!B:D,3,0),"100%")</f>
        <v>0.58636197761627973</v>
      </c>
    </row>
    <row r="135" spans="1:14" x14ac:dyDescent="0.3">
      <c r="A135" s="1">
        <v>238</v>
      </c>
      <c r="B135" s="1">
        <v>0</v>
      </c>
      <c r="C135" s="10" t="s">
        <v>140</v>
      </c>
      <c r="D135" s="1">
        <v>417</v>
      </c>
      <c r="E135" s="53">
        <f>IFERROR(VLOOKUP(C135,Hoja1!A$2:B807,2,0),"0")</f>
        <v>44000</v>
      </c>
      <c r="F135" s="1">
        <f t="shared" si="37"/>
        <v>41.666666666666664</v>
      </c>
      <c r="G135" s="43">
        <f>VLOOKUP(C135,Hoja2!A:C,3,0)</f>
        <v>2500</v>
      </c>
      <c r="H135" s="5">
        <f t="shared" si="38"/>
        <v>40000</v>
      </c>
      <c r="I135" s="1">
        <f t="shared" si="39"/>
        <v>60000</v>
      </c>
      <c r="J135" s="7">
        <f t="shared" si="40"/>
        <v>35181.718656976787</v>
      </c>
      <c r="K135" s="5">
        <f t="shared" si="41"/>
        <v>23454.479104651189</v>
      </c>
      <c r="L135" s="1">
        <f t="shared" si="42"/>
        <v>300000</v>
      </c>
      <c r="M135" s="1">
        <f t="shared" si="43"/>
        <v>200000</v>
      </c>
      <c r="N135" s="55">
        <f>IFERROR(VLOOKUP(D135,Hoja2!B:D,3,0),"100%")</f>
        <v>0.58636197761627973</v>
      </c>
    </row>
    <row r="136" spans="1:14" x14ac:dyDescent="0.3">
      <c r="A136" s="1">
        <v>238</v>
      </c>
      <c r="B136" s="1">
        <v>0</v>
      </c>
      <c r="C136" s="10" t="s">
        <v>143</v>
      </c>
      <c r="D136" s="1">
        <v>406</v>
      </c>
      <c r="E136" s="53">
        <f>IFERROR(VLOOKUP(C136,Hoja1!A$2:B811,2,0),"0")</f>
        <v>83600</v>
      </c>
      <c r="F136" s="1">
        <f t="shared" ref="F136:F140" si="44">G136/60</f>
        <v>50</v>
      </c>
      <c r="G136" s="43">
        <f>VLOOKUP(C136,Hoja2!A:C,3,0)</f>
        <v>3000</v>
      </c>
      <c r="H136" s="5">
        <f t="shared" si="38"/>
        <v>48000</v>
      </c>
      <c r="I136" s="1">
        <f t="shared" si="39"/>
        <v>72000</v>
      </c>
      <c r="J136" s="7">
        <f t="shared" si="40"/>
        <v>38713.605492404015</v>
      </c>
      <c r="K136" s="5">
        <f t="shared" si="41"/>
        <v>25809.070328269339</v>
      </c>
      <c r="L136" s="1">
        <f t="shared" si="42"/>
        <v>360000</v>
      </c>
      <c r="M136" s="1">
        <f t="shared" si="43"/>
        <v>240000</v>
      </c>
      <c r="N136" s="55">
        <f>IFERROR(VLOOKUP(D136,Hoja2!B:D,3,0),"100%")</f>
        <v>0.53768896517227793</v>
      </c>
    </row>
    <row r="137" spans="1:14" x14ac:dyDescent="0.3">
      <c r="A137" s="1">
        <v>238</v>
      </c>
      <c r="B137" s="1">
        <v>0</v>
      </c>
      <c r="C137" s="10" t="s">
        <v>339</v>
      </c>
      <c r="D137" s="1">
        <v>406</v>
      </c>
      <c r="E137" s="53">
        <f>IFERROR(VLOOKUP(C137,Hoja1!A$2:B835,2,0),"0")</f>
        <v>110000</v>
      </c>
      <c r="F137" s="1">
        <f t="shared" si="44"/>
        <v>43.333333333333336</v>
      </c>
      <c r="G137" s="43">
        <f>VLOOKUP(C137,Hoja2!A:C,3,0)</f>
        <v>2600</v>
      </c>
      <c r="H137" s="5">
        <f t="shared" ref="H137:H140" si="45">G137*16</f>
        <v>41600</v>
      </c>
      <c r="I137" s="1">
        <f t="shared" ref="I137:I140" si="46">G137*24</f>
        <v>62400</v>
      </c>
      <c r="J137" s="7">
        <f t="shared" ref="J137:J140" si="47">I137*N137</f>
        <v>33551.79142675014</v>
      </c>
      <c r="K137" s="5">
        <f t="shared" ref="K137:K140" si="48">H137*N137</f>
        <v>22367.860951166764</v>
      </c>
      <c r="L137" s="1">
        <f t="shared" ref="L137:L140" si="49">I137*5</f>
        <v>312000</v>
      </c>
      <c r="M137" s="1">
        <f t="shared" ref="M137:M140" si="50">H137*5</f>
        <v>208000</v>
      </c>
      <c r="N137" s="55">
        <f>IFERROR(VLOOKUP(D137,Hoja2!B:D,3,0),"100%")</f>
        <v>0.53768896517227793</v>
      </c>
    </row>
    <row r="138" spans="1:14" x14ac:dyDescent="0.3">
      <c r="A138" s="1">
        <v>238</v>
      </c>
      <c r="B138" s="1">
        <v>0</v>
      </c>
      <c r="C138" s="10" t="s">
        <v>340</v>
      </c>
      <c r="D138" s="1">
        <v>406</v>
      </c>
      <c r="E138" s="53">
        <f>IFERROR(VLOOKUP(C138,Hoja1!A$2:B842,2,0),"0")</f>
        <v>56000</v>
      </c>
      <c r="F138" s="1">
        <f t="shared" si="44"/>
        <v>50</v>
      </c>
      <c r="G138" s="43">
        <f>VLOOKUP(C138,Hoja2!A:C,3,0)</f>
        <v>3000</v>
      </c>
      <c r="H138" s="5">
        <f t="shared" si="45"/>
        <v>48000</v>
      </c>
      <c r="I138" s="1">
        <f t="shared" si="46"/>
        <v>72000</v>
      </c>
      <c r="J138" s="7">
        <f t="shared" si="47"/>
        <v>38713.605492404015</v>
      </c>
      <c r="K138" s="5">
        <f t="shared" si="48"/>
        <v>25809.070328269339</v>
      </c>
      <c r="L138" s="1">
        <f t="shared" si="49"/>
        <v>360000</v>
      </c>
      <c r="M138" s="1">
        <f t="shared" si="50"/>
        <v>240000</v>
      </c>
      <c r="N138" s="55">
        <f>IFERROR(VLOOKUP(D138,Hoja2!B:D,3,0),"100%")</f>
        <v>0.53768896517227793</v>
      </c>
    </row>
    <row r="139" spans="1:14" x14ac:dyDescent="0.3">
      <c r="A139" s="1">
        <v>238</v>
      </c>
      <c r="B139" s="1">
        <v>0</v>
      </c>
      <c r="C139" s="10" t="s">
        <v>341</v>
      </c>
      <c r="D139" s="1">
        <v>406</v>
      </c>
      <c r="E139" s="53">
        <f>IFERROR(VLOOKUP(C139,Hoja1!A$2:B844,2,0),"0")</f>
        <v>56000</v>
      </c>
      <c r="F139" s="1">
        <f t="shared" si="44"/>
        <v>50</v>
      </c>
      <c r="G139" s="43">
        <f>VLOOKUP(C139,Hoja2!A:C,3,0)</f>
        <v>3000</v>
      </c>
      <c r="H139" s="5">
        <f t="shared" si="45"/>
        <v>48000</v>
      </c>
      <c r="I139" s="1">
        <f t="shared" si="46"/>
        <v>72000</v>
      </c>
      <c r="J139" s="7">
        <f t="shared" si="47"/>
        <v>38713.605492404015</v>
      </c>
      <c r="K139" s="5">
        <f t="shared" si="48"/>
        <v>25809.070328269339</v>
      </c>
      <c r="L139" s="1">
        <f t="shared" si="49"/>
        <v>360000</v>
      </c>
      <c r="M139" s="1">
        <f t="shared" si="50"/>
        <v>240000</v>
      </c>
      <c r="N139" s="55">
        <f>IFERROR(VLOOKUP(D139,Hoja2!B:D,3,0),"100%")</f>
        <v>0.53768896517227793</v>
      </c>
    </row>
    <row r="140" spans="1:14" x14ac:dyDescent="0.3">
      <c r="A140" s="1">
        <v>238</v>
      </c>
      <c r="B140" s="1">
        <v>0</v>
      </c>
      <c r="C140" s="10">
        <v>421100</v>
      </c>
      <c r="D140" s="1">
        <v>406</v>
      </c>
      <c r="E140" s="53">
        <f>IFERROR(VLOOKUP(C140,Hoja1!A$2:B846,2,0),"0")</f>
        <v>22000</v>
      </c>
      <c r="F140" s="1">
        <f t="shared" si="44"/>
        <v>41.666666666666664</v>
      </c>
      <c r="G140" s="43">
        <f>VLOOKUP(C140,Hoja2!A:C,3,0)</f>
        <v>2500</v>
      </c>
      <c r="H140" s="5">
        <f t="shared" si="45"/>
        <v>40000</v>
      </c>
      <c r="I140" s="1">
        <f t="shared" si="46"/>
        <v>60000</v>
      </c>
      <c r="J140" s="7">
        <f t="shared" si="47"/>
        <v>32261.337910336675</v>
      </c>
      <c r="K140" s="5">
        <f t="shared" si="48"/>
        <v>21507.558606891118</v>
      </c>
      <c r="L140" s="1">
        <f t="shared" si="49"/>
        <v>300000</v>
      </c>
      <c r="M140" s="1">
        <f t="shared" si="50"/>
        <v>200000</v>
      </c>
      <c r="N140" s="55">
        <f>IFERROR(VLOOKUP(D140,Hoja2!B:D,3,0),"100%")</f>
        <v>0.53768896517227793</v>
      </c>
    </row>
    <row r="141" spans="1:14" x14ac:dyDescent="0.3">
      <c r="A141" s="1">
        <v>238</v>
      </c>
      <c r="B141" s="1">
        <v>0</v>
      </c>
      <c r="C141" s="10">
        <v>450072</v>
      </c>
      <c r="D141" s="1">
        <v>452</v>
      </c>
      <c r="E141" s="53">
        <f>IFERROR(VLOOKUP(C141,Hoja1!A$2:B1054,2,0),"0")</f>
        <v>0</v>
      </c>
      <c r="F141" s="1">
        <f t="shared" ref="F141:F145" si="51">G141/60</f>
        <v>10</v>
      </c>
      <c r="G141" s="43">
        <f>VLOOKUP(C141,Hoja2!A:C,3,0)</f>
        <v>600</v>
      </c>
      <c r="H141" s="5">
        <f t="shared" ref="H141:H147" si="52">G141*16</f>
        <v>9600</v>
      </c>
      <c r="I141" s="1">
        <f t="shared" ref="I141:I147" si="53">G141*24</f>
        <v>14400</v>
      </c>
      <c r="J141" s="7">
        <f t="shared" ref="J141:J147" si="54">I141*N141</f>
        <v>10711.347306937203</v>
      </c>
      <c r="K141" s="5">
        <f t="shared" ref="K141:K147" si="55">H141*N141</f>
        <v>7140.898204624802</v>
      </c>
      <c r="L141" s="1">
        <f t="shared" ref="L141:L147" si="56">I141*5</f>
        <v>72000</v>
      </c>
      <c r="M141" s="1">
        <f t="shared" ref="M141:M147" si="57">H141*5</f>
        <v>48000</v>
      </c>
      <c r="N141" s="55">
        <f>IFERROR(VLOOKUP(D141,Hoja2!B:D,3,0),"100%")</f>
        <v>0.74384356298175025</v>
      </c>
    </row>
    <row r="142" spans="1:14" x14ac:dyDescent="0.3">
      <c r="A142" s="1">
        <v>238</v>
      </c>
      <c r="B142" s="1">
        <v>0</v>
      </c>
      <c r="C142" s="10" t="s">
        <v>174</v>
      </c>
      <c r="D142" s="1">
        <v>452</v>
      </c>
      <c r="E142" s="53">
        <f>IFERROR(VLOOKUP(C142,Hoja1!A$2:B1056,2,0),"0")</f>
        <v>0</v>
      </c>
      <c r="F142" s="1">
        <f t="shared" si="51"/>
        <v>10</v>
      </c>
      <c r="G142" s="43">
        <f>VLOOKUP(C142,Hoja2!A:C,3,0)</f>
        <v>600</v>
      </c>
      <c r="H142" s="5">
        <f t="shared" si="52"/>
        <v>9600</v>
      </c>
      <c r="I142" s="1">
        <f t="shared" si="53"/>
        <v>14400</v>
      </c>
      <c r="J142" s="7">
        <f t="shared" si="54"/>
        <v>10711.347306937203</v>
      </c>
      <c r="K142" s="5">
        <f t="shared" si="55"/>
        <v>7140.898204624802</v>
      </c>
      <c r="L142" s="1">
        <f t="shared" si="56"/>
        <v>72000</v>
      </c>
      <c r="M142" s="1">
        <f t="shared" si="57"/>
        <v>48000</v>
      </c>
      <c r="N142" s="55">
        <f>IFERROR(VLOOKUP(D142,Hoja2!B:D,3,0),"100%")</f>
        <v>0.74384356298175025</v>
      </c>
    </row>
    <row r="143" spans="1:14" x14ac:dyDescent="0.3">
      <c r="A143" s="1">
        <v>238</v>
      </c>
      <c r="B143" s="1">
        <v>0</v>
      </c>
      <c r="C143" s="10" t="s">
        <v>175</v>
      </c>
      <c r="D143" s="1">
        <v>221</v>
      </c>
      <c r="E143" s="53">
        <f>IFERROR(VLOOKUP(C143,Hoja1!A$2:B1058,2,0),"0")</f>
        <v>59400</v>
      </c>
      <c r="F143" s="1">
        <f t="shared" si="51"/>
        <v>11.666666666666666</v>
      </c>
      <c r="G143" s="43">
        <f>VLOOKUP(C143,Hoja2!A:C,3,0)</f>
        <v>700</v>
      </c>
      <c r="H143" s="5">
        <f t="shared" si="52"/>
        <v>11200</v>
      </c>
      <c r="I143" s="1">
        <f t="shared" si="53"/>
        <v>16800</v>
      </c>
      <c r="J143" s="7">
        <f t="shared" si="54"/>
        <v>14523.897995896708</v>
      </c>
      <c r="K143" s="5">
        <f t="shared" si="55"/>
        <v>9682.5986639311377</v>
      </c>
      <c r="L143" s="1">
        <f t="shared" si="56"/>
        <v>84000</v>
      </c>
      <c r="M143" s="1">
        <f t="shared" si="57"/>
        <v>56000</v>
      </c>
      <c r="N143" s="55">
        <f>IFERROR(VLOOKUP(D143,Hoja2!B:D,3,0),"100%")</f>
        <v>0.86451773785099451</v>
      </c>
    </row>
    <row r="144" spans="1:14" x14ac:dyDescent="0.3">
      <c r="A144" s="1">
        <v>238</v>
      </c>
      <c r="B144" s="1">
        <v>0</v>
      </c>
      <c r="C144" s="10">
        <v>450179</v>
      </c>
      <c r="D144" s="1">
        <v>122</v>
      </c>
      <c r="E144" s="53">
        <f>IFERROR(VLOOKUP(C144,Hoja1!A$2:B1062,2,0),"0")</f>
        <v>38600</v>
      </c>
      <c r="F144" s="1">
        <f t="shared" si="51"/>
        <v>116.66666666666667</v>
      </c>
      <c r="G144" s="43">
        <f>VLOOKUP(C144,Hoja2!A:C,3,0)</f>
        <v>7000</v>
      </c>
      <c r="H144" s="5">
        <f t="shared" si="52"/>
        <v>112000</v>
      </c>
      <c r="I144" s="1">
        <f t="shared" si="53"/>
        <v>168000</v>
      </c>
      <c r="J144" s="7">
        <f t="shared" si="54"/>
        <v>121816.78079490205</v>
      </c>
      <c r="K144" s="5">
        <f t="shared" si="55"/>
        <v>81211.187196601371</v>
      </c>
      <c r="L144" s="1">
        <f t="shared" si="56"/>
        <v>840000</v>
      </c>
      <c r="M144" s="1">
        <f t="shared" si="57"/>
        <v>560000</v>
      </c>
      <c r="N144" s="55">
        <f>IFERROR(VLOOKUP(D144,Hoja2!B:D,3,0),"100%")</f>
        <v>0.72509988568394079</v>
      </c>
    </row>
    <row r="145" spans="1:14" x14ac:dyDescent="0.3">
      <c r="A145" s="1">
        <v>238</v>
      </c>
      <c r="B145" s="1">
        <v>0</v>
      </c>
      <c r="C145" s="10" t="s">
        <v>179</v>
      </c>
      <c r="D145" s="1">
        <v>142</v>
      </c>
      <c r="E145" s="53">
        <f>IFERROR(VLOOKUP(C145,Hoja1!A$2:B1064,2,0),"0")</f>
        <v>521400</v>
      </c>
      <c r="F145" s="1">
        <f t="shared" si="51"/>
        <v>166.66666666666666</v>
      </c>
      <c r="G145" s="43">
        <f>VLOOKUP(C145,Hoja2!A:C,3,0)</f>
        <v>10000</v>
      </c>
      <c r="H145" s="5">
        <f t="shared" si="52"/>
        <v>160000</v>
      </c>
      <c r="I145" s="1">
        <f t="shared" si="53"/>
        <v>240000</v>
      </c>
      <c r="J145" s="7">
        <f t="shared" si="54"/>
        <v>176093.2596079247</v>
      </c>
      <c r="K145" s="5">
        <f t="shared" si="55"/>
        <v>117395.50640528314</v>
      </c>
      <c r="L145" s="1">
        <f t="shared" si="56"/>
        <v>1200000</v>
      </c>
      <c r="M145" s="1">
        <f t="shared" si="57"/>
        <v>800000</v>
      </c>
      <c r="N145" s="55">
        <f>IFERROR(VLOOKUP(D145,Hoja2!B:D,3,0),"100%")</f>
        <v>0.73372191503301964</v>
      </c>
    </row>
    <row r="146" spans="1:14" s="56" customFormat="1" x14ac:dyDescent="0.3">
      <c r="A146" s="56">
        <v>238</v>
      </c>
      <c r="B146" s="1">
        <v>0</v>
      </c>
      <c r="C146" s="57">
        <v>450348</v>
      </c>
      <c r="D146" s="56">
        <v>122</v>
      </c>
      <c r="E146" s="58">
        <f>IFERROR(VLOOKUP(C146,Hoja1!A$2:B1069,2,0),"0")</f>
        <v>99600</v>
      </c>
      <c r="F146" s="56">
        <f t="shared" ref="F146:F160" si="58">G146/60</f>
        <v>36.666666666666664</v>
      </c>
      <c r="G146" s="43">
        <f>VLOOKUP(C146,Hoja2!A:C,3,0)</f>
        <v>2200</v>
      </c>
      <c r="H146" s="56">
        <f t="shared" si="52"/>
        <v>35200</v>
      </c>
      <c r="I146" s="56">
        <f t="shared" si="53"/>
        <v>52800</v>
      </c>
      <c r="J146" s="56">
        <f t="shared" si="54"/>
        <v>38285.273964112072</v>
      </c>
      <c r="K146" s="56">
        <f t="shared" si="55"/>
        <v>25523.515976074716</v>
      </c>
      <c r="L146" s="56">
        <f t="shared" si="56"/>
        <v>264000</v>
      </c>
      <c r="M146" s="56">
        <f t="shared" si="57"/>
        <v>176000</v>
      </c>
      <c r="N146" s="59">
        <f>IFERROR(VLOOKUP(D146,Hoja2!B:D,3,0),"100%")</f>
        <v>0.72509988568394079</v>
      </c>
    </row>
    <row r="147" spans="1:14" x14ac:dyDescent="0.3">
      <c r="A147" s="1">
        <v>238</v>
      </c>
      <c r="B147" s="1">
        <v>0</v>
      </c>
      <c r="C147" s="10" t="s">
        <v>181</v>
      </c>
      <c r="D147" s="1">
        <v>142</v>
      </c>
      <c r="E147" s="53">
        <f>IFERROR(VLOOKUP(C147,Hoja1!A$2:B1071,2,0),"0")</f>
        <v>48400</v>
      </c>
      <c r="F147" s="1">
        <f t="shared" si="58"/>
        <v>166.66666666666666</v>
      </c>
      <c r="G147" s="43">
        <f>VLOOKUP(C147,Hoja2!A:C,3,0)</f>
        <v>10000</v>
      </c>
      <c r="H147" s="5">
        <f t="shared" si="52"/>
        <v>160000</v>
      </c>
      <c r="I147" s="1">
        <f t="shared" si="53"/>
        <v>240000</v>
      </c>
      <c r="J147" s="7">
        <f t="shared" si="54"/>
        <v>176093.2596079247</v>
      </c>
      <c r="K147" s="5">
        <f t="shared" si="55"/>
        <v>117395.50640528314</v>
      </c>
      <c r="L147" s="1">
        <f t="shared" si="56"/>
        <v>1200000</v>
      </c>
      <c r="M147" s="1">
        <f t="shared" si="57"/>
        <v>800000</v>
      </c>
      <c r="N147" s="55">
        <f>IFERROR(VLOOKUP(D147,Hoja2!B:D,3,0),"100%")</f>
        <v>0.73372191503301964</v>
      </c>
    </row>
    <row r="148" spans="1:14" x14ac:dyDescent="0.3">
      <c r="A148" s="1">
        <v>238</v>
      </c>
      <c r="B148" s="1">
        <v>0</v>
      </c>
      <c r="C148" s="10">
        <v>450431</v>
      </c>
      <c r="D148" s="1">
        <v>142</v>
      </c>
      <c r="E148" s="53">
        <f>IFERROR(VLOOKUP(C148,Hoja1!A$2:B1076,2,0),"0")</f>
        <v>1126400</v>
      </c>
      <c r="F148" s="1">
        <f t="shared" si="58"/>
        <v>133.33333333333334</v>
      </c>
      <c r="G148" s="43">
        <f>VLOOKUP(C148,Hoja2!A:C,3,0)</f>
        <v>8000</v>
      </c>
      <c r="H148" s="5">
        <f t="shared" ref="H148:H161" si="59">G148*16</f>
        <v>128000</v>
      </c>
      <c r="I148" s="1">
        <f t="shared" ref="I148:I161" si="60">G148*24</f>
        <v>192000</v>
      </c>
      <c r="J148" s="7">
        <f t="shared" ref="J148:J161" si="61">I148*N148</f>
        <v>140874.60768633976</v>
      </c>
      <c r="K148" s="5">
        <f t="shared" ref="K148:K161" si="62">H148*N148</f>
        <v>93916.405124226512</v>
      </c>
      <c r="L148" s="1">
        <f t="shared" ref="L148:L161" si="63">I148*5</f>
        <v>960000</v>
      </c>
      <c r="M148" s="1">
        <f t="shared" ref="M148:M161" si="64">H148*5</f>
        <v>640000</v>
      </c>
      <c r="N148" s="55">
        <f>IFERROR(VLOOKUP(D148,Hoja2!B:D,3,0),"100%")</f>
        <v>0.73372191503301964</v>
      </c>
    </row>
    <row r="149" spans="1:14" x14ac:dyDescent="0.3">
      <c r="A149" s="1">
        <v>238</v>
      </c>
      <c r="B149" s="1">
        <v>0</v>
      </c>
      <c r="C149" s="10" t="s">
        <v>183</v>
      </c>
      <c r="D149" s="1">
        <v>142</v>
      </c>
      <c r="E149" s="53">
        <f>IFERROR(VLOOKUP(C149,Hoja1!A$2:B1081,2,0),"0")</f>
        <v>0</v>
      </c>
      <c r="F149" s="1">
        <f t="shared" si="58"/>
        <v>133.33333333333334</v>
      </c>
      <c r="G149" s="43">
        <f>VLOOKUP(C149,Hoja2!A:C,3,0)</f>
        <v>8000</v>
      </c>
      <c r="H149" s="5">
        <f t="shared" si="59"/>
        <v>128000</v>
      </c>
      <c r="I149" s="1">
        <f t="shared" si="60"/>
        <v>192000</v>
      </c>
      <c r="J149" s="7">
        <f t="shared" si="61"/>
        <v>140874.60768633976</v>
      </c>
      <c r="K149" s="5">
        <f t="shared" si="62"/>
        <v>93916.405124226512</v>
      </c>
      <c r="L149" s="1">
        <f t="shared" si="63"/>
        <v>960000</v>
      </c>
      <c r="M149" s="1">
        <f t="shared" si="64"/>
        <v>640000</v>
      </c>
      <c r="N149" s="55">
        <f>IFERROR(VLOOKUP(D149,Hoja2!B:D,3,0),"100%")</f>
        <v>0.73372191503301964</v>
      </c>
    </row>
    <row r="150" spans="1:14" x14ac:dyDescent="0.3">
      <c r="A150" s="1">
        <v>238</v>
      </c>
      <c r="B150" s="1">
        <v>0</v>
      </c>
      <c r="C150" s="10" t="s">
        <v>344</v>
      </c>
      <c r="D150" s="1">
        <v>142</v>
      </c>
      <c r="E150" s="53">
        <f>IFERROR(VLOOKUP(C150,Hoja1!A$2:B1086,2,0),"0")</f>
        <v>96800</v>
      </c>
      <c r="F150" s="1">
        <f t="shared" si="58"/>
        <v>133.33333333333334</v>
      </c>
      <c r="G150" s="43">
        <f>VLOOKUP(C150,Hoja2!A:C,3,0)</f>
        <v>8000</v>
      </c>
      <c r="H150" s="5">
        <f t="shared" si="59"/>
        <v>128000</v>
      </c>
      <c r="I150" s="1">
        <f t="shared" si="60"/>
        <v>192000</v>
      </c>
      <c r="J150" s="7">
        <f t="shared" si="61"/>
        <v>140874.60768633976</v>
      </c>
      <c r="K150" s="5">
        <f t="shared" si="62"/>
        <v>93916.405124226512</v>
      </c>
      <c r="L150" s="1">
        <f t="shared" si="63"/>
        <v>960000</v>
      </c>
      <c r="M150" s="1">
        <f t="shared" si="64"/>
        <v>640000</v>
      </c>
      <c r="N150" s="55">
        <f>IFERROR(VLOOKUP(D150,Hoja2!B:D,3,0),"100%")</f>
        <v>0.73372191503301964</v>
      </c>
    </row>
    <row r="151" spans="1:14" x14ac:dyDescent="0.3">
      <c r="A151" s="1">
        <v>238</v>
      </c>
      <c r="B151" s="1">
        <v>0</v>
      </c>
      <c r="C151" s="10" t="s">
        <v>184</v>
      </c>
      <c r="D151" s="1">
        <v>142</v>
      </c>
      <c r="E151" s="53">
        <f>IFERROR(VLOOKUP(C151,Hoja1!A$2:B1091,2,0),"0")</f>
        <v>85800</v>
      </c>
      <c r="F151" s="1">
        <f t="shared" si="58"/>
        <v>133.33333333333334</v>
      </c>
      <c r="G151" s="43">
        <f>VLOOKUP(C151,Hoja2!A:C,3,0)</f>
        <v>8000</v>
      </c>
      <c r="H151" s="5">
        <f t="shared" si="59"/>
        <v>128000</v>
      </c>
      <c r="I151" s="1">
        <f t="shared" si="60"/>
        <v>192000</v>
      </c>
      <c r="J151" s="7">
        <f t="shared" si="61"/>
        <v>140874.60768633976</v>
      </c>
      <c r="K151" s="5">
        <f t="shared" si="62"/>
        <v>93916.405124226512</v>
      </c>
      <c r="L151" s="1">
        <f t="shared" si="63"/>
        <v>960000</v>
      </c>
      <c r="M151" s="1">
        <f t="shared" si="64"/>
        <v>640000</v>
      </c>
      <c r="N151" s="55">
        <f>IFERROR(VLOOKUP(D151,Hoja2!B:D,3,0),"100%")</f>
        <v>0.73372191503301964</v>
      </c>
    </row>
    <row r="152" spans="1:14" x14ac:dyDescent="0.3">
      <c r="A152" s="1">
        <v>238</v>
      </c>
      <c r="B152" s="1">
        <v>0</v>
      </c>
      <c r="C152" s="10" t="s">
        <v>185</v>
      </c>
      <c r="D152" s="1">
        <v>401</v>
      </c>
      <c r="E152" s="53">
        <f>IFERROR(VLOOKUP(C152,Hoja1!A$2:B1096,2,0),"0")</f>
        <v>39000</v>
      </c>
      <c r="F152" s="1">
        <f t="shared" si="58"/>
        <v>50</v>
      </c>
      <c r="G152" s="43">
        <f>VLOOKUP(C152,Hoja2!A:C,3,0)</f>
        <v>3000</v>
      </c>
      <c r="H152" s="5">
        <f t="shared" si="59"/>
        <v>48000</v>
      </c>
      <c r="I152" s="1">
        <f t="shared" si="60"/>
        <v>72000</v>
      </c>
      <c r="J152" s="7">
        <f t="shared" si="61"/>
        <v>39147.786393655857</v>
      </c>
      <c r="K152" s="5">
        <f t="shared" si="62"/>
        <v>26098.52426243724</v>
      </c>
      <c r="L152" s="1">
        <f t="shared" si="63"/>
        <v>360000</v>
      </c>
      <c r="M152" s="1">
        <f t="shared" si="64"/>
        <v>240000</v>
      </c>
      <c r="N152" s="55">
        <f>IFERROR(VLOOKUP(D152,Hoja2!B:D,3,0),"100%")</f>
        <v>0.54371925546744249</v>
      </c>
    </row>
    <row r="153" spans="1:14" x14ac:dyDescent="0.3">
      <c r="A153" s="1">
        <v>238</v>
      </c>
      <c r="B153" s="1">
        <v>0</v>
      </c>
      <c r="C153" s="10">
        <v>450636</v>
      </c>
      <c r="D153" s="1">
        <v>142</v>
      </c>
      <c r="E153" s="53">
        <f>IFERROR(VLOOKUP(C153,Hoja1!A$2:B1101,2,0),"0")</f>
        <v>24200</v>
      </c>
      <c r="F153" s="1">
        <f t="shared" si="58"/>
        <v>133.33333333333334</v>
      </c>
      <c r="G153" s="43">
        <f>VLOOKUP(C153,Hoja2!A:C,3,0)</f>
        <v>8000</v>
      </c>
      <c r="H153" s="5">
        <f t="shared" si="59"/>
        <v>128000</v>
      </c>
      <c r="I153" s="1">
        <f t="shared" si="60"/>
        <v>192000</v>
      </c>
      <c r="J153" s="7">
        <f t="shared" si="61"/>
        <v>140874.60768633976</v>
      </c>
      <c r="K153" s="5">
        <f t="shared" si="62"/>
        <v>93916.405124226512</v>
      </c>
      <c r="L153" s="1">
        <f t="shared" si="63"/>
        <v>960000</v>
      </c>
      <c r="M153" s="1">
        <f t="shared" si="64"/>
        <v>640000</v>
      </c>
      <c r="N153" s="55">
        <f>IFERROR(VLOOKUP(D153,Hoja2!B:D,3,0),"100%")</f>
        <v>0.73372191503301964</v>
      </c>
    </row>
    <row r="154" spans="1:14" x14ac:dyDescent="0.3">
      <c r="A154" s="1">
        <v>238</v>
      </c>
      <c r="B154" s="1">
        <v>0</v>
      </c>
      <c r="C154" s="10">
        <v>450647</v>
      </c>
      <c r="D154" s="1">
        <v>142</v>
      </c>
      <c r="E154" s="53">
        <f>IFERROR(VLOOKUP(C154,Hoja1!A$2:B1105,2,0),"0")</f>
        <v>0</v>
      </c>
      <c r="F154" s="1">
        <f t="shared" si="58"/>
        <v>133.33333333333334</v>
      </c>
      <c r="G154" s="43">
        <f>VLOOKUP(C154,Hoja2!A:C,3,0)</f>
        <v>8000</v>
      </c>
      <c r="H154" s="5">
        <f t="shared" si="59"/>
        <v>128000</v>
      </c>
      <c r="I154" s="1">
        <f t="shared" si="60"/>
        <v>192000</v>
      </c>
      <c r="J154" s="7">
        <f t="shared" si="61"/>
        <v>140874.60768633976</v>
      </c>
      <c r="K154" s="5">
        <f t="shared" si="62"/>
        <v>93916.405124226512</v>
      </c>
      <c r="L154" s="1">
        <f t="shared" si="63"/>
        <v>960000</v>
      </c>
      <c r="M154" s="1">
        <f t="shared" si="64"/>
        <v>640000</v>
      </c>
      <c r="N154" s="55">
        <f>IFERROR(VLOOKUP(D154,Hoja2!B:D,3,0),"100%")</f>
        <v>0.73372191503301964</v>
      </c>
    </row>
    <row r="155" spans="1:14" x14ac:dyDescent="0.3">
      <c r="A155" s="1">
        <v>238</v>
      </c>
      <c r="B155" s="1">
        <v>0</v>
      </c>
      <c r="C155" s="10">
        <v>450829</v>
      </c>
      <c r="D155" s="1">
        <v>455</v>
      </c>
      <c r="E155" s="53">
        <f>IFERROR(VLOOKUP(C155,Hoja1!A$2:B1110,2,0),"0")</f>
        <v>768000</v>
      </c>
      <c r="F155" s="1">
        <f t="shared" si="58"/>
        <v>8.3333333333333339</v>
      </c>
      <c r="G155" s="43">
        <f>VLOOKUP(C155,Hoja2!A:C,3,0)</f>
        <v>500</v>
      </c>
      <c r="H155" s="5">
        <f t="shared" si="59"/>
        <v>8000</v>
      </c>
      <c r="I155" s="1">
        <f t="shared" si="60"/>
        <v>12000</v>
      </c>
      <c r="J155" s="7">
        <f t="shared" si="61"/>
        <v>8620.8266859118521</v>
      </c>
      <c r="K155" s="5">
        <f t="shared" si="62"/>
        <v>5747.2177906079005</v>
      </c>
      <c r="L155" s="1">
        <f t="shared" si="63"/>
        <v>60000</v>
      </c>
      <c r="M155" s="1">
        <f t="shared" si="64"/>
        <v>40000</v>
      </c>
      <c r="N155" s="55">
        <f>IFERROR(VLOOKUP(D155,Hoja2!B:D,3,0),"100%")</f>
        <v>0.71840222382598762</v>
      </c>
    </row>
    <row r="156" spans="1:14" x14ac:dyDescent="0.3">
      <c r="A156" s="1">
        <v>238</v>
      </c>
      <c r="B156" s="1">
        <v>0</v>
      </c>
      <c r="C156" s="10">
        <v>450962</v>
      </c>
      <c r="D156" s="1">
        <v>142</v>
      </c>
      <c r="E156" s="53">
        <f>IFERROR(VLOOKUP(C156,Hoja1!A$2:B1112,2,0),"0")</f>
        <v>1463000</v>
      </c>
      <c r="F156" s="1">
        <f t="shared" si="58"/>
        <v>133.33333333333334</v>
      </c>
      <c r="G156" s="43">
        <f>VLOOKUP(C156,Hoja2!A:C,3,0)</f>
        <v>8000</v>
      </c>
      <c r="H156" s="5">
        <f t="shared" si="59"/>
        <v>128000</v>
      </c>
      <c r="I156" s="1">
        <f t="shared" si="60"/>
        <v>192000</v>
      </c>
      <c r="J156" s="7">
        <f t="shared" si="61"/>
        <v>140874.60768633976</v>
      </c>
      <c r="K156" s="5">
        <f t="shared" si="62"/>
        <v>93916.405124226512</v>
      </c>
      <c r="L156" s="1">
        <f t="shared" si="63"/>
        <v>960000</v>
      </c>
      <c r="M156" s="1">
        <f t="shared" si="64"/>
        <v>640000</v>
      </c>
      <c r="N156" s="55">
        <f>IFERROR(VLOOKUP(D156,Hoja2!B:D,3,0),"100%")</f>
        <v>0.73372191503301964</v>
      </c>
    </row>
    <row r="157" spans="1:14" x14ac:dyDescent="0.3">
      <c r="A157" s="1">
        <v>238</v>
      </c>
      <c r="B157" s="1">
        <v>0</v>
      </c>
      <c r="C157" s="10">
        <v>451002</v>
      </c>
      <c r="D157" s="1">
        <v>127</v>
      </c>
      <c r="E157" s="53">
        <f>IFERROR(VLOOKUP(C157,Hoja1!A$2:B1117,2,0),"0")</f>
        <v>78000</v>
      </c>
      <c r="F157" s="1">
        <f t="shared" si="58"/>
        <v>11.666666666666666</v>
      </c>
      <c r="G157" s="43">
        <f>VLOOKUP(C157,Hoja2!A:C,3,0)</f>
        <v>700</v>
      </c>
      <c r="H157" s="5">
        <f t="shared" si="59"/>
        <v>11200</v>
      </c>
      <c r="I157" s="1">
        <f t="shared" si="60"/>
        <v>16800</v>
      </c>
      <c r="J157" s="7">
        <f t="shared" si="61"/>
        <v>12971.949593651378</v>
      </c>
      <c r="K157" s="5">
        <f t="shared" si="62"/>
        <v>8647.9663957675857</v>
      </c>
      <c r="L157" s="1">
        <f t="shared" si="63"/>
        <v>84000</v>
      </c>
      <c r="M157" s="1">
        <f t="shared" si="64"/>
        <v>56000</v>
      </c>
      <c r="N157" s="55">
        <f>IFERROR(VLOOKUP(D157,Hoja2!B:D,3,0),"100%")</f>
        <v>0.772139856764963</v>
      </c>
    </row>
    <row r="158" spans="1:14" x14ac:dyDescent="0.3">
      <c r="A158" s="1">
        <v>238</v>
      </c>
      <c r="B158" s="1">
        <v>0</v>
      </c>
      <c r="C158" s="10" t="s">
        <v>193</v>
      </c>
      <c r="D158" s="1">
        <v>142</v>
      </c>
      <c r="E158" s="53">
        <f>IFERROR(VLOOKUP(C158,Hoja1!A$2:B1119,2,0),"0")</f>
        <v>446600</v>
      </c>
      <c r="F158" s="1">
        <f t="shared" si="58"/>
        <v>166.66666666666666</v>
      </c>
      <c r="G158" s="43">
        <f>VLOOKUP(C158,Hoja2!A:C,3,0)</f>
        <v>10000</v>
      </c>
      <c r="H158" s="5">
        <f t="shared" si="59"/>
        <v>160000</v>
      </c>
      <c r="I158" s="1">
        <f t="shared" si="60"/>
        <v>240000</v>
      </c>
      <c r="J158" s="7">
        <f t="shared" si="61"/>
        <v>176093.2596079247</v>
      </c>
      <c r="K158" s="5">
        <f t="shared" si="62"/>
        <v>117395.50640528314</v>
      </c>
      <c r="L158" s="1">
        <f t="shared" si="63"/>
        <v>1200000</v>
      </c>
      <c r="M158" s="1">
        <f t="shared" si="64"/>
        <v>800000</v>
      </c>
      <c r="N158" s="55">
        <f>IFERROR(VLOOKUP(D158,Hoja2!B:D,3,0),"100%")</f>
        <v>0.73372191503301964</v>
      </c>
    </row>
    <row r="159" spans="1:14" x14ac:dyDescent="0.3">
      <c r="A159" s="1">
        <v>238</v>
      </c>
      <c r="B159" s="1">
        <v>0</v>
      </c>
      <c r="C159" s="10" t="s">
        <v>194</v>
      </c>
      <c r="D159" s="1">
        <v>136</v>
      </c>
      <c r="E159" s="53">
        <f>IFERROR(VLOOKUP(C159,Hoja1!A$2:B1124,2,0),"0")</f>
        <v>363000</v>
      </c>
      <c r="F159" s="1">
        <f t="shared" si="58"/>
        <v>83.333333333333329</v>
      </c>
      <c r="G159" s="43">
        <f>VLOOKUP(C159,Hoja2!A:C,3,0)</f>
        <v>5000</v>
      </c>
      <c r="H159" s="5">
        <f t="shared" si="59"/>
        <v>80000</v>
      </c>
      <c r="I159" s="1">
        <f t="shared" si="60"/>
        <v>120000</v>
      </c>
      <c r="J159" s="7">
        <f t="shared" si="61"/>
        <v>87728.717202901506</v>
      </c>
      <c r="K159" s="5">
        <f t="shared" si="62"/>
        <v>58485.811468601001</v>
      </c>
      <c r="L159" s="1">
        <f t="shared" si="63"/>
        <v>600000</v>
      </c>
      <c r="M159" s="1">
        <f t="shared" si="64"/>
        <v>400000</v>
      </c>
      <c r="N159" s="55">
        <f>IFERROR(VLOOKUP(D159,Hoja2!B:D,3,0),"100%")</f>
        <v>0.73107264335751254</v>
      </c>
    </row>
    <row r="160" spans="1:14" x14ac:dyDescent="0.3">
      <c r="A160" s="1">
        <v>238</v>
      </c>
      <c r="B160" s="1">
        <v>0</v>
      </c>
      <c r="C160" s="10" t="s">
        <v>195</v>
      </c>
      <c r="D160" s="1">
        <v>124</v>
      </c>
      <c r="E160" s="53">
        <f>IFERROR(VLOOKUP(C160,Hoja1!A$2:B1126,2,0),"0")</f>
        <v>836000</v>
      </c>
      <c r="F160" s="1">
        <f t="shared" si="58"/>
        <v>58.333333333333336</v>
      </c>
      <c r="G160" s="43">
        <f>VLOOKUP(C160,Hoja2!A:C,3,0)</f>
        <v>3500</v>
      </c>
      <c r="H160" s="5">
        <f t="shared" si="59"/>
        <v>56000</v>
      </c>
      <c r="I160" s="1">
        <f t="shared" si="60"/>
        <v>84000</v>
      </c>
      <c r="J160" s="7">
        <f t="shared" si="61"/>
        <v>63887.32394366197</v>
      </c>
      <c r="K160" s="5">
        <f t="shared" si="62"/>
        <v>42591.549295774646</v>
      </c>
      <c r="L160" s="1">
        <f t="shared" si="63"/>
        <v>420000</v>
      </c>
      <c r="M160" s="1">
        <f t="shared" si="64"/>
        <v>280000</v>
      </c>
      <c r="N160" s="55">
        <f>IFERROR(VLOOKUP(D160,Hoja2!B:D,3,0),"100%")</f>
        <v>0.76056338028169013</v>
      </c>
    </row>
    <row r="161" spans="1:14" x14ac:dyDescent="0.3">
      <c r="A161" s="1">
        <v>238</v>
      </c>
      <c r="B161" s="1">
        <v>0</v>
      </c>
      <c r="C161" s="10" t="s">
        <v>196</v>
      </c>
      <c r="D161" s="1">
        <v>417</v>
      </c>
      <c r="E161" s="53">
        <f>IFERROR(VLOOKUP(C161,Hoja1!A$2:B1131,2,0),"0")</f>
        <v>1856000</v>
      </c>
      <c r="F161" s="1">
        <f t="shared" ref="F161:F177" si="65">G161/60</f>
        <v>58.333333333333336</v>
      </c>
      <c r="G161" s="43">
        <f>VLOOKUP(C161,Hoja2!A:C,3,0)</f>
        <v>3500</v>
      </c>
      <c r="H161" s="5">
        <f t="shared" si="59"/>
        <v>56000</v>
      </c>
      <c r="I161" s="1">
        <f t="shared" si="60"/>
        <v>84000</v>
      </c>
      <c r="J161" s="7">
        <f t="shared" si="61"/>
        <v>49254.406119767496</v>
      </c>
      <c r="K161" s="5">
        <f t="shared" si="62"/>
        <v>32836.270746511662</v>
      </c>
      <c r="L161" s="1">
        <f t="shared" si="63"/>
        <v>420000</v>
      </c>
      <c r="M161" s="1">
        <f t="shared" si="64"/>
        <v>280000</v>
      </c>
      <c r="N161" s="55">
        <f>IFERROR(VLOOKUP(D161,Hoja2!B:D,3,0),"100%")</f>
        <v>0.58636197761627973</v>
      </c>
    </row>
    <row r="162" spans="1:14" x14ac:dyDescent="0.3">
      <c r="A162" s="1">
        <v>238</v>
      </c>
      <c r="B162" s="1">
        <v>0</v>
      </c>
      <c r="C162" s="10">
        <v>451400</v>
      </c>
      <c r="D162" s="1">
        <v>136</v>
      </c>
      <c r="E162" s="53" t="str">
        <f>IFERROR(VLOOKUP(C162,Hoja1!A$2:B1139,2,0),"0")</f>
        <v>0</v>
      </c>
      <c r="F162" s="1">
        <f t="shared" si="65"/>
        <v>83.333333333333329</v>
      </c>
      <c r="G162" s="43">
        <f>VLOOKUP(C162,Hoja2!A:C,3,0)</f>
        <v>5000</v>
      </c>
      <c r="H162" s="5">
        <f t="shared" ref="H162:H177" si="66">G162*16</f>
        <v>80000</v>
      </c>
      <c r="I162" s="1">
        <f t="shared" ref="I162:I177" si="67">G162*24</f>
        <v>120000</v>
      </c>
      <c r="J162" s="7">
        <f t="shared" ref="J162:J177" si="68">I162*N162</f>
        <v>87728.717202901506</v>
      </c>
      <c r="K162" s="5">
        <f t="shared" ref="K162:K177" si="69">H162*N162</f>
        <v>58485.811468601001</v>
      </c>
      <c r="L162" s="1">
        <f t="shared" ref="L162:L177" si="70">I162*5</f>
        <v>600000</v>
      </c>
      <c r="M162" s="1">
        <f t="shared" ref="M162:M177" si="71">H162*5</f>
        <v>400000</v>
      </c>
      <c r="N162" s="55">
        <f>IFERROR(VLOOKUP(D162,Hoja2!B:D,3,0),"100%")</f>
        <v>0.73107264335751254</v>
      </c>
    </row>
    <row r="163" spans="1:14" x14ac:dyDescent="0.3">
      <c r="A163" s="1">
        <v>238</v>
      </c>
      <c r="B163" s="1">
        <v>0</v>
      </c>
      <c r="C163" s="10">
        <v>451401</v>
      </c>
      <c r="D163" s="1">
        <v>136</v>
      </c>
      <c r="E163" s="53">
        <f>IFERROR(VLOOKUP(C163,Hoja1!A$2:B1141,2,0),"0")</f>
        <v>0</v>
      </c>
      <c r="F163" s="1">
        <f t="shared" si="65"/>
        <v>66.666666666666671</v>
      </c>
      <c r="G163" s="43">
        <f>VLOOKUP(C163,Hoja2!A:C,3,0)</f>
        <v>4000</v>
      </c>
      <c r="H163" s="5">
        <f t="shared" si="66"/>
        <v>64000</v>
      </c>
      <c r="I163" s="1">
        <f t="shared" si="67"/>
        <v>96000</v>
      </c>
      <c r="J163" s="7">
        <f t="shared" si="68"/>
        <v>70182.973762321199</v>
      </c>
      <c r="K163" s="5">
        <f t="shared" si="69"/>
        <v>46788.649174880804</v>
      </c>
      <c r="L163" s="1">
        <f t="shared" si="70"/>
        <v>480000</v>
      </c>
      <c r="M163" s="1">
        <f t="shared" si="71"/>
        <v>320000</v>
      </c>
      <c r="N163" s="55">
        <f>IFERROR(VLOOKUP(D163,Hoja2!B:D,3,0),"100%")</f>
        <v>0.73107264335751254</v>
      </c>
    </row>
    <row r="164" spans="1:14" x14ac:dyDescent="0.3">
      <c r="A164" s="1">
        <v>238</v>
      </c>
      <c r="B164" s="1">
        <v>0</v>
      </c>
      <c r="C164" s="10" t="s">
        <v>474</v>
      </c>
      <c r="D164" s="1">
        <v>221</v>
      </c>
      <c r="E164" s="53" t="str">
        <f>IFERROR(VLOOKUP(C164,Hoja1!A$2:B1143,2,0),"0")</f>
        <v>0</v>
      </c>
      <c r="F164" s="1">
        <f t="shared" si="65"/>
        <v>10</v>
      </c>
      <c r="G164" s="43">
        <f>VLOOKUP(C164,Hoja2!A:C,3,0)</f>
        <v>600</v>
      </c>
      <c r="H164" s="5">
        <f t="shared" si="66"/>
        <v>9600</v>
      </c>
      <c r="I164" s="1">
        <f t="shared" si="67"/>
        <v>14400</v>
      </c>
      <c r="J164" s="7">
        <f t="shared" si="68"/>
        <v>12449.055425054321</v>
      </c>
      <c r="K164" s="5">
        <f t="shared" si="69"/>
        <v>8299.3702833695479</v>
      </c>
      <c r="L164" s="1">
        <f t="shared" si="70"/>
        <v>72000</v>
      </c>
      <c r="M164" s="1">
        <f t="shared" si="71"/>
        <v>48000</v>
      </c>
      <c r="N164" s="55">
        <f>IFERROR(VLOOKUP(D164,Hoja2!B:D,3,0),"100%")</f>
        <v>0.86451773785099451</v>
      </c>
    </row>
    <row r="165" spans="1:14" x14ac:dyDescent="0.3">
      <c r="A165" s="1">
        <v>238</v>
      </c>
      <c r="B165" s="1">
        <v>0</v>
      </c>
      <c r="C165" s="10" t="s">
        <v>197</v>
      </c>
      <c r="D165" s="1">
        <v>136</v>
      </c>
      <c r="E165" s="53">
        <f>IFERROR(VLOOKUP(C165,Hoja1!A$2:B1147,2,0),"0")</f>
        <v>437300</v>
      </c>
      <c r="F165" s="1">
        <f t="shared" si="65"/>
        <v>75</v>
      </c>
      <c r="G165" s="43">
        <f>VLOOKUP(C165,Hoja2!A:C,3,0)</f>
        <v>4500</v>
      </c>
      <c r="H165" s="5">
        <f t="shared" si="66"/>
        <v>72000</v>
      </c>
      <c r="I165" s="1">
        <f t="shared" si="67"/>
        <v>108000</v>
      </c>
      <c r="J165" s="7">
        <f t="shared" si="68"/>
        <v>78955.845482611359</v>
      </c>
      <c r="K165" s="5">
        <f t="shared" si="69"/>
        <v>52637.230321740906</v>
      </c>
      <c r="L165" s="1">
        <f t="shared" si="70"/>
        <v>540000</v>
      </c>
      <c r="M165" s="1">
        <f t="shared" si="71"/>
        <v>360000</v>
      </c>
      <c r="N165" s="55">
        <f>IFERROR(VLOOKUP(D165,Hoja2!B:D,3,0),"100%")</f>
        <v>0.73107264335751254</v>
      </c>
    </row>
    <row r="166" spans="1:14" x14ac:dyDescent="0.3">
      <c r="A166" s="1">
        <v>238</v>
      </c>
      <c r="B166" s="1">
        <v>0</v>
      </c>
      <c r="C166" s="10" t="s">
        <v>387</v>
      </c>
      <c r="D166" s="1">
        <v>217</v>
      </c>
      <c r="E166" s="53">
        <f>IFERROR(VLOOKUP(C166,Hoja1!A$2:B1149,2,0),"0")</f>
        <v>1980000</v>
      </c>
      <c r="F166" s="1">
        <f t="shared" si="65"/>
        <v>21.666666666666668</v>
      </c>
      <c r="G166" s="43">
        <f>VLOOKUP(C166,Hoja2!A:C,3,0)</f>
        <v>1300</v>
      </c>
      <c r="H166" s="5">
        <f t="shared" si="66"/>
        <v>20800</v>
      </c>
      <c r="I166" s="1">
        <f t="shared" si="67"/>
        <v>31200</v>
      </c>
      <c r="J166" s="7">
        <f t="shared" si="68"/>
        <v>26947.450812915038</v>
      </c>
      <c r="K166" s="5">
        <f t="shared" si="69"/>
        <v>17964.967208610025</v>
      </c>
      <c r="L166" s="1">
        <f t="shared" si="70"/>
        <v>156000</v>
      </c>
      <c r="M166" s="1">
        <f t="shared" si="71"/>
        <v>104000</v>
      </c>
      <c r="N166" s="55">
        <f>IFERROR(VLOOKUP(D166,Hoja2!B:D,3,0),"100%")</f>
        <v>0.86370034656778971</v>
      </c>
    </row>
    <row r="167" spans="1:14" x14ac:dyDescent="0.3">
      <c r="A167" s="1">
        <v>238</v>
      </c>
      <c r="B167" s="1">
        <v>0</v>
      </c>
      <c r="C167" s="10" t="s">
        <v>200</v>
      </c>
      <c r="D167" s="1">
        <v>221</v>
      </c>
      <c r="E167" s="53">
        <f>IFERROR(VLOOKUP(C167,Hoja1!A$2:B1153,2,0),"0")</f>
        <v>83600</v>
      </c>
      <c r="F167" s="1">
        <f t="shared" si="65"/>
        <v>16.666666666666668</v>
      </c>
      <c r="G167" s="43">
        <f>VLOOKUP(C167,Hoja2!A:C,3,0)</f>
        <v>1000</v>
      </c>
      <c r="H167" s="5">
        <f t="shared" si="66"/>
        <v>16000</v>
      </c>
      <c r="I167" s="1">
        <f t="shared" si="67"/>
        <v>24000</v>
      </c>
      <c r="J167" s="7">
        <f t="shared" si="68"/>
        <v>20748.425708423867</v>
      </c>
      <c r="K167" s="5">
        <f t="shared" si="69"/>
        <v>13832.283805615913</v>
      </c>
      <c r="L167" s="1">
        <f t="shared" si="70"/>
        <v>120000</v>
      </c>
      <c r="M167" s="1">
        <f t="shared" si="71"/>
        <v>80000</v>
      </c>
      <c r="N167" s="55">
        <f>IFERROR(VLOOKUP(D167,Hoja2!B:D,3,0),"100%")</f>
        <v>0.86451773785099451</v>
      </c>
    </row>
    <row r="168" spans="1:14" x14ac:dyDescent="0.3">
      <c r="A168" s="1">
        <v>238</v>
      </c>
      <c r="B168" s="1">
        <v>0</v>
      </c>
      <c r="C168" s="10" t="s">
        <v>201</v>
      </c>
      <c r="D168" s="1">
        <v>406</v>
      </c>
      <c r="E168" s="53">
        <f>IFERROR(VLOOKUP(C168,Hoja1!A$2:B1158,2,0),"0")</f>
        <v>35200</v>
      </c>
      <c r="F168" s="1">
        <f t="shared" si="65"/>
        <v>40</v>
      </c>
      <c r="G168" s="43">
        <f>VLOOKUP(C168,Hoja2!A:C,3,0)</f>
        <v>2400</v>
      </c>
      <c r="H168" s="5">
        <f t="shared" si="66"/>
        <v>38400</v>
      </c>
      <c r="I168" s="1">
        <f t="shared" si="67"/>
        <v>57600</v>
      </c>
      <c r="J168" s="7">
        <f t="shared" si="68"/>
        <v>30970.88439392321</v>
      </c>
      <c r="K168" s="5">
        <f t="shared" si="69"/>
        <v>20647.256262615472</v>
      </c>
      <c r="L168" s="1">
        <f t="shared" si="70"/>
        <v>288000</v>
      </c>
      <c r="M168" s="1">
        <f t="shared" si="71"/>
        <v>192000</v>
      </c>
      <c r="N168" s="55">
        <f>IFERROR(VLOOKUP(D168,Hoja2!B:D,3,0),"100%")</f>
        <v>0.53768896517227793</v>
      </c>
    </row>
    <row r="169" spans="1:14" x14ac:dyDescent="0.3">
      <c r="A169" s="1">
        <v>238</v>
      </c>
      <c r="B169" s="1">
        <v>0</v>
      </c>
      <c r="C169" s="10">
        <v>451572</v>
      </c>
      <c r="D169" s="1">
        <v>221</v>
      </c>
      <c r="E169" s="53">
        <f>IFERROR(VLOOKUP(C169,Hoja1!A$2:B1163,2,0),"0")</f>
        <v>822800</v>
      </c>
      <c r="F169" s="1">
        <f t="shared" si="65"/>
        <v>33.333333333333336</v>
      </c>
      <c r="G169" s="43">
        <f>VLOOKUP(C169,Hoja2!A:C,3,0)</f>
        <v>2000</v>
      </c>
      <c r="H169" s="5">
        <f t="shared" si="66"/>
        <v>32000</v>
      </c>
      <c r="I169" s="1">
        <f t="shared" si="67"/>
        <v>48000</v>
      </c>
      <c r="J169" s="7">
        <f t="shared" si="68"/>
        <v>41496.851416847734</v>
      </c>
      <c r="K169" s="5">
        <f t="shared" si="69"/>
        <v>27664.567611231825</v>
      </c>
      <c r="L169" s="1">
        <f t="shared" si="70"/>
        <v>240000</v>
      </c>
      <c r="M169" s="1">
        <f t="shared" si="71"/>
        <v>160000</v>
      </c>
      <c r="N169" s="55">
        <f>IFERROR(VLOOKUP(D169,Hoja2!B:D,3,0),"100%")</f>
        <v>0.86451773785099451</v>
      </c>
    </row>
    <row r="170" spans="1:14" x14ac:dyDescent="0.3">
      <c r="A170" s="1">
        <v>238</v>
      </c>
      <c r="B170" s="1">
        <v>0</v>
      </c>
      <c r="C170" s="10" t="s">
        <v>205</v>
      </c>
      <c r="D170" s="1">
        <v>136</v>
      </c>
      <c r="E170" s="53">
        <f>IFERROR(VLOOKUP(C170,Hoja1!A$2:B1167,2,0),"0")</f>
        <v>796500</v>
      </c>
      <c r="F170" s="1">
        <f t="shared" si="65"/>
        <v>83.333333333333329</v>
      </c>
      <c r="G170" s="43">
        <f>VLOOKUP(C170,Hoja2!A:C,3,0)</f>
        <v>5000</v>
      </c>
      <c r="H170" s="5">
        <f t="shared" si="66"/>
        <v>80000</v>
      </c>
      <c r="I170" s="1">
        <f t="shared" si="67"/>
        <v>120000</v>
      </c>
      <c r="J170" s="7">
        <f t="shared" si="68"/>
        <v>87728.717202901506</v>
      </c>
      <c r="K170" s="5">
        <f t="shared" si="69"/>
        <v>58485.811468601001</v>
      </c>
      <c r="L170" s="1">
        <f t="shared" si="70"/>
        <v>600000</v>
      </c>
      <c r="M170" s="1">
        <f t="shared" si="71"/>
        <v>400000</v>
      </c>
      <c r="N170" s="55">
        <f>IFERROR(VLOOKUP(D170,Hoja2!B:D,3,0),"100%")</f>
        <v>0.73107264335751254</v>
      </c>
    </row>
    <row r="171" spans="1:14" x14ac:dyDescent="0.3">
      <c r="A171" s="1">
        <v>238</v>
      </c>
      <c r="B171" s="1">
        <v>0</v>
      </c>
      <c r="C171" s="10">
        <v>451621</v>
      </c>
      <c r="D171" s="1">
        <v>142</v>
      </c>
      <c r="E171" s="53">
        <f>IFERROR(VLOOKUP(C171,Hoja1!A$2:B1171,2,0),"0")</f>
        <v>266200</v>
      </c>
      <c r="F171" s="1">
        <f t="shared" si="65"/>
        <v>133.33333333333334</v>
      </c>
      <c r="G171" s="43">
        <f>VLOOKUP(C171,Hoja2!A:C,3,0)</f>
        <v>8000</v>
      </c>
      <c r="H171" s="5">
        <f t="shared" si="66"/>
        <v>128000</v>
      </c>
      <c r="I171" s="1">
        <f t="shared" si="67"/>
        <v>192000</v>
      </c>
      <c r="J171" s="7">
        <f t="shared" si="68"/>
        <v>140874.60768633976</v>
      </c>
      <c r="K171" s="5">
        <f t="shared" si="69"/>
        <v>93916.405124226512</v>
      </c>
      <c r="L171" s="1">
        <f t="shared" si="70"/>
        <v>960000</v>
      </c>
      <c r="M171" s="1">
        <f t="shared" si="71"/>
        <v>640000</v>
      </c>
      <c r="N171" s="55">
        <f>IFERROR(VLOOKUP(D171,Hoja2!B:D,3,0),"100%")</f>
        <v>0.73372191503301964</v>
      </c>
    </row>
    <row r="172" spans="1:14" x14ac:dyDescent="0.3">
      <c r="A172" s="1">
        <v>238</v>
      </c>
      <c r="B172" s="1">
        <v>0</v>
      </c>
      <c r="C172" s="10" t="s">
        <v>208</v>
      </c>
      <c r="D172" s="1">
        <v>142</v>
      </c>
      <c r="E172" s="53">
        <f>IFERROR(VLOOKUP(C172,Hoja1!A$2:B1176,2,0),"0")</f>
        <v>59400</v>
      </c>
      <c r="F172" s="1">
        <f t="shared" si="65"/>
        <v>133.33333333333334</v>
      </c>
      <c r="G172" s="43">
        <f>VLOOKUP(C172,Hoja2!A:C,3,0)</f>
        <v>8000</v>
      </c>
      <c r="H172" s="5">
        <f t="shared" si="66"/>
        <v>128000</v>
      </c>
      <c r="I172" s="1">
        <f t="shared" si="67"/>
        <v>192000</v>
      </c>
      <c r="J172" s="7">
        <f t="shared" si="68"/>
        <v>140874.60768633976</v>
      </c>
      <c r="K172" s="5">
        <f t="shared" si="69"/>
        <v>93916.405124226512</v>
      </c>
      <c r="L172" s="1">
        <f t="shared" si="70"/>
        <v>960000</v>
      </c>
      <c r="M172" s="1">
        <f t="shared" si="71"/>
        <v>640000</v>
      </c>
      <c r="N172" s="55">
        <f>IFERROR(VLOOKUP(D172,Hoja2!B:D,3,0),"100%")</f>
        <v>0.73372191503301964</v>
      </c>
    </row>
    <row r="173" spans="1:14" x14ac:dyDescent="0.3">
      <c r="A173" s="1">
        <v>238</v>
      </c>
      <c r="B173" s="1">
        <v>0</v>
      </c>
      <c r="C173" s="10">
        <v>451693</v>
      </c>
      <c r="D173" s="1">
        <v>221</v>
      </c>
      <c r="E173" s="53" t="str">
        <f>IFERROR(VLOOKUP(C173,Hoja1!A$2:B1181,2,0),"0")</f>
        <v>0</v>
      </c>
      <c r="F173" s="1">
        <f t="shared" si="65"/>
        <v>10</v>
      </c>
      <c r="G173" s="43">
        <f>VLOOKUP(C173,Hoja2!A:C,3,0)</f>
        <v>600</v>
      </c>
      <c r="H173" s="5">
        <f t="shared" si="66"/>
        <v>9600</v>
      </c>
      <c r="I173" s="1">
        <f t="shared" si="67"/>
        <v>14400</v>
      </c>
      <c r="J173" s="7">
        <f t="shared" si="68"/>
        <v>12449.055425054321</v>
      </c>
      <c r="K173" s="5">
        <f t="shared" si="69"/>
        <v>8299.3702833695479</v>
      </c>
      <c r="L173" s="1">
        <f t="shared" si="70"/>
        <v>72000</v>
      </c>
      <c r="M173" s="1">
        <f t="shared" si="71"/>
        <v>48000</v>
      </c>
      <c r="N173" s="55">
        <f>IFERROR(VLOOKUP(D173,Hoja2!B:D,3,0),"100%")</f>
        <v>0.86451773785099451</v>
      </c>
    </row>
    <row r="174" spans="1:14" x14ac:dyDescent="0.3">
      <c r="A174" s="1">
        <v>238</v>
      </c>
      <c r="B174" s="1">
        <v>0</v>
      </c>
      <c r="C174" s="10">
        <v>451707</v>
      </c>
      <c r="D174" s="1">
        <v>221</v>
      </c>
      <c r="E174" s="53">
        <f>IFERROR(VLOOKUP(C174,Hoja1!A$2:B1184,2,0),"0")</f>
        <v>24200</v>
      </c>
      <c r="F174" s="1">
        <f t="shared" si="65"/>
        <v>20</v>
      </c>
      <c r="G174" s="43">
        <f>VLOOKUP(C174,Hoja2!A:C,3,0)</f>
        <v>1200</v>
      </c>
      <c r="H174" s="5">
        <f t="shared" si="66"/>
        <v>19200</v>
      </c>
      <c r="I174" s="1">
        <f t="shared" si="67"/>
        <v>28800</v>
      </c>
      <c r="J174" s="7">
        <f t="shared" si="68"/>
        <v>24898.110850108642</v>
      </c>
      <c r="K174" s="5">
        <f t="shared" si="69"/>
        <v>16598.740566739096</v>
      </c>
      <c r="L174" s="1">
        <f t="shared" si="70"/>
        <v>144000</v>
      </c>
      <c r="M174" s="1">
        <f t="shared" si="71"/>
        <v>96000</v>
      </c>
      <c r="N174" s="55">
        <f>IFERROR(VLOOKUP(D174,Hoja2!B:D,3,0),"100%")</f>
        <v>0.86451773785099451</v>
      </c>
    </row>
    <row r="175" spans="1:14" x14ac:dyDescent="0.3">
      <c r="A175" s="1">
        <v>238</v>
      </c>
      <c r="B175" s="1">
        <v>0</v>
      </c>
      <c r="C175" s="10">
        <v>451792</v>
      </c>
      <c r="D175" s="1">
        <v>216</v>
      </c>
      <c r="E175" s="53">
        <f>IFERROR(VLOOKUP(C175,Hoja1!A$2:B1188,2,0),"0")</f>
        <v>96800</v>
      </c>
      <c r="F175" s="1">
        <f t="shared" si="65"/>
        <v>21.666666666666668</v>
      </c>
      <c r="G175" s="43">
        <f>VLOOKUP(C175,Hoja2!A:C,3,0)</f>
        <v>1300</v>
      </c>
      <c r="H175" s="5">
        <f t="shared" si="66"/>
        <v>20800</v>
      </c>
      <c r="I175" s="1">
        <f t="shared" si="67"/>
        <v>31200</v>
      </c>
      <c r="J175" s="7">
        <f t="shared" si="68"/>
        <v>27832.272546238702</v>
      </c>
      <c r="K175" s="5">
        <f t="shared" si="69"/>
        <v>18554.848364159134</v>
      </c>
      <c r="L175" s="1">
        <f t="shared" si="70"/>
        <v>156000</v>
      </c>
      <c r="M175" s="1">
        <f t="shared" si="71"/>
        <v>104000</v>
      </c>
      <c r="N175" s="55">
        <f>IFERROR(VLOOKUP(D175,Hoja2!B:D,3,0),"100%")</f>
        <v>0.89206001750765074</v>
      </c>
    </row>
    <row r="176" spans="1:14" x14ac:dyDescent="0.3">
      <c r="A176" s="1">
        <v>238</v>
      </c>
      <c r="B176" s="1">
        <v>0</v>
      </c>
      <c r="C176" s="10">
        <v>451811</v>
      </c>
      <c r="D176" s="1">
        <v>109</v>
      </c>
      <c r="E176" s="53">
        <f>IFERROR(VLOOKUP(C176,Hoja1!A$2:B1192,2,0),"0")</f>
        <v>714000</v>
      </c>
      <c r="F176" s="1">
        <f t="shared" si="65"/>
        <v>66.666666666666671</v>
      </c>
      <c r="G176" s="43">
        <f>VLOOKUP(C176,Hoja2!A:C,3,0)</f>
        <v>4000</v>
      </c>
      <c r="H176" s="5">
        <f t="shared" si="66"/>
        <v>64000</v>
      </c>
      <c r="I176" s="1">
        <f t="shared" si="67"/>
        <v>96000</v>
      </c>
      <c r="J176" s="7">
        <f t="shared" si="68"/>
        <v>80790.275935411366</v>
      </c>
      <c r="K176" s="5">
        <f t="shared" si="69"/>
        <v>53860.183956940913</v>
      </c>
      <c r="L176" s="1">
        <f t="shared" si="70"/>
        <v>480000</v>
      </c>
      <c r="M176" s="1">
        <f t="shared" si="71"/>
        <v>320000</v>
      </c>
      <c r="N176" s="55">
        <f>IFERROR(VLOOKUP(D176,Hoja2!B:D,3,0),"100%")</f>
        <v>0.8415653743272018</v>
      </c>
    </row>
    <row r="177" spans="1:14" x14ac:dyDescent="0.3">
      <c r="A177" s="1">
        <v>238</v>
      </c>
      <c r="B177" s="1">
        <v>0</v>
      </c>
      <c r="C177" s="10">
        <v>451844</v>
      </c>
      <c r="D177" s="1">
        <v>216</v>
      </c>
      <c r="E177" s="53">
        <f>IFERROR(VLOOKUP(C177,Hoja1!A$2:B1194,2,0),"0")</f>
        <v>816000</v>
      </c>
      <c r="F177" s="1">
        <f t="shared" si="65"/>
        <v>38.333333333333336</v>
      </c>
      <c r="G177" s="43">
        <f>VLOOKUP(C177,Hoja2!A:C,3,0)</f>
        <v>2300</v>
      </c>
      <c r="H177" s="5">
        <f t="shared" si="66"/>
        <v>36800</v>
      </c>
      <c r="I177" s="1">
        <f t="shared" si="67"/>
        <v>55200</v>
      </c>
      <c r="J177" s="7">
        <f t="shared" si="68"/>
        <v>49241.712966422318</v>
      </c>
      <c r="K177" s="5">
        <f t="shared" si="69"/>
        <v>32827.808644281547</v>
      </c>
      <c r="L177" s="1">
        <f t="shared" si="70"/>
        <v>276000</v>
      </c>
      <c r="M177" s="1">
        <f t="shared" si="71"/>
        <v>184000</v>
      </c>
      <c r="N177" s="55">
        <f>IFERROR(VLOOKUP(D177,Hoja2!B:D,3,0),"100%")</f>
        <v>0.89206001750765074</v>
      </c>
    </row>
    <row r="178" spans="1:14" x14ac:dyDescent="0.3">
      <c r="A178" s="1">
        <v>238</v>
      </c>
      <c r="B178" s="1">
        <v>0</v>
      </c>
      <c r="C178" s="10" t="s">
        <v>475</v>
      </c>
      <c r="D178" s="1">
        <v>122</v>
      </c>
      <c r="E178" s="53" t="str">
        <f>IFERROR(VLOOKUP(C178,Hoja1!A$2:B1202,2,0),"0")</f>
        <v>0</v>
      </c>
      <c r="F178" s="1">
        <f t="shared" ref="F178:F192" si="72">G178/60</f>
        <v>50</v>
      </c>
      <c r="G178" s="43">
        <f>VLOOKUP(C178,Hoja2!A:C,3,0)</f>
        <v>3000</v>
      </c>
      <c r="H178" s="5">
        <f t="shared" ref="H178:H193" si="73">G178*16</f>
        <v>48000</v>
      </c>
      <c r="I178" s="1">
        <f t="shared" ref="I178:I193" si="74">G178*24</f>
        <v>72000</v>
      </c>
      <c r="J178" s="7">
        <f t="shared" ref="J178:J193" si="75">I178*N178</f>
        <v>52207.191769243735</v>
      </c>
      <c r="K178" s="5">
        <f t="shared" ref="K178:K193" si="76">H178*N178</f>
        <v>34804.794512829161</v>
      </c>
      <c r="L178" s="1">
        <f t="shared" ref="L178:L193" si="77">I178*5</f>
        <v>360000</v>
      </c>
      <c r="M178" s="1">
        <f t="shared" ref="M178:M193" si="78">H178*5</f>
        <v>240000</v>
      </c>
      <c r="N178" s="55">
        <f>IFERROR(VLOOKUP(D178,Hoja2!B:D,3,0),"100%")</f>
        <v>0.72509988568394079</v>
      </c>
    </row>
    <row r="179" spans="1:14" x14ac:dyDescent="0.3">
      <c r="A179" s="1">
        <v>238</v>
      </c>
      <c r="B179" s="1">
        <v>0</v>
      </c>
      <c r="C179" s="10">
        <v>451906</v>
      </c>
      <c r="D179" s="1">
        <v>216</v>
      </c>
      <c r="E179" s="53">
        <f>IFERROR(VLOOKUP(C179,Hoja1!A$2:B1205,2,0),"0")</f>
        <v>0</v>
      </c>
      <c r="F179" s="1">
        <f t="shared" si="72"/>
        <v>16.666666666666668</v>
      </c>
      <c r="G179" s="43">
        <f>VLOOKUP(C179,Hoja2!A:C,3,0)</f>
        <v>1000</v>
      </c>
      <c r="H179" s="5">
        <f t="shared" si="73"/>
        <v>16000</v>
      </c>
      <c r="I179" s="1">
        <f t="shared" si="74"/>
        <v>24000</v>
      </c>
      <c r="J179" s="7">
        <f t="shared" si="75"/>
        <v>21409.440420183619</v>
      </c>
      <c r="K179" s="5">
        <f t="shared" si="76"/>
        <v>14272.960280122412</v>
      </c>
      <c r="L179" s="1">
        <f t="shared" si="77"/>
        <v>120000</v>
      </c>
      <c r="M179" s="1">
        <f t="shared" si="78"/>
        <v>80000</v>
      </c>
      <c r="N179" s="55">
        <f>IFERROR(VLOOKUP(D179,Hoja2!B:D,3,0),"100%")</f>
        <v>0.89206001750765074</v>
      </c>
    </row>
    <row r="180" spans="1:14" x14ac:dyDescent="0.3">
      <c r="A180" s="1">
        <v>238</v>
      </c>
      <c r="B180" s="1">
        <v>0</v>
      </c>
      <c r="C180" s="10" t="s">
        <v>219</v>
      </c>
      <c r="D180" s="1">
        <v>417</v>
      </c>
      <c r="E180" s="53">
        <f>IFERROR(VLOOKUP(C180,Hoja1!A$2:B1209,2,0),"0")</f>
        <v>198000</v>
      </c>
      <c r="F180" s="1">
        <f t="shared" si="72"/>
        <v>41.666666666666664</v>
      </c>
      <c r="G180" s="43">
        <f>VLOOKUP(C180,Hoja2!A:C,3,0)</f>
        <v>2500</v>
      </c>
      <c r="H180" s="5">
        <f t="shared" si="73"/>
        <v>40000</v>
      </c>
      <c r="I180" s="1">
        <f t="shared" si="74"/>
        <v>60000</v>
      </c>
      <c r="J180" s="7">
        <f t="shared" si="75"/>
        <v>35181.718656976787</v>
      </c>
      <c r="K180" s="5">
        <f t="shared" si="76"/>
        <v>23454.479104651189</v>
      </c>
      <c r="L180" s="1">
        <f t="shared" si="77"/>
        <v>300000</v>
      </c>
      <c r="M180" s="1">
        <f t="shared" si="78"/>
        <v>200000</v>
      </c>
      <c r="N180" s="55">
        <f>IFERROR(VLOOKUP(D180,Hoja2!B:D,3,0),"100%")</f>
        <v>0.58636197761627973</v>
      </c>
    </row>
    <row r="181" spans="1:14" x14ac:dyDescent="0.3">
      <c r="A181" s="1">
        <v>238</v>
      </c>
      <c r="B181" s="1">
        <v>0</v>
      </c>
      <c r="C181" s="10" t="s">
        <v>220</v>
      </c>
      <c r="D181" s="1">
        <v>142</v>
      </c>
      <c r="E181" s="53">
        <f>IFERROR(VLOOKUP(C181,Hoja1!A$2:B1210,2,0),"0")</f>
        <v>365200</v>
      </c>
      <c r="F181" s="1">
        <f t="shared" si="72"/>
        <v>150</v>
      </c>
      <c r="G181" s="43">
        <f>VLOOKUP(C181,Hoja2!A:C,3,0)</f>
        <v>9000</v>
      </c>
      <c r="H181" s="5">
        <f t="shared" si="73"/>
        <v>144000</v>
      </c>
      <c r="I181" s="1">
        <f t="shared" si="74"/>
        <v>216000</v>
      </c>
      <c r="J181" s="7">
        <f t="shared" si="75"/>
        <v>158483.93364713225</v>
      </c>
      <c r="K181" s="5">
        <f t="shared" si="76"/>
        <v>105655.95576475484</v>
      </c>
      <c r="L181" s="1">
        <f t="shared" si="77"/>
        <v>1080000</v>
      </c>
      <c r="M181" s="1">
        <f t="shared" si="78"/>
        <v>720000</v>
      </c>
      <c r="N181" s="55">
        <f>IFERROR(VLOOKUP(D181,Hoja2!B:D,3,0),"100%")</f>
        <v>0.73372191503301964</v>
      </c>
    </row>
    <row r="182" spans="1:14" x14ac:dyDescent="0.3">
      <c r="A182" s="1">
        <v>238</v>
      </c>
      <c r="B182" s="1">
        <v>0</v>
      </c>
      <c r="C182" s="10">
        <v>452017</v>
      </c>
      <c r="D182" s="1">
        <v>215</v>
      </c>
      <c r="E182" s="53">
        <f>IFERROR(VLOOKUP(C182,Hoja1!A$2:B1215,2,0),"0")</f>
        <v>0</v>
      </c>
      <c r="F182" s="1">
        <f t="shared" si="72"/>
        <v>33.333333333333336</v>
      </c>
      <c r="G182" s="43">
        <f>VLOOKUP(C182,Hoja2!A:C,3,0)</f>
        <v>2000</v>
      </c>
      <c r="H182" s="5">
        <f t="shared" si="73"/>
        <v>32000</v>
      </c>
      <c r="I182" s="1">
        <f t="shared" si="74"/>
        <v>48000</v>
      </c>
      <c r="J182" s="7">
        <f t="shared" si="75"/>
        <v>39044.839701601348</v>
      </c>
      <c r="K182" s="5">
        <f t="shared" si="76"/>
        <v>26029.893134400896</v>
      </c>
      <c r="L182" s="1">
        <f t="shared" si="77"/>
        <v>240000</v>
      </c>
      <c r="M182" s="1">
        <f t="shared" si="78"/>
        <v>160000</v>
      </c>
      <c r="N182" s="55">
        <f>IFERROR(VLOOKUP(D182,Hoja2!B:D,3,0),"100%")</f>
        <v>0.81343416045002803</v>
      </c>
    </row>
    <row r="183" spans="1:14" x14ac:dyDescent="0.3">
      <c r="A183" s="1">
        <v>238</v>
      </c>
      <c r="B183" s="1">
        <v>0</v>
      </c>
      <c r="C183" s="10">
        <v>452065</v>
      </c>
      <c r="D183" s="1">
        <v>207</v>
      </c>
      <c r="E183" s="53">
        <f>IFERROR(VLOOKUP(C183,Hoja1!A$2:B1220,2,0),"0")</f>
        <v>0</v>
      </c>
      <c r="F183" s="1">
        <f t="shared" si="72"/>
        <v>40</v>
      </c>
      <c r="G183" s="43">
        <f>VLOOKUP(C183,Hoja2!A:C,3,0)</f>
        <v>2400</v>
      </c>
      <c r="H183" s="5">
        <f t="shared" si="73"/>
        <v>38400</v>
      </c>
      <c r="I183" s="1">
        <f t="shared" si="74"/>
        <v>57600</v>
      </c>
      <c r="J183" s="7">
        <f t="shared" si="75"/>
        <v>52165.633277054701</v>
      </c>
      <c r="K183" s="5">
        <f t="shared" si="76"/>
        <v>34777.088851369801</v>
      </c>
      <c r="L183" s="1">
        <f t="shared" si="77"/>
        <v>288000</v>
      </c>
      <c r="M183" s="1">
        <f t="shared" si="78"/>
        <v>192000</v>
      </c>
      <c r="N183" s="55">
        <f>IFERROR(VLOOKUP(D183,Hoja2!B:D,3,0),"100%")</f>
        <v>0.90565335550442194</v>
      </c>
    </row>
    <row r="184" spans="1:14" x14ac:dyDescent="0.3">
      <c r="A184" s="1">
        <v>238</v>
      </c>
      <c r="B184" s="1">
        <v>0</v>
      </c>
      <c r="C184" s="10">
        <v>452083</v>
      </c>
      <c r="D184" s="1">
        <v>216</v>
      </c>
      <c r="E184" s="53">
        <f>IFERROR(VLOOKUP(C184,Hoja1!A$2:B1224,2,0),"0")</f>
        <v>0</v>
      </c>
      <c r="F184" s="1">
        <f t="shared" si="72"/>
        <v>38.333333333333336</v>
      </c>
      <c r="G184" s="43">
        <f>VLOOKUP(C184,Hoja2!A:C,3,0)</f>
        <v>2300</v>
      </c>
      <c r="H184" s="5">
        <f t="shared" si="73"/>
        <v>36800</v>
      </c>
      <c r="I184" s="1">
        <f t="shared" si="74"/>
        <v>55200</v>
      </c>
      <c r="J184" s="7">
        <f t="shared" si="75"/>
        <v>49241.712966422318</v>
      </c>
      <c r="K184" s="5">
        <f t="shared" si="76"/>
        <v>32827.808644281547</v>
      </c>
      <c r="L184" s="1">
        <f t="shared" si="77"/>
        <v>276000</v>
      </c>
      <c r="M184" s="1">
        <f t="shared" si="78"/>
        <v>184000</v>
      </c>
      <c r="N184" s="55">
        <f>IFERROR(VLOOKUP(D184,Hoja2!B:D,3,0),"100%")</f>
        <v>0.89206001750765074</v>
      </c>
    </row>
    <row r="185" spans="1:14" x14ac:dyDescent="0.3">
      <c r="A185" s="1">
        <v>238</v>
      </c>
      <c r="B185" s="1">
        <v>0</v>
      </c>
      <c r="C185" s="10">
        <v>452085</v>
      </c>
      <c r="D185" s="1">
        <v>221</v>
      </c>
      <c r="E185" s="53">
        <f>IFERROR(VLOOKUP(C185,Hoja1!A$2:B1228,2,0),"0")</f>
        <v>0</v>
      </c>
      <c r="F185" s="1">
        <f t="shared" si="72"/>
        <v>66.666666666666671</v>
      </c>
      <c r="G185" s="43">
        <f>VLOOKUP(C185,Hoja2!A:C,3,0)</f>
        <v>4000</v>
      </c>
      <c r="H185" s="5">
        <f t="shared" si="73"/>
        <v>64000</v>
      </c>
      <c r="I185" s="1">
        <f t="shared" si="74"/>
        <v>96000</v>
      </c>
      <c r="J185" s="7">
        <f t="shared" si="75"/>
        <v>82993.702833695468</v>
      </c>
      <c r="K185" s="5">
        <f t="shared" si="76"/>
        <v>55329.13522246365</v>
      </c>
      <c r="L185" s="1">
        <f t="shared" si="77"/>
        <v>480000</v>
      </c>
      <c r="M185" s="1">
        <f t="shared" si="78"/>
        <v>320000</v>
      </c>
      <c r="N185" s="55">
        <f>IFERROR(VLOOKUP(D185,Hoja2!B:D,3,0),"100%")</f>
        <v>0.86451773785099451</v>
      </c>
    </row>
    <row r="186" spans="1:14" x14ac:dyDescent="0.3">
      <c r="A186" s="1">
        <v>238</v>
      </c>
      <c r="B186" s="1">
        <v>0</v>
      </c>
      <c r="C186" s="10">
        <v>452089</v>
      </c>
      <c r="D186" s="1">
        <v>211</v>
      </c>
      <c r="E186" s="53">
        <f>IFERROR(VLOOKUP(C186,Hoja1!A$2:B1233,2,0),"0")</f>
        <v>0</v>
      </c>
      <c r="F186" s="1">
        <f t="shared" si="72"/>
        <v>25</v>
      </c>
      <c r="G186" s="43">
        <f>VLOOKUP(C186,Hoja2!A:C,3,0)</f>
        <v>1500</v>
      </c>
      <c r="H186" s="5">
        <f t="shared" si="73"/>
        <v>24000</v>
      </c>
      <c r="I186" s="1">
        <f t="shared" si="74"/>
        <v>36000</v>
      </c>
      <c r="J186" s="7">
        <f t="shared" si="75"/>
        <v>26424.540409513953</v>
      </c>
      <c r="K186" s="5">
        <f t="shared" si="76"/>
        <v>17616.360273009301</v>
      </c>
      <c r="L186" s="1">
        <f t="shared" si="77"/>
        <v>180000</v>
      </c>
      <c r="M186" s="1">
        <f t="shared" si="78"/>
        <v>120000</v>
      </c>
      <c r="N186" s="55">
        <f>IFERROR(VLOOKUP(D186,Hoja2!B:D,3,0),"100%")</f>
        <v>0.7340150113753876</v>
      </c>
    </row>
    <row r="187" spans="1:14" x14ac:dyDescent="0.3">
      <c r="A187" s="1">
        <v>238</v>
      </c>
      <c r="B187" s="1">
        <v>0</v>
      </c>
      <c r="C187" s="10">
        <v>452106</v>
      </c>
      <c r="D187" s="1">
        <v>221</v>
      </c>
      <c r="E187" s="53">
        <f>IFERROR(VLOOKUP(C187,Hoja1!A$2:B1238,2,0),"0")</f>
        <v>0</v>
      </c>
      <c r="F187" s="1">
        <f t="shared" si="72"/>
        <v>33.333333333333336</v>
      </c>
      <c r="G187" s="43">
        <f>VLOOKUP(C187,Hoja2!A:C,3,0)</f>
        <v>2000</v>
      </c>
      <c r="H187" s="5">
        <f t="shared" si="73"/>
        <v>32000</v>
      </c>
      <c r="I187" s="1">
        <f t="shared" si="74"/>
        <v>48000</v>
      </c>
      <c r="J187" s="7">
        <f t="shared" si="75"/>
        <v>41496.851416847734</v>
      </c>
      <c r="K187" s="5">
        <f t="shared" si="76"/>
        <v>27664.567611231825</v>
      </c>
      <c r="L187" s="1">
        <f t="shared" si="77"/>
        <v>240000</v>
      </c>
      <c r="M187" s="1">
        <f t="shared" si="78"/>
        <v>160000</v>
      </c>
      <c r="N187" s="55">
        <f>IFERROR(VLOOKUP(D187,Hoja2!B:D,3,0),"100%")</f>
        <v>0.86451773785099451</v>
      </c>
    </row>
    <row r="188" spans="1:14" x14ac:dyDescent="0.3">
      <c r="A188" s="1">
        <v>238</v>
      </c>
      <c r="B188" s="1">
        <v>0</v>
      </c>
      <c r="C188" s="10">
        <v>452108</v>
      </c>
      <c r="D188" s="1">
        <v>217</v>
      </c>
      <c r="E188" s="53">
        <f>IFERROR(VLOOKUP(C188,Hoja1!A$2:B1242,2,0),"0")</f>
        <v>0</v>
      </c>
      <c r="F188" s="1">
        <f t="shared" si="72"/>
        <v>30</v>
      </c>
      <c r="G188" s="43">
        <f>VLOOKUP(C188,Hoja2!A:C,3,0)</f>
        <v>1800</v>
      </c>
      <c r="H188" s="5">
        <f t="shared" si="73"/>
        <v>28800</v>
      </c>
      <c r="I188" s="1">
        <f t="shared" si="74"/>
        <v>43200</v>
      </c>
      <c r="J188" s="7">
        <f t="shared" si="75"/>
        <v>37311.854971728513</v>
      </c>
      <c r="K188" s="5">
        <f t="shared" si="76"/>
        <v>24874.569981152345</v>
      </c>
      <c r="L188" s="1">
        <f t="shared" si="77"/>
        <v>216000</v>
      </c>
      <c r="M188" s="1">
        <f t="shared" si="78"/>
        <v>144000</v>
      </c>
      <c r="N188" s="55">
        <f>IFERROR(VLOOKUP(D188,Hoja2!B:D,3,0),"100%")</f>
        <v>0.86370034656778971</v>
      </c>
    </row>
    <row r="189" spans="1:14" x14ac:dyDescent="0.3">
      <c r="A189" s="1">
        <v>238</v>
      </c>
      <c r="B189" s="1">
        <v>0</v>
      </c>
      <c r="C189" s="10">
        <v>452128</v>
      </c>
      <c r="D189" s="1">
        <v>215</v>
      </c>
      <c r="E189" s="53">
        <f>IFERROR(VLOOKUP(C189,Hoja1!A$2:B1246,2,0),"0")</f>
        <v>0</v>
      </c>
      <c r="F189" s="1">
        <f t="shared" si="72"/>
        <v>26.666666666666668</v>
      </c>
      <c r="G189" s="43">
        <f>VLOOKUP(C189,Hoja2!A:C,3,0)</f>
        <v>1600</v>
      </c>
      <c r="H189" s="5">
        <f t="shared" si="73"/>
        <v>25600</v>
      </c>
      <c r="I189" s="1">
        <f t="shared" si="74"/>
        <v>38400</v>
      </c>
      <c r="J189" s="7">
        <f t="shared" si="75"/>
        <v>31235.871761281076</v>
      </c>
      <c r="K189" s="5">
        <f t="shared" si="76"/>
        <v>20823.914507520716</v>
      </c>
      <c r="L189" s="1">
        <f t="shared" si="77"/>
        <v>192000</v>
      </c>
      <c r="M189" s="1">
        <f t="shared" si="78"/>
        <v>128000</v>
      </c>
      <c r="N189" s="55">
        <f>IFERROR(VLOOKUP(D189,Hoja2!B:D,3,0),"100%")</f>
        <v>0.81343416045002803</v>
      </c>
    </row>
    <row r="190" spans="1:14" x14ac:dyDescent="0.3">
      <c r="A190" s="1">
        <v>238</v>
      </c>
      <c r="B190" s="1">
        <v>0</v>
      </c>
      <c r="C190" s="10">
        <v>452196</v>
      </c>
      <c r="D190" s="1">
        <v>216</v>
      </c>
      <c r="E190" s="53">
        <f>IFERROR(VLOOKUP(C190,Hoja1!A$2:B1250,2,0),"0")</f>
        <v>459800</v>
      </c>
      <c r="F190" s="1">
        <f t="shared" si="72"/>
        <v>6.666666666666667</v>
      </c>
      <c r="G190" s="43">
        <f>VLOOKUP(C190,Hoja2!A:C,3,0)</f>
        <v>400</v>
      </c>
      <c r="H190" s="5">
        <f t="shared" si="73"/>
        <v>6400</v>
      </c>
      <c r="I190" s="1">
        <f t="shared" si="74"/>
        <v>9600</v>
      </c>
      <c r="J190" s="7">
        <f t="shared" si="75"/>
        <v>8563.7761680734475</v>
      </c>
      <c r="K190" s="5">
        <f t="shared" si="76"/>
        <v>5709.1841120489644</v>
      </c>
      <c r="L190" s="1">
        <f t="shared" si="77"/>
        <v>48000</v>
      </c>
      <c r="M190" s="1">
        <f t="shared" si="78"/>
        <v>32000</v>
      </c>
      <c r="N190" s="55">
        <f>IFERROR(VLOOKUP(D190,Hoja2!B:D,3,0),"100%")</f>
        <v>0.89206001750765074</v>
      </c>
    </row>
    <row r="191" spans="1:14" x14ac:dyDescent="0.3">
      <c r="A191" s="1">
        <v>238</v>
      </c>
      <c r="B191" s="1">
        <v>0</v>
      </c>
      <c r="C191" s="10" t="s">
        <v>233</v>
      </c>
      <c r="D191" s="1">
        <v>406</v>
      </c>
      <c r="E191" s="53">
        <f>IFERROR(VLOOKUP(C191,Hoja1!A$2:B1253,2,0),"0")</f>
        <v>266200</v>
      </c>
      <c r="F191" s="1">
        <f t="shared" si="72"/>
        <v>58.333333333333336</v>
      </c>
      <c r="G191" s="43">
        <f>VLOOKUP(C191,Hoja2!A:C,3,0)</f>
        <v>3500</v>
      </c>
      <c r="H191" s="5">
        <f t="shared" si="73"/>
        <v>56000</v>
      </c>
      <c r="I191" s="1">
        <f t="shared" si="74"/>
        <v>84000</v>
      </c>
      <c r="J191" s="7">
        <f t="shared" si="75"/>
        <v>45165.873074471347</v>
      </c>
      <c r="K191" s="5">
        <f t="shared" si="76"/>
        <v>30110.582049647564</v>
      </c>
      <c r="L191" s="1">
        <f t="shared" si="77"/>
        <v>420000</v>
      </c>
      <c r="M191" s="1">
        <f t="shared" si="78"/>
        <v>280000</v>
      </c>
      <c r="N191" s="55">
        <f>IFERROR(VLOOKUP(D191,Hoja2!B:D,3,0),"100%")</f>
        <v>0.53768896517227793</v>
      </c>
    </row>
    <row r="192" spans="1:14" x14ac:dyDescent="0.3">
      <c r="A192" s="1">
        <v>238</v>
      </c>
      <c r="B192" s="1">
        <v>0</v>
      </c>
      <c r="C192" s="10" t="s">
        <v>352</v>
      </c>
      <c r="D192" s="1">
        <v>407</v>
      </c>
      <c r="E192" s="53">
        <f>IFERROR(VLOOKUP(C192,Hoja1!A$2:B1258,2,0),"0")</f>
        <v>0</v>
      </c>
      <c r="F192" s="1">
        <f t="shared" si="72"/>
        <v>50</v>
      </c>
      <c r="G192" s="43">
        <f>VLOOKUP(C192,Hoja2!A:C,3,0)</f>
        <v>3000</v>
      </c>
      <c r="H192" s="5">
        <f t="shared" si="73"/>
        <v>48000</v>
      </c>
      <c r="I192" s="1">
        <f t="shared" si="74"/>
        <v>72000</v>
      </c>
      <c r="J192" s="7">
        <f t="shared" si="75"/>
        <v>42236.851766437707</v>
      </c>
      <c r="K192" s="5">
        <f t="shared" si="76"/>
        <v>28157.901177625139</v>
      </c>
      <c r="L192" s="1">
        <f t="shared" si="77"/>
        <v>360000</v>
      </c>
      <c r="M192" s="1">
        <f t="shared" si="78"/>
        <v>240000</v>
      </c>
      <c r="N192" s="55">
        <f>IFERROR(VLOOKUP(D192,Hoja2!B:D,3,0),"100%")</f>
        <v>0.58662294120052372</v>
      </c>
    </row>
    <row r="193" spans="1:14" x14ac:dyDescent="0.3">
      <c r="A193" s="1">
        <v>238</v>
      </c>
      <c r="B193" s="1">
        <v>0</v>
      </c>
      <c r="C193" s="10">
        <v>452366</v>
      </c>
      <c r="D193" s="1">
        <v>221</v>
      </c>
      <c r="E193" s="53">
        <f>IFERROR(VLOOKUP(C193,Hoja1!A$2:B1263,2,0),"0")</f>
        <v>508200</v>
      </c>
      <c r="F193" s="1">
        <f t="shared" ref="F193:F206" si="79">G193/60</f>
        <v>26.666666666666668</v>
      </c>
      <c r="G193" s="43">
        <f>VLOOKUP(C193,Hoja2!A:C,3,0)</f>
        <v>1600</v>
      </c>
      <c r="H193" s="5">
        <f t="shared" si="73"/>
        <v>25600</v>
      </c>
      <c r="I193" s="1">
        <f t="shared" si="74"/>
        <v>38400</v>
      </c>
      <c r="J193" s="7">
        <f t="shared" si="75"/>
        <v>33197.481133478192</v>
      </c>
      <c r="K193" s="5">
        <f t="shared" si="76"/>
        <v>22131.654088985459</v>
      </c>
      <c r="L193" s="1">
        <f t="shared" si="77"/>
        <v>192000</v>
      </c>
      <c r="M193" s="1">
        <f t="shared" si="78"/>
        <v>128000</v>
      </c>
      <c r="N193" s="55">
        <f>IFERROR(VLOOKUP(D193,Hoja2!B:D,3,0),"100%")</f>
        <v>0.86451773785099451</v>
      </c>
    </row>
    <row r="194" spans="1:14" x14ac:dyDescent="0.3">
      <c r="A194" s="1">
        <v>238</v>
      </c>
      <c r="B194" s="1">
        <v>0</v>
      </c>
      <c r="C194" s="10">
        <v>452367</v>
      </c>
      <c r="D194" s="1">
        <v>216</v>
      </c>
      <c r="E194" s="53">
        <f>IFERROR(VLOOKUP(C194,Hoja1!A$2:B1267,2,0),"0")</f>
        <v>387200</v>
      </c>
      <c r="F194" s="1">
        <f t="shared" si="79"/>
        <v>20</v>
      </c>
      <c r="G194" s="43">
        <f>VLOOKUP(C194,Hoja2!A:C,3,0)</f>
        <v>1200</v>
      </c>
      <c r="H194" s="5">
        <f t="shared" ref="H194:H209" si="80">G194*16</f>
        <v>19200</v>
      </c>
      <c r="I194" s="1">
        <f t="shared" ref="I194:I208" si="81">G194*24</f>
        <v>28800</v>
      </c>
      <c r="J194" s="7">
        <f t="shared" ref="J194:J208" si="82">I194*N194</f>
        <v>25691.328504220342</v>
      </c>
      <c r="K194" s="5">
        <f t="shared" ref="K194:K208" si="83">H194*N194</f>
        <v>17127.552336146895</v>
      </c>
      <c r="L194" s="1">
        <f t="shared" ref="L194:L208" si="84">I194*5</f>
        <v>144000</v>
      </c>
      <c r="M194" s="1">
        <f t="shared" ref="M194:M209" si="85">H194*5</f>
        <v>96000</v>
      </c>
      <c r="N194" s="55">
        <f>IFERROR(VLOOKUP(D194,Hoja2!B:D,3,0),"100%")</f>
        <v>0.89206001750765074</v>
      </c>
    </row>
    <row r="195" spans="1:14" x14ac:dyDescent="0.3">
      <c r="A195" s="1">
        <v>238</v>
      </c>
      <c r="B195" s="1">
        <v>0</v>
      </c>
      <c r="C195" s="10">
        <v>452368</v>
      </c>
      <c r="D195" s="1">
        <v>213</v>
      </c>
      <c r="E195" s="53" t="str">
        <f>IFERROR(VLOOKUP(C195,Hoja1!A$2:B1271,2,0),"0")</f>
        <v>0</v>
      </c>
      <c r="F195" s="1">
        <f t="shared" si="79"/>
        <v>20</v>
      </c>
      <c r="G195" s="43">
        <f>VLOOKUP(C195,Hoja2!A:C,3,0)</f>
        <v>1200</v>
      </c>
      <c r="H195" s="5">
        <f t="shared" si="80"/>
        <v>19200</v>
      </c>
      <c r="I195" s="1">
        <f t="shared" si="81"/>
        <v>28800</v>
      </c>
      <c r="J195" s="7">
        <f t="shared" si="82"/>
        <v>25692.887294604949</v>
      </c>
      <c r="K195" s="5">
        <f t="shared" si="83"/>
        <v>17128.591529736634</v>
      </c>
      <c r="L195" s="1">
        <f t="shared" si="84"/>
        <v>144000</v>
      </c>
      <c r="M195" s="1">
        <f t="shared" si="85"/>
        <v>96000</v>
      </c>
      <c r="N195" s="55">
        <f>IFERROR(VLOOKUP(D195,Hoja2!B:D,3,0),"100%")</f>
        <v>0.89211414217378293</v>
      </c>
    </row>
    <row r="196" spans="1:14" x14ac:dyDescent="0.3">
      <c r="A196" s="1">
        <v>238</v>
      </c>
      <c r="B196" s="1">
        <v>0</v>
      </c>
      <c r="C196" s="10">
        <v>452466</v>
      </c>
      <c r="D196" s="1">
        <v>406</v>
      </c>
      <c r="E196" s="53">
        <f>IFERROR(VLOOKUP(C196,Hoja1!A$2:B1274,2,0),"0")</f>
        <v>308000</v>
      </c>
      <c r="F196" s="1">
        <f t="shared" si="79"/>
        <v>66.666666666666671</v>
      </c>
      <c r="G196" s="43">
        <f>VLOOKUP(C196,Hoja2!A:C,3,0)</f>
        <v>4000</v>
      </c>
      <c r="H196" s="5">
        <f t="shared" si="80"/>
        <v>64000</v>
      </c>
      <c r="I196" s="1">
        <f t="shared" si="81"/>
        <v>96000</v>
      </c>
      <c r="J196" s="7">
        <f t="shared" si="82"/>
        <v>51618.140656538679</v>
      </c>
      <c r="K196" s="5">
        <f t="shared" si="83"/>
        <v>34412.093771025786</v>
      </c>
      <c r="L196" s="1">
        <f t="shared" si="84"/>
        <v>480000</v>
      </c>
      <c r="M196" s="1">
        <f t="shared" si="85"/>
        <v>320000</v>
      </c>
      <c r="N196" s="55">
        <f>IFERROR(VLOOKUP(D196,Hoja2!B:D,3,0),"100%")</f>
        <v>0.53768896517227793</v>
      </c>
    </row>
    <row r="197" spans="1:14" x14ac:dyDescent="0.3">
      <c r="A197" s="1">
        <v>238</v>
      </c>
      <c r="B197" s="1">
        <v>0</v>
      </c>
      <c r="C197" s="10">
        <v>452526</v>
      </c>
      <c r="D197" s="1">
        <v>142</v>
      </c>
      <c r="E197" s="53">
        <f>IFERROR(VLOOKUP(C197,Hoja1!A$2:B1279,2,0),"0")</f>
        <v>13200</v>
      </c>
      <c r="F197" s="1">
        <f t="shared" si="79"/>
        <v>133.33333333333334</v>
      </c>
      <c r="G197" s="43">
        <f>VLOOKUP(C197,Hoja2!A:C,3,0)</f>
        <v>8000</v>
      </c>
      <c r="H197" s="5">
        <f t="shared" si="80"/>
        <v>128000</v>
      </c>
      <c r="I197" s="1">
        <f t="shared" si="81"/>
        <v>192000</v>
      </c>
      <c r="J197" s="7">
        <f t="shared" si="82"/>
        <v>140874.60768633976</v>
      </c>
      <c r="K197" s="5">
        <f t="shared" si="83"/>
        <v>93916.405124226512</v>
      </c>
      <c r="L197" s="1">
        <f t="shared" si="84"/>
        <v>960000</v>
      </c>
      <c r="M197" s="1">
        <f t="shared" si="85"/>
        <v>640000</v>
      </c>
      <c r="N197" s="55">
        <f>IFERROR(VLOOKUP(D197,Hoja2!B:D,3,0),"100%")</f>
        <v>0.73372191503301964</v>
      </c>
    </row>
    <row r="198" spans="1:14" x14ac:dyDescent="0.3">
      <c r="A198" s="1">
        <v>238</v>
      </c>
      <c r="B198" s="1">
        <v>0</v>
      </c>
      <c r="C198" s="10">
        <v>452551</v>
      </c>
      <c r="D198" s="1">
        <v>216</v>
      </c>
      <c r="E198" s="53">
        <f>IFERROR(VLOOKUP(C198,Hoja1!A$2:B1284,2,0),"0")</f>
        <v>605000</v>
      </c>
      <c r="F198" s="1">
        <f t="shared" si="79"/>
        <v>20</v>
      </c>
      <c r="G198" s="43">
        <f>VLOOKUP(C198,Hoja2!A:C,3,0)</f>
        <v>1200</v>
      </c>
      <c r="H198" s="5">
        <f t="shared" si="80"/>
        <v>19200</v>
      </c>
      <c r="I198" s="1">
        <f t="shared" si="81"/>
        <v>28800</v>
      </c>
      <c r="J198" s="7">
        <f t="shared" si="82"/>
        <v>25691.328504220342</v>
      </c>
      <c r="K198" s="5">
        <f t="shared" si="83"/>
        <v>17127.552336146895</v>
      </c>
      <c r="L198" s="1">
        <f t="shared" si="84"/>
        <v>144000</v>
      </c>
      <c r="M198" s="1">
        <f t="shared" si="85"/>
        <v>96000</v>
      </c>
      <c r="N198" s="55">
        <f>IFERROR(VLOOKUP(D198,Hoja2!B:D,3,0),"100%")</f>
        <v>0.89206001750765074</v>
      </c>
    </row>
    <row r="199" spans="1:14" x14ac:dyDescent="0.3">
      <c r="A199" s="1">
        <v>238</v>
      </c>
      <c r="B199" s="1">
        <v>0</v>
      </c>
      <c r="C199" s="10">
        <v>452579</v>
      </c>
      <c r="D199" s="1">
        <v>136</v>
      </c>
      <c r="E199" s="53">
        <f>IFERROR(VLOOKUP(C199,Hoja1!A$2:B1288,2,0),"0")</f>
        <v>110000</v>
      </c>
      <c r="F199" s="1">
        <f t="shared" si="79"/>
        <v>83.333333333333329</v>
      </c>
      <c r="G199" s="43">
        <f>VLOOKUP(C199,Hoja2!A:C,3,0)</f>
        <v>5000</v>
      </c>
      <c r="H199" s="5">
        <f t="shared" si="80"/>
        <v>80000</v>
      </c>
      <c r="I199" s="1">
        <f t="shared" si="81"/>
        <v>120000</v>
      </c>
      <c r="J199" s="7">
        <f t="shared" si="82"/>
        <v>87728.717202901506</v>
      </c>
      <c r="K199" s="5">
        <f t="shared" si="83"/>
        <v>58485.811468601001</v>
      </c>
      <c r="L199" s="1">
        <f t="shared" si="84"/>
        <v>600000</v>
      </c>
      <c r="M199" s="1">
        <f t="shared" si="85"/>
        <v>400000</v>
      </c>
      <c r="N199" s="55">
        <f>IFERROR(VLOOKUP(D199,Hoja2!B:D,3,0),"100%")</f>
        <v>0.73107264335751254</v>
      </c>
    </row>
    <row r="200" spans="1:14" x14ac:dyDescent="0.3">
      <c r="A200" s="1">
        <v>238</v>
      </c>
      <c r="B200" s="1">
        <v>0</v>
      </c>
      <c r="C200" s="10">
        <v>452590</v>
      </c>
      <c r="D200" s="1">
        <v>142</v>
      </c>
      <c r="E200" s="53">
        <f>IFERROR(VLOOKUP(C200,Hoja1!A$2:B1290,2,0),"0")</f>
        <v>1064800</v>
      </c>
      <c r="F200" s="1">
        <f t="shared" si="79"/>
        <v>116.66666666666667</v>
      </c>
      <c r="G200" s="43">
        <f>VLOOKUP(C200,Hoja2!A:C,3,0)</f>
        <v>7000</v>
      </c>
      <c r="H200" s="5">
        <f t="shared" si="80"/>
        <v>112000</v>
      </c>
      <c r="I200" s="1">
        <f t="shared" si="81"/>
        <v>168000</v>
      </c>
      <c r="J200" s="7">
        <f t="shared" si="82"/>
        <v>123265.28172554731</v>
      </c>
      <c r="K200" s="5">
        <f t="shared" si="83"/>
        <v>82176.854483698204</v>
      </c>
      <c r="L200" s="1">
        <f t="shared" si="84"/>
        <v>840000</v>
      </c>
      <c r="M200" s="1">
        <f t="shared" si="85"/>
        <v>560000</v>
      </c>
      <c r="N200" s="55">
        <f>IFERROR(VLOOKUP(D200,Hoja2!B:D,3,0),"100%")</f>
        <v>0.73372191503301964</v>
      </c>
    </row>
    <row r="201" spans="1:14" x14ac:dyDescent="0.3">
      <c r="A201" s="1">
        <v>238</v>
      </c>
      <c r="B201" s="1">
        <v>0</v>
      </c>
      <c r="C201" s="10">
        <v>452629</v>
      </c>
      <c r="D201" s="1">
        <v>142</v>
      </c>
      <c r="E201" s="53">
        <f>IFERROR(VLOOKUP(C201,Hoja1!A$2:B1295,2,0),"0")</f>
        <v>0</v>
      </c>
      <c r="F201" s="1">
        <f t="shared" si="79"/>
        <v>133.33333333333334</v>
      </c>
      <c r="G201" s="43">
        <f>VLOOKUP(C201,Hoja2!A:C,3,0)</f>
        <v>8000</v>
      </c>
      <c r="H201" s="5">
        <f t="shared" si="80"/>
        <v>128000</v>
      </c>
      <c r="I201" s="1">
        <f t="shared" si="81"/>
        <v>192000</v>
      </c>
      <c r="J201" s="7">
        <f t="shared" si="82"/>
        <v>140874.60768633976</v>
      </c>
      <c r="K201" s="5">
        <f t="shared" si="83"/>
        <v>93916.405124226512</v>
      </c>
      <c r="L201" s="1">
        <f t="shared" si="84"/>
        <v>960000</v>
      </c>
      <c r="M201" s="1">
        <f t="shared" si="85"/>
        <v>640000</v>
      </c>
      <c r="N201" s="55">
        <f>IFERROR(VLOOKUP(D201,Hoja2!B:D,3,0),"100%")</f>
        <v>0.73372191503301964</v>
      </c>
    </row>
    <row r="202" spans="1:14" x14ac:dyDescent="0.3">
      <c r="A202" s="1">
        <v>238</v>
      </c>
      <c r="B202" s="1">
        <v>0</v>
      </c>
      <c r="C202" s="10">
        <v>452761</v>
      </c>
      <c r="D202" s="1">
        <v>214</v>
      </c>
      <c r="E202" s="53">
        <f>IFERROR(VLOOKUP(C202,Hoja1!A$2:B1300,2,0),"0")</f>
        <v>176000</v>
      </c>
      <c r="F202" s="1">
        <f t="shared" si="79"/>
        <v>16.666666666666668</v>
      </c>
      <c r="G202" s="43">
        <f>VLOOKUP(C202,Hoja2!A:C,3,0)</f>
        <v>1000</v>
      </c>
      <c r="H202" s="5">
        <f t="shared" si="80"/>
        <v>16000</v>
      </c>
      <c r="I202" s="1">
        <f t="shared" si="81"/>
        <v>24000</v>
      </c>
      <c r="J202" s="7">
        <f t="shared" si="82"/>
        <v>22026.725096126331</v>
      </c>
      <c r="K202" s="5">
        <f t="shared" si="83"/>
        <v>14684.483397417553</v>
      </c>
      <c r="L202" s="1">
        <f t="shared" si="84"/>
        <v>120000</v>
      </c>
      <c r="M202" s="1">
        <f t="shared" si="85"/>
        <v>80000</v>
      </c>
      <c r="N202" s="55">
        <f>IFERROR(VLOOKUP(D202,Hoja2!B:D,3,0),"100%")</f>
        <v>0.91778021233859708</v>
      </c>
    </row>
    <row r="203" spans="1:14" x14ac:dyDescent="0.3">
      <c r="A203" s="1">
        <v>238</v>
      </c>
      <c r="B203" s="1">
        <v>0</v>
      </c>
      <c r="C203" s="10">
        <v>452777</v>
      </c>
      <c r="D203" s="1">
        <v>216</v>
      </c>
      <c r="E203" s="53">
        <f>IFERROR(VLOOKUP(C203,Hoja1!A$2:B1306,2,0),"0")</f>
        <v>96800</v>
      </c>
      <c r="F203" s="1">
        <f t="shared" si="79"/>
        <v>8.3333333333333339</v>
      </c>
      <c r="G203" s="43">
        <f>VLOOKUP(C203,Hoja2!A:C,3,0)</f>
        <v>500</v>
      </c>
      <c r="H203" s="5">
        <f t="shared" si="80"/>
        <v>8000</v>
      </c>
      <c r="I203" s="1">
        <f t="shared" si="81"/>
        <v>12000</v>
      </c>
      <c r="J203" s="7">
        <f t="shared" si="82"/>
        <v>10704.720210091809</v>
      </c>
      <c r="K203" s="5">
        <f t="shared" si="83"/>
        <v>7136.4801400612059</v>
      </c>
      <c r="L203" s="1">
        <f t="shared" si="84"/>
        <v>60000</v>
      </c>
      <c r="M203" s="1">
        <f t="shared" si="85"/>
        <v>40000</v>
      </c>
      <c r="N203" s="55">
        <f>IFERROR(VLOOKUP(D203,Hoja2!B:D,3,0),"100%")</f>
        <v>0.89206001750765074</v>
      </c>
    </row>
    <row r="204" spans="1:14" x14ac:dyDescent="0.3">
      <c r="A204" s="1">
        <v>238</v>
      </c>
      <c r="B204" s="1">
        <v>0</v>
      </c>
      <c r="C204" s="10">
        <v>452778</v>
      </c>
      <c r="D204" s="1">
        <v>217</v>
      </c>
      <c r="E204" s="53">
        <f>IFERROR(VLOOKUP(C204,Hoja1!A$2:B1309,2,0),"0")</f>
        <v>374000</v>
      </c>
      <c r="F204" s="1">
        <f t="shared" si="79"/>
        <v>50</v>
      </c>
      <c r="G204" s="43">
        <f>VLOOKUP(C204,Hoja2!A:C,3,0)</f>
        <v>3000</v>
      </c>
      <c r="H204" s="5">
        <f t="shared" si="80"/>
        <v>48000</v>
      </c>
      <c r="I204" s="1">
        <f t="shared" si="81"/>
        <v>72000</v>
      </c>
      <c r="J204" s="7">
        <f t="shared" si="82"/>
        <v>62186.424952880858</v>
      </c>
      <c r="K204" s="5">
        <f t="shared" si="83"/>
        <v>41457.616635253908</v>
      </c>
      <c r="L204" s="1">
        <f t="shared" si="84"/>
        <v>360000</v>
      </c>
      <c r="M204" s="1">
        <f t="shared" si="85"/>
        <v>240000</v>
      </c>
      <c r="N204" s="55">
        <f>IFERROR(VLOOKUP(D204,Hoja2!B:D,3,0),"100%")</f>
        <v>0.86370034656778971</v>
      </c>
    </row>
    <row r="205" spans="1:14" x14ac:dyDescent="0.3">
      <c r="A205" s="1">
        <v>238</v>
      </c>
      <c r="B205" s="1">
        <v>0</v>
      </c>
      <c r="C205" s="10">
        <v>452819</v>
      </c>
      <c r="D205" s="1">
        <v>221</v>
      </c>
      <c r="E205" s="53" t="str">
        <f>IFERROR(VLOOKUP(C205,Hoja1!A$2:B1315,2,0),"0")</f>
        <v>0</v>
      </c>
      <c r="F205" s="1">
        <f t="shared" si="79"/>
        <v>8.3333333333333339</v>
      </c>
      <c r="G205" s="43">
        <f>VLOOKUP(C205,Hoja2!A:C,3,0)</f>
        <v>500</v>
      </c>
      <c r="H205" s="5">
        <f t="shared" si="80"/>
        <v>8000</v>
      </c>
      <c r="I205" s="1">
        <f t="shared" si="81"/>
        <v>12000</v>
      </c>
      <c r="J205" s="7">
        <f t="shared" si="82"/>
        <v>10374.212854211934</v>
      </c>
      <c r="K205" s="5">
        <f t="shared" si="83"/>
        <v>6916.1419028079563</v>
      </c>
      <c r="L205" s="1">
        <f t="shared" si="84"/>
        <v>60000</v>
      </c>
      <c r="M205" s="1">
        <f t="shared" si="85"/>
        <v>40000</v>
      </c>
      <c r="N205" s="55">
        <f>IFERROR(VLOOKUP(D205,Hoja2!B:D,3,0),"100%")</f>
        <v>0.86451773785099451</v>
      </c>
    </row>
    <row r="206" spans="1:14" x14ac:dyDescent="0.3">
      <c r="A206" s="1">
        <v>238</v>
      </c>
      <c r="B206" s="1">
        <v>0</v>
      </c>
      <c r="C206" s="10">
        <v>452820</v>
      </c>
      <c r="D206" s="1">
        <v>221</v>
      </c>
      <c r="E206" s="53">
        <f>IFERROR(VLOOKUP(C206,Hoja1!A$2:B1319,2,0),"0")</f>
        <v>0</v>
      </c>
      <c r="F206" s="1">
        <f t="shared" si="79"/>
        <v>10</v>
      </c>
      <c r="G206" s="43">
        <f>VLOOKUP(C206,Hoja2!A:C,3,0)</f>
        <v>600</v>
      </c>
      <c r="H206" s="5">
        <f t="shared" si="80"/>
        <v>9600</v>
      </c>
      <c r="I206" s="1">
        <f t="shared" si="81"/>
        <v>14400</v>
      </c>
      <c r="J206" s="7">
        <f t="shared" si="82"/>
        <v>12449.055425054321</v>
      </c>
      <c r="K206" s="5">
        <f t="shared" si="83"/>
        <v>8299.3702833695479</v>
      </c>
      <c r="L206" s="1">
        <f t="shared" si="84"/>
        <v>72000</v>
      </c>
      <c r="M206" s="1">
        <f t="shared" si="85"/>
        <v>48000</v>
      </c>
      <c r="N206" s="55">
        <f>IFERROR(VLOOKUP(D206,Hoja2!B:D,3,0),"100%")</f>
        <v>0.86451773785099451</v>
      </c>
    </row>
    <row r="207" spans="1:14" x14ac:dyDescent="0.3">
      <c r="A207" s="1">
        <v>238</v>
      </c>
      <c r="B207" s="1">
        <v>0</v>
      </c>
      <c r="C207" s="10" t="s">
        <v>245</v>
      </c>
      <c r="D207" s="1">
        <v>406</v>
      </c>
      <c r="E207" s="53">
        <f>IFERROR(VLOOKUP(C207,Hoja1!A$2:B1323,2,0),"0")</f>
        <v>700000</v>
      </c>
      <c r="F207" s="1">
        <f t="shared" ref="F207:F221" si="86">G207/60</f>
        <v>58.35</v>
      </c>
      <c r="G207" s="43">
        <f>VLOOKUP(C207,Hoja2!A:C,3,0)</f>
        <v>3501</v>
      </c>
      <c r="H207" s="5">
        <f t="shared" si="80"/>
        <v>56016</v>
      </c>
      <c r="I207" s="1">
        <f t="shared" si="81"/>
        <v>84024</v>
      </c>
      <c r="J207" s="7">
        <f t="shared" si="82"/>
        <v>45178.777609635479</v>
      </c>
      <c r="K207" s="5">
        <f t="shared" si="83"/>
        <v>30119.185073090321</v>
      </c>
      <c r="L207" s="1">
        <f t="shared" si="84"/>
        <v>420120</v>
      </c>
      <c r="M207" s="1">
        <f t="shared" si="85"/>
        <v>280080</v>
      </c>
      <c r="N207" s="55">
        <f>IFERROR(VLOOKUP(D207,Hoja2!B:D,3,0),"100%")</f>
        <v>0.53768896517227793</v>
      </c>
    </row>
    <row r="208" spans="1:14" x14ac:dyDescent="0.3">
      <c r="A208" s="1">
        <v>238</v>
      </c>
      <c r="B208" s="1">
        <v>0</v>
      </c>
      <c r="C208" s="10" t="s">
        <v>246</v>
      </c>
      <c r="D208" s="1">
        <v>406</v>
      </c>
      <c r="E208" s="53">
        <f>IFERROR(VLOOKUP(C208,Hoja1!A$2:B1325,2,0),"0")</f>
        <v>25000</v>
      </c>
      <c r="F208" s="1">
        <f t="shared" si="86"/>
        <v>40</v>
      </c>
      <c r="G208" s="43">
        <f>VLOOKUP(C208,Hoja2!A:C,3,0)</f>
        <v>2400</v>
      </c>
      <c r="H208" s="5">
        <f t="shared" si="80"/>
        <v>38400</v>
      </c>
      <c r="I208" s="1">
        <f t="shared" si="81"/>
        <v>57600</v>
      </c>
      <c r="J208" s="7">
        <f t="shared" si="82"/>
        <v>30970.88439392321</v>
      </c>
      <c r="K208" s="5">
        <f t="shared" si="83"/>
        <v>20647.256262615472</v>
      </c>
      <c r="L208" s="1">
        <f t="shared" si="84"/>
        <v>288000</v>
      </c>
      <c r="M208" s="1">
        <f t="shared" si="85"/>
        <v>192000</v>
      </c>
      <c r="N208" s="55">
        <f>IFERROR(VLOOKUP(D208,Hoja2!B:D,3,0),"100%")</f>
        <v>0.53768896517227793</v>
      </c>
    </row>
    <row r="209" spans="1:14" x14ac:dyDescent="0.3">
      <c r="A209" s="1">
        <v>238</v>
      </c>
      <c r="B209" s="1">
        <v>0</v>
      </c>
      <c r="C209" s="10">
        <v>452941</v>
      </c>
      <c r="D209" s="1">
        <v>216</v>
      </c>
      <c r="E209" s="53" t="str">
        <f>IFERROR(VLOOKUP(C209,Hoja1!A$2:B1328,2,0),"0")</f>
        <v>0</v>
      </c>
      <c r="F209" s="1">
        <f t="shared" si="86"/>
        <v>25</v>
      </c>
      <c r="G209" s="43">
        <f>VLOOKUP(C209,Hoja2!A:C,3,0)</f>
        <v>1500</v>
      </c>
      <c r="H209" s="5">
        <f t="shared" si="80"/>
        <v>24000</v>
      </c>
      <c r="I209" s="1">
        <f t="shared" ref="I209:I222" si="87">G209*24</f>
        <v>36000</v>
      </c>
      <c r="J209" s="7">
        <f t="shared" ref="J209:J222" si="88">I209*N209</f>
        <v>32114.160630275426</v>
      </c>
      <c r="K209" s="5">
        <f t="shared" ref="K209:K222" si="89">H209*N209</f>
        <v>21409.440420183619</v>
      </c>
      <c r="L209" s="1">
        <f t="shared" ref="L209:L222" si="90">I209*5</f>
        <v>180000</v>
      </c>
      <c r="M209" s="1">
        <f t="shared" si="85"/>
        <v>120000</v>
      </c>
      <c r="N209" s="55">
        <f>IFERROR(VLOOKUP(D209,Hoja2!B:D,3,0),"100%")</f>
        <v>0.89206001750765074</v>
      </c>
    </row>
    <row r="210" spans="1:14" x14ac:dyDescent="0.3">
      <c r="A210" s="1">
        <v>238</v>
      </c>
      <c r="B210" s="1">
        <v>0</v>
      </c>
      <c r="C210" s="10">
        <v>452952</v>
      </c>
      <c r="D210" s="1">
        <v>216</v>
      </c>
      <c r="E210" s="53">
        <f>IFERROR(VLOOKUP(C210,Hoja1!A$2:B1332,2,0),"0")</f>
        <v>144000</v>
      </c>
      <c r="F210" s="1">
        <f t="shared" si="86"/>
        <v>36.666666666666664</v>
      </c>
      <c r="G210" s="43">
        <f>VLOOKUP(C210,Hoja2!A:C,3,0)</f>
        <v>2200</v>
      </c>
      <c r="H210" s="5">
        <f t="shared" ref="H210:H222" si="91">G210*16</f>
        <v>35200</v>
      </c>
      <c r="I210" s="1">
        <f t="shared" si="87"/>
        <v>52800</v>
      </c>
      <c r="J210" s="7">
        <f t="shared" si="88"/>
        <v>47100.768924403957</v>
      </c>
      <c r="K210" s="5">
        <f t="shared" si="89"/>
        <v>31400.512616269305</v>
      </c>
      <c r="L210" s="1">
        <f t="shared" si="90"/>
        <v>264000</v>
      </c>
      <c r="M210" s="1">
        <f t="shared" ref="M210:M222" si="92">H210*5</f>
        <v>176000</v>
      </c>
      <c r="N210" s="55">
        <f>IFERROR(VLOOKUP(D210,Hoja2!B:D,3,0),"100%")</f>
        <v>0.89206001750765074</v>
      </c>
    </row>
    <row r="211" spans="1:14" x14ac:dyDescent="0.3">
      <c r="A211" s="1">
        <v>238</v>
      </c>
      <c r="B211" s="1">
        <v>0</v>
      </c>
      <c r="C211" s="10">
        <v>452965</v>
      </c>
      <c r="D211" s="1">
        <v>207</v>
      </c>
      <c r="E211" s="53">
        <f>IFERROR(VLOOKUP(C211,Hoja1!A$2:B1336,2,0),"0")</f>
        <v>61600</v>
      </c>
      <c r="F211" s="1">
        <f t="shared" si="86"/>
        <v>13.333333333333334</v>
      </c>
      <c r="G211" s="43">
        <f>VLOOKUP(C211,Hoja2!A:C,3,0)</f>
        <v>800</v>
      </c>
      <c r="H211" s="5">
        <f t="shared" si="91"/>
        <v>12800</v>
      </c>
      <c r="I211" s="1">
        <f t="shared" si="87"/>
        <v>19200</v>
      </c>
      <c r="J211" s="7">
        <f t="shared" si="88"/>
        <v>17388.5444256849</v>
      </c>
      <c r="K211" s="5">
        <f t="shared" si="89"/>
        <v>11592.362950456602</v>
      </c>
      <c r="L211" s="1">
        <f t="shared" si="90"/>
        <v>96000</v>
      </c>
      <c r="M211" s="1">
        <f t="shared" si="92"/>
        <v>64000</v>
      </c>
      <c r="N211" s="55">
        <f>IFERROR(VLOOKUP(D211,Hoja2!B:D,3,0),"100%")</f>
        <v>0.90565335550442194</v>
      </c>
    </row>
    <row r="212" spans="1:14" x14ac:dyDescent="0.3">
      <c r="A212" s="1">
        <v>238</v>
      </c>
      <c r="B212" s="1">
        <v>0</v>
      </c>
      <c r="C212" s="10">
        <v>452971</v>
      </c>
      <c r="D212" s="1">
        <v>216</v>
      </c>
      <c r="E212" s="53">
        <f>IFERROR(VLOOKUP(C212,Hoja1!A$2:B1341,2,0),"0")</f>
        <v>145200</v>
      </c>
      <c r="F212" s="1">
        <f t="shared" si="86"/>
        <v>30</v>
      </c>
      <c r="G212" s="43">
        <f>VLOOKUP(C212,Hoja2!A:C,3,0)</f>
        <v>1800</v>
      </c>
      <c r="H212" s="5">
        <f t="shared" si="91"/>
        <v>28800</v>
      </c>
      <c r="I212" s="1">
        <f t="shared" si="87"/>
        <v>43200</v>
      </c>
      <c r="J212" s="7">
        <f t="shared" si="88"/>
        <v>38536.99275633051</v>
      </c>
      <c r="K212" s="5">
        <f t="shared" si="89"/>
        <v>25691.328504220342</v>
      </c>
      <c r="L212" s="1">
        <f t="shared" si="90"/>
        <v>216000</v>
      </c>
      <c r="M212" s="1">
        <f t="shared" si="92"/>
        <v>144000</v>
      </c>
      <c r="N212" s="55">
        <f>IFERROR(VLOOKUP(D212,Hoja2!B:D,3,0),"100%")</f>
        <v>0.89206001750765074</v>
      </c>
    </row>
    <row r="213" spans="1:14" x14ac:dyDescent="0.3">
      <c r="A213" s="1">
        <v>238</v>
      </c>
      <c r="B213" s="1">
        <v>0</v>
      </c>
      <c r="C213" s="10">
        <v>452973</v>
      </c>
      <c r="D213" s="1">
        <v>216</v>
      </c>
      <c r="E213" s="53">
        <f>IFERROR(VLOOKUP(C213,Hoja1!A$2:B1345,2,0),"0")</f>
        <v>96800</v>
      </c>
      <c r="F213" s="1">
        <f t="shared" si="86"/>
        <v>25</v>
      </c>
      <c r="G213" s="43">
        <f>VLOOKUP(C213,Hoja2!A:C,3,0)</f>
        <v>1500</v>
      </c>
      <c r="H213" s="5">
        <f t="shared" si="91"/>
        <v>24000</v>
      </c>
      <c r="I213" s="1">
        <f t="shared" si="87"/>
        <v>36000</v>
      </c>
      <c r="J213" s="7">
        <f t="shared" si="88"/>
        <v>32114.160630275426</v>
      </c>
      <c r="K213" s="5">
        <f t="shared" si="89"/>
        <v>21409.440420183619</v>
      </c>
      <c r="L213" s="1">
        <f t="shared" si="90"/>
        <v>180000</v>
      </c>
      <c r="M213" s="1">
        <f t="shared" si="92"/>
        <v>120000</v>
      </c>
      <c r="N213" s="55">
        <f>IFERROR(VLOOKUP(D213,Hoja2!B:D,3,0),"100%")</f>
        <v>0.89206001750765074</v>
      </c>
    </row>
    <row r="214" spans="1:14" x14ac:dyDescent="0.3">
      <c r="A214" s="1">
        <v>238</v>
      </c>
      <c r="B214" s="1">
        <v>0</v>
      </c>
      <c r="C214" s="10" t="s">
        <v>252</v>
      </c>
      <c r="D214" s="1">
        <v>142</v>
      </c>
      <c r="E214" s="53">
        <f>IFERROR(VLOOKUP(C214,Hoja1!A$2:B1349,2,0),"0")</f>
        <v>738000</v>
      </c>
      <c r="F214" s="1">
        <f t="shared" si="86"/>
        <v>166.66666666666666</v>
      </c>
      <c r="G214" s="43">
        <f>VLOOKUP(C214,Hoja2!A:C,3,0)</f>
        <v>10000</v>
      </c>
      <c r="H214" s="5">
        <f t="shared" si="91"/>
        <v>160000</v>
      </c>
      <c r="I214" s="1">
        <f t="shared" si="87"/>
        <v>240000</v>
      </c>
      <c r="J214" s="7">
        <f t="shared" si="88"/>
        <v>176093.2596079247</v>
      </c>
      <c r="K214" s="5">
        <f t="shared" si="89"/>
        <v>117395.50640528314</v>
      </c>
      <c r="L214" s="1">
        <f t="shared" si="90"/>
        <v>1200000</v>
      </c>
      <c r="M214" s="1">
        <f t="shared" si="92"/>
        <v>800000</v>
      </c>
      <c r="N214" s="55">
        <f>IFERROR(VLOOKUP(D214,Hoja2!B:D,3,0),"100%")</f>
        <v>0.73372191503301964</v>
      </c>
    </row>
    <row r="215" spans="1:14" x14ac:dyDescent="0.3">
      <c r="A215" s="1">
        <v>238</v>
      </c>
      <c r="B215" s="1">
        <v>0</v>
      </c>
      <c r="C215" s="10">
        <v>452996</v>
      </c>
      <c r="D215" s="1">
        <v>221</v>
      </c>
      <c r="E215" s="53" t="str">
        <f>IFERROR(VLOOKUP(C215,Hoja1!A$2:B1354,2,0),"0")</f>
        <v>0</v>
      </c>
      <c r="F215" s="1">
        <f t="shared" si="86"/>
        <v>23.333333333333332</v>
      </c>
      <c r="G215" s="43">
        <f>VLOOKUP(C215,Hoja2!A:C,3,0)</f>
        <v>1400</v>
      </c>
      <c r="H215" s="5">
        <f t="shared" si="91"/>
        <v>22400</v>
      </c>
      <c r="I215" s="1">
        <f t="shared" si="87"/>
        <v>33600</v>
      </c>
      <c r="J215" s="7">
        <f t="shared" si="88"/>
        <v>29047.795991793417</v>
      </c>
      <c r="K215" s="5">
        <f t="shared" si="89"/>
        <v>19365.197327862275</v>
      </c>
      <c r="L215" s="1">
        <f t="shared" si="90"/>
        <v>168000</v>
      </c>
      <c r="M215" s="1">
        <f t="shared" si="92"/>
        <v>112000</v>
      </c>
      <c r="N215" s="55">
        <f>IFERROR(VLOOKUP(D215,Hoja2!B:D,3,0),"100%")</f>
        <v>0.86451773785099451</v>
      </c>
    </row>
    <row r="216" spans="1:14" x14ac:dyDescent="0.3">
      <c r="A216" s="1">
        <v>238</v>
      </c>
      <c r="B216" s="1">
        <v>0</v>
      </c>
      <c r="C216" s="10">
        <v>453010</v>
      </c>
      <c r="D216" s="1">
        <v>216</v>
      </c>
      <c r="E216" s="53">
        <v>0</v>
      </c>
      <c r="F216" s="1">
        <f t="shared" si="86"/>
        <v>25</v>
      </c>
      <c r="G216" s="43">
        <f>VLOOKUP(C216,Hoja2!A:C,3,0)</f>
        <v>1500</v>
      </c>
      <c r="H216" s="5">
        <f t="shared" si="91"/>
        <v>24000</v>
      </c>
      <c r="I216" s="1">
        <f t="shared" si="87"/>
        <v>36000</v>
      </c>
      <c r="J216" s="7">
        <f t="shared" si="88"/>
        <v>32114.160630275426</v>
      </c>
      <c r="K216" s="5">
        <f t="shared" si="89"/>
        <v>21409.440420183619</v>
      </c>
      <c r="L216" s="1">
        <f t="shared" si="90"/>
        <v>180000</v>
      </c>
      <c r="M216" s="1">
        <f t="shared" si="92"/>
        <v>120000</v>
      </c>
      <c r="N216" s="55">
        <f>IFERROR(VLOOKUP(D216,Hoja2!B:D,3,0),"100%")</f>
        <v>0.89206001750765074</v>
      </c>
    </row>
    <row r="217" spans="1:14" x14ac:dyDescent="0.3">
      <c r="A217" s="1">
        <v>238</v>
      </c>
      <c r="B217" s="1">
        <v>0</v>
      </c>
      <c r="C217" s="10">
        <v>453037</v>
      </c>
      <c r="D217" s="1">
        <v>221</v>
      </c>
      <c r="E217" s="53">
        <f>IFERROR(VLOOKUP(C217,Hoja1!A$2:B1362,2,0),"0")</f>
        <v>338800</v>
      </c>
      <c r="F217" s="1">
        <f t="shared" si="86"/>
        <v>16.666666666666668</v>
      </c>
      <c r="G217" s="43">
        <f>VLOOKUP(C217,Hoja2!A:C,3,0)</f>
        <v>1000</v>
      </c>
      <c r="H217" s="5">
        <f t="shared" si="91"/>
        <v>16000</v>
      </c>
      <c r="I217" s="1">
        <f t="shared" si="87"/>
        <v>24000</v>
      </c>
      <c r="J217" s="7">
        <f t="shared" si="88"/>
        <v>20748.425708423867</v>
      </c>
      <c r="K217" s="5">
        <f t="shared" si="89"/>
        <v>13832.283805615913</v>
      </c>
      <c r="L217" s="1">
        <f t="shared" si="90"/>
        <v>120000</v>
      </c>
      <c r="M217" s="1">
        <f t="shared" si="92"/>
        <v>80000</v>
      </c>
      <c r="N217" s="55">
        <f>IFERROR(VLOOKUP(D217,Hoja2!B:D,3,0),"100%")</f>
        <v>0.86451773785099451</v>
      </c>
    </row>
    <row r="218" spans="1:14" x14ac:dyDescent="0.3">
      <c r="A218" s="1">
        <v>238</v>
      </c>
      <c r="B218" s="1">
        <v>0</v>
      </c>
      <c r="C218" s="10">
        <v>453055</v>
      </c>
      <c r="D218" s="1">
        <v>406</v>
      </c>
      <c r="E218" s="53">
        <f>IFERROR(VLOOKUP(C218,Hoja1!A$2:B1367,2,0),"0")</f>
        <v>24200</v>
      </c>
      <c r="F218" s="1">
        <f t="shared" si="86"/>
        <v>66.666666666666671</v>
      </c>
      <c r="G218" s="43">
        <f>VLOOKUP(C218,Hoja2!A:C,3,0)</f>
        <v>4000</v>
      </c>
      <c r="H218" s="5">
        <f t="shared" si="91"/>
        <v>64000</v>
      </c>
      <c r="I218" s="1">
        <f t="shared" si="87"/>
        <v>96000</v>
      </c>
      <c r="J218" s="7">
        <f t="shared" si="88"/>
        <v>51618.140656538679</v>
      </c>
      <c r="K218" s="5">
        <f t="shared" si="89"/>
        <v>34412.093771025786</v>
      </c>
      <c r="L218" s="1">
        <f t="shared" si="90"/>
        <v>480000</v>
      </c>
      <c r="M218" s="1">
        <f t="shared" si="92"/>
        <v>320000</v>
      </c>
      <c r="N218" s="55">
        <f>IFERROR(VLOOKUP(D218,Hoja2!B:D,3,0),"100%")</f>
        <v>0.53768896517227793</v>
      </c>
    </row>
    <row r="219" spans="1:14" x14ac:dyDescent="0.3">
      <c r="A219" s="1">
        <v>238</v>
      </c>
      <c r="B219" s="1">
        <v>0</v>
      </c>
      <c r="C219" s="10">
        <v>453074</v>
      </c>
      <c r="D219" s="1">
        <v>457</v>
      </c>
      <c r="E219" s="53">
        <f>IFERROR(VLOOKUP(C219,Hoja1!A$2:B1372,2,0),"0")</f>
        <v>576000</v>
      </c>
      <c r="F219" s="1">
        <f t="shared" si="86"/>
        <v>8.3333333333333339</v>
      </c>
      <c r="G219" s="43">
        <f>VLOOKUP(C219,Hoja2!A:C,3,0)</f>
        <v>500</v>
      </c>
      <c r="H219" s="5">
        <f t="shared" si="91"/>
        <v>8000</v>
      </c>
      <c r="I219" s="1">
        <f t="shared" si="87"/>
        <v>12000</v>
      </c>
      <c r="J219" s="7">
        <f t="shared" si="88"/>
        <v>9089.2006162581365</v>
      </c>
      <c r="K219" s="5">
        <f t="shared" si="89"/>
        <v>6059.4670775054246</v>
      </c>
      <c r="L219" s="1">
        <f t="shared" si="90"/>
        <v>60000</v>
      </c>
      <c r="M219" s="1">
        <f t="shared" si="92"/>
        <v>40000</v>
      </c>
      <c r="N219" s="55">
        <f>IFERROR(VLOOKUP(D219,Hoja2!B:D,3,0),"100%")</f>
        <v>0.75743338468817811</v>
      </c>
    </row>
    <row r="220" spans="1:14" x14ac:dyDescent="0.3">
      <c r="A220" s="1">
        <v>238</v>
      </c>
      <c r="B220" s="1">
        <v>0</v>
      </c>
      <c r="C220" s="10" t="s">
        <v>355</v>
      </c>
      <c r="D220" s="1">
        <v>136</v>
      </c>
      <c r="E220" s="53">
        <f>IFERROR(VLOOKUP(C220,Hoja1!A$2:B1375,2,0),"0")</f>
        <v>13200</v>
      </c>
      <c r="F220" s="1">
        <f t="shared" si="86"/>
        <v>83.333333333333329</v>
      </c>
      <c r="G220" s="43">
        <f>VLOOKUP(C220,Hoja2!A:C,3,0)</f>
        <v>5000</v>
      </c>
      <c r="H220" s="5">
        <f t="shared" si="91"/>
        <v>80000</v>
      </c>
      <c r="I220" s="1">
        <f t="shared" si="87"/>
        <v>120000</v>
      </c>
      <c r="J220" s="7">
        <f t="shared" si="88"/>
        <v>87728.717202901506</v>
      </c>
      <c r="K220" s="5">
        <f t="shared" si="89"/>
        <v>58485.811468601001</v>
      </c>
      <c r="L220" s="1">
        <f t="shared" si="90"/>
        <v>600000</v>
      </c>
      <c r="M220" s="1">
        <f t="shared" si="92"/>
        <v>400000</v>
      </c>
      <c r="N220" s="55">
        <f>IFERROR(VLOOKUP(D220,Hoja2!B:D,3,0),"100%")</f>
        <v>0.73107264335751254</v>
      </c>
    </row>
    <row r="221" spans="1:14" x14ac:dyDescent="0.3">
      <c r="A221" s="1">
        <v>238</v>
      </c>
      <c r="B221" s="1">
        <v>0</v>
      </c>
      <c r="C221" s="10">
        <v>453215</v>
      </c>
      <c r="D221" s="1">
        <v>406</v>
      </c>
      <c r="E221" s="53">
        <f>IFERROR(VLOOKUP(C221,Hoja1!A$2:B1385,2,0),"0")</f>
        <v>72600</v>
      </c>
      <c r="F221" s="1">
        <f t="shared" si="86"/>
        <v>50</v>
      </c>
      <c r="G221" s="43">
        <f>VLOOKUP(C221,Hoja2!A:C,3,0)</f>
        <v>3000</v>
      </c>
      <c r="H221" s="5">
        <f t="shared" si="91"/>
        <v>48000</v>
      </c>
      <c r="I221" s="1">
        <f t="shared" si="87"/>
        <v>72000</v>
      </c>
      <c r="J221" s="7">
        <f t="shared" si="88"/>
        <v>38713.605492404015</v>
      </c>
      <c r="K221" s="5">
        <f t="shared" si="89"/>
        <v>25809.070328269339</v>
      </c>
      <c r="L221" s="1">
        <f t="shared" si="90"/>
        <v>360000</v>
      </c>
      <c r="M221" s="1">
        <f t="shared" si="92"/>
        <v>240000</v>
      </c>
      <c r="N221" s="55">
        <f>IFERROR(VLOOKUP(D221,Hoja2!B:D,3,0),"100%")</f>
        <v>0.53768896517227793</v>
      </c>
    </row>
    <row r="222" spans="1:14" x14ac:dyDescent="0.3">
      <c r="A222" s="1">
        <v>238</v>
      </c>
      <c r="B222" s="1">
        <v>0</v>
      </c>
      <c r="C222" s="10">
        <v>453257</v>
      </c>
      <c r="D222" s="1">
        <v>458</v>
      </c>
      <c r="E222" s="53">
        <f>IFERROR(VLOOKUP(C222,Hoja1!A$2:B1390,2,0),"0")</f>
        <v>460800</v>
      </c>
      <c r="F222" s="1">
        <f t="shared" ref="F222:F235" si="93">G222/60</f>
        <v>10</v>
      </c>
      <c r="G222" s="43">
        <f>VLOOKUP(C222,Hoja2!A:C,3,0)</f>
        <v>600</v>
      </c>
      <c r="H222" s="5">
        <f t="shared" si="91"/>
        <v>9600</v>
      </c>
      <c r="I222" s="1">
        <f t="shared" si="87"/>
        <v>14400</v>
      </c>
      <c r="J222" s="7">
        <f t="shared" si="88"/>
        <v>8637.951720752224</v>
      </c>
      <c r="K222" s="5">
        <f t="shared" si="89"/>
        <v>5758.6344805014824</v>
      </c>
      <c r="L222" s="1">
        <f t="shared" si="90"/>
        <v>72000</v>
      </c>
      <c r="M222" s="1">
        <f t="shared" si="92"/>
        <v>48000</v>
      </c>
      <c r="N222" s="55">
        <f>IFERROR(VLOOKUP(D222,Hoja2!B:D,3,0),"100%")</f>
        <v>0.59985775838557109</v>
      </c>
    </row>
    <row r="223" spans="1:14" x14ac:dyDescent="0.3">
      <c r="A223" s="1">
        <v>238</v>
      </c>
      <c r="B223" s="1">
        <v>0</v>
      </c>
      <c r="C223" s="10" t="s">
        <v>261</v>
      </c>
      <c r="D223" s="1">
        <v>221</v>
      </c>
      <c r="E223" s="53">
        <f>IFERROR(VLOOKUP(C223,Hoja1!A$2:B1393,2,0),"0")</f>
        <v>37400</v>
      </c>
      <c r="F223" s="1">
        <f t="shared" si="93"/>
        <v>25</v>
      </c>
      <c r="G223" s="43">
        <f>VLOOKUP(C223,Hoja2!A:C,3,0)</f>
        <v>1500</v>
      </c>
      <c r="H223" s="5">
        <f t="shared" ref="H223:H236" si="94">G223*16</f>
        <v>24000</v>
      </c>
      <c r="I223" s="1">
        <f t="shared" ref="I223:I236" si="95">G223*24</f>
        <v>36000</v>
      </c>
      <c r="J223" s="7">
        <f t="shared" ref="J223:J236" si="96">I223*N223</f>
        <v>31122.638562635802</v>
      </c>
      <c r="K223" s="5">
        <f t="shared" ref="K223:K236" si="97">H223*N223</f>
        <v>20748.425708423867</v>
      </c>
      <c r="L223" s="1">
        <f t="shared" ref="L223:L236" si="98">I223*5</f>
        <v>180000</v>
      </c>
      <c r="M223" s="1">
        <f t="shared" ref="M223:M236" si="99">H223*5</f>
        <v>120000</v>
      </c>
      <c r="N223" s="55">
        <f>IFERROR(VLOOKUP(D223,Hoja2!B:D,3,0),"100%")</f>
        <v>0.86451773785099451</v>
      </c>
    </row>
    <row r="224" spans="1:14" x14ac:dyDescent="0.3">
      <c r="A224" s="1">
        <v>238</v>
      </c>
      <c r="B224" s="1">
        <v>0</v>
      </c>
      <c r="C224" s="10">
        <v>453288</v>
      </c>
      <c r="D224" s="1">
        <v>214</v>
      </c>
      <c r="E224" s="53">
        <f>IFERROR(VLOOKUP(C224,Hoja1!A$2:B1397,2,0),"0")</f>
        <v>701800</v>
      </c>
      <c r="F224" s="1">
        <f t="shared" si="93"/>
        <v>33.333333333333336</v>
      </c>
      <c r="G224" s="43">
        <f>VLOOKUP(C224,Hoja2!A:C,3,0)</f>
        <v>2000</v>
      </c>
      <c r="H224" s="5">
        <f t="shared" si="94"/>
        <v>32000</v>
      </c>
      <c r="I224" s="1">
        <f t="shared" si="95"/>
        <v>48000</v>
      </c>
      <c r="J224" s="7">
        <f t="shared" si="96"/>
        <v>44053.450192252662</v>
      </c>
      <c r="K224" s="5">
        <f t="shared" si="97"/>
        <v>29368.966794835105</v>
      </c>
      <c r="L224" s="1">
        <f t="shared" si="98"/>
        <v>240000</v>
      </c>
      <c r="M224" s="1">
        <f t="shared" si="99"/>
        <v>160000</v>
      </c>
      <c r="N224" s="55">
        <f>IFERROR(VLOOKUP(D224,Hoja2!B:D,3,0),"100%")</f>
        <v>0.91778021233859708</v>
      </c>
    </row>
    <row r="225" spans="1:14" x14ac:dyDescent="0.3">
      <c r="A225" s="1">
        <v>238</v>
      </c>
      <c r="B225" s="1">
        <v>0</v>
      </c>
      <c r="C225" s="10">
        <v>453298</v>
      </c>
      <c r="D225" s="1">
        <v>405</v>
      </c>
      <c r="E225" s="53">
        <f>IFERROR(VLOOKUP(C225,Hoja1!A$2:B1401,2,0),"0")</f>
        <v>2400000</v>
      </c>
      <c r="F225" s="1">
        <f t="shared" si="93"/>
        <v>50</v>
      </c>
      <c r="G225" s="43">
        <f>VLOOKUP(C225,Hoja2!A:C,3,0)</f>
        <v>3000</v>
      </c>
      <c r="H225" s="5">
        <f t="shared" si="94"/>
        <v>48000</v>
      </c>
      <c r="I225" s="1">
        <f t="shared" si="95"/>
        <v>72000</v>
      </c>
      <c r="J225" s="7">
        <f t="shared" si="96"/>
        <v>48760.911785625511</v>
      </c>
      <c r="K225" s="5">
        <f t="shared" si="97"/>
        <v>32507.27452375034</v>
      </c>
      <c r="L225" s="1">
        <f t="shared" si="98"/>
        <v>360000</v>
      </c>
      <c r="M225" s="1">
        <f t="shared" si="99"/>
        <v>240000</v>
      </c>
      <c r="N225" s="55">
        <f>IFERROR(VLOOKUP(D225,Hoja2!B:D,3,0),"100%")</f>
        <v>0.67723488591146541</v>
      </c>
    </row>
    <row r="226" spans="1:14" x14ac:dyDescent="0.3">
      <c r="A226" s="1">
        <v>238</v>
      </c>
      <c r="B226" s="1">
        <v>0</v>
      </c>
      <c r="C226" s="10" t="s">
        <v>439</v>
      </c>
      <c r="D226" s="1">
        <v>407</v>
      </c>
      <c r="E226" s="53">
        <f>IFERROR(VLOOKUP(C226,Hoja1!A$2:B1406,2,0),"0")</f>
        <v>616000</v>
      </c>
      <c r="F226" s="1">
        <f t="shared" si="93"/>
        <v>60</v>
      </c>
      <c r="G226" s="43">
        <f>VLOOKUP(C226,Hoja2!A:C,3,0)</f>
        <v>3600</v>
      </c>
      <c r="H226" s="5">
        <f t="shared" si="94"/>
        <v>57600</v>
      </c>
      <c r="I226" s="1">
        <f t="shared" si="95"/>
        <v>86400</v>
      </c>
      <c r="J226" s="7">
        <f t="shared" si="96"/>
        <v>50684.222119725251</v>
      </c>
      <c r="K226" s="5">
        <f t="shared" si="97"/>
        <v>33789.481413150163</v>
      </c>
      <c r="L226" s="1">
        <f t="shared" si="98"/>
        <v>432000</v>
      </c>
      <c r="M226" s="1">
        <f t="shared" si="99"/>
        <v>288000</v>
      </c>
      <c r="N226" s="55">
        <f>IFERROR(VLOOKUP(D226,Hoja2!B:D,3,0),"100%")</f>
        <v>0.58662294120052372</v>
      </c>
    </row>
    <row r="227" spans="1:14" x14ac:dyDescent="0.3">
      <c r="A227" s="1">
        <v>238</v>
      </c>
      <c r="B227" s="1">
        <v>0</v>
      </c>
      <c r="C227" s="10">
        <v>453333</v>
      </c>
      <c r="D227" s="1">
        <v>406</v>
      </c>
      <c r="E227" s="53">
        <f>IFERROR(VLOOKUP(C227,Hoja1!A$2:B1408,2,0),"0")</f>
        <v>96800</v>
      </c>
      <c r="F227" s="1">
        <f t="shared" si="93"/>
        <v>50</v>
      </c>
      <c r="G227" s="43">
        <f>VLOOKUP(C227,Hoja2!A:C,3,0)</f>
        <v>3000</v>
      </c>
      <c r="H227" s="5">
        <f t="shared" si="94"/>
        <v>48000</v>
      </c>
      <c r="I227" s="1">
        <f t="shared" si="95"/>
        <v>72000</v>
      </c>
      <c r="J227" s="7">
        <f t="shared" si="96"/>
        <v>38713.605492404015</v>
      </c>
      <c r="K227" s="5">
        <f t="shared" si="97"/>
        <v>25809.070328269339</v>
      </c>
      <c r="L227" s="1">
        <f t="shared" si="98"/>
        <v>360000</v>
      </c>
      <c r="M227" s="1">
        <f t="shared" si="99"/>
        <v>240000</v>
      </c>
      <c r="N227" s="55">
        <f>IFERROR(VLOOKUP(D227,Hoja2!B:D,3,0),"100%")</f>
        <v>0.53768896517227793</v>
      </c>
    </row>
    <row r="228" spans="1:14" x14ac:dyDescent="0.3">
      <c r="A228" s="1">
        <v>238</v>
      </c>
      <c r="B228" s="1">
        <v>0</v>
      </c>
      <c r="C228" s="10">
        <v>453363</v>
      </c>
      <c r="D228" s="1">
        <v>407</v>
      </c>
      <c r="E228" s="53">
        <f>IFERROR(VLOOKUP(C228,Hoja1!A$2:B1414,2,0),"0")</f>
        <v>176000</v>
      </c>
      <c r="F228" s="1">
        <f t="shared" si="93"/>
        <v>50</v>
      </c>
      <c r="G228" s="43">
        <f>VLOOKUP(C228,Hoja2!A:C,3,0)</f>
        <v>3000</v>
      </c>
      <c r="H228" s="5">
        <f t="shared" si="94"/>
        <v>48000</v>
      </c>
      <c r="I228" s="1">
        <f t="shared" si="95"/>
        <v>72000</v>
      </c>
      <c r="J228" s="7">
        <f t="shared" si="96"/>
        <v>42236.851766437707</v>
      </c>
      <c r="K228" s="5">
        <f t="shared" si="97"/>
        <v>28157.901177625139</v>
      </c>
      <c r="L228" s="1">
        <f t="shared" si="98"/>
        <v>360000</v>
      </c>
      <c r="M228" s="1">
        <f t="shared" si="99"/>
        <v>240000</v>
      </c>
      <c r="N228" s="55">
        <f>IFERROR(VLOOKUP(D228,Hoja2!B:D,3,0),"100%")</f>
        <v>0.58662294120052372</v>
      </c>
    </row>
    <row r="229" spans="1:14" x14ac:dyDescent="0.3">
      <c r="A229" s="1">
        <v>238</v>
      </c>
      <c r="B229" s="1">
        <v>0</v>
      </c>
      <c r="C229" s="10">
        <v>453367</v>
      </c>
      <c r="D229" s="1">
        <v>213</v>
      </c>
      <c r="E229" s="53">
        <f>IFERROR(VLOOKUP(C229,Hoja1!A$2:B1420,2,0),"0")</f>
        <v>145200</v>
      </c>
      <c r="F229" s="1">
        <f t="shared" si="93"/>
        <v>23.333333333333332</v>
      </c>
      <c r="G229" s="43">
        <f>VLOOKUP(C229,Hoja2!A:C,3,0)</f>
        <v>1400</v>
      </c>
      <c r="H229" s="5">
        <f t="shared" si="94"/>
        <v>22400</v>
      </c>
      <c r="I229" s="1">
        <f t="shared" si="95"/>
        <v>33600</v>
      </c>
      <c r="J229" s="7">
        <f t="shared" si="96"/>
        <v>29975.035177039106</v>
      </c>
      <c r="K229" s="5">
        <f t="shared" si="97"/>
        <v>19983.356784692736</v>
      </c>
      <c r="L229" s="1">
        <f t="shared" si="98"/>
        <v>168000</v>
      </c>
      <c r="M229" s="1">
        <f t="shared" si="99"/>
        <v>112000</v>
      </c>
      <c r="N229" s="55">
        <f>IFERROR(VLOOKUP(D229,Hoja2!B:D,3,0),"100%")</f>
        <v>0.89211414217378293</v>
      </c>
    </row>
    <row r="230" spans="1:14" x14ac:dyDescent="0.3">
      <c r="A230" s="1">
        <v>238</v>
      </c>
      <c r="B230" s="1">
        <v>0</v>
      </c>
      <c r="C230" s="10">
        <v>453368</v>
      </c>
      <c r="D230" s="1">
        <v>213</v>
      </c>
      <c r="E230" s="53">
        <f>IFERROR(VLOOKUP(C230,Hoja1!A$2:B1424,2,0),"0")</f>
        <v>1040600</v>
      </c>
      <c r="F230" s="1">
        <f t="shared" si="93"/>
        <v>20</v>
      </c>
      <c r="G230" s="43">
        <f>VLOOKUP(C230,Hoja2!A:C,3,0)</f>
        <v>1200</v>
      </c>
      <c r="H230" s="5">
        <f t="shared" si="94"/>
        <v>19200</v>
      </c>
      <c r="I230" s="1">
        <f t="shared" si="95"/>
        <v>28800</v>
      </c>
      <c r="J230" s="7">
        <f t="shared" si="96"/>
        <v>25692.887294604949</v>
      </c>
      <c r="K230" s="5">
        <f t="shared" si="97"/>
        <v>17128.591529736634</v>
      </c>
      <c r="L230" s="1">
        <f t="shared" si="98"/>
        <v>144000</v>
      </c>
      <c r="M230" s="1">
        <f t="shared" si="99"/>
        <v>96000</v>
      </c>
      <c r="N230" s="55">
        <f>IFERROR(VLOOKUP(D230,Hoja2!B:D,3,0),"100%")</f>
        <v>0.89211414217378293</v>
      </c>
    </row>
    <row r="231" spans="1:14" x14ac:dyDescent="0.3">
      <c r="A231" s="1">
        <v>238</v>
      </c>
      <c r="B231" s="1">
        <v>0</v>
      </c>
      <c r="C231" s="10">
        <v>453378</v>
      </c>
      <c r="D231" s="1">
        <v>407</v>
      </c>
      <c r="E231" s="53">
        <f>IFERROR(VLOOKUP(C231,Hoja1!A$2:B1428,2,0),"0")</f>
        <v>774400</v>
      </c>
      <c r="F231" s="1">
        <f t="shared" si="93"/>
        <v>66.666666666666671</v>
      </c>
      <c r="G231" s="43">
        <f>VLOOKUP(C231,Hoja2!A:C,3,0)</f>
        <v>4000</v>
      </c>
      <c r="H231" s="5">
        <f t="shared" si="94"/>
        <v>64000</v>
      </c>
      <c r="I231" s="1">
        <f t="shared" si="95"/>
        <v>96000</v>
      </c>
      <c r="J231" s="7">
        <f t="shared" si="96"/>
        <v>56315.802355250278</v>
      </c>
      <c r="K231" s="5">
        <f t="shared" si="97"/>
        <v>37543.868236833521</v>
      </c>
      <c r="L231" s="1">
        <f t="shared" si="98"/>
        <v>480000</v>
      </c>
      <c r="M231" s="1">
        <f t="shared" si="99"/>
        <v>320000</v>
      </c>
      <c r="N231" s="55">
        <f>IFERROR(VLOOKUP(D231,Hoja2!B:D,3,0),"100%")</f>
        <v>0.58662294120052372</v>
      </c>
    </row>
    <row r="232" spans="1:14" x14ac:dyDescent="0.3">
      <c r="A232" s="1">
        <v>238</v>
      </c>
      <c r="B232" s="1">
        <v>0</v>
      </c>
      <c r="C232" s="10" t="s">
        <v>356</v>
      </c>
      <c r="D232" s="1">
        <v>407</v>
      </c>
      <c r="E232" s="53">
        <f>IFERROR(VLOOKUP(C232,Hoja1!A$2:B1433,2,0),"0")</f>
        <v>13200</v>
      </c>
      <c r="F232" s="1">
        <f t="shared" si="93"/>
        <v>66.666666666666671</v>
      </c>
      <c r="G232" s="43">
        <f>VLOOKUP(C232,Hoja2!A:C,3,0)</f>
        <v>4000</v>
      </c>
      <c r="H232" s="5">
        <f t="shared" si="94"/>
        <v>64000</v>
      </c>
      <c r="I232" s="1">
        <f t="shared" si="95"/>
        <v>96000</v>
      </c>
      <c r="J232" s="7">
        <f t="shared" si="96"/>
        <v>56315.802355250278</v>
      </c>
      <c r="K232" s="5">
        <f t="shared" si="97"/>
        <v>37543.868236833521</v>
      </c>
      <c r="L232" s="1">
        <f t="shared" si="98"/>
        <v>480000</v>
      </c>
      <c r="M232" s="1">
        <f t="shared" si="99"/>
        <v>320000</v>
      </c>
      <c r="N232" s="55">
        <f>IFERROR(VLOOKUP(D232,Hoja2!B:D,3,0),"100%")</f>
        <v>0.58662294120052372</v>
      </c>
    </row>
    <row r="233" spans="1:14" x14ac:dyDescent="0.3">
      <c r="A233" s="1">
        <v>238</v>
      </c>
      <c r="B233" s="1">
        <v>0</v>
      </c>
      <c r="C233" s="10" t="s">
        <v>422</v>
      </c>
      <c r="D233" s="1">
        <v>406</v>
      </c>
      <c r="E233" s="53">
        <f>IFERROR(VLOOKUP(C233,Hoja1!A$2:B1439,2,0),"0")</f>
        <v>193600</v>
      </c>
      <c r="F233" s="1">
        <f t="shared" si="93"/>
        <v>75</v>
      </c>
      <c r="G233" s="43">
        <f>VLOOKUP(C233,Hoja2!A:C,3,0)</f>
        <v>4500</v>
      </c>
      <c r="H233" s="5">
        <f t="shared" si="94"/>
        <v>72000</v>
      </c>
      <c r="I233" s="1">
        <f t="shared" si="95"/>
        <v>108000</v>
      </c>
      <c r="J233" s="7">
        <f t="shared" si="96"/>
        <v>58070.408238606018</v>
      </c>
      <c r="K233" s="5">
        <f t="shared" si="97"/>
        <v>38713.605492404015</v>
      </c>
      <c r="L233" s="1">
        <f t="shared" si="98"/>
        <v>540000</v>
      </c>
      <c r="M233" s="1">
        <f t="shared" si="99"/>
        <v>360000</v>
      </c>
      <c r="N233" s="55">
        <f>IFERROR(VLOOKUP(D233,Hoja2!B:D,3,0),"100%")</f>
        <v>0.53768896517227793</v>
      </c>
    </row>
    <row r="234" spans="1:14" x14ac:dyDescent="0.3">
      <c r="A234" s="1">
        <v>238</v>
      </c>
      <c r="B234" s="1">
        <v>0</v>
      </c>
      <c r="C234" s="10">
        <v>453389</v>
      </c>
      <c r="D234" s="1">
        <v>122</v>
      </c>
      <c r="E234" s="53">
        <f>IFERROR(VLOOKUP(C234,Hoja1!A$2:B1444,2,0),"0")</f>
        <v>822800</v>
      </c>
      <c r="F234" s="1">
        <f t="shared" si="93"/>
        <v>250</v>
      </c>
      <c r="G234" s="43">
        <f>VLOOKUP(C234,Hoja2!A:C,3,0)</f>
        <v>15000</v>
      </c>
      <c r="H234" s="5">
        <f t="shared" si="94"/>
        <v>240000</v>
      </c>
      <c r="I234" s="1">
        <f t="shared" si="95"/>
        <v>360000</v>
      </c>
      <c r="J234" s="7">
        <f t="shared" si="96"/>
        <v>261035.95884621868</v>
      </c>
      <c r="K234" s="5">
        <f t="shared" si="97"/>
        <v>174023.97256414578</v>
      </c>
      <c r="L234" s="1">
        <f t="shared" si="98"/>
        <v>1800000</v>
      </c>
      <c r="M234" s="1">
        <f t="shared" si="99"/>
        <v>1200000</v>
      </c>
      <c r="N234" s="55">
        <f>IFERROR(VLOOKUP(D234,Hoja2!B:D,3,0),"100%")</f>
        <v>0.72509988568394079</v>
      </c>
    </row>
    <row r="235" spans="1:14" x14ac:dyDescent="0.3">
      <c r="A235" s="1">
        <v>238</v>
      </c>
      <c r="B235" s="1">
        <v>0</v>
      </c>
      <c r="C235" s="10" t="s">
        <v>272</v>
      </c>
      <c r="D235" s="1">
        <v>213</v>
      </c>
      <c r="E235" s="53">
        <f>IFERROR(VLOOKUP(C235,Hoja1!A$2:B1448,2,0),"0")</f>
        <v>128000</v>
      </c>
      <c r="F235" s="1">
        <f t="shared" si="93"/>
        <v>25</v>
      </c>
      <c r="G235" s="43">
        <f>VLOOKUP(C235,Hoja2!A:C,3,0)</f>
        <v>1500</v>
      </c>
      <c r="H235" s="5">
        <f t="shared" si="94"/>
        <v>24000</v>
      </c>
      <c r="I235" s="1">
        <f t="shared" si="95"/>
        <v>36000</v>
      </c>
      <c r="J235" s="7">
        <f t="shared" si="96"/>
        <v>32116.109118256187</v>
      </c>
      <c r="K235" s="5">
        <f t="shared" si="97"/>
        <v>21410.739412170791</v>
      </c>
      <c r="L235" s="1">
        <f t="shared" si="98"/>
        <v>180000</v>
      </c>
      <c r="M235" s="1">
        <f t="shared" si="99"/>
        <v>120000</v>
      </c>
      <c r="N235" s="55">
        <f>IFERROR(VLOOKUP(D235,Hoja2!B:D,3,0),"100%")</f>
        <v>0.89211414217378293</v>
      </c>
    </row>
    <row r="236" spans="1:14" x14ac:dyDescent="0.3">
      <c r="A236" s="1">
        <v>238</v>
      </c>
      <c r="B236" s="1">
        <v>0</v>
      </c>
      <c r="C236" s="10">
        <v>453396</v>
      </c>
      <c r="D236" s="1">
        <v>142</v>
      </c>
      <c r="E236" s="53">
        <f>IFERROR(VLOOKUP(C236,Hoja1!A$2:B1452,2,0),"0")</f>
        <v>56000</v>
      </c>
      <c r="F236" s="1">
        <f t="shared" ref="F236:F249" si="100">G236/60</f>
        <v>133.33333333333334</v>
      </c>
      <c r="G236" s="43">
        <f>VLOOKUP(C236,Hoja2!A:C,3,0)</f>
        <v>8000</v>
      </c>
      <c r="H236" s="5">
        <f t="shared" si="94"/>
        <v>128000</v>
      </c>
      <c r="I236" s="1">
        <f t="shared" si="95"/>
        <v>192000</v>
      </c>
      <c r="J236" s="7">
        <f t="shared" si="96"/>
        <v>140874.60768633976</v>
      </c>
      <c r="K236" s="5">
        <f t="shared" si="97"/>
        <v>93916.405124226512</v>
      </c>
      <c r="L236" s="1">
        <f t="shared" si="98"/>
        <v>960000</v>
      </c>
      <c r="M236" s="1">
        <f t="shared" si="99"/>
        <v>640000</v>
      </c>
      <c r="N236" s="55">
        <f>IFERROR(VLOOKUP(D236,Hoja2!B:D,3,0),"100%")</f>
        <v>0.73372191503301964</v>
      </c>
    </row>
    <row r="237" spans="1:14" x14ac:dyDescent="0.3">
      <c r="A237" s="1">
        <v>238</v>
      </c>
      <c r="B237" s="1">
        <v>0</v>
      </c>
      <c r="C237" s="10">
        <v>453409</v>
      </c>
      <c r="D237" s="1">
        <v>216</v>
      </c>
      <c r="E237" s="53">
        <f>IFERROR(VLOOKUP(C237,Hoja1!A$2:B1457,2,0),"0")</f>
        <v>204600</v>
      </c>
      <c r="F237" s="1">
        <f t="shared" si="100"/>
        <v>20</v>
      </c>
      <c r="G237" s="43">
        <f>VLOOKUP(C237,Hoja2!A:C,3,0)</f>
        <v>1200</v>
      </c>
      <c r="H237" s="5">
        <f t="shared" ref="H237:H250" si="101">G237*16</f>
        <v>19200</v>
      </c>
      <c r="I237" s="1">
        <f t="shared" ref="I237:I250" si="102">G237*24</f>
        <v>28800</v>
      </c>
      <c r="J237" s="7">
        <f t="shared" ref="J237:J250" si="103">I237*N237</f>
        <v>25691.328504220342</v>
      </c>
      <c r="K237" s="5">
        <f t="shared" ref="K237:K250" si="104">H237*N237</f>
        <v>17127.552336146895</v>
      </c>
      <c r="L237" s="1">
        <f t="shared" ref="L237:L250" si="105">I237*5</f>
        <v>144000</v>
      </c>
      <c r="M237" s="1">
        <f t="shared" ref="M237:M250" si="106">H237*5</f>
        <v>96000</v>
      </c>
      <c r="N237" s="55">
        <f>IFERROR(VLOOKUP(D237,Hoja2!B:D,3,0),"100%")</f>
        <v>0.89206001750765074</v>
      </c>
    </row>
    <row r="238" spans="1:14" x14ac:dyDescent="0.3">
      <c r="A238" s="1">
        <v>238</v>
      </c>
      <c r="B238" s="1">
        <v>0</v>
      </c>
      <c r="C238" s="10">
        <v>453410</v>
      </c>
      <c r="D238" s="1">
        <v>142</v>
      </c>
      <c r="E238" s="53">
        <f>IFERROR(VLOOKUP(C238,Hoja1!A$2:B1461,2,0),"0")</f>
        <v>158400</v>
      </c>
      <c r="F238" s="1">
        <f t="shared" si="100"/>
        <v>250</v>
      </c>
      <c r="G238" s="43">
        <f>VLOOKUP(C238,Hoja2!A:C,3,0)</f>
        <v>15000</v>
      </c>
      <c r="H238" s="5">
        <f t="shared" si="101"/>
        <v>240000</v>
      </c>
      <c r="I238" s="1">
        <f t="shared" si="102"/>
        <v>360000</v>
      </c>
      <c r="J238" s="7">
        <f t="shared" si="103"/>
        <v>264139.8894118871</v>
      </c>
      <c r="K238" s="5">
        <f t="shared" si="104"/>
        <v>176093.2596079247</v>
      </c>
      <c r="L238" s="1">
        <f t="shared" si="105"/>
        <v>1800000</v>
      </c>
      <c r="M238" s="1">
        <f t="shared" si="106"/>
        <v>1200000</v>
      </c>
      <c r="N238" s="55">
        <f>IFERROR(VLOOKUP(D238,Hoja2!B:D,3,0),"100%")</f>
        <v>0.73372191503301964</v>
      </c>
    </row>
    <row r="239" spans="1:14" x14ac:dyDescent="0.3">
      <c r="A239" s="1">
        <v>238</v>
      </c>
      <c r="B239" s="1">
        <v>0</v>
      </c>
      <c r="C239" s="10">
        <v>453414</v>
      </c>
      <c r="D239" s="1">
        <v>142</v>
      </c>
      <c r="E239" s="53">
        <f>IFERROR(VLOOKUP(C239,Hoja1!A$2:B1465,2,0),"0")</f>
        <v>0</v>
      </c>
      <c r="F239" s="1">
        <f t="shared" si="100"/>
        <v>100</v>
      </c>
      <c r="G239" s="43">
        <f>VLOOKUP(C239,Hoja2!A:C,3,0)</f>
        <v>6000</v>
      </c>
      <c r="H239" s="5">
        <f t="shared" si="101"/>
        <v>96000</v>
      </c>
      <c r="I239" s="1">
        <f t="shared" si="102"/>
        <v>144000</v>
      </c>
      <c r="J239" s="7">
        <f t="shared" si="103"/>
        <v>105655.95576475484</v>
      </c>
      <c r="K239" s="5">
        <f t="shared" si="104"/>
        <v>70437.303843169881</v>
      </c>
      <c r="L239" s="1">
        <f t="shared" si="105"/>
        <v>720000</v>
      </c>
      <c r="M239" s="1">
        <f t="shared" si="106"/>
        <v>480000</v>
      </c>
      <c r="N239" s="55">
        <f>IFERROR(VLOOKUP(D239,Hoja2!B:D,3,0),"100%")</f>
        <v>0.73372191503301964</v>
      </c>
    </row>
    <row r="240" spans="1:14" x14ac:dyDescent="0.3">
      <c r="A240" s="1">
        <v>238</v>
      </c>
      <c r="B240" s="1">
        <v>0</v>
      </c>
      <c r="C240" s="10">
        <v>453418</v>
      </c>
      <c r="D240" s="1">
        <v>207</v>
      </c>
      <c r="E240" s="53">
        <f>IFERROR(VLOOKUP(C240,Hoja1!A$2:B1470,2,0),"0")</f>
        <v>1075800</v>
      </c>
      <c r="F240" s="1">
        <f t="shared" si="100"/>
        <v>28.333333333333332</v>
      </c>
      <c r="G240" s="43">
        <f>VLOOKUP(C240,Hoja2!A:C,3,0)</f>
        <v>1700</v>
      </c>
      <c r="H240" s="5">
        <f t="shared" si="101"/>
        <v>27200</v>
      </c>
      <c r="I240" s="1">
        <f t="shared" si="102"/>
        <v>40800</v>
      </c>
      <c r="J240" s="7">
        <f t="shared" si="103"/>
        <v>36950.656904580414</v>
      </c>
      <c r="K240" s="5">
        <f t="shared" si="104"/>
        <v>24633.771269720277</v>
      </c>
      <c r="L240" s="1">
        <f t="shared" si="105"/>
        <v>204000</v>
      </c>
      <c r="M240" s="1">
        <f t="shared" si="106"/>
        <v>136000</v>
      </c>
      <c r="N240" s="55">
        <f>IFERROR(VLOOKUP(D240,Hoja2!B:D,3,0),"100%")</f>
        <v>0.90565335550442194</v>
      </c>
    </row>
    <row r="241" spans="1:14" x14ac:dyDescent="0.3">
      <c r="A241" s="1">
        <v>238</v>
      </c>
      <c r="B241" s="1">
        <v>0</v>
      </c>
      <c r="C241" s="10">
        <v>453419</v>
      </c>
      <c r="D241" s="1">
        <v>136</v>
      </c>
      <c r="E241" s="53">
        <f>IFERROR(VLOOKUP(C241,Hoja1!A$2:B1474,2,0),"0")</f>
        <v>56000</v>
      </c>
      <c r="F241" s="1">
        <f t="shared" si="100"/>
        <v>66.666666666666671</v>
      </c>
      <c r="G241" s="43">
        <f>VLOOKUP(C241,Hoja2!A:C,3,0)</f>
        <v>4000</v>
      </c>
      <c r="H241" s="5">
        <f t="shared" si="101"/>
        <v>64000</v>
      </c>
      <c r="I241" s="1">
        <f t="shared" si="102"/>
        <v>96000</v>
      </c>
      <c r="J241" s="7">
        <f t="shared" si="103"/>
        <v>70182.973762321199</v>
      </c>
      <c r="K241" s="5">
        <f t="shared" si="104"/>
        <v>46788.649174880804</v>
      </c>
      <c r="L241" s="1">
        <f t="shared" si="105"/>
        <v>480000</v>
      </c>
      <c r="M241" s="1">
        <f t="shared" si="106"/>
        <v>320000</v>
      </c>
      <c r="N241" s="55">
        <f>IFERROR(VLOOKUP(D241,Hoja2!B:D,3,0),"100%")</f>
        <v>0.73107264335751254</v>
      </c>
    </row>
    <row r="242" spans="1:14" x14ac:dyDescent="0.3">
      <c r="A242" s="1">
        <v>238</v>
      </c>
      <c r="B242" s="1">
        <v>0</v>
      </c>
      <c r="C242" s="10">
        <v>453423</v>
      </c>
      <c r="D242" s="1">
        <v>406</v>
      </c>
      <c r="E242" s="53">
        <f>IFERROR(VLOOKUP(C242,Hoja1!A$2:B1478,2,0),"0")</f>
        <v>0</v>
      </c>
      <c r="F242" s="1">
        <f t="shared" si="100"/>
        <v>61.666666666666664</v>
      </c>
      <c r="G242" s="43">
        <f>VLOOKUP(C242,Hoja2!A:C,3,0)</f>
        <v>3700</v>
      </c>
      <c r="H242" s="5">
        <f t="shared" si="101"/>
        <v>59200</v>
      </c>
      <c r="I242" s="1">
        <f t="shared" si="102"/>
        <v>88800</v>
      </c>
      <c r="J242" s="7">
        <f t="shared" si="103"/>
        <v>47746.780107298284</v>
      </c>
      <c r="K242" s="5">
        <f t="shared" si="104"/>
        <v>31831.186738198852</v>
      </c>
      <c r="L242" s="1">
        <f t="shared" si="105"/>
        <v>444000</v>
      </c>
      <c r="M242" s="1">
        <f t="shared" si="106"/>
        <v>296000</v>
      </c>
      <c r="N242" s="55">
        <f>IFERROR(VLOOKUP(D242,Hoja2!B:D,3,0),"100%")</f>
        <v>0.53768896517227793</v>
      </c>
    </row>
    <row r="243" spans="1:14" x14ac:dyDescent="0.3">
      <c r="A243" s="1">
        <v>238</v>
      </c>
      <c r="B243" s="1">
        <v>0</v>
      </c>
      <c r="C243" s="10">
        <v>453449</v>
      </c>
      <c r="D243" s="1">
        <v>406</v>
      </c>
      <c r="E243" s="53">
        <f>IFERROR(VLOOKUP(C243,Hoja1!A$2:B1483,2,0),"0")</f>
        <v>48400</v>
      </c>
      <c r="F243" s="1">
        <f t="shared" si="100"/>
        <v>50</v>
      </c>
      <c r="G243" s="43">
        <f>VLOOKUP(C243,Hoja2!A:C,3,0)</f>
        <v>3000</v>
      </c>
      <c r="H243" s="5">
        <f t="shared" si="101"/>
        <v>48000</v>
      </c>
      <c r="I243" s="1">
        <f t="shared" si="102"/>
        <v>72000</v>
      </c>
      <c r="J243" s="7">
        <f t="shared" si="103"/>
        <v>38713.605492404015</v>
      </c>
      <c r="K243" s="5">
        <f t="shared" si="104"/>
        <v>25809.070328269339</v>
      </c>
      <c r="L243" s="1">
        <f t="shared" si="105"/>
        <v>360000</v>
      </c>
      <c r="M243" s="1">
        <f t="shared" si="106"/>
        <v>240000</v>
      </c>
      <c r="N243" s="55">
        <f>IFERROR(VLOOKUP(D243,Hoja2!B:D,3,0),"100%")</f>
        <v>0.53768896517227793</v>
      </c>
    </row>
    <row r="244" spans="1:14" x14ac:dyDescent="0.3">
      <c r="A244" s="1">
        <v>238</v>
      </c>
      <c r="B244" s="1">
        <v>0</v>
      </c>
      <c r="C244" s="10">
        <v>453451</v>
      </c>
      <c r="D244" s="1">
        <v>142</v>
      </c>
      <c r="E244" s="53">
        <f>IFERROR(VLOOKUP(C244,Hoja1!A$2:B1489,2,0),"0")</f>
        <v>459800</v>
      </c>
      <c r="F244" s="1">
        <f t="shared" si="100"/>
        <v>133.33333333333334</v>
      </c>
      <c r="G244" s="43">
        <f>VLOOKUP(C244,Hoja2!A:C,3,0)</f>
        <v>8000</v>
      </c>
      <c r="H244" s="5">
        <f t="shared" si="101"/>
        <v>128000</v>
      </c>
      <c r="I244" s="1">
        <f t="shared" si="102"/>
        <v>192000</v>
      </c>
      <c r="J244" s="7">
        <f t="shared" si="103"/>
        <v>140874.60768633976</v>
      </c>
      <c r="K244" s="5">
        <f t="shared" si="104"/>
        <v>93916.405124226512</v>
      </c>
      <c r="L244" s="1">
        <f t="shared" si="105"/>
        <v>960000</v>
      </c>
      <c r="M244" s="1">
        <f t="shared" si="106"/>
        <v>640000</v>
      </c>
      <c r="N244" s="55">
        <f>IFERROR(VLOOKUP(D244,Hoja2!B:D,3,0),"100%")</f>
        <v>0.73372191503301964</v>
      </c>
    </row>
    <row r="245" spans="1:14" x14ac:dyDescent="0.3">
      <c r="A245" s="1">
        <v>238</v>
      </c>
      <c r="B245" s="1">
        <v>0</v>
      </c>
      <c r="C245" s="10">
        <v>453462</v>
      </c>
      <c r="D245" s="1">
        <v>122</v>
      </c>
      <c r="E245" s="53">
        <f>IFERROR(VLOOKUP(C245,Hoja1!A$2:B1494,2,0),"0")</f>
        <v>100000</v>
      </c>
      <c r="F245" s="1">
        <f t="shared" si="100"/>
        <v>100</v>
      </c>
      <c r="G245" s="43">
        <f>VLOOKUP(C245,Hoja2!A:C,3,0)</f>
        <v>6000</v>
      </c>
      <c r="H245" s="5">
        <f t="shared" si="101"/>
        <v>96000</v>
      </c>
      <c r="I245" s="1">
        <f t="shared" si="102"/>
        <v>144000</v>
      </c>
      <c r="J245" s="7">
        <f t="shared" si="103"/>
        <v>104414.38353848747</v>
      </c>
      <c r="K245" s="5">
        <f t="shared" si="104"/>
        <v>69609.589025658322</v>
      </c>
      <c r="L245" s="1">
        <f t="shared" si="105"/>
        <v>720000</v>
      </c>
      <c r="M245" s="1">
        <f t="shared" si="106"/>
        <v>480000</v>
      </c>
      <c r="N245" s="55">
        <f>IFERROR(VLOOKUP(D245,Hoja2!B:D,3,0),"100%")</f>
        <v>0.72509988568394079</v>
      </c>
    </row>
    <row r="246" spans="1:14" x14ac:dyDescent="0.3">
      <c r="A246" s="1">
        <v>238</v>
      </c>
      <c r="B246" s="1">
        <v>0</v>
      </c>
      <c r="C246" s="10">
        <v>453479</v>
      </c>
      <c r="D246" s="1">
        <v>407</v>
      </c>
      <c r="E246" s="53">
        <f>IFERROR(VLOOKUP(C246,Hoja1!A$2:B1498,2,0),"0")</f>
        <v>121000</v>
      </c>
      <c r="F246" s="1">
        <f t="shared" si="100"/>
        <v>50</v>
      </c>
      <c r="G246" s="43">
        <f>VLOOKUP(C246,Hoja2!A:C,3,0)</f>
        <v>3000</v>
      </c>
      <c r="H246" s="5">
        <f t="shared" si="101"/>
        <v>48000</v>
      </c>
      <c r="I246" s="1">
        <f t="shared" si="102"/>
        <v>72000</v>
      </c>
      <c r="J246" s="7">
        <f t="shared" si="103"/>
        <v>42236.851766437707</v>
      </c>
      <c r="K246" s="5">
        <f t="shared" si="104"/>
        <v>28157.901177625139</v>
      </c>
      <c r="L246" s="1">
        <f t="shared" si="105"/>
        <v>360000</v>
      </c>
      <c r="M246" s="1">
        <f t="shared" si="106"/>
        <v>240000</v>
      </c>
      <c r="N246" s="55">
        <f>IFERROR(VLOOKUP(D246,Hoja2!B:D,3,0),"100%")</f>
        <v>0.58662294120052372</v>
      </c>
    </row>
    <row r="247" spans="1:14" x14ac:dyDescent="0.3">
      <c r="A247" s="1">
        <v>238</v>
      </c>
      <c r="B247" s="1">
        <v>0</v>
      </c>
      <c r="C247" s="10" t="s">
        <v>285</v>
      </c>
      <c r="D247" s="1">
        <v>406</v>
      </c>
      <c r="E247" s="53">
        <f>IFERROR(VLOOKUP(C247,Hoja1!A$2:B1504,2,0),"0")</f>
        <v>132000</v>
      </c>
      <c r="F247" s="1">
        <f t="shared" si="100"/>
        <v>50</v>
      </c>
      <c r="G247" s="43">
        <f>VLOOKUP(C247,Hoja2!A:C,3,0)</f>
        <v>3000</v>
      </c>
      <c r="H247" s="5">
        <f t="shared" si="101"/>
        <v>48000</v>
      </c>
      <c r="I247" s="1">
        <f t="shared" si="102"/>
        <v>72000</v>
      </c>
      <c r="J247" s="7">
        <f t="shared" si="103"/>
        <v>38713.605492404015</v>
      </c>
      <c r="K247" s="5">
        <f t="shared" si="104"/>
        <v>25809.070328269339</v>
      </c>
      <c r="L247" s="1">
        <f t="shared" si="105"/>
        <v>360000</v>
      </c>
      <c r="M247" s="1">
        <f t="shared" si="106"/>
        <v>240000</v>
      </c>
      <c r="N247" s="55">
        <f>IFERROR(VLOOKUP(D247,Hoja2!B:D,3,0),"100%")</f>
        <v>0.53768896517227793</v>
      </c>
    </row>
    <row r="248" spans="1:14" x14ac:dyDescent="0.3">
      <c r="A248" s="1">
        <v>238</v>
      </c>
      <c r="B248" s="1">
        <v>0</v>
      </c>
      <c r="C248" s="10" t="s">
        <v>358</v>
      </c>
      <c r="D248" s="1">
        <v>406</v>
      </c>
      <c r="E248" s="53">
        <f>IFERROR(VLOOKUP(C248,Hoja1!A$2:B1509,2,0),"0")</f>
        <v>24200</v>
      </c>
      <c r="F248" s="1">
        <f t="shared" si="100"/>
        <v>50</v>
      </c>
      <c r="G248" s="43">
        <f>VLOOKUP(C248,Hoja2!A:C,3,0)</f>
        <v>3000</v>
      </c>
      <c r="H248" s="5">
        <f t="shared" si="101"/>
        <v>48000</v>
      </c>
      <c r="I248" s="1">
        <f t="shared" si="102"/>
        <v>72000</v>
      </c>
      <c r="J248" s="7">
        <f t="shared" si="103"/>
        <v>38713.605492404015</v>
      </c>
      <c r="K248" s="5">
        <f t="shared" si="104"/>
        <v>25809.070328269339</v>
      </c>
      <c r="L248" s="1">
        <f t="shared" si="105"/>
        <v>360000</v>
      </c>
      <c r="M248" s="1">
        <f t="shared" si="106"/>
        <v>240000</v>
      </c>
      <c r="N248" s="55">
        <f>IFERROR(VLOOKUP(D248,Hoja2!B:D,3,0),"100%")</f>
        <v>0.53768896517227793</v>
      </c>
    </row>
    <row r="249" spans="1:14" x14ac:dyDescent="0.3">
      <c r="A249" s="1">
        <v>238</v>
      </c>
      <c r="B249" s="1">
        <v>0</v>
      </c>
      <c r="C249" s="10">
        <v>453516</v>
      </c>
      <c r="D249" s="1">
        <v>142</v>
      </c>
      <c r="E249" s="53">
        <f>IFERROR(VLOOKUP(C249,Hoja1!A$2:B1514,2,0),"0")</f>
        <v>145200</v>
      </c>
      <c r="F249" s="1">
        <f t="shared" si="100"/>
        <v>100</v>
      </c>
      <c r="G249" s="43">
        <f>VLOOKUP(C249,Hoja2!A:C,3,0)</f>
        <v>6000</v>
      </c>
      <c r="H249" s="5">
        <f t="shared" si="101"/>
        <v>96000</v>
      </c>
      <c r="I249" s="1">
        <f t="shared" si="102"/>
        <v>144000</v>
      </c>
      <c r="J249" s="7">
        <f t="shared" si="103"/>
        <v>105655.95576475484</v>
      </c>
      <c r="K249" s="5">
        <f t="shared" si="104"/>
        <v>70437.303843169881</v>
      </c>
      <c r="L249" s="1">
        <f t="shared" si="105"/>
        <v>720000</v>
      </c>
      <c r="M249" s="1">
        <f t="shared" si="106"/>
        <v>480000</v>
      </c>
      <c r="N249" s="55">
        <f>IFERROR(VLOOKUP(D249,Hoja2!B:D,3,0),"100%")</f>
        <v>0.73372191503301964</v>
      </c>
    </row>
    <row r="250" spans="1:14" x14ac:dyDescent="0.3">
      <c r="A250" s="1">
        <v>238</v>
      </c>
      <c r="B250" s="1">
        <v>0</v>
      </c>
      <c r="C250" s="10">
        <v>453526</v>
      </c>
      <c r="D250" s="1">
        <v>409</v>
      </c>
      <c r="E250" s="53">
        <f>IFERROR(VLOOKUP(C250,Hoja1!A$2:B1519,2,0),"0")</f>
        <v>400000</v>
      </c>
      <c r="F250" s="1">
        <f t="shared" ref="F250:F262" si="107">G250/60</f>
        <v>41.666666666666664</v>
      </c>
      <c r="G250" s="43">
        <f>VLOOKUP(C250,Hoja2!A:C,3,0)</f>
        <v>2500</v>
      </c>
      <c r="H250" s="5">
        <f t="shared" si="101"/>
        <v>40000</v>
      </c>
      <c r="I250" s="1">
        <f t="shared" si="102"/>
        <v>60000</v>
      </c>
      <c r="J250" s="7">
        <f t="shared" si="103"/>
        <v>30138.154049130797</v>
      </c>
      <c r="K250" s="5">
        <f t="shared" si="104"/>
        <v>20092.102699420531</v>
      </c>
      <c r="L250" s="1">
        <f t="shared" si="105"/>
        <v>300000</v>
      </c>
      <c r="M250" s="1">
        <f t="shared" si="106"/>
        <v>200000</v>
      </c>
      <c r="N250" s="55">
        <f>IFERROR(VLOOKUP(D250,Hoja2!B:D,3,0),"100%")</f>
        <v>0.50230256748551327</v>
      </c>
    </row>
    <row r="251" spans="1:14" x14ac:dyDescent="0.3">
      <c r="A251" s="1">
        <v>238</v>
      </c>
      <c r="B251" s="1">
        <v>0</v>
      </c>
      <c r="C251" s="10">
        <v>453584</v>
      </c>
      <c r="D251" s="1">
        <v>221</v>
      </c>
      <c r="E251" s="53">
        <f>IFERROR(VLOOKUP(C251,Hoja1!A$2:B1523,2,0),"0")</f>
        <v>61600</v>
      </c>
      <c r="F251" s="1">
        <f t="shared" si="107"/>
        <v>20</v>
      </c>
      <c r="G251" s="43">
        <f>VLOOKUP(C251,Hoja2!A:C,3,0)</f>
        <v>1200</v>
      </c>
      <c r="H251" s="5">
        <f t="shared" ref="H251:H264" si="108">G251*16</f>
        <v>19200</v>
      </c>
      <c r="I251" s="1">
        <f t="shared" ref="I251:I263" si="109">G251*24</f>
        <v>28800</v>
      </c>
      <c r="J251" s="7">
        <f t="shared" ref="J251:J263" si="110">I251*N251</f>
        <v>24898.110850108642</v>
      </c>
      <c r="K251" s="5">
        <f t="shared" ref="K251:K263" si="111">H251*N251</f>
        <v>16598.740566739096</v>
      </c>
      <c r="L251" s="1">
        <f t="shared" ref="L251:L263" si="112">I251*5</f>
        <v>144000</v>
      </c>
      <c r="M251" s="1">
        <f t="shared" ref="M251:M264" si="113">H251*5</f>
        <v>96000</v>
      </c>
      <c r="N251" s="55">
        <f>IFERROR(VLOOKUP(D251,Hoja2!B:D,3,0),"100%")</f>
        <v>0.86451773785099451</v>
      </c>
    </row>
    <row r="252" spans="1:14" x14ac:dyDescent="0.3">
      <c r="A252" s="1">
        <v>238</v>
      </c>
      <c r="B252" s="1">
        <v>0</v>
      </c>
      <c r="C252" s="10">
        <v>453590</v>
      </c>
      <c r="D252" s="1">
        <v>217</v>
      </c>
      <c r="E252" s="53">
        <f>IFERROR(VLOOKUP(C252,Hoja1!A$2:B1528,2,0),"0")</f>
        <v>158400</v>
      </c>
      <c r="F252" s="1">
        <f t="shared" si="107"/>
        <v>25</v>
      </c>
      <c r="G252" s="43">
        <f>VLOOKUP(C252,Hoja2!A:C,3,0)</f>
        <v>1500</v>
      </c>
      <c r="H252" s="5">
        <f t="shared" si="108"/>
        <v>24000</v>
      </c>
      <c r="I252" s="1">
        <f t="shared" si="109"/>
        <v>36000</v>
      </c>
      <c r="J252" s="7">
        <f t="shared" si="110"/>
        <v>31093.212476440429</v>
      </c>
      <c r="K252" s="5">
        <f t="shared" si="111"/>
        <v>20728.808317626954</v>
      </c>
      <c r="L252" s="1">
        <f t="shared" si="112"/>
        <v>180000</v>
      </c>
      <c r="M252" s="1">
        <f t="shared" si="113"/>
        <v>120000</v>
      </c>
      <c r="N252" s="55">
        <f>IFERROR(VLOOKUP(D252,Hoja2!B:D,3,0),"100%")</f>
        <v>0.86370034656778971</v>
      </c>
    </row>
    <row r="253" spans="1:14" x14ac:dyDescent="0.3">
      <c r="A253" s="1">
        <v>238</v>
      </c>
      <c r="B253" s="1">
        <v>0</v>
      </c>
      <c r="C253" s="10">
        <v>453591</v>
      </c>
      <c r="D253" s="1">
        <v>221</v>
      </c>
      <c r="E253" s="53">
        <f>IFERROR(VLOOKUP(C253,Hoja1!A$2:B1532,2,0),"0")</f>
        <v>484000</v>
      </c>
      <c r="F253" s="1">
        <f t="shared" si="107"/>
        <v>20</v>
      </c>
      <c r="G253" s="43">
        <f>VLOOKUP(C253,Hoja2!A:C,3,0)</f>
        <v>1200</v>
      </c>
      <c r="H253" s="5">
        <f t="shared" si="108"/>
        <v>19200</v>
      </c>
      <c r="I253" s="1">
        <f t="shared" si="109"/>
        <v>28800</v>
      </c>
      <c r="J253" s="7">
        <f t="shared" si="110"/>
        <v>24898.110850108642</v>
      </c>
      <c r="K253" s="5">
        <f t="shared" si="111"/>
        <v>16598.740566739096</v>
      </c>
      <c r="L253" s="1">
        <f t="shared" si="112"/>
        <v>144000</v>
      </c>
      <c r="M253" s="1">
        <f t="shared" si="113"/>
        <v>96000</v>
      </c>
      <c r="N253" s="55">
        <f>IFERROR(VLOOKUP(D253,Hoja2!B:D,3,0),"100%")</f>
        <v>0.86451773785099451</v>
      </c>
    </row>
    <row r="254" spans="1:14" x14ac:dyDescent="0.3">
      <c r="A254" s="1">
        <v>238</v>
      </c>
      <c r="B254" s="1">
        <v>0</v>
      </c>
      <c r="C254" s="10">
        <v>453601</v>
      </c>
      <c r="D254" s="1">
        <v>142</v>
      </c>
      <c r="E254" s="53">
        <f>IFERROR(VLOOKUP(C254,Hoja1!A$2:B1536,2,0),"0")</f>
        <v>59400</v>
      </c>
      <c r="F254" s="1">
        <f t="shared" si="107"/>
        <v>100</v>
      </c>
      <c r="G254" s="43">
        <f>VLOOKUP(C254,Hoja2!A:C,3,0)</f>
        <v>6000</v>
      </c>
      <c r="H254" s="5">
        <f t="shared" si="108"/>
        <v>96000</v>
      </c>
      <c r="I254" s="1">
        <f t="shared" si="109"/>
        <v>144000</v>
      </c>
      <c r="J254" s="7">
        <f t="shared" si="110"/>
        <v>105655.95576475484</v>
      </c>
      <c r="K254" s="5">
        <f t="shared" si="111"/>
        <v>70437.303843169881</v>
      </c>
      <c r="L254" s="1">
        <f t="shared" si="112"/>
        <v>720000</v>
      </c>
      <c r="M254" s="1">
        <f t="shared" si="113"/>
        <v>480000</v>
      </c>
      <c r="N254" s="55">
        <f>IFERROR(VLOOKUP(D254,Hoja2!B:D,3,0),"100%")</f>
        <v>0.73372191503301964</v>
      </c>
    </row>
    <row r="255" spans="1:14" x14ac:dyDescent="0.3">
      <c r="A255" s="1">
        <v>238</v>
      </c>
      <c r="B255" s="1">
        <v>0</v>
      </c>
      <c r="C255" s="10">
        <v>453640</v>
      </c>
      <c r="D255" s="1">
        <v>407</v>
      </c>
      <c r="E255" s="53">
        <f>IFERROR(VLOOKUP(C255,Hoja1!A$2:B1541,2,0),"0")</f>
        <v>24200</v>
      </c>
      <c r="F255" s="1">
        <f t="shared" si="107"/>
        <v>66.666666666666671</v>
      </c>
      <c r="G255" s="43">
        <f>VLOOKUP(C255,Hoja2!A:C,3,0)</f>
        <v>4000</v>
      </c>
      <c r="H255" s="5">
        <f t="shared" si="108"/>
        <v>64000</v>
      </c>
      <c r="I255" s="1">
        <f t="shared" si="109"/>
        <v>96000</v>
      </c>
      <c r="J255" s="7">
        <f t="shared" si="110"/>
        <v>56315.802355250278</v>
      </c>
      <c r="K255" s="5">
        <f t="shared" si="111"/>
        <v>37543.868236833521</v>
      </c>
      <c r="L255" s="1">
        <f t="shared" si="112"/>
        <v>480000</v>
      </c>
      <c r="M255" s="1">
        <f t="shared" si="113"/>
        <v>320000</v>
      </c>
      <c r="N255" s="55">
        <f>IFERROR(VLOOKUP(D255,Hoja2!B:D,3,0),"100%")</f>
        <v>0.58662294120052372</v>
      </c>
    </row>
    <row r="256" spans="1:14" x14ac:dyDescent="0.3">
      <c r="A256" s="1">
        <v>238</v>
      </c>
      <c r="B256" s="1">
        <v>0</v>
      </c>
      <c r="C256" s="10">
        <v>453641</v>
      </c>
      <c r="D256" s="1">
        <v>142</v>
      </c>
      <c r="E256" s="53">
        <f>IFERROR(VLOOKUP(C256,Hoja1!A$2:B1547,2,0),"0")</f>
        <v>24200</v>
      </c>
      <c r="F256" s="1">
        <f t="shared" si="107"/>
        <v>100</v>
      </c>
      <c r="G256" s="43">
        <f>VLOOKUP(C256,Hoja2!A:C,3,0)</f>
        <v>6000</v>
      </c>
      <c r="H256" s="5">
        <f t="shared" si="108"/>
        <v>96000</v>
      </c>
      <c r="I256" s="1">
        <f t="shared" si="109"/>
        <v>144000</v>
      </c>
      <c r="J256" s="7">
        <f t="shared" si="110"/>
        <v>105655.95576475484</v>
      </c>
      <c r="K256" s="5">
        <f t="shared" si="111"/>
        <v>70437.303843169881</v>
      </c>
      <c r="L256" s="1">
        <f t="shared" si="112"/>
        <v>720000</v>
      </c>
      <c r="M256" s="1">
        <f t="shared" si="113"/>
        <v>480000</v>
      </c>
      <c r="N256" s="55">
        <f>IFERROR(VLOOKUP(D256,Hoja2!B:D,3,0),"100%")</f>
        <v>0.73372191503301964</v>
      </c>
    </row>
    <row r="257" spans="1:14" x14ac:dyDescent="0.3">
      <c r="A257" s="1">
        <v>238</v>
      </c>
      <c r="B257" s="1">
        <v>0</v>
      </c>
      <c r="C257" s="10">
        <v>453645</v>
      </c>
      <c r="D257" s="1">
        <v>407</v>
      </c>
      <c r="E257" s="53">
        <f>IFERROR(VLOOKUP(C257,Hoja1!A$2:B1552,2,0),"0")</f>
        <v>37400</v>
      </c>
      <c r="F257" s="1">
        <f t="shared" si="107"/>
        <v>50</v>
      </c>
      <c r="G257" s="43">
        <f>VLOOKUP(C257,Hoja2!A:C,3,0)</f>
        <v>3000</v>
      </c>
      <c r="H257" s="5">
        <f t="shared" si="108"/>
        <v>48000</v>
      </c>
      <c r="I257" s="1">
        <f t="shared" si="109"/>
        <v>72000</v>
      </c>
      <c r="J257" s="7">
        <f t="shared" si="110"/>
        <v>42236.851766437707</v>
      </c>
      <c r="K257" s="5">
        <f t="shared" si="111"/>
        <v>28157.901177625139</v>
      </c>
      <c r="L257" s="1">
        <f t="shared" si="112"/>
        <v>360000</v>
      </c>
      <c r="M257" s="1">
        <f t="shared" si="113"/>
        <v>240000</v>
      </c>
      <c r="N257" s="55">
        <f>IFERROR(VLOOKUP(D257,Hoja2!B:D,3,0),"100%")</f>
        <v>0.58662294120052372</v>
      </c>
    </row>
    <row r="258" spans="1:14" x14ac:dyDescent="0.3">
      <c r="A258" s="1">
        <v>238</v>
      </c>
      <c r="B258" s="1">
        <v>0</v>
      </c>
      <c r="C258" s="10" t="s">
        <v>301</v>
      </c>
      <c r="D258" s="1">
        <v>406</v>
      </c>
      <c r="E258" s="53">
        <f>IFERROR(VLOOKUP(C258,Hoja1!A$2:B1557,2,0),"0")</f>
        <v>83600</v>
      </c>
      <c r="F258" s="1">
        <f t="shared" si="107"/>
        <v>60</v>
      </c>
      <c r="G258" s="43">
        <f>VLOOKUP(C258,Hoja2!A:C,3,0)</f>
        <v>3600</v>
      </c>
      <c r="H258" s="5">
        <f t="shared" si="108"/>
        <v>57600</v>
      </c>
      <c r="I258" s="1">
        <f t="shared" si="109"/>
        <v>86400</v>
      </c>
      <c r="J258" s="7">
        <f t="shared" si="110"/>
        <v>46456.326590884812</v>
      </c>
      <c r="K258" s="5">
        <f t="shared" si="111"/>
        <v>30970.88439392321</v>
      </c>
      <c r="L258" s="1">
        <f t="shared" si="112"/>
        <v>432000</v>
      </c>
      <c r="M258" s="1">
        <f t="shared" si="113"/>
        <v>288000</v>
      </c>
      <c r="N258" s="55">
        <f>IFERROR(VLOOKUP(D258,Hoja2!B:D,3,0),"100%")</f>
        <v>0.53768896517227793</v>
      </c>
    </row>
    <row r="259" spans="1:14" x14ac:dyDescent="0.3">
      <c r="A259" s="1">
        <v>238</v>
      </c>
      <c r="B259" s="1">
        <v>0</v>
      </c>
      <c r="C259" s="10">
        <v>453657</v>
      </c>
      <c r="D259" s="1">
        <v>216</v>
      </c>
      <c r="E259" s="53">
        <f>IFERROR(VLOOKUP(C259,Hoja1!A$2:B1563,2,0),"0")</f>
        <v>0</v>
      </c>
      <c r="F259" s="1">
        <f t="shared" si="107"/>
        <v>25</v>
      </c>
      <c r="G259" s="43">
        <f>VLOOKUP(C259,Hoja2!A:C,3,0)</f>
        <v>1500</v>
      </c>
      <c r="H259" s="5">
        <f t="shared" si="108"/>
        <v>24000</v>
      </c>
      <c r="I259" s="1">
        <f t="shared" si="109"/>
        <v>36000</v>
      </c>
      <c r="J259" s="7">
        <f t="shared" si="110"/>
        <v>32114.160630275426</v>
      </c>
      <c r="K259" s="5">
        <f t="shared" si="111"/>
        <v>21409.440420183619</v>
      </c>
      <c r="L259" s="1">
        <f t="shared" si="112"/>
        <v>180000</v>
      </c>
      <c r="M259" s="1">
        <f t="shared" si="113"/>
        <v>120000</v>
      </c>
      <c r="N259" s="55">
        <f>IFERROR(VLOOKUP(D259,Hoja2!B:D,3,0),"100%")</f>
        <v>0.89206001750765074</v>
      </c>
    </row>
    <row r="260" spans="1:14" x14ac:dyDescent="0.3">
      <c r="A260" s="1">
        <v>238</v>
      </c>
      <c r="B260" s="1">
        <v>0</v>
      </c>
      <c r="C260" s="10">
        <v>453659</v>
      </c>
      <c r="D260" s="1">
        <v>221</v>
      </c>
      <c r="E260" s="53">
        <f>IFERROR(VLOOKUP(C260,Hoja1!A$2:B1567,2,0),"0")</f>
        <v>85800</v>
      </c>
      <c r="F260" s="1">
        <f t="shared" si="107"/>
        <v>16.666666666666668</v>
      </c>
      <c r="G260" s="43">
        <f>VLOOKUP(C260,Hoja2!A:C,3,0)</f>
        <v>1000</v>
      </c>
      <c r="H260" s="5">
        <f t="shared" si="108"/>
        <v>16000</v>
      </c>
      <c r="I260" s="1">
        <f t="shared" si="109"/>
        <v>24000</v>
      </c>
      <c r="J260" s="7">
        <f t="shared" si="110"/>
        <v>20748.425708423867</v>
      </c>
      <c r="K260" s="5">
        <f t="shared" si="111"/>
        <v>13832.283805615913</v>
      </c>
      <c r="L260" s="1">
        <f t="shared" si="112"/>
        <v>120000</v>
      </c>
      <c r="M260" s="1">
        <f t="shared" si="113"/>
        <v>80000</v>
      </c>
      <c r="N260" s="55">
        <f>IFERROR(VLOOKUP(D260,Hoja2!B:D,3,0),"100%")</f>
        <v>0.86451773785099451</v>
      </c>
    </row>
    <row r="261" spans="1:14" x14ac:dyDescent="0.3">
      <c r="A261" s="1">
        <v>238</v>
      </c>
      <c r="B261" s="1">
        <v>0</v>
      </c>
      <c r="C261" s="10">
        <v>453666</v>
      </c>
      <c r="D261" s="1">
        <v>407</v>
      </c>
      <c r="E261" s="53">
        <f>IFERROR(VLOOKUP(C261,Hoja1!A$2:B1571,2,0),"0")</f>
        <v>100000</v>
      </c>
      <c r="F261" s="1">
        <f t="shared" si="107"/>
        <v>66.666666666666671</v>
      </c>
      <c r="G261" s="43">
        <f>VLOOKUP(C261,Hoja2!A:C,3,0)</f>
        <v>4000</v>
      </c>
      <c r="H261" s="5">
        <f t="shared" si="108"/>
        <v>64000</v>
      </c>
      <c r="I261" s="1">
        <f t="shared" si="109"/>
        <v>96000</v>
      </c>
      <c r="J261" s="7">
        <f t="shared" si="110"/>
        <v>56315.802355250278</v>
      </c>
      <c r="K261" s="5">
        <f t="shared" si="111"/>
        <v>37543.868236833521</v>
      </c>
      <c r="L261" s="1">
        <f t="shared" si="112"/>
        <v>480000</v>
      </c>
      <c r="M261" s="1">
        <f t="shared" si="113"/>
        <v>320000</v>
      </c>
      <c r="N261" s="55">
        <f>IFERROR(VLOOKUP(D261,Hoja2!B:D,3,0),"100%")</f>
        <v>0.58662294120052372</v>
      </c>
    </row>
    <row r="262" spans="1:14" x14ac:dyDescent="0.3">
      <c r="A262" s="1">
        <v>238</v>
      </c>
      <c r="B262" s="1">
        <v>0</v>
      </c>
      <c r="C262" s="10">
        <v>453686</v>
      </c>
      <c r="D262" s="1">
        <v>406</v>
      </c>
      <c r="E262" s="53">
        <f>IFERROR(VLOOKUP(C262,Hoja1!A$2:B1574,2,0),"0")</f>
        <v>0</v>
      </c>
      <c r="F262" s="1">
        <f t="shared" si="107"/>
        <v>66.666666666666671</v>
      </c>
      <c r="G262" s="43">
        <f>VLOOKUP(C262,Hoja2!A:C,3,0)</f>
        <v>4000</v>
      </c>
      <c r="H262" s="5">
        <f t="shared" si="108"/>
        <v>64000</v>
      </c>
      <c r="I262" s="1">
        <f t="shared" si="109"/>
        <v>96000</v>
      </c>
      <c r="J262" s="7">
        <f t="shared" si="110"/>
        <v>51618.140656538679</v>
      </c>
      <c r="K262" s="5">
        <f t="shared" si="111"/>
        <v>34412.093771025786</v>
      </c>
      <c r="L262" s="1">
        <f t="shared" si="112"/>
        <v>480000</v>
      </c>
      <c r="M262" s="1">
        <f t="shared" si="113"/>
        <v>320000</v>
      </c>
      <c r="N262" s="55">
        <f>IFERROR(VLOOKUP(D262,Hoja2!B:D,3,0),"100%")</f>
        <v>0.53768896517227793</v>
      </c>
    </row>
    <row r="263" spans="1:14" x14ac:dyDescent="0.3">
      <c r="A263" s="1">
        <v>238</v>
      </c>
      <c r="B263" s="1">
        <v>0</v>
      </c>
      <c r="C263" s="10">
        <v>453690</v>
      </c>
      <c r="D263" s="1">
        <v>221</v>
      </c>
      <c r="E263" s="53">
        <f>IFERROR(VLOOKUP(C263,Hoja1!A$2:B1580,2,0),"0")</f>
        <v>145200</v>
      </c>
      <c r="F263" s="1">
        <f t="shared" ref="F263:F275" si="114">G263/60</f>
        <v>25</v>
      </c>
      <c r="G263" s="43">
        <f>VLOOKUP(C263,Hoja2!A:C,3,0)</f>
        <v>1500</v>
      </c>
      <c r="H263" s="5">
        <f t="shared" si="108"/>
        <v>24000</v>
      </c>
      <c r="I263" s="1">
        <f t="shared" si="109"/>
        <v>36000</v>
      </c>
      <c r="J263" s="7">
        <f t="shared" si="110"/>
        <v>31122.638562635802</v>
      </c>
      <c r="K263" s="5">
        <f t="shared" si="111"/>
        <v>20748.425708423867</v>
      </c>
      <c r="L263" s="1">
        <f t="shared" si="112"/>
        <v>180000</v>
      </c>
      <c r="M263" s="1">
        <f t="shared" si="113"/>
        <v>120000</v>
      </c>
      <c r="N263" s="55">
        <f>IFERROR(VLOOKUP(D263,Hoja2!B:D,3,0),"100%")</f>
        <v>0.86451773785099451</v>
      </c>
    </row>
    <row r="264" spans="1:14" x14ac:dyDescent="0.3">
      <c r="A264" s="1">
        <v>238</v>
      </c>
      <c r="B264" s="1">
        <v>0</v>
      </c>
      <c r="C264" s="10">
        <v>453713</v>
      </c>
      <c r="D264" s="1">
        <v>122</v>
      </c>
      <c r="E264" s="53">
        <f>IFERROR(VLOOKUP(C264,Hoja1!A$2:B1584,2,0),"0")</f>
        <v>88575</v>
      </c>
      <c r="F264" s="1">
        <f t="shared" si="114"/>
        <v>33.333333333333336</v>
      </c>
      <c r="G264" s="43">
        <f>VLOOKUP(C264,Hoja2!A:C,3,0)</f>
        <v>2000</v>
      </c>
      <c r="H264" s="5">
        <f t="shared" si="108"/>
        <v>32000</v>
      </c>
      <c r="I264" s="1">
        <f t="shared" ref="I264:I275" si="115">G264*24</f>
        <v>48000</v>
      </c>
      <c r="J264" s="7">
        <f t="shared" ref="J264:J275" si="116">I264*N264</f>
        <v>34804.794512829161</v>
      </c>
      <c r="K264" s="5">
        <f t="shared" ref="K264:K275" si="117">H264*N264</f>
        <v>23203.196341886105</v>
      </c>
      <c r="L264" s="1">
        <f t="shared" ref="L264:L275" si="118">I264*5</f>
        <v>240000</v>
      </c>
      <c r="M264" s="1">
        <f t="shared" si="113"/>
        <v>160000</v>
      </c>
      <c r="N264" s="55">
        <f>IFERROR(VLOOKUP(D264,Hoja2!B:D,3,0),"100%")</f>
        <v>0.72509988568394079</v>
      </c>
    </row>
    <row r="265" spans="1:14" x14ac:dyDescent="0.3">
      <c r="A265" s="1">
        <v>238</v>
      </c>
      <c r="B265" s="1">
        <v>0</v>
      </c>
      <c r="C265" s="10">
        <v>453719</v>
      </c>
      <c r="D265" s="1">
        <v>406</v>
      </c>
      <c r="E265" s="53">
        <f>IFERROR(VLOOKUP(C265,Hoja1!A$2:B1588,2,0),"0")</f>
        <v>96800</v>
      </c>
      <c r="F265" s="1">
        <f t="shared" si="114"/>
        <v>50</v>
      </c>
      <c r="G265" s="43">
        <f>VLOOKUP(C265,Hoja2!A:C,3,0)</f>
        <v>3000</v>
      </c>
      <c r="H265" s="5">
        <f t="shared" ref="H265:H275" si="119">G265*16</f>
        <v>48000</v>
      </c>
      <c r="I265" s="1">
        <f t="shared" si="115"/>
        <v>72000</v>
      </c>
      <c r="J265" s="7">
        <f t="shared" si="116"/>
        <v>38713.605492404015</v>
      </c>
      <c r="K265" s="5">
        <f t="shared" si="117"/>
        <v>25809.070328269339</v>
      </c>
      <c r="L265" s="1">
        <f t="shared" si="118"/>
        <v>360000</v>
      </c>
      <c r="M265" s="1">
        <f t="shared" ref="M265:M275" si="120">H265*5</f>
        <v>240000</v>
      </c>
      <c r="N265" s="55">
        <f>IFERROR(VLOOKUP(D265,Hoja2!B:D,3,0),"100%")</f>
        <v>0.53768896517227793</v>
      </c>
    </row>
    <row r="266" spans="1:14" x14ac:dyDescent="0.3">
      <c r="A266" s="1">
        <v>238</v>
      </c>
      <c r="B266" s="1">
        <v>0</v>
      </c>
      <c r="C266" s="10">
        <v>453738</v>
      </c>
      <c r="D266" s="1">
        <v>136</v>
      </c>
      <c r="E266" s="53">
        <f>IFERROR(VLOOKUP(C266,Hoja1!A$2:B1594,2,0),"0")</f>
        <v>0</v>
      </c>
      <c r="F266" s="1">
        <f t="shared" si="114"/>
        <v>33.333333333333336</v>
      </c>
      <c r="G266" s="43">
        <f>VLOOKUP(C266,Hoja2!A:C,3,0)</f>
        <v>2000</v>
      </c>
      <c r="H266" s="5">
        <f t="shared" si="119"/>
        <v>32000</v>
      </c>
      <c r="I266" s="1">
        <f t="shared" si="115"/>
        <v>48000</v>
      </c>
      <c r="J266" s="7">
        <f t="shared" si="116"/>
        <v>35091.486881160599</v>
      </c>
      <c r="K266" s="5">
        <f t="shared" si="117"/>
        <v>23394.324587440402</v>
      </c>
      <c r="L266" s="1">
        <f t="shared" si="118"/>
        <v>240000</v>
      </c>
      <c r="M266" s="1">
        <f t="shared" si="120"/>
        <v>160000</v>
      </c>
      <c r="N266" s="55">
        <f>IFERROR(VLOOKUP(D266,Hoja2!B:D,3,0),"100%")</f>
        <v>0.73107264335751254</v>
      </c>
    </row>
    <row r="267" spans="1:14" x14ac:dyDescent="0.3">
      <c r="A267" s="1">
        <v>238</v>
      </c>
      <c r="B267" s="1">
        <v>0</v>
      </c>
      <c r="C267" s="10" t="s">
        <v>428</v>
      </c>
      <c r="D267" s="1">
        <v>406</v>
      </c>
      <c r="E267" s="53">
        <f>IFERROR(VLOOKUP(C267,Hoja1!A$2:B1600,2,0),"0")</f>
        <v>0</v>
      </c>
      <c r="F267" s="1">
        <f t="shared" si="114"/>
        <v>66.666666666666671</v>
      </c>
      <c r="G267" s="43">
        <f>VLOOKUP(C267,Hoja2!A:C,3,0)</f>
        <v>4000</v>
      </c>
      <c r="H267" s="5">
        <f t="shared" si="119"/>
        <v>64000</v>
      </c>
      <c r="I267" s="1">
        <f t="shared" si="115"/>
        <v>96000</v>
      </c>
      <c r="J267" s="7">
        <f t="shared" si="116"/>
        <v>51618.140656538679</v>
      </c>
      <c r="K267" s="5">
        <f t="shared" si="117"/>
        <v>34412.093771025786</v>
      </c>
      <c r="L267" s="1">
        <f t="shared" si="118"/>
        <v>480000</v>
      </c>
      <c r="M267" s="1">
        <f t="shared" si="120"/>
        <v>320000</v>
      </c>
      <c r="N267" s="55">
        <f>IFERROR(VLOOKUP(D267,Hoja2!B:D,3,0),"100%")</f>
        <v>0.53768896517227793</v>
      </c>
    </row>
    <row r="268" spans="1:14" x14ac:dyDescent="0.3">
      <c r="A268" s="1">
        <v>238</v>
      </c>
      <c r="B268" s="1">
        <v>0</v>
      </c>
      <c r="C268" s="10" t="s">
        <v>397</v>
      </c>
      <c r="D268" s="1">
        <v>213</v>
      </c>
      <c r="E268" s="53">
        <f>IFERROR(VLOOKUP(C268,Hoja1!A$2:B1605,2,0),"0")</f>
        <v>145200</v>
      </c>
      <c r="F268" s="1">
        <f t="shared" si="114"/>
        <v>33.333333333333336</v>
      </c>
      <c r="G268" s="43">
        <f>VLOOKUP(C268,Hoja2!A:C,3,0)</f>
        <v>2000</v>
      </c>
      <c r="H268" s="5">
        <f t="shared" si="119"/>
        <v>32000</v>
      </c>
      <c r="I268" s="1">
        <f t="shared" si="115"/>
        <v>48000</v>
      </c>
      <c r="J268" s="7">
        <f t="shared" si="116"/>
        <v>42821.478824341582</v>
      </c>
      <c r="K268" s="5">
        <f t="shared" si="117"/>
        <v>28547.652549561055</v>
      </c>
      <c r="L268" s="1">
        <f t="shared" si="118"/>
        <v>240000</v>
      </c>
      <c r="M268" s="1">
        <f t="shared" si="120"/>
        <v>160000</v>
      </c>
      <c r="N268" s="55">
        <f>IFERROR(VLOOKUP(D268,Hoja2!B:D,3,0),"100%")</f>
        <v>0.89211414217378293</v>
      </c>
    </row>
    <row r="269" spans="1:14" x14ac:dyDescent="0.3">
      <c r="A269" s="1">
        <v>238</v>
      </c>
      <c r="B269" s="1">
        <v>0</v>
      </c>
      <c r="C269" s="10">
        <v>453773</v>
      </c>
      <c r="D269" s="1">
        <v>221</v>
      </c>
      <c r="E269" s="53">
        <f>IFERROR(VLOOKUP(C269,Hoja1!A$2:B1609,2,0),"0")</f>
        <v>188000</v>
      </c>
      <c r="F269" s="1">
        <f t="shared" si="114"/>
        <v>66.666666666666671</v>
      </c>
      <c r="G269" s="43">
        <f>VLOOKUP(C269,Hoja2!A:C,3,0)</f>
        <v>4000</v>
      </c>
      <c r="H269" s="5">
        <f t="shared" si="119"/>
        <v>64000</v>
      </c>
      <c r="I269" s="1">
        <f t="shared" si="115"/>
        <v>96000</v>
      </c>
      <c r="J269" s="7">
        <f t="shared" si="116"/>
        <v>82993.702833695468</v>
      </c>
      <c r="K269" s="5">
        <f t="shared" si="117"/>
        <v>55329.13522246365</v>
      </c>
      <c r="L269" s="1">
        <f t="shared" si="118"/>
        <v>480000</v>
      </c>
      <c r="M269" s="1">
        <f t="shared" si="120"/>
        <v>320000</v>
      </c>
      <c r="N269" s="55">
        <f>IFERROR(VLOOKUP(D269,Hoja2!B:D,3,0),"100%")</f>
        <v>0.86451773785099451</v>
      </c>
    </row>
    <row r="270" spans="1:14" x14ac:dyDescent="0.3">
      <c r="A270" s="1">
        <v>238</v>
      </c>
      <c r="B270" s="1">
        <v>0</v>
      </c>
      <c r="C270" s="10">
        <v>453805</v>
      </c>
      <c r="D270" s="1">
        <v>142</v>
      </c>
      <c r="E270" s="53">
        <f>IFERROR(VLOOKUP(C270,Hoja1!A$2:B1614,2,0),"0")</f>
        <v>85800</v>
      </c>
      <c r="F270" s="1">
        <f t="shared" si="114"/>
        <v>100</v>
      </c>
      <c r="G270" s="43">
        <f>VLOOKUP(C270,Hoja2!A:C,3,0)</f>
        <v>6000</v>
      </c>
      <c r="H270" s="5">
        <f t="shared" si="119"/>
        <v>96000</v>
      </c>
      <c r="I270" s="1">
        <f t="shared" si="115"/>
        <v>144000</v>
      </c>
      <c r="J270" s="7">
        <f t="shared" si="116"/>
        <v>105655.95576475484</v>
      </c>
      <c r="K270" s="5">
        <f t="shared" si="117"/>
        <v>70437.303843169881</v>
      </c>
      <c r="L270" s="1">
        <f t="shared" si="118"/>
        <v>720000</v>
      </c>
      <c r="M270" s="1">
        <f t="shared" si="120"/>
        <v>480000</v>
      </c>
      <c r="N270" s="55">
        <f>IFERROR(VLOOKUP(D270,Hoja2!B:D,3,0),"100%")</f>
        <v>0.73372191503301964</v>
      </c>
    </row>
    <row r="271" spans="1:14" x14ac:dyDescent="0.3">
      <c r="A271" s="1">
        <v>238</v>
      </c>
      <c r="B271" s="1">
        <v>0</v>
      </c>
      <c r="C271" s="10">
        <v>453836</v>
      </c>
      <c r="D271" s="1">
        <v>213</v>
      </c>
      <c r="E271" s="53">
        <f>IFERROR(VLOOKUP(C271,Hoja1!A$2:B1619,2,0),"0")</f>
        <v>0</v>
      </c>
      <c r="F271" s="1">
        <f t="shared" si="114"/>
        <v>20</v>
      </c>
      <c r="G271" s="43">
        <f>VLOOKUP(C271,Hoja2!A:C,3,0)</f>
        <v>1200</v>
      </c>
      <c r="H271" s="5">
        <f t="shared" si="119"/>
        <v>19200</v>
      </c>
      <c r="I271" s="1">
        <f t="shared" si="115"/>
        <v>28800</v>
      </c>
      <c r="J271" s="7">
        <f t="shared" si="116"/>
        <v>25692.887294604949</v>
      </c>
      <c r="K271" s="5">
        <f t="shared" si="117"/>
        <v>17128.591529736634</v>
      </c>
      <c r="L271" s="1">
        <f t="shared" si="118"/>
        <v>144000</v>
      </c>
      <c r="M271" s="1">
        <f t="shared" si="120"/>
        <v>96000</v>
      </c>
      <c r="N271" s="55">
        <f>IFERROR(VLOOKUP(D271,Hoja2!B:D,3,0),"100%")</f>
        <v>0.89211414217378293</v>
      </c>
    </row>
    <row r="272" spans="1:14" x14ac:dyDescent="0.3">
      <c r="A272" s="1">
        <v>238</v>
      </c>
      <c r="B272" s="1">
        <v>0</v>
      </c>
      <c r="C272" s="10" t="s">
        <v>388</v>
      </c>
      <c r="D272" s="1">
        <v>221</v>
      </c>
      <c r="E272" s="53">
        <f>IFERROR(VLOOKUP(C272,Hoja1!A$2:B1623,2,0),"0")</f>
        <v>508200</v>
      </c>
      <c r="F272" s="1">
        <f t="shared" si="114"/>
        <v>25</v>
      </c>
      <c r="G272" s="43">
        <f>VLOOKUP(C272,Hoja2!A:C,3,0)</f>
        <v>1500</v>
      </c>
      <c r="H272" s="5">
        <f t="shared" si="119"/>
        <v>24000</v>
      </c>
      <c r="I272" s="1">
        <f t="shared" si="115"/>
        <v>36000</v>
      </c>
      <c r="J272" s="7">
        <f t="shared" si="116"/>
        <v>31122.638562635802</v>
      </c>
      <c r="K272" s="5">
        <f t="shared" si="117"/>
        <v>20748.425708423867</v>
      </c>
      <c r="L272" s="1">
        <f t="shared" si="118"/>
        <v>180000</v>
      </c>
      <c r="M272" s="1">
        <f t="shared" si="120"/>
        <v>120000</v>
      </c>
      <c r="N272" s="55">
        <f>IFERROR(VLOOKUP(D272,Hoja2!B:D,3,0),"100%")</f>
        <v>0.86451773785099451</v>
      </c>
    </row>
    <row r="273" spans="1:14" x14ac:dyDescent="0.3">
      <c r="A273" s="1">
        <v>238</v>
      </c>
      <c r="B273" s="1">
        <v>0</v>
      </c>
      <c r="C273" s="10">
        <v>453914</v>
      </c>
      <c r="D273" s="1">
        <v>221</v>
      </c>
      <c r="E273" s="53">
        <f>IFERROR(VLOOKUP(C273,Hoja1!A$2:B1627,2,0),"0")</f>
        <v>0</v>
      </c>
      <c r="F273" s="1">
        <f t="shared" si="114"/>
        <v>33.333333333333336</v>
      </c>
      <c r="G273" s="43">
        <f>VLOOKUP(C273,Hoja2!A:C,3,0)</f>
        <v>2000</v>
      </c>
      <c r="H273" s="5">
        <f t="shared" si="119"/>
        <v>32000</v>
      </c>
      <c r="I273" s="1">
        <f t="shared" si="115"/>
        <v>48000</v>
      </c>
      <c r="J273" s="7">
        <f t="shared" si="116"/>
        <v>41496.851416847734</v>
      </c>
      <c r="K273" s="5">
        <f t="shared" si="117"/>
        <v>27664.567611231825</v>
      </c>
      <c r="L273" s="1">
        <f t="shared" si="118"/>
        <v>240000</v>
      </c>
      <c r="M273" s="1">
        <f t="shared" si="120"/>
        <v>160000</v>
      </c>
      <c r="N273" s="55">
        <f>IFERROR(VLOOKUP(D273,Hoja2!B:D,3,0),"100%")</f>
        <v>0.86451773785099451</v>
      </c>
    </row>
    <row r="274" spans="1:14" x14ac:dyDescent="0.3">
      <c r="A274" s="1">
        <v>238</v>
      </c>
      <c r="B274" s="1">
        <v>0</v>
      </c>
      <c r="C274" s="10">
        <v>453917</v>
      </c>
      <c r="D274" s="1">
        <v>221</v>
      </c>
      <c r="E274" s="53" t="str">
        <f>IFERROR(VLOOKUP(C274,Hoja1!A$2:B1631,2,0),"0")</f>
        <v>0</v>
      </c>
      <c r="F274" s="1">
        <f t="shared" si="114"/>
        <v>16.666666666666668</v>
      </c>
      <c r="G274" s="43">
        <f>VLOOKUP(C274,Hoja2!A:C,3,0)</f>
        <v>1000</v>
      </c>
      <c r="H274" s="5">
        <f t="shared" si="119"/>
        <v>16000</v>
      </c>
      <c r="I274" s="1">
        <f t="shared" si="115"/>
        <v>24000</v>
      </c>
      <c r="J274" s="7">
        <f t="shared" si="116"/>
        <v>20748.425708423867</v>
      </c>
      <c r="K274" s="5">
        <f t="shared" si="117"/>
        <v>13832.283805615913</v>
      </c>
      <c r="L274" s="1">
        <f t="shared" si="118"/>
        <v>120000</v>
      </c>
      <c r="M274" s="1">
        <f t="shared" si="120"/>
        <v>80000</v>
      </c>
      <c r="N274" s="55">
        <f>IFERROR(VLOOKUP(D274,Hoja2!B:D,3,0),"100%")</f>
        <v>0.86451773785099451</v>
      </c>
    </row>
    <row r="275" spans="1:14" x14ac:dyDescent="0.3">
      <c r="A275" s="1">
        <v>238</v>
      </c>
      <c r="B275" s="1">
        <v>0</v>
      </c>
      <c r="C275" s="10">
        <v>453949</v>
      </c>
      <c r="D275" s="1">
        <v>142</v>
      </c>
      <c r="E275" s="53" t="str">
        <f>IFERROR(VLOOKUP(C275,Hoja1!A$2:B1635,2,0),"0")</f>
        <v>0</v>
      </c>
      <c r="F275" s="1">
        <f t="shared" si="114"/>
        <v>133.33333333333334</v>
      </c>
      <c r="G275" s="43">
        <f>VLOOKUP(C275,Hoja2!A:C,3,0)</f>
        <v>8000</v>
      </c>
      <c r="H275" s="5">
        <f t="shared" si="119"/>
        <v>128000</v>
      </c>
      <c r="I275" s="1">
        <f t="shared" si="115"/>
        <v>192000</v>
      </c>
      <c r="J275" s="7">
        <f t="shared" si="116"/>
        <v>140874.60768633976</v>
      </c>
      <c r="K275" s="5">
        <f t="shared" si="117"/>
        <v>93916.405124226512</v>
      </c>
      <c r="L275" s="1">
        <f t="shared" si="118"/>
        <v>960000</v>
      </c>
      <c r="M275" s="1">
        <f t="shared" si="120"/>
        <v>640000</v>
      </c>
      <c r="N275" s="55">
        <f>IFERROR(VLOOKUP(D275,Hoja2!B:D,3,0),"100%")</f>
        <v>0.73372191503301964</v>
      </c>
    </row>
  </sheetData>
  <autoFilter ref="C1:N275" xr:uid="{2742AD22-F388-4629-A1EB-1EAE272D370C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305D6-D18C-453F-AEDE-03F1387AB8DB}">
  <sheetPr codeName="Hoja3"/>
  <dimension ref="O1:AD446"/>
  <sheetViews>
    <sheetView topLeftCell="P2" workbookViewId="0">
      <selection activeCell="R24" sqref="R23:R24"/>
    </sheetView>
  </sheetViews>
  <sheetFormatPr baseColWidth="10" defaultRowHeight="14.4" x14ac:dyDescent="0.3"/>
  <cols>
    <col min="15" max="15" width="11.5546875" style="35"/>
    <col min="16" max="16" width="12.21875" bestFit="1" customWidth="1"/>
    <col min="17" max="17" width="14.5546875" style="36" bestFit="1" customWidth="1"/>
    <col min="18" max="21" width="11.5546875" style="37"/>
    <col min="22" max="24" width="11.5546875" style="38"/>
    <col min="25" max="25" width="11.5546875" style="37"/>
    <col min="26" max="28" width="11.5546875" style="38"/>
    <col min="29" max="30" width="11.5546875" style="37"/>
  </cols>
  <sheetData>
    <row r="1" spans="16:18" x14ac:dyDescent="0.3">
      <c r="P1" s="39" t="s">
        <v>0</v>
      </c>
      <c r="Q1" t="s">
        <v>471</v>
      </c>
      <c r="R1"/>
    </row>
    <row r="2" spans="16:18" x14ac:dyDescent="0.3">
      <c r="P2" s="40" t="s">
        <v>37</v>
      </c>
      <c r="Q2">
        <v>688600</v>
      </c>
      <c r="R2"/>
    </row>
    <row r="3" spans="16:18" x14ac:dyDescent="0.3">
      <c r="P3" s="40" t="s">
        <v>39</v>
      </c>
      <c r="Q3">
        <v>644600</v>
      </c>
      <c r="R3"/>
    </row>
    <row r="4" spans="16:18" x14ac:dyDescent="0.3">
      <c r="P4" s="40" t="s">
        <v>40</v>
      </c>
      <c r="Q4">
        <v>83600</v>
      </c>
      <c r="R4"/>
    </row>
    <row r="5" spans="16:18" x14ac:dyDescent="0.3">
      <c r="P5" s="40" t="s">
        <v>41</v>
      </c>
      <c r="Q5">
        <v>83600</v>
      </c>
      <c r="R5"/>
    </row>
    <row r="6" spans="16:18" x14ac:dyDescent="0.3">
      <c r="P6" s="40" t="s">
        <v>42</v>
      </c>
      <c r="Q6">
        <v>0</v>
      </c>
      <c r="R6"/>
    </row>
    <row r="7" spans="16:18" x14ac:dyDescent="0.3">
      <c r="P7" s="40" t="s">
        <v>418</v>
      </c>
      <c r="Q7">
        <v>0</v>
      </c>
      <c r="R7"/>
    </row>
    <row r="8" spans="16:18" x14ac:dyDescent="0.3">
      <c r="P8" s="40" t="s">
        <v>312</v>
      </c>
      <c r="Q8">
        <v>0</v>
      </c>
      <c r="R8"/>
    </row>
    <row r="9" spans="16:18" x14ac:dyDescent="0.3">
      <c r="P9" s="40" t="s">
        <v>43</v>
      </c>
      <c r="Q9">
        <v>110000</v>
      </c>
      <c r="R9"/>
    </row>
    <row r="10" spans="16:18" x14ac:dyDescent="0.3">
      <c r="P10" s="40" t="s">
        <v>44</v>
      </c>
      <c r="Q10">
        <v>24200</v>
      </c>
      <c r="R10"/>
    </row>
    <row r="11" spans="16:18" x14ac:dyDescent="0.3">
      <c r="P11" s="40" t="s">
        <v>45</v>
      </c>
      <c r="Q11">
        <v>1414600</v>
      </c>
      <c r="R11"/>
    </row>
    <row r="12" spans="16:18" x14ac:dyDescent="0.3">
      <c r="P12" s="40" t="s">
        <v>46</v>
      </c>
      <c r="Q12">
        <v>338800</v>
      </c>
      <c r="R12"/>
    </row>
    <row r="13" spans="16:18" x14ac:dyDescent="0.3">
      <c r="P13" s="40" t="s">
        <v>47</v>
      </c>
      <c r="Q13">
        <v>145200</v>
      </c>
      <c r="R13"/>
    </row>
    <row r="14" spans="16:18" x14ac:dyDescent="0.3">
      <c r="P14" s="40" t="s">
        <v>48</v>
      </c>
      <c r="Q14">
        <v>169400</v>
      </c>
      <c r="R14"/>
    </row>
    <row r="15" spans="16:18" x14ac:dyDescent="0.3">
      <c r="P15" s="40" t="s">
        <v>419</v>
      </c>
      <c r="Q15">
        <v>13200</v>
      </c>
      <c r="R15"/>
    </row>
    <row r="16" spans="16:18" x14ac:dyDescent="0.3">
      <c r="P16" s="40" t="s">
        <v>49</v>
      </c>
      <c r="Q16">
        <v>24200</v>
      </c>
      <c r="R16"/>
    </row>
    <row r="17" spans="16:18" x14ac:dyDescent="0.3">
      <c r="P17" s="40" t="s">
        <v>423</v>
      </c>
      <c r="Q17">
        <v>0</v>
      </c>
      <c r="R17"/>
    </row>
    <row r="18" spans="16:18" x14ac:dyDescent="0.3">
      <c r="P18" s="40" t="s">
        <v>50</v>
      </c>
      <c r="Q18">
        <v>13200</v>
      </c>
      <c r="R18"/>
    </row>
    <row r="19" spans="16:18" x14ac:dyDescent="0.3">
      <c r="P19" s="40" t="s">
        <v>51</v>
      </c>
      <c r="Q19">
        <v>0</v>
      </c>
    </row>
    <row r="20" spans="16:18" x14ac:dyDescent="0.3">
      <c r="P20" s="40" t="s">
        <v>313</v>
      </c>
      <c r="Q20">
        <v>48400</v>
      </c>
    </row>
    <row r="21" spans="16:18" x14ac:dyDescent="0.3">
      <c r="P21" s="40" t="s">
        <v>52</v>
      </c>
      <c r="Q21">
        <v>1573000</v>
      </c>
    </row>
    <row r="22" spans="16:18" x14ac:dyDescent="0.3">
      <c r="P22" s="40" t="s">
        <v>53</v>
      </c>
      <c r="Q22">
        <v>59400</v>
      </c>
    </row>
    <row r="23" spans="16:18" x14ac:dyDescent="0.3">
      <c r="P23" s="40" t="s">
        <v>54</v>
      </c>
      <c r="Q23">
        <v>72600</v>
      </c>
    </row>
    <row r="24" spans="16:18" x14ac:dyDescent="0.3">
      <c r="P24" s="40" t="s">
        <v>55</v>
      </c>
      <c r="Q24">
        <v>83600</v>
      </c>
    </row>
    <row r="25" spans="16:18" x14ac:dyDescent="0.3">
      <c r="P25" s="40" t="s">
        <v>56</v>
      </c>
      <c r="Q25">
        <v>0</v>
      </c>
    </row>
    <row r="26" spans="16:18" x14ac:dyDescent="0.3">
      <c r="P26" s="40" t="s">
        <v>450</v>
      </c>
      <c r="Q26">
        <v>0</v>
      </c>
    </row>
    <row r="27" spans="16:18" x14ac:dyDescent="0.3">
      <c r="P27" s="40" t="s">
        <v>379</v>
      </c>
      <c r="Q27">
        <v>0</v>
      </c>
    </row>
    <row r="28" spans="16:18" x14ac:dyDescent="0.3">
      <c r="P28" s="40" t="s">
        <v>380</v>
      </c>
      <c r="Q28">
        <v>9220.26</v>
      </c>
    </row>
    <row r="29" spans="16:18" x14ac:dyDescent="0.3">
      <c r="P29" s="40" t="s">
        <v>57</v>
      </c>
      <c r="Q29">
        <v>0</v>
      </c>
    </row>
    <row r="30" spans="16:18" x14ac:dyDescent="0.3">
      <c r="P30" s="40" t="s">
        <v>58</v>
      </c>
      <c r="Q30">
        <v>0</v>
      </c>
    </row>
    <row r="31" spans="16:18" x14ac:dyDescent="0.3">
      <c r="P31" s="40" t="s">
        <v>59</v>
      </c>
      <c r="Q31">
        <v>1102200</v>
      </c>
    </row>
    <row r="32" spans="16:18" x14ac:dyDescent="0.3">
      <c r="P32" s="40" t="s">
        <v>60</v>
      </c>
      <c r="Q32">
        <v>266200</v>
      </c>
    </row>
    <row r="33" spans="16:17" x14ac:dyDescent="0.3">
      <c r="P33" s="40" t="s">
        <v>61</v>
      </c>
      <c r="Q33">
        <v>0</v>
      </c>
    </row>
    <row r="34" spans="16:17" x14ac:dyDescent="0.3">
      <c r="P34" s="40" t="s">
        <v>62</v>
      </c>
      <c r="Q34">
        <v>0</v>
      </c>
    </row>
    <row r="35" spans="16:17" x14ac:dyDescent="0.3">
      <c r="P35" s="40" t="s">
        <v>63</v>
      </c>
      <c r="Q35">
        <v>132000</v>
      </c>
    </row>
    <row r="36" spans="16:17" x14ac:dyDescent="0.3">
      <c r="P36" s="40" t="s">
        <v>64</v>
      </c>
      <c r="Q36">
        <v>110000</v>
      </c>
    </row>
    <row r="37" spans="16:17" x14ac:dyDescent="0.3">
      <c r="P37" s="40" t="s">
        <v>389</v>
      </c>
      <c r="Q37">
        <v>0</v>
      </c>
    </row>
    <row r="38" spans="16:17" x14ac:dyDescent="0.3">
      <c r="P38" s="40" t="s">
        <v>390</v>
      </c>
      <c r="Q38">
        <v>0</v>
      </c>
    </row>
    <row r="39" spans="16:17" x14ac:dyDescent="0.3">
      <c r="P39" s="40" t="s">
        <v>382</v>
      </c>
      <c r="Q39">
        <v>0</v>
      </c>
    </row>
    <row r="40" spans="16:17" x14ac:dyDescent="0.3">
      <c r="P40" s="40" t="s">
        <v>65</v>
      </c>
      <c r="Q40">
        <v>24200</v>
      </c>
    </row>
    <row r="41" spans="16:17" x14ac:dyDescent="0.3">
      <c r="P41" s="40" t="s">
        <v>66</v>
      </c>
      <c r="Q41">
        <v>0</v>
      </c>
    </row>
    <row r="42" spans="16:17" x14ac:dyDescent="0.3">
      <c r="P42" s="40" t="s">
        <v>383</v>
      </c>
      <c r="Q42">
        <v>0</v>
      </c>
    </row>
    <row r="43" spans="16:17" x14ac:dyDescent="0.3">
      <c r="P43" s="40" t="s">
        <v>67</v>
      </c>
      <c r="Q43">
        <v>327800</v>
      </c>
    </row>
    <row r="44" spans="16:17" x14ac:dyDescent="0.3">
      <c r="P44" s="40" t="s">
        <v>384</v>
      </c>
      <c r="Q44">
        <v>0</v>
      </c>
    </row>
    <row r="45" spans="16:17" x14ac:dyDescent="0.3">
      <c r="P45" s="40" t="s">
        <v>68</v>
      </c>
      <c r="Q45">
        <v>121000</v>
      </c>
    </row>
    <row r="46" spans="16:17" x14ac:dyDescent="0.3">
      <c r="P46" s="40" t="s">
        <v>69</v>
      </c>
      <c r="Q46">
        <v>37400</v>
      </c>
    </row>
    <row r="47" spans="16:17" x14ac:dyDescent="0.3">
      <c r="P47" s="40" t="s">
        <v>391</v>
      </c>
      <c r="Q47">
        <v>0</v>
      </c>
    </row>
    <row r="48" spans="16:17" x14ac:dyDescent="0.3">
      <c r="P48" s="40" t="s">
        <v>392</v>
      </c>
      <c r="Q48">
        <v>0</v>
      </c>
    </row>
    <row r="49" spans="16:17" x14ac:dyDescent="0.3">
      <c r="P49" s="40" t="s">
        <v>70</v>
      </c>
      <c r="Q49">
        <v>0</v>
      </c>
    </row>
    <row r="50" spans="16:17" x14ac:dyDescent="0.3">
      <c r="P50" s="40" t="s">
        <v>71</v>
      </c>
      <c r="Q50">
        <v>0</v>
      </c>
    </row>
    <row r="51" spans="16:17" x14ac:dyDescent="0.3">
      <c r="P51" s="40" t="s">
        <v>72</v>
      </c>
      <c r="Q51">
        <v>290400</v>
      </c>
    </row>
    <row r="52" spans="16:17" x14ac:dyDescent="0.3">
      <c r="P52" s="40" t="s">
        <v>73</v>
      </c>
      <c r="Q52">
        <v>204600</v>
      </c>
    </row>
    <row r="53" spans="16:17" x14ac:dyDescent="0.3">
      <c r="P53" s="40" t="s">
        <v>74</v>
      </c>
      <c r="Q53">
        <v>0</v>
      </c>
    </row>
    <row r="54" spans="16:17" x14ac:dyDescent="0.3">
      <c r="P54" s="40" t="s">
        <v>75</v>
      </c>
      <c r="Q54">
        <v>2699400</v>
      </c>
    </row>
    <row r="55" spans="16:17" x14ac:dyDescent="0.3">
      <c r="P55" s="40" t="s">
        <v>314</v>
      </c>
      <c r="Q55">
        <v>37400</v>
      </c>
    </row>
    <row r="56" spans="16:17" x14ac:dyDescent="0.3">
      <c r="P56" s="40" t="s">
        <v>315</v>
      </c>
      <c r="Q56">
        <v>48400</v>
      </c>
    </row>
    <row r="57" spans="16:17" x14ac:dyDescent="0.3">
      <c r="P57" s="40" t="s">
        <v>76</v>
      </c>
      <c r="Q57">
        <v>59400</v>
      </c>
    </row>
    <row r="58" spans="16:17" x14ac:dyDescent="0.3">
      <c r="P58" s="40" t="s">
        <v>393</v>
      </c>
      <c r="Q58">
        <v>0</v>
      </c>
    </row>
    <row r="59" spans="16:17" x14ac:dyDescent="0.3">
      <c r="P59" s="40" t="s">
        <v>77</v>
      </c>
      <c r="Q59">
        <v>13200</v>
      </c>
    </row>
    <row r="60" spans="16:17" x14ac:dyDescent="0.3">
      <c r="P60" s="40" t="s">
        <v>78</v>
      </c>
      <c r="Q60">
        <v>72600</v>
      </c>
    </row>
    <row r="61" spans="16:17" x14ac:dyDescent="0.3">
      <c r="P61" s="40" t="s">
        <v>79</v>
      </c>
      <c r="Q61">
        <v>107800</v>
      </c>
    </row>
    <row r="62" spans="16:17" x14ac:dyDescent="0.3">
      <c r="P62" s="40" t="s">
        <v>80</v>
      </c>
      <c r="Q62">
        <v>642400</v>
      </c>
    </row>
    <row r="63" spans="16:17" x14ac:dyDescent="0.3">
      <c r="P63" s="40" t="s">
        <v>81</v>
      </c>
      <c r="Q63">
        <v>459800</v>
      </c>
    </row>
    <row r="64" spans="16:17" x14ac:dyDescent="0.3">
      <c r="P64" s="40" t="s">
        <v>82</v>
      </c>
      <c r="Q64">
        <v>83600</v>
      </c>
    </row>
    <row r="65" spans="16:17" x14ac:dyDescent="0.3">
      <c r="P65" s="40" t="s">
        <v>385</v>
      </c>
      <c r="Q65">
        <v>61600</v>
      </c>
    </row>
    <row r="66" spans="16:17" x14ac:dyDescent="0.3">
      <c r="P66" s="40" t="s">
        <v>386</v>
      </c>
      <c r="Q66">
        <v>0</v>
      </c>
    </row>
    <row r="67" spans="16:17" x14ac:dyDescent="0.3">
      <c r="P67" s="40" t="s">
        <v>316</v>
      </c>
      <c r="Q67">
        <v>24200</v>
      </c>
    </row>
    <row r="68" spans="16:17" x14ac:dyDescent="0.3">
      <c r="P68" s="40" t="s">
        <v>83</v>
      </c>
      <c r="Q68">
        <v>338800</v>
      </c>
    </row>
    <row r="69" spans="16:17" x14ac:dyDescent="0.3">
      <c r="P69" s="40" t="s">
        <v>84</v>
      </c>
      <c r="Q69">
        <v>338800</v>
      </c>
    </row>
    <row r="70" spans="16:17" x14ac:dyDescent="0.3">
      <c r="P70" s="40" t="s">
        <v>317</v>
      </c>
      <c r="Q70">
        <v>0</v>
      </c>
    </row>
    <row r="71" spans="16:17" x14ac:dyDescent="0.3">
      <c r="P71" s="40" t="s">
        <v>412</v>
      </c>
      <c r="Q71">
        <v>0</v>
      </c>
    </row>
    <row r="72" spans="16:17" x14ac:dyDescent="0.3">
      <c r="P72" s="40" t="s">
        <v>318</v>
      </c>
      <c r="Q72">
        <v>0</v>
      </c>
    </row>
    <row r="73" spans="16:17" x14ac:dyDescent="0.3">
      <c r="P73" s="40" t="s">
        <v>85</v>
      </c>
      <c r="Q73">
        <v>708000</v>
      </c>
    </row>
    <row r="74" spans="16:17" x14ac:dyDescent="0.3">
      <c r="P74" s="40" t="s">
        <v>86</v>
      </c>
      <c r="Q74">
        <v>0</v>
      </c>
    </row>
    <row r="75" spans="16:17" x14ac:dyDescent="0.3">
      <c r="P75" s="40" t="s">
        <v>87</v>
      </c>
      <c r="Q75">
        <v>456000</v>
      </c>
    </row>
    <row r="76" spans="16:17" x14ac:dyDescent="0.3">
      <c r="P76" s="40" t="s">
        <v>319</v>
      </c>
      <c r="Q76">
        <v>96000</v>
      </c>
    </row>
    <row r="77" spans="16:17" x14ac:dyDescent="0.3">
      <c r="P77" s="40" t="s">
        <v>320</v>
      </c>
      <c r="Q77">
        <v>203600</v>
      </c>
    </row>
    <row r="78" spans="16:17" x14ac:dyDescent="0.3">
      <c r="P78" s="40" t="s">
        <v>420</v>
      </c>
      <c r="Q78">
        <v>0</v>
      </c>
    </row>
    <row r="79" spans="16:17" x14ac:dyDescent="0.3">
      <c r="P79" s="40" t="s">
        <v>88</v>
      </c>
      <c r="Q79">
        <v>0</v>
      </c>
    </row>
    <row r="80" spans="16:17" x14ac:dyDescent="0.3">
      <c r="P80" s="40" t="s">
        <v>413</v>
      </c>
      <c r="Q80">
        <v>0</v>
      </c>
    </row>
    <row r="81" spans="16:17" x14ac:dyDescent="0.3">
      <c r="P81" s="40" t="s">
        <v>414</v>
      </c>
      <c r="Q81">
        <v>0</v>
      </c>
    </row>
    <row r="82" spans="16:17" x14ac:dyDescent="0.3">
      <c r="P82" s="40" t="s">
        <v>89</v>
      </c>
      <c r="Q82">
        <v>0</v>
      </c>
    </row>
    <row r="83" spans="16:17" x14ac:dyDescent="0.3">
      <c r="P83" s="40" t="s">
        <v>90</v>
      </c>
      <c r="Q83">
        <v>0</v>
      </c>
    </row>
    <row r="84" spans="16:17" x14ac:dyDescent="0.3">
      <c r="P84" s="40" t="s">
        <v>415</v>
      </c>
      <c r="Q84">
        <v>0</v>
      </c>
    </row>
    <row r="85" spans="16:17" x14ac:dyDescent="0.3">
      <c r="P85" s="40" t="s">
        <v>91</v>
      </c>
      <c r="Q85">
        <v>0</v>
      </c>
    </row>
    <row r="86" spans="16:17" x14ac:dyDescent="0.3">
      <c r="P86" s="40" t="s">
        <v>416</v>
      </c>
      <c r="Q86">
        <v>0</v>
      </c>
    </row>
    <row r="87" spans="16:17" x14ac:dyDescent="0.3">
      <c r="P87" s="40" t="s">
        <v>321</v>
      </c>
      <c r="Q87">
        <v>0</v>
      </c>
    </row>
    <row r="88" spans="16:17" x14ac:dyDescent="0.3">
      <c r="P88" s="40" t="s">
        <v>322</v>
      </c>
      <c r="Q88">
        <v>0</v>
      </c>
    </row>
    <row r="89" spans="16:17" x14ac:dyDescent="0.3">
      <c r="P89" s="40" t="s">
        <v>92</v>
      </c>
      <c r="Q89">
        <v>0</v>
      </c>
    </row>
    <row r="90" spans="16:17" x14ac:dyDescent="0.3">
      <c r="P90" s="40" t="s">
        <v>93</v>
      </c>
      <c r="Q90">
        <v>0</v>
      </c>
    </row>
    <row r="91" spans="16:17" x14ac:dyDescent="0.3">
      <c r="P91" s="40" t="s">
        <v>417</v>
      </c>
      <c r="Q91">
        <v>0</v>
      </c>
    </row>
    <row r="92" spans="16:17" x14ac:dyDescent="0.3">
      <c r="P92" s="40" t="s">
        <v>94</v>
      </c>
      <c r="Q92">
        <v>0</v>
      </c>
    </row>
    <row r="93" spans="16:17" x14ac:dyDescent="0.3">
      <c r="P93" s="40" t="s">
        <v>95</v>
      </c>
      <c r="Q93">
        <v>0</v>
      </c>
    </row>
    <row r="94" spans="16:17" x14ac:dyDescent="0.3">
      <c r="P94" s="40" t="s">
        <v>96</v>
      </c>
      <c r="Q94">
        <v>0</v>
      </c>
    </row>
    <row r="95" spans="16:17" x14ac:dyDescent="0.3">
      <c r="P95" s="40" t="s">
        <v>97</v>
      </c>
      <c r="Q95">
        <v>0</v>
      </c>
    </row>
    <row r="96" spans="16:17" x14ac:dyDescent="0.3">
      <c r="P96" s="40" t="s">
        <v>98</v>
      </c>
      <c r="Q96">
        <v>0</v>
      </c>
    </row>
    <row r="97" spans="16:17" x14ac:dyDescent="0.3">
      <c r="P97" s="40" t="s">
        <v>99</v>
      </c>
      <c r="Q97">
        <v>0</v>
      </c>
    </row>
    <row r="98" spans="16:17" x14ac:dyDescent="0.3">
      <c r="P98" s="40" t="s">
        <v>448</v>
      </c>
      <c r="Q98">
        <v>0</v>
      </c>
    </row>
    <row r="99" spans="16:17" x14ac:dyDescent="0.3">
      <c r="P99" s="40" t="s">
        <v>100</v>
      </c>
      <c r="Q99">
        <v>0</v>
      </c>
    </row>
    <row r="100" spans="16:17" x14ac:dyDescent="0.3">
      <c r="P100" s="40" t="s">
        <v>101</v>
      </c>
      <c r="Q100">
        <v>0</v>
      </c>
    </row>
    <row r="101" spans="16:17" x14ac:dyDescent="0.3">
      <c r="P101" s="40" t="s">
        <v>323</v>
      </c>
      <c r="Q101">
        <v>0</v>
      </c>
    </row>
    <row r="102" spans="16:17" x14ac:dyDescent="0.3">
      <c r="P102" s="40" t="s">
        <v>102</v>
      </c>
      <c r="Q102">
        <v>0</v>
      </c>
    </row>
    <row r="103" spans="16:17" x14ac:dyDescent="0.3">
      <c r="P103" s="40" t="s">
        <v>449</v>
      </c>
      <c r="Q103">
        <v>0</v>
      </c>
    </row>
    <row r="104" spans="16:17" x14ac:dyDescent="0.3">
      <c r="P104" s="40" t="s">
        <v>103</v>
      </c>
      <c r="Q104">
        <v>0</v>
      </c>
    </row>
    <row r="105" spans="16:17" x14ac:dyDescent="0.3">
      <c r="P105" s="40" t="s">
        <v>324</v>
      </c>
      <c r="Q105">
        <v>0</v>
      </c>
    </row>
    <row r="106" spans="16:17" x14ac:dyDescent="0.3">
      <c r="P106" s="40" t="s">
        <v>325</v>
      </c>
      <c r="Q106">
        <v>0</v>
      </c>
    </row>
    <row r="107" spans="16:17" x14ac:dyDescent="0.3">
      <c r="P107" s="40" t="s">
        <v>326</v>
      </c>
      <c r="Q107">
        <v>0</v>
      </c>
    </row>
    <row r="108" spans="16:17" x14ac:dyDescent="0.3">
      <c r="P108" s="40" t="s">
        <v>104</v>
      </c>
      <c r="Q108">
        <v>0</v>
      </c>
    </row>
    <row r="109" spans="16:17" x14ac:dyDescent="0.3">
      <c r="P109" s="40" t="s">
        <v>327</v>
      </c>
      <c r="Q109">
        <v>109000</v>
      </c>
    </row>
    <row r="110" spans="16:17" x14ac:dyDescent="0.3">
      <c r="P110" s="40" t="s">
        <v>105</v>
      </c>
      <c r="Q110">
        <v>0</v>
      </c>
    </row>
    <row r="111" spans="16:17" x14ac:dyDescent="0.3">
      <c r="P111" s="40" t="s">
        <v>106</v>
      </c>
      <c r="Q111">
        <v>0</v>
      </c>
    </row>
    <row r="112" spans="16:17" x14ac:dyDescent="0.3">
      <c r="P112" s="40" t="s">
        <v>107</v>
      </c>
      <c r="Q112">
        <v>0</v>
      </c>
    </row>
    <row r="113" spans="16:17" x14ac:dyDescent="0.3">
      <c r="P113" s="40" t="s">
        <v>328</v>
      </c>
      <c r="Q113">
        <v>0</v>
      </c>
    </row>
    <row r="114" spans="16:17" x14ac:dyDescent="0.3">
      <c r="P114" s="40" t="s">
        <v>108</v>
      </c>
      <c r="Q114">
        <v>0</v>
      </c>
    </row>
    <row r="115" spans="16:17" x14ac:dyDescent="0.3">
      <c r="P115" s="40" t="s">
        <v>463</v>
      </c>
      <c r="Q115">
        <v>0</v>
      </c>
    </row>
    <row r="116" spans="16:17" x14ac:dyDescent="0.3">
      <c r="P116" s="40" t="s">
        <v>109</v>
      </c>
      <c r="Q116">
        <v>0</v>
      </c>
    </row>
    <row r="117" spans="16:17" x14ac:dyDescent="0.3">
      <c r="P117" s="40" t="s">
        <v>110</v>
      </c>
      <c r="Q117">
        <v>0</v>
      </c>
    </row>
    <row r="118" spans="16:17" x14ac:dyDescent="0.3">
      <c r="P118" s="40" t="s">
        <v>111</v>
      </c>
      <c r="Q118">
        <v>329100</v>
      </c>
    </row>
    <row r="119" spans="16:17" x14ac:dyDescent="0.3">
      <c r="P119" s="40" t="s">
        <v>112</v>
      </c>
      <c r="Q119">
        <v>0</v>
      </c>
    </row>
    <row r="120" spans="16:17" x14ac:dyDescent="0.3">
      <c r="P120" s="40" t="s">
        <v>113</v>
      </c>
      <c r="Q120">
        <v>0</v>
      </c>
    </row>
    <row r="121" spans="16:17" x14ac:dyDescent="0.3">
      <c r="P121" s="40" t="s">
        <v>329</v>
      </c>
      <c r="Q121">
        <v>0</v>
      </c>
    </row>
    <row r="122" spans="16:17" x14ac:dyDescent="0.3">
      <c r="P122" s="40" t="s">
        <v>114</v>
      </c>
      <c r="Q122">
        <v>0</v>
      </c>
    </row>
    <row r="123" spans="16:17" x14ac:dyDescent="0.3">
      <c r="P123" s="40" t="s">
        <v>115</v>
      </c>
      <c r="Q123">
        <v>0</v>
      </c>
    </row>
    <row r="124" spans="16:17" x14ac:dyDescent="0.3">
      <c r="P124" s="40" t="s">
        <v>330</v>
      </c>
      <c r="Q124">
        <v>0</v>
      </c>
    </row>
    <row r="125" spans="16:17" x14ac:dyDescent="0.3">
      <c r="P125" s="40" t="s">
        <v>331</v>
      </c>
      <c r="Q125">
        <v>0</v>
      </c>
    </row>
    <row r="126" spans="16:17" x14ac:dyDescent="0.3">
      <c r="P126" s="40" t="s">
        <v>332</v>
      </c>
      <c r="Q126">
        <v>0</v>
      </c>
    </row>
    <row r="127" spans="16:17" x14ac:dyDescent="0.3">
      <c r="P127" s="40" t="s">
        <v>116</v>
      </c>
      <c r="Q127">
        <v>0</v>
      </c>
    </row>
    <row r="128" spans="16:17" x14ac:dyDescent="0.3">
      <c r="P128" s="40" t="s">
        <v>455</v>
      </c>
      <c r="Q128">
        <v>0</v>
      </c>
    </row>
    <row r="129" spans="16:17" x14ac:dyDescent="0.3">
      <c r="P129" s="40" t="s">
        <v>117</v>
      </c>
      <c r="Q129">
        <v>0</v>
      </c>
    </row>
    <row r="130" spans="16:17" x14ac:dyDescent="0.3">
      <c r="P130" s="40" t="s">
        <v>118</v>
      </c>
      <c r="Q130">
        <v>158400</v>
      </c>
    </row>
    <row r="131" spans="16:17" x14ac:dyDescent="0.3">
      <c r="P131" s="40" t="s">
        <v>119</v>
      </c>
      <c r="Q131">
        <v>0</v>
      </c>
    </row>
    <row r="132" spans="16:17" x14ac:dyDescent="0.3">
      <c r="P132" s="40" t="s">
        <v>333</v>
      </c>
      <c r="Q132">
        <v>0</v>
      </c>
    </row>
    <row r="133" spans="16:17" x14ac:dyDescent="0.3">
      <c r="P133" s="40" t="s">
        <v>120</v>
      </c>
      <c r="Q133">
        <v>0</v>
      </c>
    </row>
    <row r="134" spans="16:17" x14ac:dyDescent="0.3">
      <c r="P134" s="40" t="s">
        <v>121</v>
      </c>
      <c r="Q134">
        <v>714000</v>
      </c>
    </row>
    <row r="135" spans="16:17" x14ac:dyDescent="0.3">
      <c r="P135" s="40" t="s">
        <v>334</v>
      </c>
      <c r="Q135">
        <v>0</v>
      </c>
    </row>
    <row r="136" spans="16:17" x14ac:dyDescent="0.3">
      <c r="P136" s="40" t="s">
        <v>122</v>
      </c>
      <c r="Q136">
        <v>0</v>
      </c>
    </row>
    <row r="137" spans="16:17" x14ac:dyDescent="0.3">
      <c r="P137" s="40" t="s">
        <v>123</v>
      </c>
      <c r="Q137">
        <v>0</v>
      </c>
    </row>
    <row r="138" spans="16:17" x14ac:dyDescent="0.3">
      <c r="P138" s="40" t="s">
        <v>124</v>
      </c>
      <c r="Q138">
        <v>0</v>
      </c>
    </row>
    <row r="139" spans="16:17" x14ac:dyDescent="0.3">
      <c r="P139" s="40" t="s">
        <v>125</v>
      </c>
      <c r="Q139">
        <v>0</v>
      </c>
    </row>
    <row r="140" spans="16:17" x14ac:dyDescent="0.3">
      <c r="P140" s="40" t="s">
        <v>335</v>
      </c>
      <c r="Q140">
        <v>53000</v>
      </c>
    </row>
    <row r="141" spans="16:17" x14ac:dyDescent="0.3">
      <c r="P141" s="40" t="s">
        <v>126</v>
      </c>
      <c r="Q141">
        <v>24200</v>
      </c>
    </row>
    <row r="142" spans="16:17" x14ac:dyDescent="0.3">
      <c r="P142" s="40" t="s">
        <v>127</v>
      </c>
      <c r="Q142">
        <v>24200</v>
      </c>
    </row>
    <row r="143" spans="16:17" x14ac:dyDescent="0.3">
      <c r="P143" s="40" t="s">
        <v>336</v>
      </c>
      <c r="Q143">
        <v>59400</v>
      </c>
    </row>
    <row r="144" spans="16:17" x14ac:dyDescent="0.3">
      <c r="P144" s="40" t="s">
        <v>128</v>
      </c>
      <c r="Q144">
        <v>660000</v>
      </c>
    </row>
    <row r="145" spans="16:17" x14ac:dyDescent="0.3">
      <c r="P145" s="40" t="s">
        <v>129</v>
      </c>
      <c r="Q145">
        <v>88000</v>
      </c>
    </row>
    <row r="146" spans="16:17" x14ac:dyDescent="0.3">
      <c r="P146" s="40" t="s">
        <v>130</v>
      </c>
      <c r="Q146">
        <v>298000</v>
      </c>
    </row>
    <row r="147" spans="16:17" x14ac:dyDescent="0.3">
      <c r="P147" s="40" t="s">
        <v>131</v>
      </c>
      <c r="Q147">
        <v>811800</v>
      </c>
    </row>
    <row r="148" spans="16:17" x14ac:dyDescent="0.3">
      <c r="P148" s="40" t="s">
        <v>337</v>
      </c>
      <c r="Q148">
        <v>85800</v>
      </c>
    </row>
    <row r="149" spans="16:17" x14ac:dyDescent="0.3">
      <c r="P149" s="40" t="s">
        <v>421</v>
      </c>
      <c r="Q149">
        <v>0</v>
      </c>
    </row>
    <row r="150" spans="16:17" x14ac:dyDescent="0.3">
      <c r="P150" s="40" t="s">
        <v>132</v>
      </c>
      <c r="Q150">
        <v>332000</v>
      </c>
    </row>
    <row r="151" spans="16:17" x14ac:dyDescent="0.3">
      <c r="P151" s="40" t="s">
        <v>133</v>
      </c>
      <c r="Q151">
        <v>934000</v>
      </c>
    </row>
    <row r="152" spans="16:17" x14ac:dyDescent="0.3">
      <c r="P152" s="40" t="s">
        <v>134</v>
      </c>
      <c r="Q152">
        <v>330000</v>
      </c>
    </row>
    <row r="153" spans="16:17" x14ac:dyDescent="0.3">
      <c r="P153" s="40" t="s">
        <v>135</v>
      </c>
      <c r="Q153">
        <v>169400</v>
      </c>
    </row>
    <row r="154" spans="16:17" x14ac:dyDescent="0.3">
      <c r="P154" s="40" t="s">
        <v>136</v>
      </c>
      <c r="Q154">
        <v>0</v>
      </c>
    </row>
    <row r="155" spans="16:17" x14ac:dyDescent="0.3">
      <c r="P155" s="40" t="s">
        <v>137</v>
      </c>
      <c r="Q155">
        <v>0</v>
      </c>
    </row>
    <row r="156" spans="16:17" x14ac:dyDescent="0.3">
      <c r="P156" s="40" t="s">
        <v>138</v>
      </c>
      <c r="Q156">
        <v>0</v>
      </c>
    </row>
    <row r="157" spans="16:17" x14ac:dyDescent="0.3">
      <c r="P157" s="40" t="s">
        <v>139</v>
      </c>
      <c r="Q157">
        <v>506000</v>
      </c>
    </row>
    <row r="158" spans="16:17" x14ac:dyDescent="0.3">
      <c r="P158" s="40" t="s">
        <v>140</v>
      </c>
      <c r="Q158">
        <v>44000</v>
      </c>
    </row>
    <row r="159" spans="16:17" x14ac:dyDescent="0.3">
      <c r="P159" s="40" t="s">
        <v>141</v>
      </c>
      <c r="Q159">
        <v>44000</v>
      </c>
    </row>
    <row r="160" spans="16:17" x14ac:dyDescent="0.3">
      <c r="P160" s="40" t="s">
        <v>142</v>
      </c>
      <c r="Q160">
        <v>142000</v>
      </c>
    </row>
    <row r="161" spans="16:17" x14ac:dyDescent="0.3">
      <c r="P161" s="40" t="s">
        <v>143</v>
      </c>
      <c r="Q161">
        <v>83600</v>
      </c>
    </row>
    <row r="162" spans="16:17" x14ac:dyDescent="0.3">
      <c r="P162" s="40" t="s">
        <v>144</v>
      </c>
      <c r="Q162">
        <v>220000</v>
      </c>
    </row>
    <row r="163" spans="16:17" x14ac:dyDescent="0.3">
      <c r="P163" s="40" t="s">
        <v>145</v>
      </c>
      <c r="Q163">
        <v>0</v>
      </c>
    </row>
    <row r="164" spans="16:17" x14ac:dyDescent="0.3">
      <c r="P164" s="40" t="s">
        <v>338</v>
      </c>
      <c r="Q164">
        <v>362000</v>
      </c>
    </row>
    <row r="165" spans="16:17" x14ac:dyDescent="0.3">
      <c r="P165" s="40" t="s">
        <v>7</v>
      </c>
      <c r="Q165">
        <v>0</v>
      </c>
    </row>
    <row r="166" spans="16:17" x14ac:dyDescent="0.3">
      <c r="P166" s="40" t="s">
        <v>12</v>
      </c>
      <c r="Q166">
        <v>12000</v>
      </c>
    </row>
    <row r="167" spans="16:17" x14ac:dyDescent="0.3">
      <c r="P167" s="40" t="s">
        <v>339</v>
      </c>
      <c r="Q167">
        <v>110000</v>
      </c>
    </row>
    <row r="168" spans="16:17" x14ac:dyDescent="0.3">
      <c r="P168" s="40" t="s">
        <v>36</v>
      </c>
      <c r="Q168">
        <v>1081470</v>
      </c>
    </row>
    <row r="169" spans="16:17" x14ac:dyDescent="0.3">
      <c r="P169" s="40" t="s">
        <v>340</v>
      </c>
      <c r="Q169">
        <v>56000</v>
      </c>
    </row>
    <row r="170" spans="16:17" x14ac:dyDescent="0.3">
      <c r="P170" s="40" t="s">
        <v>341</v>
      </c>
      <c r="Q170">
        <v>56000</v>
      </c>
    </row>
    <row r="171" spans="16:17" x14ac:dyDescent="0.3">
      <c r="P171" s="40" t="s">
        <v>342</v>
      </c>
      <c r="Q171">
        <v>22000</v>
      </c>
    </row>
    <row r="172" spans="16:17" x14ac:dyDescent="0.3">
      <c r="P172" s="40" t="s">
        <v>146</v>
      </c>
      <c r="Q172">
        <v>12000</v>
      </c>
    </row>
    <row r="173" spans="16:17" x14ac:dyDescent="0.3">
      <c r="P173" s="40" t="s">
        <v>17</v>
      </c>
      <c r="Q173">
        <v>0</v>
      </c>
    </row>
    <row r="174" spans="16:17" x14ac:dyDescent="0.3">
      <c r="P174" s="40" t="s">
        <v>456</v>
      </c>
      <c r="Q174">
        <v>3520000</v>
      </c>
    </row>
    <row r="175" spans="16:17" x14ac:dyDescent="0.3">
      <c r="P175" s="40" t="s">
        <v>147</v>
      </c>
      <c r="Q175">
        <v>0</v>
      </c>
    </row>
    <row r="176" spans="16:17" x14ac:dyDescent="0.3">
      <c r="P176" s="40" t="s">
        <v>11</v>
      </c>
      <c r="Q176">
        <v>0</v>
      </c>
    </row>
    <row r="177" spans="16:17" x14ac:dyDescent="0.3">
      <c r="P177" s="40" t="s">
        <v>13</v>
      </c>
      <c r="Q177">
        <v>180000</v>
      </c>
    </row>
    <row r="178" spans="16:17" x14ac:dyDescent="0.3">
      <c r="P178" s="40" t="s">
        <v>18</v>
      </c>
      <c r="Q178">
        <v>1411200</v>
      </c>
    </row>
    <row r="179" spans="16:17" x14ac:dyDescent="0.3">
      <c r="P179" s="40" t="s">
        <v>22</v>
      </c>
      <c r="Q179">
        <v>735000</v>
      </c>
    </row>
    <row r="180" spans="16:17" x14ac:dyDescent="0.3">
      <c r="P180" s="40" t="s">
        <v>29</v>
      </c>
      <c r="Q180">
        <v>23312000</v>
      </c>
    </row>
    <row r="181" spans="16:17" x14ac:dyDescent="0.3">
      <c r="P181" s="40" t="s">
        <v>148</v>
      </c>
      <c r="Q181">
        <v>12064000</v>
      </c>
    </row>
    <row r="182" spans="16:17" x14ac:dyDescent="0.3">
      <c r="P182" s="40" t="s">
        <v>149</v>
      </c>
      <c r="Q182">
        <v>30000</v>
      </c>
    </row>
    <row r="183" spans="16:17" x14ac:dyDescent="0.3">
      <c r="P183" s="40" t="s">
        <v>150</v>
      </c>
      <c r="Q183">
        <v>304000</v>
      </c>
    </row>
    <row r="184" spans="16:17" x14ac:dyDescent="0.3">
      <c r="P184" s="40" t="s">
        <v>5</v>
      </c>
      <c r="Q184">
        <v>0</v>
      </c>
    </row>
    <row r="185" spans="16:17" x14ac:dyDescent="0.3">
      <c r="P185" s="40" t="s">
        <v>432</v>
      </c>
      <c r="Q185">
        <v>7700000</v>
      </c>
    </row>
    <row r="186" spans="16:17" x14ac:dyDescent="0.3">
      <c r="P186" s="40" t="s">
        <v>151</v>
      </c>
      <c r="Q186">
        <v>756000</v>
      </c>
    </row>
    <row r="187" spans="16:17" x14ac:dyDescent="0.3">
      <c r="P187" s="40" t="s">
        <v>14</v>
      </c>
      <c r="Q187">
        <v>30000</v>
      </c>
    </row>
    <row r="188" spans="16:17" x14ac:dyDescent="0.3">
      <c r="P188" s="40" t="s">
        <v>152</v>
      </c>
      <c r="Q188">
        <v>304000</v>
      </c>
    </row>
    <row r="189" spans="16:17" x14ac:dyDescent="0.3">
      <c r="P189" s="40" t="s">
        <v>33</v>
      </c>
      <c r="Q189">
        <v>1920000</v>
      </c>
    </row>
    <row r="190" spans="16:17" x14ac:dyDescent="0.3">
      <c r="P190" s="40" t="s">
        <v>153</v>
      </c>
      <c r="Q190">
        <v>0</v>
      </c>
    </row>
    <row r="191" spans="16:17" x14ac:dyDescent="0.3">
      <c r="P191" s="40" t="s">
        <v>154</v>
      </c>
      <c r="Q191">
        <v>7200000</v>
      </c>
    </row>
    <row r="192" spans="16:17" x14ac:dyDescent="0.3">
      <c r="P192" s="40" t="s">
        <v>155</v>
      </c>
      <c r="Q192">
        <v>864000</v>
      </c>
    </row>
    <row r="193" spans="16:17" x14ac:dyDescent="0.3">
      <c r="P193" s="40" t="s">
        <v>156</v>
      </c>
      <c r="Q193">
        <v>580000</v>
      </c>
    </row>
    <row r="194" spans="16:17" x14ac:dyDescent="0.3">
      <c r="P194" s="40" t="s">
        <v>157</v>
      </c>
      <c r="Q194">
        <v>3780000</v>
      </c>
    </row>
    <row r="195" spans="16:17" x14ac:dyDescent="0.3">
      <c r="P195" s="40" t="s">
        <v>34</v>
      </c>
      <c r="Q195">
        <v>216000</v>
      </c>
    </row>
    <row r="196" spans="16:17" x14ac:dyDescent="0.3">
      <c r="P196" s="40" t="s">
        <v>158</v>
      </c>
      <c r="Q196">
        <v>1908000</v>
      </c>
    </row>
    <row r="197" spans="16:17" x14ac:dyDescent="0.3">
      <c r="P197" s="40" t="s">
        <v>15</v>
      </c>
      <c r="Q197">
        <v>0</v>
      </c>
    </row>
    <row r="198" spans="16:17" x14ac:dyDescent="0.3">
      <c r="P198" s="40" t="s">
        <v>16</v>
      </c>
      <c r="Q198">
        <v>1012000</v>
      </c>
    </row>
    <row r="199" spans="16:17" x14ac:dyDescent="0.3">
      <c r="P199" s="40" t="s">
        <v>23</v>
      </c>
      <c r="Q199">
        <v>792000</v>
      </c>
    </row>
    <row r="200" spans="16:17" x14ac:dyDescent="0.3">
      <c r="P200" s="40" t="s">
        <v>159</v>
      </c>
      <c r="Q200">
        <v>912000</v>
      </c>
    </row>
    <row r="201" spans="16:17" x14ac:dyDescent="0.3">
      <c r="P201" s="40" t="s">
        <v>31</v>
      </c>
      <c r="Q201">
        <v>1194000</v>
      </c>
    </row>
    <row r="202" spans="16:17" x14ac:dyDescent="0.3">
      <c r="P202" s="40" t="s">
        <v>9</v>
      </c>
      <c r="Q202">
        <v>708000</v>
      </c>
    </row>
    <row r="203" spans="16:17" x14ac:dyDescent="0.3">
      <c r="P203" s="40" t="s">
        <v>10</v>
      </c>
      <c r="Q203">
        <v>20000</v>
      </c>
    </row>
    <row r="204" spans="16:17" x14ac:dyDescent="0.3">
      <c r="P204" s="40" t="s">
        <v>6</v>
      </c>
      <c r="Q204">
        <v>234000</v>
      </c>
    </row>
    <row r="205" spans="16:17" x14ac:dyDescent="0.3">
      <c r="P205" s="40" t="s">
        <v>35</v>
      </c>
      <c r="Q205">
        <v>258000</v>
      </c>
    </row>
    <row r="206" spans="16:17" x14ac:dyDescent="0.3">
      <c r="P206" s="40" t="s">
        <v>436</v>
      </c>
      <c r="Q206">
        <v>0</v>
      </c>
    </row>
    <row r="207" spans="16:17" x14ac:dyDescent="0.3">
      <c r="P207" s="40" t="s">
        <v>160</v>
      </c>
      <c r="Q207">
        <v>290000</v>
      </c>
    </row>
    <row r="208" spans="16:17" x14ac:dyDescent="0.3">
      <c r="P208" s="40" t="s">
        <v>161</v>
      </c>
      <c r="Q208">
        <v>0</v>
      </c>
    </row>
    <row r="209" spans="16:17" x14ac:dyDescent="0.3">
      <c r="P209" s="40" t="s">
        <v>32</v>
      </c>
      <c r="Q209">
        <v>0</v>
      </c>
    </row>
    <row r="210" spans="16:17" x14ac:dyDescent="0.3">
      <c r="P210" s="40" t="s">
        <v>162</v>
      </c>
      <c r="Q210">
        <v>64000</v>
      </c>
    </row>
    <row r="211" spans="16:17" x14ac:dyDescent="0.3">
      <c r="P211" s="40" t="s">
        <v>163</v>
      </c>
      <c r="Q211">
        <v>2080000</v>
      </c>
    </row>
    <row r="212" spans="16:17" x14ac:dyDescent="0.3">
      <c r="P212" s="40" t="s">
        <v>164</v>
      </c>
      <c r="Q212">
        <v>920000</v>
      </c>
    </row>
    <row r="213" spans="16:17" x14ac:dyDescent="0.3">
      <c r="P213" s="40" t="s">
        <v>165</v>
      </c>
      <c r="Q213">
        <v>920000</v>
      </c>
    </row>
    <row r="214" spans="16:17" x14ac:dyDescent="0.3">
      <c r="P214" s="40" t="s">
        <v>166</v>
      </c>
      <c r="Q214">
        <v>40000</v>
      </c>
    </row>
    <row r="215" spans="16:17" x14ac:dyDescent="0.3">
      <c r="P215" s="40" t="s">
        <v>452</v>
      </c>
      <c r="Q215">
        <v>400000</v>
      </c>
    </row>
    <row r="216" spans="16:17" x14ac:dyDescent="0.3">
      <c r="P216" s="40" t="s">
        <v>453</v>
      </c>
      <c r="Q216">
        <v>0</v>
      </c>
    </row>
    <row r="217" spans="16:17" x14ac:dyDescent="0.3">
      <c r="P217" s="40" t="s">
        <v>459</v>
      </c>
      <c r="Q217">
        <v>2140000</v>
      </c>
    </row>
    <row r="218" spans="16:17" x14ac:dyDescent="0.3">
      <c r="P218" s="40" t="s">
        <v>460</v>
      </c>
      <c r="Q218">
        <v>2140000</v>
      </c>
    </row>
    <row r="219" spans="16:17" x14ac:dyDescent="0.3">
      <c r="P219" s="40" t="s">
        <v>8</v>
      </c>
      <c r="Q219">
        <v>1500000</v>
      </c>
    </row>
    <row r="220" spans="16:17" x14ac:dyDescent="0.3">
      <c r="P220" s="40" t="s">
        <v>464</v>
      </c>
      <c r="Q220">
        <v>80000</v>
      </c>
    </row>
    <row r="221" spans="16:17" x14ac:dyDescent="0.3">
      <c r="P221" s="40" t="s">
        <v>167</v>
      </c>
      <c r="Q221">
        <v>0</v>
      </c>
    </row>
    <row r="222" spans="16:17" x14ac:dyDescent="0.3">
      <c r="P222" s="40" t="s">
        <v>407</v>
      </c>
      <c r="Q222">
        <v>96000</v>
      </c>
    </row>
    <row r="223" spans="16:17" x14ac:dyDescent="0.3">
      <c r="P223" s="40" t="s">
        <v>168</v>
      </c>
      <c r="Q223">
        <v>216000</v>
      </c>
    </row>
    <row r="224" spans="16:17" x14ac:dyDescent="0.3">
      <c r="P224" s="40" t="s">
        <v>169</v>
      </c>
      <c r="Q224">
        <v>106500</v>
      </c>
    </row>
    <row r="225" spans="16:17" x14ac:dyDescent="0.3">
      <c r="P225" s="40" t="s">
        <v>170</v>
      </c>
      <c r="Q225">
        <v>28000</v>
      </c>
    </row>
    <row r="226" spans="16:17" x14ac:dyDescent="0.3">
      <c r="P226" s="40" t="s">
        <v>451</v>
      </c>
      <c r="Q226">
        <v>100000</v>
      </c>
    </row>
    <row r="227" spans="16:17" x14ac:dyDescent="0.3">
      <c r="P227" s="40" t="s">
        <v>435</v>
      </c>
      <c r="Q227">
        <v>0</v>
      </c>
    </row>
    <row r="228" spans="16:17" x14ac:dyDescent="0.3">
      <c r="P228" s="40" t="s">
        <v>171</v>
      </c>
      <c r="Q228">
        <v>81000</v>
      </c>
    </row>
    <row r="229" spans="16:17" x14ac:dyDescent="0.3">
      <c r="P229" s="40" t="s">
        <v>437</v>
      </c>
      <c r="Q229">
        <v>0</v>
      </c>
    </row>
    <row r="230" spans="16:17" x14ac:dyDescent="0.3">
      <c r="P230" s="40" t="s">
        <v>438</v>
      </c>
      <c r="Q230">
        <v>328000</v>
      </c>
    </row>
    <row r="231" spans="16:17" x14ac:dyDescent="0.3">
      <c r="P231" s="40" t="s">
        <v>454</v>
      </c>
      <c r="Q231">
        <v>0</v>
      </c>
    </row>
    <row r="232" spans="16:17" x14ac:dyDescent="0.3">
      <c r="P232" s="40" t="s">
        <v>441</v>
      </c>
      <c r="Q232">
        <v>0</v>
      </c>
    </row>
    <row r="233" spans="16:17" x14ac:dyDescent="0.3">
      <c r="P233" s="40" t="s">
        <v>465</v>
      </c>
      <c r="Q233">
        <v>0</v>
      </c>
    </row>
    <row r="234" spans="16:17" x14ac:dyDescent="0.3">
      <c r="P234" s="40" t="s">
        <v>408</v>
      </c>
      <c r="Q234">
        <v>0</v>
      </c>
    </row>
    <row r="235" spans="16:17" x14ac:dyDescent="0.3">
      <c r="P235" s="40" t="s">
        <v>466</v>
      </c>
      <c r="Q235">
        <v>0</v>
      </c>
    </row>
    <row r="236" spans="16:17" x14ac:dyDescent="0.3">
      <c r="P236" s="40" t="s">
        <v>409</v>
      </c>
      <c r="Q236">
        <v>0</v>
      </c>
    </row>
    <row r="237" spans="16:17" x14ac:dyDescent="0.3">
      <c r="P237" s="40" t="s">
        <v>467</v>
      </c>
      <c r="Q237">
        <v>0</v>
      </c>
    </row>
    <row r="238" spans="16:17" x14ac:dyDescent="0.3">
      <c r="P238" s="40" t="s">
        <v>410</v>
      </c>
      <c r="Q238">
        <v>0</v>
      </c>
    </row>
    <row r="239" spans="16:17" x14ac:dyDescent="0.3">
      <c r="P239" s="40" t="s">
        <v>468</v>
      </c>
      <c r="Q239">
        <v>0</v>
      </c>
    </row>
    <row r="240" spans="16:17" x14ac:dyDescent="0.3">
      <c r="P240" s="40" t="s">
        <v>469</v>
      </c>
      <c r="Q240">
        <v>0</v>
      </c>
    </row>
    <row r="241" spans="16:17" x14ac:dyDescent="0.3">
      <c r="P241" s="40" t="s">
        <v>172</v>
      </c>
      <c r="Q241">
        <v>0</v>
      </c>
    </row>
    <row r="242" spans="16:17" x14ac:dyDescent="0.3">
      <c r="P242" s="40" t="s">
        <v>173</v>
      </c>
      <c r="Q242">
        <v>0</v>
      </c>
    </row>
    <row r="243" spans="16:17" x14ac:dyDescent="0.3">
      <c r="P243" s="40" t="s">
        <v>174</v>
      </c>
      <c r="Q243">
        <v>0</v>
      </c>
    </row>
    <row r="244" spans="16:17" x14ac:dyDescent="0.3">
      <c r="P244" s="40" t="s">
        <v>175</v>
      </c>
      <c r="Q244">
        <v>59400</v>
      </c>
    </row>
    <row r="245" spans="16:17" x14ac:dyDescent="0.3">
      <c r="P245" s="40" t="s">
        <v>343</v>
      </c>
      <c r="Q245">
        <v>38600</v>
      </c>
    </row>
    <row r="246" spans="16:17" x14ac:dyDescent="0.3">
      <c r="P246" s="40" t="s">
        <v>176</v>
      </c>
      <c r="Q246">
        <v>0</v>
      </c>
    </row>
    <row r="247" spans="16:17" x14ac:dyDescent="0.3">
      <c r="P247" s="40" t="s">
        <v>378</v>
      </c>
      <c r="Q247">
        <v>0</v>
      </c>
    </row>
    <row r="248" spans="16:17" x14ac:dyDescent="0.3">
      <c r="P248" s="40" t="s">
        <v>177</v>
      </c>
      <c r="Q248">
        <v>0</v>
      </c>
    </row>
    <row r="249" spans="16:17" x14ac:dyDescent="0.3">
      <c r="P249" s="40" t="s">
        <v>178</v>
      </c>
      <c r="Q249">
        <v>0</v>
      </c>
    </row>
    <row r="250" spans="16:17" x14ac:dyDescent="0.3">
      <c r="P250" s="40" t="s">
        <v>179</v>
      </c>
      <c r="Q250">
        <v>521400</v>
      </c>
    </row>
    <row r="251" spans="16:17" x14ac:dyDescent="0.3">
      <c r="P251" s="40" t="s">
        <v>180</v>
      </c>
      <c r="Q251">
        <v>99600</v>
      </c>
    </row>
    <row r="252" spans="16:17" x14ac:dyDescent="0.3">
      <c r="P252" s="40" t="s">
        <v>181</v>
      </c>
      <c r="Q252">
        <v>48400</v>
      </c>
    </row>
    <row r="253" spans="16:17" x14ac:dyDescent="0.3">
      <c r="P253" s="40" t="s">
        <v>182</v>
      </c>
      <c r="Q253">
        <v>1126400</v>
      </c>
    </row>
    <row r="254" spans="16:17" x14ac:dyDescent="0.3">
      <c r="P254" s="40" t="s">
        <v>183</v>
      </c>
      <c r="Q254">
        <v>0</v>
      </c>
    </row>
    <row r="255" spans="16:17" x14ac:dyDescent="0.3">
      <c r="P255" s="40" t="s">
        <v>344</v>
      </c>
      <c r="Q255">
        <v>96800</v>
      </c>
    </row>
    <row r="256" spans="16:17" x14ac:dyDescent="0.3">
      <c r="P256" s="40" t="s">
        <v>184</v>
      </c>
      <c r="Q256">
        <v>85800</v>
      </c>
    </row>
    <row r="257" spans="16:17" x14ac:dyDescent="0.3">
      <c r="P257" s="40" t="s">
        <v>185</v>
      </c>
      <c r="Q257">
        <v>39000</v>
      </c>
    </row>
    <row r="258" spans="16:17" x14ac:dyDescent="0.3">
      <c r="P258" s="40" t="s">
        <v>457</v>
      </c>
      <c r="Q258">
        <v>0</v>
      </c>
    </row>
    <row r="259" spans="16:17" x14ac:dyDescent="0.3">
      <c r="P259" s="40" t="s">
        <v>186</v>
      </c>
      <c r="Q259">
        <v>24200</v>
      </c>
    </row>
    <row r="260" spans="16:17" x14ac:dyDescent="0.3">
      <c r="P260" s="40" t="s">
        <v>187</v>
      </c>
      <c r="Q260">
        <v>0</v>
      </c>
    </row>
    <row r="261" spans="16:17" x14ac:dyDescent="0.3">
      <c r="P261" s="40" t="s">
        <v>188</v>
      </c>
      <c r="Q261">
        <v>0</v>
      </c>
    </row>
    <row r="262" spans="16:17" x14ac:dyDescent="0.3">
      <c r="P262" s="40" t="s">
        <v>189</v>
      </c>
      <c r="Q262">
        <v>768000</v>
      </c>
    </row>
    <row r="263" spans="16:17" x14ac:dyDescent="0.3">
      <c r="P263" s="40" t="s">
        <v>190</v>
      </c>
      <c r="Q263">
        <v>44000</v>
      </c>
    </row>
    <row r="264" spans="16:17" x14ac:dyDescent="0.3">
      <c r="P264" s="40" t="s">
        <v>191</v>
      </c>
      <c r="Q264">
        <v>1463000</v>
      </c>
    </row>
    <row r="265" spans="16:17" x14ac:dyDescent="0.3">
      <c r="P265" s="40" t="s">
        <v>192</v>
      </c>
      <c r="Q265">
        <v>78000</v>
      </c>
    </row>
    <row r="266" spans="16:17" x14ac:dyDescent="0.3">
      <c r="P266" s="40" t="s">
        <v>193</v>
      </c>
      <c r="Q266">
        <v>446600</v>
      </c>
    </row>
    <row r="267" spans="16:17" x14ac:dyDescent="0.3">
      <c r="P267" s="40" t="s">
        <v>433</v>
      </c>
      <c r="Q267">
        <v>0</v>
      </c>
    </row>
    <row r="268" spans="16:17" x14ac:dyDescent="0.3">
      <c r="P268" s="40" t="s">
        <v>194</v>
      </c>
      <c r="Q268">
        <v>363000</v>
      </c>
    </row>
    <row r="269" spans="16:17" x14ac:dyDescent="0.3">
      <c r="P269" s="40" t="s">
        <v>195</v>
      </c>
      <c r="Q269">
        <v>836000</v>
      </c>
    </row>
    <row r="270" spans="16:17" x14ac:dyDescent="0.3">
      <c r="P270" s="40" t="s">
        <v>345</v>
      </c>
      <c r="Q270">
        <v>0</v>
      </c>
    </row>
    <row r="271" spans="16:17" x14ac:dyDescent="0.3">
      <c r="P271" s="40" t="s">
        <v>196</v>
      </c>
      <c r="Q271">
        <v>1856000</v>
      </c>
    </row>
    <row r="272" spans="16:17" x14ac:dyDescent="0.3">
      <c r="P272" s="40" t="s">
        <v>19</v>
      </c>
      <c r="Q272">
        <v>254000</v>
      </c>
    </row>
    <row r="273" spans="16:17" x14ac:dyDescent="0.3">
      <c r="P273" s="40" t="s">
        <v>20</v>
      </c>
      <c r="Q273">
        <v>66000</v>
      </c>
    </row>
    <row r="274" spans="16:17" x14ac:dyDescent="0.3">
      <c r="P274" s="40" t="s">
        <v>346</v>
      </c>
      <c r="Q274">
        <v>0</v>
      </c>
    </row>
    <row r="275" spans="16:17" x14ac:dyDescent="0.3">
      <c r="P275" s="40" t="s">
        <v>197</v>
      </c>
      <c r="Q275">
        <v>437300</v>
      </c>
    </row>
    <row r="276" spans="16:17" x14ac:dyDescent="0.3">
      <c r="P276" s="40" t="s">
        <v>198</v>
      </c>
      <c r="Q276">
        <v>0</v>
      </c>
    </row>
    <row r="277" spans="16:17" x14ac:dyDescent="0.3">
      <c r="P277" s="40" t="s">
        <v>394</v>
      </c>
      <c r="Q277">
        <v>0</v>
      </c>
    </row>
    <row r="278" spans="16:17" x14ac:dyDescent="0.3">
      <c r="P278" s="40" t="s">
        <v>387</v>
      </c>
      <c r="Q278">
        <v>1980000</v>
      </c>
    </row>
    <row r="279" spans="16:17" x14ac:dyDescent="0.3">
      <c r="P279" s="40" t="s">
        <v>199</v>
      </c>
      <c r="Q279">
        <v>130000</v>
      </c>
    </row>
    <row r="280" spans="16:17" x14ac:dyDescent="0.3">
      <c r="P280" s="40" t="s">
        <v>200</v>
      </c>
      <c r="Q280">
        <v>83600</v>
      </c>
    </row>
    <row r="281" spans="16:17" x14ac:dyDescent="0.3">
      <c r="P281" s="40" t="s">
        <v>347</v>
      </c>
      <c r="Q281">
        <v>0</v>
      </c>
    </row>
    <row r="282" spans="16:17" x14ac:dyDescent="0.3">
      <c r="P282" s="40" t="s">
        <v>348</v>
      </c>
      <c r="Q282">
        <v>0</v>
      </c>
    </row>
    <row r="283" spans="16:17" x14ac:dyDescent="0.3">
      <c r="P283" s="40" t="s">
        <v>21</v>
      </c>
      <c r="Q283">
        <v>66000</v>
      </c>
    </row>
    <row r="284" spans="16:17" x14ac:dyDescent="0.3">
      <c r="P284" s="40" t="s">
        <v>201</v>
      </c>
      <c r="Q284">
        <v>35200</v>
      </c>
    </row>
    <row r="285" spans="16:17" x14ac:dyDescent="0.3">
      <c r="P285" s="40" t="s">
        <v>202</v>
      </c>
      <c r="Q285">
        <v>822800</v>
      </c>
    </row>
    <row r="286" spans="16:17" x14ac:dyDescent="0.3">
      <c r="P286" s="40" t="s">
        <v>203</v>
      </c>
      <c r="Q286">
        <v>0</v>
      </c>
    </row>
    <row r="287" spans="16:17" x14ac:dyDescent="0.3">
      <c r="P287" s="40" t="s">
        <v>204</v>
      </c>
      <c r="Q287">
        <v>0</v>
      </c>
    </row>
    <row r="288" spans="16:17" x14ac:dyDescent="0.3">
      <c r="P288" s="40" t="s">
        <v>205</v>
      </c>
      <c r="Q288">
        <v>796500</v>
      </c>
    </row>
    <row r="289" spans="16:17" x14ac:dyDescent="0.3">
      <c r="P289" s="40" t="s">
        <v>206</v>
      </c>
      <c r="Q289">
        <v>0</v>
      </c>
    </row>
    <row r="290" spans="16:17" x14ac:dyDescent="0.3">
      <c r="P290" s="40" t="s">
        <v>207</v>
      </c>
      <c r="Q290">
        <v>266200</v>
      </c>
    </row>
    <row r="291" spans="16:17" x14ac:dyDescent="0.3">
      <c r="P291" s="40" t="s">
        <v>208</v>
      </c>
      <c r="Q291">
        <v>59400</v>
      </c>
    </row>
    <row r="292" spans="16:17" x14ac:dyDescent="0.3">
      <c r="P292" s="40" t="s">
        <v>209</v>
      </c>
      <c r="Q292">
        <v>72600</v>
      </c>
    </row>
    <row r="293" spans="16:17" x14ac:dyDescent="0.3">
      <c r="P293" s="40" t="s">
        <v>210</v>
      </c>
      <c r="Q293">
        <v>0</v>
      </c>
    </row>
    <row r="294" spans="16:17" x14ac:dyDescent="0.3">
      <c r="P294" s="40" t="s">
        <v>211</v>
      </c>
      <c r="Q294">
        <v>0</v>
      </c>
    </row>
    <row r="295" spans="16:17" x14ac:dyDescent="0.3">
      <c r="P295" s="40" t="s">
        <v>442</v>
      </c>
      <c r="Q295">
        <v>0</v>
      </c>
    </row>
    <row r="296" spans="16:17" x14ac:dyDescent="0.3">
      <c r="P296" s="40" t="s">
        <v>212</v>
      </c>
      <c r="Q296">
        <v>24200</v>
      </c>
    </row>
    <row r="297" spans="16:17" x14ac:dyDescent="0.3">
      <c r="P297" s="40" t="s">
        <v>349</v>
      </c>
      <c r="Q297">
        <v>96800</v>
      </c>
    </row>
    <row r="298" spans="16:17" x14ac:dyDescent="0.3">
      <c r="P298" s="40" t="s">
        <v>213</v>
      </c>
      <c r="Q298">
        <v>714000</v>
      </c>
    </row>
    <row r="299" spans="16:17" x14ac:dyDescent="0.3">
      <c r="P299" s="40" t="s">
        <v>429</v>
      </c>
      <c r="Q299">
        <v>0</v>
      </c>
    </row>
    <row r="300" spans="16:17" x14ac:dyDescent="0.3">
      <c r="P300" s="40" t="s">
        <v>214</v>
      </c>
      <c r="Q300">
        <v>816000</v>
      </c>
    </row>
    <row r="301" spans="16:17" x14ac:dyDescent="0.3">
      <c r="P301" s="40" t="s">
        <v>215</v>
      </c>
      <c r="Q301">
        <v>5644800</v>
      </c>
    </row>
    <row r="302" spans="16:17" x14ac:dyDescent="0.3">
      <c r="P302" s="40" t="s">
        <v>216</v>
      </c>
      <c r="Q302">
        <v>0</v>
      </c>
    </row>
    <row r="303" spans="16:17" x14ac:dyDescent="0.3">
      <c r="P303" s="40" t="s">
        <v>217</v>
      </c>
      <c r="Q303">
        <v>24200</v>
      </c>
    </row>
    <row r="304" spans="16:17" x14ac:dyDescent="0.3">
      <c r="P304" s="40" t="s">
        <v>218</v>
      </c>
      <c r="Q304">
        <v>0</v>
      </c>
    </row>
    <row r="305" spans="16:17" x14ac:dyDescent="0.3">
      <c r="P305" s="40" t="s">
        <v>219</v>
      </c>
      <c r="Q305">
        <v>198000</v>
      </c>
    </row>
    <row r="306" spans="16:17" x14ac:dyDescent="0.3">
      <c r="P306" s="40" t="s">
        <v>220</v>
      </c>
      <c r="Q306">
        <v>365200</v>
      </c>
    </row>
    <row r="307" spans="16:17" x14ac:dyDescent="0.3">
      <c r="P307" s="40" t="s">
        <v>221</v>
      </c>
      <c r="Q307">
        <v>176000</v>
      </c>
    </row>
    <row r="308" spans="16:17" x14ac:dyDescent="0.3">
      <c r="P308" s="40" t="s">
        <v>350</v>
      </c>
      <c r="Q308">
        <v>0</v>
      </c>
    </row>
    <row r="309" spans="16:17" x14ac:dyDescent="0.3">
      <c r="P309" s="40" t="s">
        <v>222</v>
      </c>
      <c r="Q309">
        <v>3696000</v>
      </c>
    </row>
    <row r="310" spans="16:17" x14ac:dyDescent="0.3">
      <c r="P310" s="40" t="s">
        <v>223</v>
      </c>
      <c r="Q310">
        <v>0</v>
      </c>
    </row>
    <row r="311" spans="16:17" x14ac:dyDescent="0.3">
      <c r="P311" s="40" t="s">
        <v>224</v>
      </c>
      <c r="Q311">
        <v>2146000</v>
      </c>
    </row>
    <row r="312" spans="16:17" x14ac:dyDescent="0.3">
      <c r="P312" s="40" t="s">
        <v>225</v>
      </c>
      <c r="Q312">
        <v>946000</v>
      </c>
    </row>
    <row r="313" spans="16:17" x14ac:dyDescent="0.3">
      <c r="P313" s="40" t="s">
        <v>226</v>
      </c>
      <c r="Q313">
        <v>0</v>
      </c>
    </row>
    <row r="314" spans="16:17" x14ac:dyDescent="0.3">
      <c r="P314" s="40" t="s">
        <v>227</v>
      </c>
      <c r="Q314">
        <v>494000</v>
      </c>
    </row>
    <row r="315" spans="16:17" x14ac:dyDescent="0.3">
      <c r="P315" s="40" t="s">
        <v>228</v>
      </c>
      <c r="Q315">
        <v>3750000</v>
      </c>
    </row>
    <row r="316" spans="16:17" x14ac:dyDescent="0.3">
      <c r="P316" s="40" t="s">
        <v>229</v>
      </c>
      <c r="Q316">
        <v>0</v>
      </c>
    </row>
    <row r="317" spans="16:17" x14ac:dyDescent="0.3">
      <c r="P317" s="40" t="s">
        <v>230</v>
      </c>
      <c r="Q317">
        <v>230000</v>
      </c>
    </row>
    <row r="318" spans="16:17" x14ac:dyDescent="0.3">
      <c r="P318" s="40" t="s">
        <v>231</v>
      </c>
      <c r="Q318">
        <v>0</v>
      </c>
    </row>
    <row r="319" spans="16:17" x14ac:dyDescent="0.3">
      <c r="P319" s="40" t="s">
        <v>351</v>
      </c>
      <c r="Q319">
        <v>44000</v>
      </c>
    </row>
    <row r="320" spans="16:17" x14ac:dyDescent="0.3">
      <c r="P320" s="40" t="s">
        <v>232</v>
      </c>
      <c r="Q320">
        <v>459800</v>
      </c>
    </row>
    <row r="321" spans="16:17" x14ac:dyDescent="0.3">
      <c r="P321" s="40" t="s">
        <v>458</v>
      </c>
      <c r="Q321">
        <v>0</v>
      </c>
    </row>
    <row r="322" spans="16:17" x14ac:dyDescent="0.3">
      <c r="P322" s="40" t="s">
        <v>233</v>
      </c>
      <c r="Q322">
        <v>266200</v>
      </c>
    </row>
    <row r="323" spans="16:17" x14ac:dyDescent="0.3">
      <c r="P323" s="40" t="s">
        <v>352</v>
      </c>
      <c r="Q323">
        <v>0</v>
      </c>
    </row>
    <row r="324" spans="16:17" x14ac:dyDescent="0.3">
      <c r="P324" s="40" t="s">
        <v>234</v>
      </c>
      <c r="Q324">
        <v>508200</v>
      </c>
    </row>
    <row r="325" spans="16:17" x14ac:dyDescent="0.3">
      <c r="P325" s="40" t="s">
        <v>235</v>
      </c>
      <c r="Q325">
        <v>387200</v>
      </c>
    </row>
    <row r="326" spans="16:17" x14ac:dyDescent="0.3">
      <c r="P326" s="40" t="s">
        <v>236</v>
      </c>
      <c r="Q326">
        <v>308000</v>
      </c>
    </row>
    <row r="327" spans="16:17" x14ac:dyDescent="0.3">
      <c r="P327" s="40" t="s">
        <v>237</v>
      </c>
      <c r="Q327">
        <v>13200</v>
      </c>
    </row>
    <row r="328" spans="16:17" x14ac:dyDescent="0.3">
      <c r="P328" s="40" t="s">
        <v>238</v>
      </c>
      <c r="Q328">
        <v>605000</v>
      </c>
    </row>
    <row r="329" spans="16:17" x14ac:dyDescent="0.3">
      <c r="P329" s="40" t="s">
        <v>239</v>
      </c>
      <c r="Q329">
        <v>110000</v>
      </c>
    </row>
    <row r="330" spans="16:17" x14ac:dyDescent="0.3">
      <c r="P330" s="40" t="s">
        <v>240</v>
      </c>
      <c r="Q330">
        <v>1064800</v>
      </c>
    </row>
    <row r="331" spans="16:17" x14ac:dyDescent="0.3">
      <c r="P331" s="40" t="s">
        <v>241</v>
      </c>
      <c r="Q331">
        <v>0</v>
      </c>
    </row>
    <row r="332" spans="16:17" x14ac:dyDescent="0.3">
      <c r="P332" s="40" t="s">
        <v>242</v>
      </c>
      <c r="Q332">
        <v>176000</v>
      </c>
    </row>
    <row r="333" spans="16:17" x14ac:dyDescent="0.3">
      <c r="P333" s="40" t="s">
        <v>243</v>
      </c>
      <c r="Q333">
        <v>96800</v>
      </c>
    </row>
    <row r="334" spans="16:17" x14ac:dyDescent="0.3">
      <c r="P334" s="40" t="s">
        <v>443</v>
      </c>
      <c r="Q334">
        <v>374000</v>
      </c>
    </row>
    <row r="335" spans="16:17" x14ac:dyDescent="0.3">
      <c r="P335" s="40" t="s">
        <v>353</v>
      </c>
      <c r="Q335">
        <v>0</v>
      </c>
    </row>
    <row r="336" spans="16:17" x14ac:dyDescent="0.3">
      <c r="P336" s="40" t="s">
        <v>244</v>
      </c>
      <c r="Q336">
        <v>78000</v>
      </c>
    </row>
    <row r="337" spans="16:17" x14ac:dyDescent="0.3">
      <c r="P337" s="40" t="s">
        <v>395</v>
      </c>
      <c r="Q337">
        <v>0</v>
      </c>
    </row>
    <row r="338" spans="16:17" x14ac:dyDescent="0.3">
      <c r="P338" s="40" t="s">
        <v>245</v>
      </c>
      <c r="Q338">
        <v>700000</v>
      </c>
    </row>
    <row r="339" spans="16:17" x14ac:dyDescent="0.3">
      <c r="P339" s="40" t="s">
        <v>246</v>
      </c>
      <c r="Q339">
        <v>25000</v>
      </c>
    </row>
    <row r="340" spans="16:17" x14ac:dyDescent="0.3">
      <c r="P340" s="40" t="s">
        <v>247</v>
      </c>
      <c r="Q340">
        <v>144000</v>
      </c>
    </row>
    <row r="341" spans="16:17" x14ac:dyDescent="0.3">
      <c r="P341" s="40" t="s">
        <v>248</v>
      </c>
      <c r="Q341">
        <v>61600</v>
      </c>
    </row>
    <row r="342" spans="16:17" x14ac:dyDescent="0.3">
      <c r="P342" s="40" t="s">
        <v>249</v>
      </c>
      <c r="Q342">
        <v>145200</v>
      </c>
    </row>
    <row r="343" spans="16:17" x14ac:dyDescent="0.3">
      <c r="P343" s="40" t="s">
        <v>250</v>
      </c>
      <c r="Q343">
        <v>96800</v>
      </c>
    </row>
    <row r="344" spans="16:17" x14ac:dyDescent="0.3">
      <c r="P344" s="40" t="s">
        <v>251</v>
      </c>
      <c r="Q344">
        <v>0</v>
      </c>
    </row>
    <row r="345" spans="16:17" x14ac:dyDescent="0.3">
      <c r="P345" s="40" t="s">
        <v>252</v>
      </c>
      <c r="Q345">
        <v>738000</v>
      </c>
    </row>
    <row r="346" spans="16:17" x14ac:dyDescent="0.3">
      <c r="P346" s="40" t="s">
        <v>253</v>
      </c>
      <c r="Q346">
        <v>132000</v>
      </c>
    </row>
    <row r="347" spans="16:17" x14ac:dyDescent="0.3">
      <c r="P347" s="40" t="s">
        <v>354</v>
      </c>
      <c r="Q347">
        <v>0</v>
      </c>
    </row>
    <row r="348" spans="16:17" x14ac:dyDescent="0.3">
      <c r="P348" s="40" t="s">
        <v>254</v>
      </c>
      <c r="Q348">
        <v>338800</v>
      </c>
    </row>
    <row r="349" spans="16:17" x14ac:dyDescent="0.3">
      <c r="P349" s="40" t="s">
        <v>255</v>
      </c>
      <c r="Q349">
        <v>24200</v>
      </c>
    </row>
    <row r="350" spans="16:17" x14ac:dyDescent="0.3">
      <c r="P350" s="40" t="s">
        <v>256</v>
      </c>
      <c r="Q350">
        <v>576000</v>
      </c>
    </row>
    <row r="351" spans="16:17" x14ac:dyDescent="0.3">
      <c r="P351" s="40" t="s">
        <v>257</v>
      </c>
      <c r="Q351">
        <v>1000000</v>
      </c>
    </row>
    <row r="352" spans="16:17" x14ac:dyDescent="0.3">
      <c r="P352" s="40" t="s">
        <v>355</v>
      </c>
      <c r="Q352">
        <v>13200</v>
      </c>
    </row>
    <row r="353" spans="16:17" x14ac:dyDescent="0.3">
      <c r="P353" s="40" t="s">
        <v>258</v>
      </c>
      <c r="Q353">
        <v>344000</v>
      </c>
    </row>
    <row r="354" spans="16:17" x14ac:dyDescent="0.3">
      <c r="P354" s="40" t="s">
        <v>259</v>
      </c>
      <c r="Q354">
        <v>72600</v>
      </c>
    </row>
    <row r="355" spans="16:17" x14ac:dyDescent="0.3">
      <c r="P355" s="40" t="s">
        <v>260</v>
      </c>
      <c r="Q355">
        <v>460800</v>
      </c>
    </row>
    <row r="356" spans="16:17" x14ac:dyDescent="0.3">
      <c r="P356" s="40" t="s">
        <v>261</v>
      </c>
      <c r="Q356">
        <v>37400</v>
      </c>
    </row>
    <row r="357" spans="16:17" x14ac:dyDescent="0.3">
      <c r="P357" s="40" t="s">
        <v>262</v>
      </c>
      <c r="Q357">
        <v>701800</v>
      </c>
    </row>
    <row r="358" spans="16:17" x14ac:dyDescent="0.3">
      <c r="P358" s="40" t="s">
        <v>263</v>
      </c>
      <c r="Q358">
        <v>2400000</v>
      </c>
    </row>
    <row r="359" spans="16:17" x14ac:dyDescent="0.3">
      <c r="P359" s="40" t="s">
        <v>264</v>
      </c>
      <c r="Q359">
        <v>0</v>
      </c>
    </row>
    <row r="360" spans="16:17" x14ac:dyDescent="0.3">
      <c r="P360" s="40" t="s">
        <v>439</v>
      </c>
      <c r="Q360">
        <v>616000</v>
      </c>
    </row>
    <row r="361" spans="16:17" x14ac:dyDescent="0.3">
      <c r="P361" s="40" t="s">
        <v>265</v>
      </c>
      <c r="Q361">
        <v>96800</v>
      </c>
    </row>
    <row r="362" spans="16:17" x14ac:dyDescent="0.3">
      <c r="P362" s="40" t="s">
        <v>266</v>
      </c>
      <c r="Q362">
        <v>176000</v>
      </c>
    </row>
    <row r="363" spans="16:17" x14ac:dyDescent="0.3">
      <c r="P363" s="40" t="s">
        <v>267</v>
      </c>
      <c r="Q363">
        <v>145200</v>
      </c>
    </row>
    <row r="364" spans="16:17" x14ac:dyDescent="0.3">
      <c r="P364" s="40" t="s">
        <v>268</v>
      </c>
      <c r="Q364">
        <v>1040600</v>
      </c>
    </row>
    <row r="365" spans="16:17" x14ac:dyDescent="0.3">
      <c r="P365" s="40" t="s">
        <v>269</v>
      </c>
      <c r="Q365">
        <v>774400</v>
      </c>
    </row>
    <row r="366" spans="16:17" x14ac:dyDescent="0.3">
      <c r="P366" s="40" t="s">
        <v>356</v>
      </c>
      <c r="Q366">
        <v>13200</v>
      </c>
    </row>
    <row r="367" spans="16:17" x14ac:dyDescent="0.3">
      <c r="P367" s="40" t="s">
        <v>270</v>
      </c>
      <c r="Q367">
        <v>121000</v>
      </c>
    </row>
    <row r="368" spans="16:17" x14ac:dyDescent="0.3">
      <c r="P368" s="40" t="s">
        <v>422</v>
      </c>
      <c r="Q368">
        <v>193600</v>
      </c>
    </row>
    <row r="369" spans="16:17" x14ac:dyDescent="0.3">
      <c r="P369" s="40" t="s">
        <v>271</v>
      </c>
      <c r="Q369">
        <v>822800</v>
      </c>
    </row>
    <row r="370" spans="16:17" x14ac:dyDescent="0.3">
      <c r="P370" s="40" t="s">
        <v>272</v>
      </c>
      <c r="Q370">
        <v>128000</v>
      </c>
    </row>
    <row r="371" spans="16:17" x14ac:dyDescent="0.3">
      <c r="P371" s="40" t="s">
        <v>273</v>
      </c>
      <c r="Q371">
        <v>56000</v>
      </c>
    </row>
    <row r="372" spans="16:17" x14ac:dyDescent="0.3">
      <c r="P372" s="40" t="s">
        <v>274</v>
      </c>
      <c r="Q372">
        <v>24200</v>
      </c>
    </row>
    <row r="373" spans="16:17" x14ac:dyDescent="0.3">
      <c r="P373" s="40" t="s">
        <v>275</v>
      </c>
      <c r="Q373">
        <v>70400</v>
      </c>
    </row>
    <row r="374" spans="16:17" x14ac:dyDescent="0.3">
      <c r="P374" s="40" t="s">
        <v>276</v>
      </c>
      <c r="Q374">
        <v>204600</v>
      </c>
    </row>
    <row r="375" spans="16:17" x14ac:dyDescent="0.3">
      <c r="P375" s="40" t="s">
        <v>430</v>
      </c>
      <c r="Q375">
        <v>158400</v>
      </c>
    </row>
    <row r="376" spans="16:17" x14ac:dyDescent="0.3">
      <c r="P376" s="40" t="s">
        <v>277</v>
      </c>
      <c r="Q376">
        <v>0</v>
      </c>
    </row>
    <row r="377" spans="16:17" x14ac:dyDescent="0.3">
      <c r="P377" s="40" t="s">
        <v>278</v>
      </c>
      <c r="Q377">
        <v>1075800</v>
      </c>
    </row>
    <row r="378" spans="16:17" x14ac:dyDescent="0.3">
      <c r="P378" s="40" t="s">
        <v>279</v>
      </c>
      <c r="Q378">
        <v>56000</v>
      </c>
    </row>
    <row r="379" spans="16:17" x14ac:dyDescent="0.3">
      <c r="P379" s="40" t="s">
        <v>280</v>
      </c>
      <c r="Q379">
        <v>0</v>
      </c>
    </row>
    <row r="380" spans="16:17" x14ac:dyDescent="0.3">
      <c r="P380" s="40" t="s">
        <v>281</v>
      </c>
      <c r="Q380">
        <v>48400</v>
      </c>
    </row>
    <row r="381" spans="16:17" x14ac:dyDescent="0.3">
      <c r="P381" s="40" t="s">
        <v>282</v>
      </c>
      <c r="Q381">
        <v>459800</v>
      </c>
    </row>
    <row r="382" spans="16:17" x14ac:dyDescent="0.3">
      <c r="P382" s="40" t="s">
        <v>283</v>
      </c>
      <c r="Q382">
        <v>100000</v>
      </c>
    </row>
    <row r="383" spans="16:17" x14ac:dyDescent="0.3">
      <c r="P383" s="40" t="s">
        <v>357</v>
      </c>
      <c r="Q383">
        <v>121000</v>
      </c>
    </row>
    <row r="384" spans="16:17" x14ac:dyDescent="0.3">
      <c r="P384" s="40" t="s">
        <v>284</v>
      </c>
      <c r="Q384">
        <v>0</v>
      </c>
    </row>
    <row r="385" spans="16:17" x14ac:dyDescent="0.3">
      <c r="P385" s="40" t="s">
        <v>285</v>
      </c>
      <c r="Q385">
        <v>132000</v>
      </c>
    </row>
    <row r="386" spans="16:17" x14ac:dyDescent="0.3">
      <c r="P386" s="40" t="s">
        <v>358</v>
      </c>
      <c r="Q386">
        <v>24200</v>
      </c>
    </row>
    <row r="387" spans="16:17" x14ac:dyDescent="0.3">
      <c r="P387" s="40" t="s">
        <v>286</v>
      </c>
      <c r="Q387">
        <v>145200</v>
      </c>
    </row>
    <row r="388" spans="16:17" x14ac:dyDescent="0.3">
      <c r="P388" s="40" t="s">
        <v>287</v>
      </c>
      <c r="Q388">
        <v>107800</v>
      </c>
    </row>
    <row r="389" spans="16:17" x14ac:dyDescent="0.3">
      <c r="P389" s="40" t="s">
        <v>288</v>
      </c>
      <c r="Q389">
        <v>400000</v>
      </c>
    </row>
    <row r="390" spans="16:17" x14ac:dyDescent="0.3">
      <c r="P390" s="40" t="s">
        <v>289</v>
      </c>
      <c r="Q390">
        <v>0</v>
      </c>
    </row>
    <row r="391" spans="16:17" x14ac:dyDescent="0.3">
      <c r="P391" s="40" t="s">
        <v>290</v>
      </c>
      <c r="Q391">
        <v>0</v>
      </c>
    </row>
    <row r="392" spans="16:17" x14ac:dyDescent="0.3">
      <c r="P392" s="40" t="s">
        <v>291</v>
      </c>
      <c r="Q392">
        <v>61600</v>
      </c>
    </row>
    <row r="393" spans="16:17" x14ac:dyDescent="0.3">
      <c r="P393" s="40" t="s">
        <v>292</v>
      </c>
      <c r="Q393">
        <v>0</v>
      </c>
    </row>
    <row r="394" spans="16:17" x14ac:dyDescent="0.3">
      <c r="P394" s="40" t="s">
        <v>293</v>
      </c>
      <c r="Q394">
        <v>158400</v>
      </c>
    </row>
    <row r="395" spans="16:17" x14ac:dyDescent="0.3">
      <c r="P395" s="40" t="s">
        <v>294</v>
      </c>
      <c r="Q395">
        <v>484000</v>
      </c>
    </row>
    <row r="396" spans="16:17" x14ac:dyDescent="0.3">
      <c r="P396" s="40" t="s">
        <v>426</v>
      </c>
      <c r="Q396">
        <v>59400</v>
      </c>
    </row>
    <row r="397" spans="16:17" x14ac:dyDescent="0.3">
      <c r="P397" s="40" t="s">
        <v>295</v>
      </c>
      <c r="Q397">
        <v>24200</v>
      </c>
    </row>
    <row r="398" spans="16:17" x14ac:dyDescent="0.3">
      <c r="P398" s="40" t="s">
        <v>427</v>
      </c>
      <c r="Q398">
        <v>13200</v>
      </c>
    </row>
    <row r="399" spans="16:17" x14ac:dyDescent="0.3">
      <c r="P399" s="40" t="s">
        <v>396</v>
      </c>
      <c r="Q399">
        <v>0</v>
      </c>
    </row>
    <row r="400" spans="16:17" x14ac:dyDescent="0.3">
      <c r="P400" s="40" t="s">
        <v>296</v>
      </c>
      <c r="Q400">
        <v>96800</v>
      </c>
    </row>
    <row r="401" spans="16:17" x14ac:dyDescent="0.3">
      <c r="P401" s="40" t="s">
        <v>297</v>
      </c>
      <c r="Q401">
        <v>0</v>
      </c>
    </row>
    <row r="402" spans="16:17" x14ac:dyDescent="0.3">
      <c r="P402" s="40" t="s">
        <v>359</v>
      </c>
      <c r="Q402">
        <v>24200</v>
      </c>
    </row>
    <row r="403" spans="16:17" x14ac:dyDescent="0.3">
      <c r="P403" s="40" t="s">
        <v>360</v>
      </c>
      <c r="Q403">
        <v>24200</v>
      </c>
    </row>
    <row r="404" spans="16:17" x14ac:dyDescent="0.3">
      <c r="P404" s="40" t="s">
        <v>298</v>
      </c>
      <c r="Q404">
        <v>13200</v>
      </c>
    </row>
    <row r="405" spans="16:17" x14ac:dyDescent="0.3">
      <c r="P405" s="40" t="s">
        <v>299</v>
      </c>
      <c r="Q405">
        <v>0</v>
      </c>
    </row>
    <row r="406" spans="16:17" x14ac:dyDescent="0.3">
      <c r="P406" s="40" t="s">
        <v>300</v>
      </c>
      <c r="Q406">
        <v>37400</v>
      </c>
    </row>
    <row r="407" spans="16:17" x14ac:dyDescent="0.3">
      <c r="P407" s="40" t="s">
        <v>301</v>
      </c>
      <c r="Q407">
        <v>83600</v>
      </c>
    </row>
    <row r="408" spans="16:17" x14ac:dyDescent="0.3">
      <c r="P408" s="40" t="s">
        <v>361</v>
      </c>
      <c r="Q408">
        <v>0</v>
      </c>
    </row>
    <row r="409" spans="16:17" x14ac:dyDescent="0.3">
      <c r="P409" s="40" t="s">
        <v>302</v>
      </c>
      <c r="Q409">
        <v>85800</v>
      </c>
    </row>
    <row r="410" spans="16:17" x14ac:dyDescent="0.3">
      <c r="P410" s="40" t="s">
        <v>303</v>
      </c>
      <c r="Q410">
        <v>13200</v>
      </c>
    </row>
    <row r="411" spans="16:17" x14ac:dyDescent="0.3">
      <c r="P411" s="40" t="s">
        <v>461</v>
      </c>
      <c r="Q411">
        <v>100000</v>
      </c>
    </row>
    <row r="412" spans="16:17" x14ac:dyDescent="0.3">
      <c r="P412" s="40" t="s">
        <v>462</v>
      </c>
      <c r="Q412">
        <v>0</v>
      </c>
    </row>
    <row r="413" spans="16:17" x14ac:dyDescent="0.3">
      <c r="P413" s="40" t="s">
        <v>304</v>
      </c>
      <c r="Q413">
        <v>0</v>
      </c>
    </row>
    <row r="414" spans="16:17" x14ac:dyDescent="0.3">
      <c r="P414" s="40" t="s">
        <v>305</v>
      </c>
      <c r="Q414">
        <v>145200</v>
      </c>
    </row>
    <row r="415" spans="16:17" x14ac:dyDescent="0.3">
      <c r="P415" s="40" t="s">
        <v>306</v>
      </c>
      <c r="Q415">
        <v>88575</v>
      </c>
    </row>
    <row r="416" spans="16:17" x14ac:dyDescent="0.3">
      <c r="P416" s="40" t="s">
        <v>307</v>
      </c>
      <c r="Q416">
        <v>96800</v>
      </c>
    </row>
    <row r="417" spans="16:17" x14ac:dyDescent="0.3">
      <c r="P417" s="40" t="s">
        <v>431</v>
      </c>
      <c r="Q417">
        <v>0</v>
      </c>
    </row>
    <row r="418" spans="16:17" x14ac:dyDescent="0.3">
      <c r="P418" s="40" t="s">
        <v>308</v>
      </c>
      <c r="Q418">
        <v>0</v>
      </c>
    </row>
    <row r="419" spans="16:17" x14ac:dyDescent="0.3">
      <c r="P419" s="40" t="s">
        <v>428</v>
      </c>
      <c r="Q419">
        <v>0</v>
      </c>
    </row>
    <row r="420" spans="16:17" x14ac:dyDescent="0.3">
      <c r="P420" s="40" t="s">
        <v>309</v>
      </c>
      <c r="Q420">
        <v>0</v>
      </c>
    </row>
    <row r="421" spans="16:17" x14ac:dyDescent="0.3">
      <c r="P421" s="40" t="s">
        <v>310</v>
      </c>
      <c r="Q421">
        <v>0</v>
      </c>
    </row>
    <row r="422" spans="16:17" x14ac:dyDescent="0.3">
      <c r="P422" s="40" t="s">
        <v>397</v>
      </c>
      <c r="Q422">
        <v>145200</v>
      </c>
    </row>
    <row r="423" spans="16:17" x14ac:dyDescent="0.3">
      <c r="P423" s="40" t="s">
        <v>424</v>
      </c>
      <c r="Q423">
        <v>0</v>
      </c>
    </row>
    <row r="424" spans="16:17" x14ac:dyDescent="0.3">
      <c r="P424" s="40" t="s">
        <v>446</v>
      </c>
      <c r="Q424">
        <v>188000</v>
      </c>
    </row>
    <row r="425" spans="16:17" x14ac:dyDescent="0.3">
      <c r="P425" s="40" t="s">
        <v>444</v>
      </c>
      <c r="Q425">
        <v>208000</v>
      </c>
    </row>
    <row r="426" spans="16:17" x14ac:dyDescent="0.3">
      <c r="P426" s="40" t="s">
        <v>425</v>
      </c>
      <c r="Q426">
        <v>85800</v>
      </c>
    </row>
    <row r="427" spans="16:17" x14ac:dyDescent="0.3">
      <c r="P427" s="40" t="s">
        <v>400</v>
      </c>
      <c r="Q427">
        <v>0</v>
      </c>
    </row>
    <row r="428" spans="16:17" x14ac:dyDescent="0.3">
      <c r="P428" s="40" t="s">
        <v>401</v>
      </c>
      <c r="Q428">
        <v>0</v>
      </c>
    </row>
    <row r="429" spans="16:17" x14ac:dyDescent="0.3">
      <c r="P429" s="40" t="s">
        <v>402</v>
      </c>
      <c r="Q429">
        <v>0</v>
      </c>
    </row>
    <row r="430" spans="16:17" x14ac:dyDescent="0.3">
      <c r="P430" s="40" t="s">
        <v>388</v>
      </c>
      <c r="Q430">
        <v>508200</v>
      </c>
    </row>
    <row r="431" spans="16:17" x14ac:dyDescent="0.3">
      <c r="P431" s="40" t="s">
        <v>381</v>
      </c>
      <c r="Q431">
        <v>0</v>
      </c>
    </row>
    <row r="432" spans="16:17" x14ac:dyDescent="0.3">
      <c r="P432" s="40" t="s">
        <v>445</v>
      </c>
      <c r="Q432">
        <v>0</v>
      </c>
    </row>
    <row r="433" spans="16:17" x14ac:dyDescent="0.3">
      <c r="P433" s="40" t="s">
        <v>398</v>
      </c>
      <c r="Q433">
        <v>0</v>
      </c>
    </row>
    <row r="434" spans="16:17" x14ac:dyDescent="0.3">
      <c r="P434" s="40" t="s">
        <v>403</v>
      </c>
      <c r="Q434">
        <v>0</v>
      </c>
    </row>
    <row r="435" spans="16:17" x14ac:dyDescent="0.3">
      <c r="P435" s="40" t="s">
        <v>399</v>
      </c>
      <c r="Q435">
        <v>0</v>
      </c>
    </row>
    <row r="436" spans="16:17" x14ac:dyDescent="0.3">
      <c r="P436" s="40" t="s">
        <v>440</v>
      </c>
      <c r="Q436">
        <v>0</v>
      </c>
    </row>
    <row r="437" spans="16:17" x14ac:dyDescent="0.3">
      <c r="P437" s="40" t="s">
        <v>404</v>
      </c>
      <c r="Q437">
        <v>0</v>
      </c>
    </row>
    <row r="438" spans="16:17" x14ac:dyDescent="0.3">
      <c r="P438" s="40" t="s">
        <v>434</v>
      </c>
      <c r="Q438">
        <v>0</v>
      </c>
    </row>
    <row r="439" spans="16:17" x14ac:dyDescent="0.3">
      <c r="P439" s="40" t="s">
        <v>405</v>
      </c>
      <c r="Q439">
        <v>0</v>
      </c>
    </row>
    <row r="440" spans="16:17" x14ac:dyDescent="0.3">
      <c r="P440" s="40" t="s">
        <v>447</v>
      </c>
      <c r="Q440">
        <v>0</v>
      </c>
    </row>
    <row r="441" spans="16:17" x14ac:dyDescent="0.3">
      <c r="P441" s="40" t="s">
        <v>311</v>
      </c>
      <c r="Q441">
        <v>161015265.25999999</v>
      </c>
    </row>
    <row r="442" spans="16:17" x14ac:dyDescent="0.3">
      <c r="Q442"/>
    </row>
    <row r="443" spans="16:17" x14ac:dyDescent="0.3">
      <c r="Q443"/>
    </row>
    <row r="444" spans="16:17" x14ac:dyDescent="0.3">
      <c r="Q444"/>
    </row>
    <row r="445" spans="16:17" x14ac:dyDescent="0.3">
      <c r="Q445"/>
    </row>
    <row r="446" spans="16:17" x14ac:dyDescent="0.3">
      <c r="Q44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9BEAF-F659-4318-8628-9C3A9D2519A3}">
  <sheetPr codeName="Hoja4"/>
  <dimension ref="A1:D440"/>
  <sheetViews>
    <sheetView tabSelected="1" topLeftCell="A70" workbookViewId="0">
      <selection activeCell="L80" sqref="L80"/>
    </sheetView>
  </sheetViews>
  <sheetFormatPr baseColWidth="10" defaultRowHeight="14.4" x14ac:dyDescent="0.3"/>
  <cols>
    <col min="1" max="1" width="12.109375" bestFit="1" customWidth="1"/>
    <col min="2" max="2" width="14.88671875" bestFit="1" customWidth="1"/>
    <col min="4" max="4" width="22.6640625" style="60" bestFit="1" customWidth="1"/>
  </cols>
  <sheetData>
    <row r="1" spans="1:4" x14ac:dyDescent="0.3">
      <c r="A1" t="s">
        <v>0</v>
      </c>
      <c r="B1" t="s">
        <v>30</v>
      </c>
      <c r="C1" t="s">
        <v>0</v>
      </c>
      <c r="D1" s="60" t="s">
        <v>477</v>
      </c>
    </row>
    <row r="2" spans="1:4" x14ac:dyDescent="0.3">
      <c r="A2">
        <v>400208</v>
      </c>
      <c r="B2">
        <v>688600</v>
      </c>
      <c r="C2" t="s">
        <v>29</v>
      </c>
      <c r="D2" s="60">
        <v>1263416.9690128588</v>
      </c>
    </row>
    <row r="3" spans="1:4" x14ac:dyDescent="0.3">
      <c r="A3">
        <v>400211</v>
      </c>
      <c r="B3">
        <v>644600</v>
      </c>
      <c r="C3">
        <v>421654</v>
      </c>
      <c r="D3" s="60">
        <v>742000</v>
      </c>
    </row>
    <row r="4" spans="1:4" x14ac:dyDescent="0.3">
      <c r="A4">
        <v>400213</v>
      </c>
      <c r="B4">
        <v>83600</v>
      </c>
      <c r="C4" t="s">
        <v>215</v>
      </c>
      <c r="D4" s="60">
        <v>1118880</v>
      </c>
    </row>
    <row r="5" spans="1:4" x14ac:dyDescent="0.3">
      <c r="A5" t="s">
        <v>41</v>
      </c>
      <c r="B5">
        <v>83600</v>
      </c>
      <c r="C5" t="s">
        <v>154</v>
      </c>
      <c r="D5" s="60">
        <v>393000</v>
      </c>
    </row>
    <row r="6" spans="1:4" x14ac:dyDescent="0.3">
      <c r="A6">
        <v>400256</v>
      </c>
      <c r="B6">
        <v>0</v>
      </c>
      <c r="C6" t="s">
        <v>432</v>
      </c>
      <c r="D6" s="60">
        <v>1120000</v>
      </c>
    </row>
    <row r="7" spans="1:4" x14ac:dyDescent="0.3">
      <c r="A7">
        <v>400279</v>
      </c>
      <c r="B7">
        <v>0</v>
      </c>
      <c r="C7" t="s">
        <v>456</v>
      </c>
      <c r="D7" s="60">
        <v>366000</v>
      </c>
    </row>
    <row r="8" spans="1:4" x14ac:dyDescent="0.3">
      <c r="A8">
        <v>400282</v>
      </c>
      <c r="B8">
        <v>0</v>
      </c>
      <c r="C8">
        <v>422016</v>
      </c>
      <c r="D8" s="60">
        <v>216000</v>
      </c>
    </row>
    <row r="9" spans="1:4" x14ac:dyDescent="0.3">
      <c r="A9" t="s">
        <v>43</v>
      </c>
      <c r="B9">
        <v>110000</v>
      </c>
      <c r="C9">
        <v>453298</v>
      </c>
      <c r="D9" s="60">
        <v>245000</v>
      </c>
    </row>
    <row r="10" spans="1:4" x14ac:dyDescent="0.3">
      <c r="A10">
        <v>400292</v>
      </c>
      <c r="B10">
        <v>24200</v>
      </c>
      <c r="C10">
        <v>422297</v>
      </c>
      <c r="D10" s="60">
        <v>460000</v>
      </c>
    </row>
    <row r="11" spans="1:4" x14ac:dyDescent="0.3">
      <c r="A11">
        <v>400293</v>
      </c>
      <c r="B11">
        <v>1414600</v>
      </c>
      <c r="C11" t="s">
        <v>33</v>
      </c>
      <c r="D11" s="60">
        <v>121000</v>
      </c>
    </row>
    <row r="12" spans="1:4" x14ac:dyDescent="0.3">
      <c r="A12">
        <v>400296</v>
      </c>
      <c r="B12">
        <v>338800</v>
      </c>
      <c r="C12" t="s">
        <v>158</v>
      </c>
      <c r="D12" s="60">
        <v>127000</v>
      </c>
    </row>
    <row r="13" spans="1:4" x14ac:dyDescent="0.3">
      <c r="A13">
        <v>400298</v>
      </c>
      <c r="B13">
        <v>145200</v>
      </c>
      <c r="C13" t="s">
        <v>196</v>
      </c>
      <c r="D13" s="60">
        <v>132000</v>
      </c>
    </row>
    <row r="14" spans="1:4" x14ac:dyDescent="0.3">
      <c r="A14">
        <v>400299</v>
      </c>
      <c r="B14">
        <v>169400</v>
      </c>
      <c r="C14" t="s">
        <v>18</v>
      </c>
      <c r="D14" s="60">
        <v>235200</v>
      </c>
    </row>
    <row r="15" spans="1:4" x14ac:dyDescent="0.3">
      <c r="A15">
        <v>400301</v>
      </c>
      <c r="B15">
        <v>13200</v>
      </c>
      <c r="C15">
        <v>422444</v>
      </c>
      <c r="D15" s="60">
        <v>98000</v>
      </c>
    </row>
    <row r="16" spans="1:4" x14ac:dyDescent="0.3">
      <c r="A16">
        <v>400303</v>
      </c>
      <c r="B16">
        <v>24200</v>
      </c>
      <c r="C16">
        <v>422443</v>
      </c>
      <c r="D16" s="60">
        <v>98000</v>
      </c>
    </row>
    <row r="17" spans="1:4" x14ac:dyDescent="0.3">
      <c r="A17" t="s">
        <v>423</v>
      </c>
      <c r="B17">
        <v>0</v>
      </c>
      <c r="C17" t="s">
        <v>36</v>
      </c>
      <c r="D17" s="60">
        <v>108000</v>
      </c>
    </row>
    <row r="18" spans="1:4" x14ac:dyDescent="0.3">
      <c r="A18">
        <v>400304</v>
      </c>
      <c r="B18">
        <v>13200</v>
      </c>
      <c r="C18" t="s">
        <v>439</v>
      </c>
      <c r="D18" s="60">
        <v>111000</v>
      </c>
    </row>
    <row r="19" spans="1:4" x14ac:dyDescent="0.3">
      <c r="A19">
        <v>400307</v>
      </c>
      <c r="B19">
        <v>0</v>
      </c>
      <c r="C19">
        <v>422088</v>
      </c>
      <c r="D19" s="60">
        <v>96000</v>
      </c>
    </row>
    <row r="20" spans="1:4" x14ac:dyDescent="0.3">
      <c r="A20">
        <v>400309</v>
      </c>
      <c r="B20">
        <v>48400</v>
      </c>
      <c r="C20" t="s">
        <v>245</v>
      </c>
      <c r="D20" s="60">
        <v>129000</v>
      </c>
    </row>
    <row r="21" spans="1:4" x14ac:dyDescent="0.3">
      <c r="A21">
        <v>400311</v>
      </c>
      <c r="B21">
        <v>1573000</v>
      </c>
      <c r="C21" t="s">
        <v>9</v>
      </c>
      <c r="D21" s="60">
        <v>164000</v>
      </c>
    </row>
    <row r="22" spans="1:4" x14ac:dyDescent="0.3">
      <c r="A22">
        <v>400312</v>
      </c>
      <c r="B22">
        <v>59400</v>
      </c>
      <c r="C22">
        <v>422003</v>
      </c>
      <c r="D22" s="60">
        <v>104000</v>
      </c>
    </row>
    <row r="23" spans="1:4" x14ac:dyDescent="0.3">
      <c r="A23" t="s">
        <v>54</v>
      </c>
      <c r="B23">
        <v>72600</v>
      </c>
      <c r="C23">
        <v>453074</v>
      </c>
      <c r="D23" s="60">
        <v>30600</v>
      </c>
    </row>
    <row r="24" spans="1:4" x14ac:dyDescent="0.3">
      <c r="A24">
        <v>400314</v>
      </c>
      <c r="B24">
        <v>83600</v>
      </c>
      <c r="C24" t="s">
        <v>31</v>
      </c>
      <c r="D24" s="60">
        <v>126000</v>
      </c>
    </row>
    <row r="25" spans="1:4" x14ac:dyDescent="0.3">
      <c r="A25">
        <v>400990</v>
      </c>
      <c r="B25">
        <v>0</v>
      </c>
      <c r="C25" t="s">
        <v>23</v>
      </c>
      <c r="D25" s="60">
        <v>198000</v>
      </c>
    </row>
    <row r="26" spans="1:4" x14ac:dyDescent="0.3">
      <c r="A26" t="s">
        <v>450</v>
      </c>
      <c r="B26">
        <v>0</v>
      </c>
      <c r="C26">
        <v>422086</v>
      </c>
      <c r="D26" s="60">
        <v>128000</v>
      </c>
    </row>
    <row r="27" spans="1:4" x14ac:dyDescent="0.3">
      <c r="A27" t="s">
        <v>379</v>
      </c>
      <c r="B27">
        <v>0</v>
      </c>
      <c r="C27" t="s">
        <v>165</v>
      </c>
      <c r="D27" s="60">
        <v>90000</v>
      </c>
    </row>
    <row r="28" spans="1:4" x14ac:dyDescent="0.3">
      <c r="A28" t="s">
        <v>380</v>
      </c>
      <c r="B28">
        <v>9220.26</v>
      </c>
      <c r="C28" t="s">
        <v>164</v>
      </c>
      <c r="D28" s="60">
        <v>89000</v>
      </c>
    </row>
    <row r="29" spans="1:4" x14ac:dyDescent="0.3">
      <c r="A29" t="s">
        <v>57</v>
      </c>
      <c r="B29">
        <v>0</v>
      </c>
      <c r="C29">
        <v>450829</v>
      </c>
      <c r="D29" s="60">
        <v>75375</v>
      </c>
    </row>
    <row r="30" spans="1:4" x14ac:dyDescent="0.3">
      <c r="A30" t="s">
        <v>58</v>
      </c>
      <c r="B30">
        <v>0</v>
      </c>
      <c r="C30" t="s">
        <v>22</v>
      </c>
      <c r="D30" s="60">
        <v>117500</v>
      </c>
    </row>
    <row r="31" spans="1:4" x14ac:dyDescent="0.3">
      <c r="A31">
        <v>403076</v>
      </c>
      <c r="B31">
        <v>1102200</v>
      </c>
      <c r="C31">
        <v>422007</v>
      </c>
      <c r="D31" s="60">
        <v>85000</v>
      </c>
    </row>
    <row r="32" spans="1:4" x14ac:dyDescent="0.3">
      <c r="A32">
        <v>403085</v>
      </c>
      <c r="B32">
        <v>266200</v>
      </c>
      <c r="C32">
        <v>453378</v>
      </c>
      <c r="D32" s="60">
        <v>79200</v>
      </c>
    </row>
    <row r="33" spans="1:4" x14ac:dyDescent="0.3">
      <c r="A33">
        <v>403092</v>
      </c>
      <c r="B33">
        <v>0</v>
      </c>
      <c r="C33">
        <v>421867</v>
      </c>
      <c r="D33" s="60">
        <v>99000</v>
      </c>
    </row>
    <row r="34" spans="1:4" x14ac:dyDescent="0.3">
      <c r="A34">
        <v>403107</v>
      </c>
      <c r="B34">
        <v>0</v>
      </c>
      <c r="C34" t="s">
        <v>452</v>
      </c>
      <c r="D34" s="60">
        <v>110000</v>
      </c>
    </row>
    <row r="35" spans="1:4" x14ac:dyDescent="0.3">
      <c r="A35">
        <v>403109</v>
      </c>
      <c r="B35">
        <v>132000</v>
      </c>
      <c r="C35">
        <v>453257</v>
      </c>
      <c r="D35" s="60">
        <v>26100</v>
      </c>
    </row>
    <row r="36" spans="1:4" x14ac:dyDescent="0.3">
      <c r="A36">
        <v>403110</v>
      </c>
      <c r="B36">
        <v>110000</v>
      </c>
      <c r="C36" t="s">
        <v>150</v>
      </c>
      <c r="D36" s="60">
        <v>0</v>
      </c>
    </row>
    <row r="37" spans="1:4" x14ac:dyDescent="0.3">
      <c r="A37">
        <v>403372</v>
      </c>
      <c r="B37">
        <v>0</v>
      </c>
      <c r="C37" t="s">
        <v>152</v>
      </c>
      <c r="D37" s="60">
        <v>0</v>
      </c>
    </row>
    <row r="38" spans="1:4" x14ac:dyDescent="0.3">
      <c r="A38">
        <v>403388</v>
      </c>
      <c r="B38">
        <v>0</v>
      </c>
      <c r="C38">
        <v>422449</v>
      </c>
      <c r="D38" s="60">
        <v>85000</v>
      </c>
    </row>
    <row r="39" spans="1:4" x14ac:dyDescent="0.3">
      <c r="A39">
        <v>403577</v>
      </c>
      <c r="B39">
        <v>0</v>
      </c>
      <c r="C39">
        <v>420321</v>
      </c>
      <c r="D39" s="60">
        <v>0</v>
      </c>
    </row>
    <row r="40" spans="1:4" x14ac:dyDescent="0.3">
      <c r="A40">
        <v>403584</v>
      </c>
      <c r="B40">
        <v>24200</v>
      </c>
      <c r="C40">
        <v>453195</v>
      </c>
      <c r="D40" s="60">
        <v>89600</v>
      </c>
    </row>
    <row r="41" spans="1:4" x14ac:dyDescent="0.3">
      <c r="A41">
        <v>403763</v>
      </c>
      <c r="B41">
        <v>0</v>
      </c>
      <c r="C41" t="s">
        <v>35</v>
      </c>
      <c r="D41" s="60">
        <v>43500</v>
      </c>
    </row>
    <row r="42" spans="1:4" x14ac:dyDescent="0.3">
      <c r="A42">
        <v>403844</v>
      </c>
      <c r="B42">
        <v>0</v>
      </c>
      <c r="C42" t="s">
        <v>34</v>
      </c>
      <c r="D42" s="60">
        <v>0</v>
      </c>
    </row>
    <row r="43" spans="1:4" x14ac:dyDescent="0.3">
      <c r="A43">
        <v>403901</v>
      </c>
      <c r="B43">
        <v>327800</v>
      </c>
      <c r="C43">
        <v>452466</v>
      </c>
      <c r="D43" s="60">
        <v>0</v>
      </c>
    </row>
    <row r="44" spans="1:4" x14ac:dyDescent="0.3">
      <c r="A44">
        <v>403970</v>
      </c>
      <c r="B44">
        <v>0</v>
      </c>
      <c r="C44">
        <v>420324</v>
      </c>
      <c r="D44" s="60">
        <v>0</v>
      </c>
    </row>
    <row r="45" spans="1:4" x14ac:dyDescent="0.3">
      <c r="A45" t="s">
        <v>68</v>
      </c>
      <c r="B45">
        <v>121000</v>
      </c>
      <c r="C45">
        <v>451383</v>
      </c>
      <c r="D45" s="60">
        <v>0</v>
      </c>
    </row>
    <row r="46" spans="1:4" x14ac:dyDescent="0.3">
      <c r="A46">
        <v>403980</v>
      </c>
      <c r="B46">
        <v>37400</v>
      </c>
      <c r="C46" t="s">
        <v>422</v>
      </c>
      <c r="D46" s="60">
        <v>0</v>
      </c>
    </row>
    <row r="47" spans="1:4" x14ac:dyDescent="0.3">
      <c r="A47" t="s">
        <v>391</v>
      </c>
      <c r="B47">
        <v>0</v>
      </c>
      <c r="C47">
        <v>413240</v>
      </c>
      <c r="D47" s="60">
        <v>33000</v>
      </c>
    </row>
    <row r="48" spans="1:4" x14ac:dyDescent="0.3">
      <c r="A48">
        <v>403987</v>
      </c>
      <c r="B48">
        <v>0</v>
      </c>
      <c r="C48" t="s">
        <v>219</v>
      </c>
      <c r="D48" s="60">
        <v>0</v>
      </c>
    </row>
    <row r="49" spans="1:4" x14ac:dyDescent="0.3">
      <c r="A49">
        <v>403988</v>
      </c>
      <c r="B49">
        <v>0</v>
      </c>
      <c r="C49" t="s">
        <v>233</v>
      </c>
      <c r="D49" s="60">
        <v>52000</v>
      </c>
    </row>
    <row r="50" spans="1:4" x14ac:dyDescent="0.3">
      <c r="A50">
        <v>403993</v>
      </c>
      <c r="B50">
        <v>0</v>
      </c>
      <c r="C50">
        <v>422136</v>
      </c>
      <c r="D50" s="60">
        <v>52200</v>
      </c>
    </row>
    <row r="51" spans="1:4" x14ac:dyDescent="0.3">
      <c r="A51">
        <v>403994</v>
      </c>
      <c r="B51">
        <v>290400</v>
      </c>
      <c r="C51">
        <v>422185</v>
      </c>
      <c r="D51" s="60">
        <v>60750</v>
      </c>
    </row>
    <row r="52" spans="1:4" x14ac:dyDescent="0.3">
      <c r="A52">
        <v>403996</v>
      </c>
      <c r="B52">
        <v>204600</v>
      </c>
      <c r="C52">
        <v>412203</v>
      </c>
      <c r="D52" s="60">
        <v>30925</v>
      </c>
    </row>
    <row r="53" spans="1:4" x14ac:dyDescent="0.3">
      <c r="A53">
        <v>403998</v>
      </c>
      <c r="B53">
        <v>0</v>
      </c>
      <c r="C53">
        <v>453055</v>
      </c>
      <c r="D53" s="60">
        <v>55000</v>
      </c>
    </row>
    <row r="54" spans="1:4" x14ac:dyDescent="0.3">
      <c r="A54">
        <v>404003</v>
      </c>
      <c r="B54">
        <v>2699400</v>
      </c>
      <c r="C54">
        <v>422470</v>
      </c>
      <c r="D54" s="60">
        <v>27000</v>
      </c>
    </row>
    <row r="55" spans="1:4" x14ac:dyDescent="0.3">
      <c r="A55" t="s">
        <v>314</v>
      </c>
      <c r="B55">
        <v>37400</v>
      </c>
      <c r="C55">
        <v>422262</v>
      </c>
      <c r="D55" s="60">
        <v>36000</v>
      </c>
    </row>
    <row r="56" spans="1:4" x14ac:dyDescent="0.3">
      <c r="A56" t="s">
        <v>315</v>
      </c>
      <c r="B56">
        <v>48400</v>
      </c>
      <c r="C56">
        <v>412206</v>
      </c>
      <c r="D56" s="60">
        <v>0</v>
      </c>
    </row>
    <row r="57" spans="1:4" x14ac:dyDescent="0.3">
      <c r="A57">
        <v>404006</v>
      </c>
      <c r="B57">
        <v>59400</v>
      </c>
      <c r="C57" t="s">
        <v>438</v>
      </c>
      <c r="D57" s="60">
        <v>60800</v>
      </c>
    </row>
    <row r="58" spans="1:4" x14ac:dyDescent="0.3">
      <c r="A58">
        <v>404011</v>
      </c>
      <c r="B58">
        <v>0</v>
      </c>
      <c r="C58">
        <v>453526</v>
      </c>
      <c r="D58" s="60">
        <v>0</v>
      </c>
    </row>
    <row r="59" spans="1:4" x14ac:dyDescent="0.3">
      <c r="A59">
        <v>404014</v>
      </c>
      <c r="B59">
        <v>13200</v>
      </c>
      <c r="C59" t="s">
        <v>285</v>
      </c>
      <c r="D59" s="60">
        <v>0</v>
      </c>
    </row>
    <row r="60" spans="1:4" x14ac:dyDescent="0.3">
      <c r="A60">
        <v>404015</v>
      </c>
      <c r="B60">
        <v>72600</v>
      </c>
      <c r="C60" t="s">
        <v>54</v>
      </c>
      <c r="D60" s="60">
        <v>0</v>
      </c>
    </row>
    <row r="61" spans="1:4" x14ac:dyDescent="0.3">
      <c r="A61">
        <v>404018</v>
      </c>
      <c r="B61">
        <v>107800</v>
      </c>
      <c r="C61">
        <v>422420</v>
      </c>
      <c r="D61" s="60">
        <v>0</v>
      </c>
    </row>
    <row r="62" spans="1:4" x14ac:dyDescent="0.3">
      <c r="A62">
        <v>404020</v>
      </c>
      <c r="B62">
        <v>642400</v>
      </c>
      <c r="C62" t="s">
        <v>185</v>
      </c>
      <c r="D62" s="60">
        <v>0</v>
      </c>
    </row>
    <row r="63" spans="1:4" x14ac:dyDescent="0.3">
      <c r="A63">
        <v>404033</v>
      </c>
      <c r="B63">
        <v>459800</v>
      </c>
      <c r="C63">
        <v>422480</v>
      </c>
      <c r="D63" s="60">
        <v>9500</v>
      </c>
    </row>
    <row r="64" spans="1:4" x14ac:dyDescent="0.3">
      <c r="A64" t="s">
        <v>82</v>
      </c>
      <c r="B64">
        <v>83600</v>
      </c>
      <c r="C64">
        <v>453449</v>
      </c>
      <c r="D64" s="60">
        <v>27300</v>
      </c>
    </row>
    <row r="65" spans="1:4" x14ac:dyDescent="0.3">
      <c r="A65">
        <v>404041</v>
      </c>
      <c r="B65">
        <v>61600</v>
      </c>
      <c r="C65">
        <v>453333</v>
      </c>
      <c r="D65" s="60">
        <v>26000</v>
      </c>
    </row>
    <row r="66" spans="1:4" x14ac:dyDescent="0.3">
      <c r="A66">
        <v>404043</v>
      </c>
      <c r="B66">
        <v>0</v>
      </c>
      <c r="C66">
        <v>453363</v>
      </c>
      <c r="D66" s="60">
        <v>0</v>
      </c>
    </row>
    <row r="67" spans="1:4" x14ac:dyDescent="0.3">
      <c r="A67">
        <v>404051</v>
      </c>
      <c r="B67">
        <v>24200</v>
      </c>
      <c r="C67">
        <v>453719</v>
      </c>
      <c r="D67" s="60">
        <v>22000</v>
      </c>
    </row>
    <row r="68" spans="1:4" x14ac:dyDescent="0.3">
      <c r="A68">
        <v>404053</v>
      </c>
      <c r="B68">
        <v>338800</v>
      </c>
      <c r="C68" t="s">
        <v>407</v>
      </c>
      <c r="D68" s="60">
        <v>40000</v>
      </c>
    </row>
    <row r="69" spans="1:4" x14ac:dyDescent="0.3">
      <c r="A69">
        <v>404055</v>
      </c>
      <c r="B69">
        <v>338800</v>
      </c>
      <c r="C69" t="s">
        <v>340</v>
      </c>
      <c r="D69" s="60">
        <v>0</v>
      </c>
    </row>
    <row r="70" spans="1:4" x14ac:dyDescent="0.3">
      <c r="A70">
        <v>404430</v>
      </c>
      <c r="B70">
        <v>0</v>
      </c>
      <c r="C70">
        <v>421686</v>
      </c>
      <c r="D70" s="60">
        <v>0</v>
      </c>
    </row>
    <row r="71" spans="1:4" x14ac:dyDescent="0.3">
      <c r="A71">
        <v>404438</v>
      </c>
      <c r="B71">
        <v>0</v>
      </c>
      <c r="C71" t="s">
        <v>143</v>
      </c>
      <c r="D71" s="60">
        <v>21000</v>
      </c>
    </row>
    <row r="72" spans="1:4" x14ac:dyDescent="0.3">
      <c r="A72">
        <v>404448</v>
      </c>
      <c r="B72">
        <v>0</v>
      </c>
      <c r="C72" t="s">
        <v>301</v>
      </c>
      <c r="D72" s="60">
        <v>0</v>
      </c>
    </row>
    <row r="73" spans="1:4" x14ac:dyDescent="0.3">
      <c r="A73" t="s">
        <v>85</v>
      </c>
      <c r="B73">
        <v>708000</v>
      </c>
      <c r="C73" t="s">
        <v>339</v>
      </c>
      <c r="D73" s="60">
        <v>0</v>
      </c>
    </row>
    <row r="74" spans="1:4" x14ac:dyDescent="0.3">
      <c r="A74" t="s">
        <v>86</v>
      </c>
      <c r="B74">
        <v>0</v>
      </c>
      <c r="C74">
        <v>453215</v>
      </c>
      <c r="D74" s="60">
        <v>0</v>
      </c>
    </row>
    <row r="75" spans="1:4" x14ac:dyDescent="0.3">
      <c r="A75" t="s">
        <v>87</v>
      </c>
      <c r="B75">
        <v>456000</v>
      </c>
      <c r="C75">
        <v>421100</v>
      </c>
      <c r="D75" s="60">
        <v>0</v>
      </c>
    </row>
    <row r="76" spans="1:4" x14ac:dyDescent="0.3">
      <c r="A76">
        <v>404676</v>
      </c>
      <c r="B76">
        <v>96000</v>
      </c>
      <c r="C76">
        <v>411490</v>
      </c>
      <c r="D76" s="60">
        <v>0</v>
      </c>
    </row>
    <row r="77" spans="1:4" x14ac:dyDescent="0.3">
      <c r="A77" t="s">
        <v>320</v>
      </c>
      <c r="B77">
        <v>203600</v>
      </c>
      <c r="C77">
        <v>451384</v>
      </c>
      <c r="D77" s="60">
        <v>0</v>
      </c>
    </row>
    <row r="78" spans="1:4" x14ac:dyDescent="0.3">
      <c r="A78">
        <v>405714</v>
      </c>
      <c r="B78">
        <v>0</v>
      </c>
      <c r="C78" t="s">
        <v>246</v>
      </c>
      <c r="D78" s="60">
        <v>0</v>
      </c>
    </row>
    <row r="79" spans="1:4" x14ac:dyDescent="0.3">
      <c r="A79">
        <v>406445</v>
      </c>
      <c r="B79">
        <v>0</v>
      </c>
      <c r="C79">
        <v>400314</v>
      </c>
      <c r="D79" s="60">
        <v>12000</v>
      </c>
    </row>
    <row r="80" spans="1:4" x14ac:dyDescent="0.3">
      <c r="A80">
        <v>406449</v>
      </c>
      <c r="B80">
        <v>0</v>
      </c>
      <c r="C80">
        <v>421019</v>
      </c>
      <c r="D80" s="60">
        <v>0</v>
      </c>
    </row>
    <row r="81" spans="1:4" x14ac:dyDescent="0.3">
      <c r="A81">
        <v>406453</v>
      </c>
      <c r="B81">
        <v>0</v>
      </c>
      <c r="C81">
        <v>453479</v>
      </c>
      <c r="D81" s="60">
        <v>0</v>
      </c>
    </row>
    <row r="82" spans="1:4" x14ac:dyDescent="0.3">
      <c r="A82">
        <v>406457</v>
      </c>
      <c r="B82">
        <v>0</v>
      </c>
      <c r="C82">
        <v>453640</v>
      </c>
      <c r="D82" s="60">
        <v>0</v>
      </c>
    </row>
    <row r="83" spans="1:4" x14ac:dyDescent="0.3">
      <c r="A83">
        <v>406460</v>
      </c>
      <c r="B83">
        <v>0</v>
      </c>
      <c r="C83">
        <v>420323</v>
      </c>
      <c r="D83" s="60">
        <v>0</v>
      </c>
    </row>
    <row r="84" spans="1:4" x14ac:dyDescent="0.3">
      <c r="A84">
        <v>406465</v>
      </c>
      <c r="B84">
        <v>0</v>
      </c>
      <c r="C84" t="s">
        <v>352</v>
      </c>
      <c r="D84" s="60">
        <v>0</v>
      </c>
    </row>
    <row r="85" spans="1:4" x14ac:dyDescent="0.3">
      <c r="A85">
        <v>406469</v>
      </c>
      <c r="B85">
        <v>0</v>
      </c>
      <c r="C85">
        <v>453645</v>
      </c>
      <c r="D85" s="60">
        <v>0</v>
      </c>
    </row>
    <row r="86" spans="1:4" x14ac:dyDescent="0.3">
      <c r="A86" t="s">
        <v>416</v>
      </c>
      <c r="B86">
        <v>0</v>
      </c>
      <c r="C86" t="s">
        <v>341</v>
      </c>
      <c r="D86" s="60">
        <v>0</v>
      </c>
    </row>
    <row r="87" spans="1:4" x14ac:dyDescent="0.3">
      <c r="A87">
        <v>406492</v>
      </c>
      <c r="B87">
        <v>0</v>
      </c>
      <c r="C87" t="s">
        <v>140</v>
      </c>
      <c r="D87" s="60">
        <v>0</v>
      </c>
    </row>
    <row r="88" spans="1:4" x14ac:dyDescent="0.3">
      <c r="A88">
        <v>406503</v>
      </c>
      <c r="B88">
        <v>0</v>
      </c>
      <c r="C88" t="s">
        <v>358</v>
      </c>
      <c r="D88" s="60">
        <v>0</v>
      </c>
    </row>
    <row r="89" spans="1:4" x14ac:dyDescent="0.3">
      <c r="A89">
        <v>406505</v>
      </c>
      <c r="B89">
        <v>0</v>
      </c>
      <c r="C89" t="s">
        <v>356</v>
      </c>
      <c r="D89" s="60">
        <v>8800</v>
      </c>
    </row>
    <row r="90" spans="1:4" x14ac:dyDescent="0.3">
      <c r="A90">
        <v>406508</v>
      </c>
      <c r="B90">
        <v>0</v>
      </c>
      <c r="C90" t="s">
        <v>161</v>
      </c>
      <c r="D90" s="60">
        <v>0</v>
      </c>
    </row>
    <row r="91" spans="1:4" x14ac:dyDescent="0.3">
      <c r="A91">
        <v>406513</v>
      </c>
      <c r="B91">
        <v>0</v>
      </c>
      <c r="C91" t="s">
        <v>201</v>
      </c>
      <c r="D91" s="60">
        <v>0</v>
      </c>
    </row>
    <row r="92" spans="1:4" x14ac:dyDescent="0.3">
      <c r="A92">
        <v>406518</v>
      </c>
      <c r="B92">
        <v>0</v>
      </c>
      <c r="C92">
        <v>422481</v>
      </c>
      <c r="D92" s="60">
        <v>4000</v>
      </c>
    </row>
    <row r="93" spans="1:4" x14ac:dyDescent="0.3">
      <c r="A93">
        <v>406546</v>
      </c>
      <c r="B93">
        <v>0</v>
      </c>
      <c r="C93">
        <v>422004</v>
      </c>
      <c r="D93" s="60">
        <v>0</v>
      </c>
    </row>
    <row r="94" spans="1:4" x14ac:dyDescent="0.3">
      <c r="A94">
        <v>406717</v>
      </c>
      <c r="B94">
        <v>0</v>
      </c>
      <c r="C94">
        <v>453423</v>
      </c>
      <c r="D94" s="60">
        <v>0</v>
      </c>
    </row>
    <row r="95" spans="1:4" x14ac:dyDescent="0.3">
      <c r="A95">
        <v>406884</v>
      </c>
      <c r="B95">
        <v>0</v>
      </c>
      <c r="C95">
        <v>422769</v>
      </c>
      <c r="D95" s="60">
        <v>270</v>
      </c>
    </row>
    <row r="96" spans="1:4" x14ac:dyDescent="0.3">
      <c r="A96">
        <v>406970</v>
      </c>
      <c r="B96">
        <v>0</v>
      </c>
    </row>
    <row r="97" spans="1:2" x14ac:dyDescent="0.3">
      <c r="A97">
        <v>407010</v>
      </c>
      <c r="B97">
        <v>0</v>
      </c>
    </row>
    <row r="98" spans="1:2" x14ac:dyDescent="0.3">
      <c r="A98">
        <v>407034</v>
      </c>
      <c r="B98">
        <v>0</v>
      </c>
    </row>
    <row r="99" spans="1:2" x14ac:dyDescent="0.3">
      <c r="A99">
        <v>407040</v>
      </c>
      <c r="B99">
        <v>0</v>
      </c>
    </row>
    <row r="100" spans="1:2" x14ac:dyDescent="0.3">
      <c r="A100" t="s">
        <v>101</v>
      </c>
      <c r="B100">
        <v>0</v>
      </c>
    </row>
    <row r="101" spans="1:2" x14ac:dyDescent="0.3">
      <c r="A101">
        <v>407073</v>
      </c>
      <c r="B101">
        <v>0</v>
      </c>
    </row>
    <row r="102" spans="1:2" x14ac:dyDescent="0.3">
      <c r="A102">
        <v>407076</v>
      </c>
      <c r="B102">
        <v>0</v>
      </c>
    </row>
    <row r="103" spans="1:2" x14ac:dyDescent="0.3">
      <c r="A103">
        <v>407099</v>
      </c>
      <c r="B103">
        <v>0</v>
      </c>
    </row>
    <row r="104" spans="1:2" x14ac:dyDescent="0.3">
      <c r="A104">
        <v>407102</v>
      </c>
      <c r="B104">
        <v>0</v>
      </c>
    </row>
    <row r="105" spans="1:2" x14ac:dyDescent="0.3">
      <c r="A105">
        <v>407103</v>
      </c>
      <c r="B105">
        <v>0</v>
      </c>
    </row>
    <row r="106" spans="1:2" x14ac:dyDescent="0.3">
      <c r="A106">
        <v>407110</v>
      </c>
      <c r="B106">
        <v>0</v>
      </c>
    </row>
    <row r="107" spans="1:2" x14ac:dyDescent="0.3">
      <c r="A107">
        <v>407159</v>
      </c>
      <c r="B107">
        <v>0</v>
      </c>
    </row>
    <row r="108" spans="1:2" x14ac:dyDescent="0.3">
      <c r="A108">
        <v>407169</v>
      </c>
      <c r="B108">
        <v>0</v>
      </c>
    </row>
    <row r="109" spans="1:2" x14ac:dyDescent="0.3">
      <c r="A109">
        <v>407444</v>
      </c>
      <c r="B109">
        <v>109000</v>
      </c>
    </row>
    <row r="110" spans="1:2" x14ac:dyDescent="0.3">
      <c r="A110">
        <v>407476</v>
      </c>
      <c r="B110">
        <v>0</v>
      </c>
    </row>
    <row r="111" spans="1:2" x14ac:dyDescent="0.3">
      <c r="A111">
        <v>407477</v>
      </c>
      <c r="B111">
        <v>0</v>
      </c>
    </row>
    <row r="112" spans="1:2" x14ac:dyDescent="0.3">
      <c r="A112">
        <v>407483</v>
      </c>
      <c r="B112">
        <v>0</v>
      </c>
    </row>
    <row r="113" spans="1:2" x14ac:dyDescent="0.3">
      <c r="A113">
        <v>407484</v>
      </c>
      <c r="B113">
        <v>0</v>
      </c>
    </row>
    <row r="114" spans="1:2" x14ac:dyDescent="0.3">
      <c r="A114">
        <v>407485</v>
      </c>
      <c r="B114">
        <v>0</v>
      </c>
    </row>
    <row r="115" spans="1:2" x14ac:dyDescent="0.3">
      <c r="A115">
        <v>407496</v>
      </c>
      <c r="B115">
        <v>0</v>
      </c>
    </row>
    <row r="116" spans="1:2" x14ac:dyDescent="0.3">
      <c r="A116">
        <v>407501</v>
      </c>
      <c r="B116">
        <v>0</v>
      </c>
    </row>
    <row r="117" spans="1:2" x14ac:dyDescent="0.3">
      <c r="A117">
        <v>407516</v>
      </c>
      <c r="B117">
        <v>0</v>
      </c>
    </row>
    <row r="118" spans="1:2" x14ac:dyDescent="0.3">
      <c r="A118">
        <v>407518</v>
      </c>
      <c r="B118">
        <v>329100</v>
      </c>
    </row>
    <row r="119" spans="1:2" x14ac:dyDescent="0.3">
      <c r="A119">
        <v>407522</v>
      </c>
      <c r="B119">
        <v>0</v>
      </c>
    </row>
    <row r="120" spans="1:2" x14ac:dyDescent="0.3">
      <c r="A120" t="s">
        <v>113</v>
      </c>
      <c r="B120">
        <v>0</v>
      </c>
    </row>
    <row r="121" spans="1:2" x14ac:dyDescent="0.3">
      <c r="A121">
        <v>407528</v>
      </c>
      <c r="B121">
        <v>0</v>
      </c>
    </row>
    <row r="122" spans="1:2" x14ac:dyDescent="0.3">
      <c r="A122">
        <v>407535</v>
      </c>
      <c r="B122">
        <v>0</v>
      </c>
    </row>
    <row r="123" spans="1:2" x14ac:dyDescent="0.3">
      <c r="A123">
        <v>407541</v>
      </c>
      <c r="B123">
        <v>0</v>
      </c>
    </row>
    <row r="124" spans="1:2" x14ac:dyDescent="0.3">
      <c r="A124">
        <v>407542</v>
      </c>
      <c r="B124">
        <v>0</v>
      </c>
    </row>
    <row r="125" spans="1:2" x14ac:dyDescent="0.3">
      <c r="A125">
        <v>407550</v>
      </c>
      <c r="B125">
        <v>0</v>
      </c>
    </row>
    <row r="126" spans="1:2" x14ac:dyDescent="0.3">
      <c r="A126">
        <v>407554</v>
      </c>
      <c r="B126">
        <v>0</v>
      </c>
    </row>
    <row r="127" spans="1:2" x14ac:dyDescent="0.3">
      <c r="A127" t="s">
        <v>116</v>
      </c>
      <c r="B127">
        <v>0</v>
      </c>
    </row>
    <row r="128" spans="1:2" x14ac:dyDescent="0.3">
      <c r="A128">
        <v>407586</v>
      </c>
      <c r="B128">
        <v>0</v>
      </c>
    </row>
    <row r="129" spans="1:2" x14ac:dyDescent="0.3">
      <c r="A129">
        <v>407595</v>
      </c>
      <c r="B129">
        <v>0</v>
      </c>
    </row>
    <row r="130" spans="1:2" x14ac:dyDescent="0.3">
      <c r="A130">
        <v>407612</v>
      </c>
      <c r="B130">
        <v>158400</v>
      </c>
    </row>
    <row r="131" spans="1:2" x14ac:dyDescent="0.3">
      <c r="A131">
        <v>407617</v>
      </c>
      <c r="B131">
        <v>0</v>
      </c>
    </row>
    <row r="132" spans="1:2" x14ac:dyDescent="0.3">
      <c r="A132">
        <v>407618</v>
      </c>
      <c r="B132">
        <v>0</v>
      </c>
    </row>
    <row r="133" spans="1:2" x14ac:dyDescent="0.3">
      <c r="A133">
        <v>407620</v>
      </c>
      <c r="B133">
        <v>0</v>
      </c>
    </row>
    <row r="134" spans="1:2" x14ac:dyDescent="0.3">
      <c r="A134" t="s">
        <v>121</v>
      </c>
      <c r="B134">
        <v>714000</v>
      </c>
    </row>
    <row r="135" spans="1:2" x14ac:dyDescent="0.3">
      <c r="A135">
        <v>407917</v>
      </c>
      <c r="B135">
        <v>0</v>
      </c>
    </row>
    <row r="136" spans="1:2" x14ac:dyDescent="0.3">
      <c r="A136">
        <v>407992</v>
      </c>
      <c r="B136">
        <v>0</v>
      </c>
    </row>
    <row r="137" spans="1:2" x14ac:dyDescent="0.3">
      <c r="A137" t="s">
        <v>123</v>
      </c>
      <c r="B137">
        <v>0</v>
      </c>
    </row>
    <row r="138" spans="1:2" x14ac:dyDescent="0.3">
      <c r="A138" t="s">
        <v>124</v>
      </c>
      <c r="B138">
        <v>0</v>
      </c>
    </row>
    <row r="139" spans="1:2" x14ac:dyDescent="0.3">
      <c r="A139">
        <v>408644</v>
      </c>
      <c r="B139">
        <v>0</v>
      </c>
    </row>
    <row r="140" spans="1:2" x14ac:dyDescent="0.3">
      <c r="A140">
        <v>411490</v>
      </c>
      <c r="B140">
        <v>53000</v>
      </c>
    </row>
    <row r="141" spans="1:2" x14ac:dyDescent="0.3">
      <c r="A141">
        <v>411563</v>
      </c>
      <c r="B141">
        <v>24200</v>
      </c>
    </row>
    <row r="142" spans="1:2" x14ac:dyDescent="0.3">
      <c r="A142">
        <v>411564</v>
      </c>
      <c r="B142">
        <v>24200</v>
      </c>
    </row>
    <row r="143" spans="1:2" x14ac:dyDescent="0.3">
      <c r="A143">
        <v>411933</v>
      </c>
      <c r="B143">
        <v>59400</v>
      </c>
    </row>
    <row r="144" spans="1:2" x14ac:dyDescent="0.3">
      <c r="A144" t="s">
        <v>128</v>
      </c>
      <c r="B144">
        <v>660000</v>
      </c>
    </row>
    <row r="145" spans="1:2" x14ac:dyDescent="0.3">
      <c r="A145">
        <v>412203</v>
      </c>
      <c r="B145">
        <v>88000</v>
      </c>
    </row>
    <row r="146" spans="1:2" x14ac:dyDescent="0.3">
      <c r="A146">
        <v>412206</v>
      </c>
      <c r="B146">
        <v>298000</v>
      </c>
    </row>
    <row r="147" spans="1:2" x14ac:dyDescent="0.3">
      <c r="A147">
        <v>412366</v>
      </c>
      <c r="B147">
        <v>811800</v>
      </c>
    </row>
    <row r="148" spans="1:2" x14ac:dyDescent="0.3">
      <c r="A148">
        <v>412524</v>
      </c>
      <c r="B148">
        <v>85800</v>
      </c>
    </row>
    <row r="149" spans="1:2" x14ac:dyDescent="0.3">
      <c r="A149">
        <v>412525</v>
      </c>
      <c r="B149">
        <v>0</v>
      </c>
    </row>
    <row r="150" spans="1:2" x14ac:dyDescent="0.3">
      <c r="A150">
        <v>412584</v>
      </c>
      <c r="B150">
        <v>332000</v>
      </c>
    </row>
    <row r="151" spans="1:2" x14ac:dyDescent="0.3">
      <c r="A151">
        <v>412604</v>
      </c>
      <c r="B151">
        <v>934000</v>
      </c>
    </row>
    <row r="152" spans="1:2" x14ac:dyDescent="0.3">
      <c r="A152">
        <v>412607</v>
      </c>
      <c r="B152">
        <v>330000</v>
      </c>
    </row>
    <row r="153" spans="1:2" x14ac:dyDescent="0.3">
      <c r="A153">
        <v>413115</v>
      </c>
      <c r="B153">
        <v>169400</v>
      </c>
    </row>
    <row r="154" spans="1:2" x14ac:dyDescent="0.3">
      <c r="A154">
        <v>413180</v>
      </c>
      <c r="B154">
        <v>0</v>
      </c>
    </row>
    <row r="155" spans="1:2" x14ac:dyDescent="0.3">
      <c r="A155">
        <v>413186</v>
      </c>
      <c r="B155">
        <v>0</v>
      </c>
    </row>
    <row r="156" spans="1:2" x14ac:dyDescent="0.3">
      <c r="A156">
        <v>413190</v>
      </c>
      <c r="B156">
        <v>0</v>
      </c>
    </row>
    <row r="157" spans="1:2" x14ac:dyDescent="0.3">
      <c r="A157">
        <v>413240</v>
      </c>
      <c r="B157">
        <v>506000</v>
      </c>
    </row>
    <row r="158" spans="1:2" x14ac:dyDescent="0.3">
      <c r="A158" t="s">
        <v>140</v>
      </c>
      <c r="B158">
        <v>44000</v>
      </c>
    </row>
    <row r="159" spans="1:2" x14ac:dyDescent="0.3">
      <c r="A159" t="s">
        <v>141</v>
      </c>
      <c r="B159">
        <v>44000</v>
      </c>
    </row>
    <row r="160" spans="1:2" x14ac:dyDescent="0.3">
      <c r="A160">
        <v>413253</v>
      </c>
      <c r="B160">
        <v>142000</v>
      </c>
    </row>
    <row r="161" spans="1:2" x14ac:dyDescent="0.3">
      <c r="A161" t="s">
        <v>143</v>
      </c>
      <c r="B161">
        <v>83600</v>
      </c>
    </row>
    <row r="162" spans="1:2" x14ac:dyDescent="0.3">
      <c r="A162">
        <v>420321</v>
      </c>
      <c r="B162">
        <v>220000</v>
      </c>
    </row>
    <row r="163" spans="1:2" x14ac:dyDescent="0.3">
      <c r="A163">
        <v>420323</v>
      </c>
      <c r="B163">
        <v>0</v>
      </c>
    </row>
    <row r="164" spans="1:2" x14ac:dyDescent="0.3">
      <c r="A164">
        <v>420324</v>
      </c>
      <c r="B164">
        <v>362000</v>
      </c>
    </row>
    <row r="165" spans="1:2" x14ac:dyDescent="0.3">
      <c r="A165">
        <v>421016</v>
      </c>
      <c r="B165">
        <v>0</v>
      </c>
    </row>
    <row r="166" spans="1:2" x14ac:dyDescent="0.3">
      <c r="A166">
        <v>421019</v>
      </c>
      <c r="B166">
        <v>12000</v>
      </c>
    </row>
    <row r="167" spans="1:2" x14ac:dyDescent="0.3">
      <c r="A167" t="s">
        <v>339</v>
      </c>
      <c r="B167">
        <v>110000</v>
      </c>
    </row>
    <row r="168" spans="1:2" x14ac:dyDescent="0.3">
      <c r="A168" t="s">
        <v>36</v>
      </c>
      <c r="B168">
        <v>1081470</v>
      </c>
    </row>
    <row r="169" spans="1:2" x14ac:dyDescent="0.3">
      <c r="A169" t="s">
        <v>340</v>
      </c>
      <c r="B169">
        <v>56000</v>
      </c>
    </row>
    <row r="170" spans="1:2" x14ac:dyDescent="0.3">
      <c r="A170" t="s">
        <v>341</v>
      </c>
      <c r="B170">
        <v>56000</v>
      </c>
    </row>
    <row r="171" spans="1:2" x14ac:dyDescent="0.3">
      <c r="A171">
        <v>421100</v>
      </c>
      <c r="B171">
        <v>22000</v>
      </c>
    </row>
    <row r="172" spans="1:2" x14ac:dyDescent="0.3">
      <c r="A172">
        <v>421102</v>
      </c>
      <c r="B172">
        <v>12000</v>
      </c>
    </row>
    <row r="173" spans="1:2" x14ac:dyDescent="0.3">
      <c r="A173" t="s">
        <v>17</v>
      </c>
      <c r="B173">
        <v>0</v>
      </c>
    </row>
    <row r="174" spans="1:2" x14ac:dyDescent="0.3">
      <c r="A174" t="s">
        <v>456</v>
      </c>
      <c r="B174">
        <v>3520000</v>
      </c>
    </row>
    <row r="175" spans="1:2" x14ac:dyDescent="0.3">
      <c r="A175">
        <v>421125</v>
      </c>
      <c r="B175">
        <v>0</v>
      </c>
    </row>
    <row r="176" spans="1:2" x14ac:dyDescent="0.3">
      <c r="A176">
        <v>421175</v>
      </c>
      <c r="B176">
        <v>0</v>
      </c>
    </row>
    <row r="177" spans="1:2" x14ac:dyDescent="0.3">
      <c r="A177" t="s">
        <v>13</v>
      </c>
      <c r="B177">
        <v>180000</v>
      </c>
    </row>
    <row r="178" spans="1:2" x14ac:dyDescent="0.3">
      <c r="A178" t="s">
        <v>18</v>
      </c>
      <c r="B178">
        <v>1411200</v>
      </c>
    </row>
    <row r="179" spans="1:2" x14ac:dyDescent="0.3">
      <c r="A179" t="s">
        <v>22</v>
      </c>
      <c r="B179">
        <v>735000</v>
      </c>
    </row>
    <row r="180" spans="1:2" x14ac:dyDescent="0.3">
      <c r="A180" t="s">
        <v>29</v>
      </c>
      <c r="B180">
        <v>23312000</v>
      </c>
    </row>
    <row r="181" spans="1:2" x14ac:dyDescent="0.3">
      <c r="A181">
        <v>421654</v>
      </c>
      <c r="B181">
        <v>12064000</v>
      </c>
    </row>
    <row r="182" spans="1:2" x14ac:dyDescent="0.3">
      <c r="A182">
        <v>421686</v>
      </c>
      <c r="B182">
        <v>30000</v>
      </c>
    </row>
    <row r="183" spans="1:2" x14ac:dyDescent="0.3">
      <c r="A183" t="s">
        <v>150</v>
      </c>
      <c r="B183">
        <v>304000</v>
      </c>
    </row>
    <row r="184" spans="1:2" x14ac:dyDescent="0.3">
      <c r="A184" t="s">
        <v>5</v>
      </c>
      <c r="B184">
        <v>0</v>
      </c>
    </row>
    <row r="185" spans="1:2" x14ac:dyDescent="0.3">
      <c r="A185" t="s">
        <v>432</v>
      </c>
      <c r="B185">
        <v>7700000</v>
      </c>
    </row>
    <row r="186" spans="1:2" x14ac:dyDescent="0.3">
      <c r="A186">
        <v>421867</v>
      </c>
      <c r="B186">
        <v>756000</v>
      </c>
    </row>
    <row r="187" spans="1:2" x14ac:dyDescent="0.3">
      <c r="A187" t="s">
        <v>14</v>
      </c>
      <c r="B187">
        <v>30000</v>
      </c>
    </row>
    <row r="188" spans="1:2" x14ac:dyDescent="0.3">
      <c r="A188" t="s">
        <v>152</v>
      </c>
      <c r="B188">
        <v>304000</v>
      </c>
    </row>
    <row r="189" spans="1:2" x14ac:dyDescent="0.3">
      <c r="A189" t="s">
        <v>33</v>
      </c>
      <c r="B189">
        <v>1920000</v>
      </c>
    </row>
    <row r="190" spans="1:2" x14ac:dyDescent="0.3">
      <c r="A190">
        <v>421979</v>
      </c>
      <c r="B190">
        <v>0</v>
      </c>
    </row>
    <row r="191" spans="1:2" x14ac:dyDescent="0.3">
      <c r="A191" t="s">
        <v>154</v>
      </c>
      <c r="B191">
        <v>7200000</v>
      </c>
    </row>
    <row r="192" spans="1:2" x14ac:dyDescent="0.3">
      <c r="A192">
        <v>422003</v>
      </c>
      <c r="B192">
        <v>864000</v>
      </c>
    </row>
    <row r="193" spans="1:2" x14ac:dyDescent="0.3">
      <c r="A193">
        <v>422007</v>
      </c>
      <c r="B193">
        <v>580000</v>
      </c>
    </row>
    <row r="194" spans="1:2" x14ac:dyDescent="0.3">
      <c r="A194">
        <v>422016</v>
      </c>
      <c r="B194">
        <v>3780000</v>
      </c>
    </row>
    <row r="195" spans="1:2" x14ac:dyDescent="0.3">
      <c r="A195" t="s">
        <v>34</v>
      </c>
      <c r="B195">
        <v>216000</v>
      </c>
    </row>
    <row r="196" spans="1:2" x14ac:dyDescent="0.3">
      <c r="A196" t="s">
        <v>158</v>
      </c>
      <c r="B196">
        <v>1908000</v>
      </c>
    </row>
    <row r="197" spans="1:2" x14ac:dyDescent="0.3">
      <c r="A197">
        <v>422060</v>
      </c>
      <c r="B197">
        <v>0</v>
      </c>
    </row>
    <row r="198" spans="1:2" x14ac:dyDescent="0.3">
      <c r="A198">
        <v>422086</v>
      </c>
      <c r="B198">
        <v>1012000</v>
      </c>
    </row>
    <row r="199" spans="1:2" x14ac:dyDescent="0.3">
      <c r="A199" t="s">
        <v>23</v>
      </c>
      <c r="B199">
        <v>792000</v>
      </c>
    </row>
    <row r="200" spans="1:2" x14ac:dyDescent="0.3">
      <c r="A200">
        <v>422088</v>
      </c>
      <c r="B200">
        <v>912000</v>
      </c>
    </row>
    <row r="201" spans="1:2" x14ac:dyDescent="0.3">
      <c r="A201" t="s">
        <v>31</v>
      </c>
      <c r="B201">
        <v>1194000</v>
      </c>
    </row>
    <row r="202" spans="1:2" x14ac:dyDescent="0.3">
      <c r="A202" t="s">
        <v>9</v>
      </c>
      <c r="B202">
        <v>708000</v>
      </c>
    </row>
    <row r="203" spans="1:2" x14ac:dyDescent="0.3">
      <c r="A203" t="s">
        <v>10</v>
      </c>
      <c r="B203">
        <v>20000</v>
      </c>
    </row>
    <row r="204" spans="1:2" x14ac:dyDescent="0.3">
      <c r="A204">
        <v>422136</v>
      </c>
      <c r="B204">
        <v>234000</v>
      </c>
    </row>
    <row r="205" spans="1:2" x14ac:dyDescent="0.3">
      <c r="A205" t="s">
        <v>35</v>
      </c>
      <c r="B205">
        <v>258000</v>
      </c>
    </row>
    <row r="206" spans="1:2" x14ac:dyDescent="0.3">
      <c r="A206" t="s">
        <v>436</v>
      </c>
      <c r="B206">
        <v>0</v>
      </c>
    </row>
    <row r="207" spans="1:2" x14ac:dyDescent="0.3">
      <c r="A207">
        <v>422185</v>
      </c>
      <c r="B207">
        <v>290000</v>
      </c>
    </row>
    <row r="208" spans="1:2" x14ac:dyDescent="0.3">
      <c r="A208" t="s">
        <v>161</v>
      </c>
      <c r="B208">
        <v>0</v>
      </c>
    </row>
    <row r="209" spans="1:2" x14ac:dyDescent="0.3">
      <c r="A209" t="s">
        <v>32</v>
      </c>
      <c r="B209">
        <v>0</v>
      </c>
    </row>
    <row r="210" spans="1:2" x14ac:dyDescent="0.3">
      <c r="A210">
        <v>422262</v>
      </c>
      <c r="B210">
        <v>64000</v>
      </c>
    </row>
    <row r="211" spans="1:2" x14ac:dyDescent="0.3">
      <c r="A211">
        <v>422297</v>
      </c>
      <c r="B211">
        <v>2080000</v>
      </c>
    </row>
    <row r="212" spans="1:2" x14ac:dyDescent="0.3">
      <c r="A212" t="s">
        <v>164</v>
      </c>
      <c r="B212">
        <v>920000</v>
      </c>
    </row>
    <row r="213" spans="1:2" x14ac:dyDescent="0.3">
      <c r="A213" t="s">
        <v>165</v>
      </c>
      <c r="B213">
        <v>920000</v>
      </c>
    </row>
    <row r="214" spans="1:2" x14ac:dyDescent="0.3">
      <c r="A214">
        <v>422420</v>
      </c>
      <c r="B214">
        <v>40000</v>
      </c>
    </row>
    <row r="215" spans="1:2" x14ac:dyDescent="0.3">
      <c r="A215" t="s">
        <v>452</v>
      </c>
      <c r="B215">
        <v>400000</v>
      </c>
    </row>
    <row r="216" spans="1:2" x14ac:dyDescent="0.3">
      <c r="A216" t="s">
        <v>453</v>
      </c>
      <c r="B216">
        <v>0</v>
      </c>
    </row>
    <row r="217" spans="1:2" x14ac:dyDescent="0.3">
      <c r="A217">
        <v>422443</v>
      </c>
      <c r="B217">
        <v>2140000</v>
      </c>
    </row>
    <row r="218" spans="1:2" x14ac:dyDescent="0.3">
      <c r="A218">
        <v>422444</v>
      </c>
      <c r="B218">
        <v>2140000</v>
      </c>
    </row>
    <row r="219" spans="1:2" x14ac:dyDescent="0.3">
      <c r="A219">
        <v>422449</v>
      </c>
      <c r="B219">
        <v>1500000</v>
      </c>
    </row>
    <row r="220" spans="1:2" x14ac:dyDescent="0.3">
      <c r="A220">
        <v>422459</v>
      </c>
      <c r="B220">
        <v>80000</v>
      </c>
    </row>
    <row r="221" spans="1:2" x14ac:dyDescent="0.3">
      <c r="A221">
        <v>422468</v>
      </c>
      <c r="B221">
        <v>0</v>
      </c>
    </row>
    <row r="222" spans="1:2" x14ac:dyDescent="0.3">
      <c r="A222" t="s">
        <v>407</v>
      </c>
      <c r="B222">
        <v>96000</v>
      </c>
    </row>
    <row r="223" spans="1:2" x14ac:dyDescent="0.3">
      <c r="A223">
        <v>422470</v>
      </c>
      <c r="B223">
        <v>216000</v>
      </c>
    </row>
    <row r="224" spans="1:2" x14ac:dyDescent="0.3">
      <c r="A224">
        <v>422480</v>
      </c>
      <c r="B224">
        <v>106500</v>
      </c>
    </row>
    <row r="225" spans="1:2" x14ac:dyDescent="0.3">
      <c r="A225">
        <v>422481</v>
      </c>
      <c r="B225">
        <v>28000</v>
      </c>
    </row>
    <row r="226" spans="1:2" x14ac:dyDescent="0.3">
      <c r="A226">
        <v>422601</v>
      </c>
      <c r="B226">
        <v>100000</v>
      </c>
    </row>
    <row r="227" spans="1:2" x14ac:dyDescent="0.3">
      <c r="A227" t="s">
        <v>435</v>
      </c>
      <c r="B227">
        <v>0</v>
      </c>
    </row>
    <row r="228" spans="1:2" x14ac:dyDescent="0.3">
      <c r="A228" t="s">
        <v>171</v>
      </c>
      <c r="B228">
        <v>81000</v>
      </c>
    </row>
    <row r="229" spans="1:2" x14ac:dyDescent="0.3">
      <c r="A229" t="s">
        <v>437</v>
      </c>
      <c r="B229">
        <v>0</v>
      </c>
    </row>
    <row r="230" spans="1:2" x14ac:dyDescent="0.3">
      <c r="A230" t="s">
        <v>438</v>
      </c>
      <c r="B230">
        <v>328000</v>
      </c>
    </row>
    <row r="231" spans="1:2" x14ac:dyDescent="0.3">
      <c r="A231">
        <v>422903</v>
      </c>
      <c r="B231">
        <v>0</v>
      </c>
    </row>
    <row r="232" spans="1:2" x14ac:dyDescent="0.3">
      <c r="A232">
        <v>422930</v>
      </c>
      <c r="B232">
        <v>0</v>
      </c>
    </row>
    <row r="233" spans="1:2" x14ac:dyDescent="0.3">
      <c r="A233" t="s">
        <v>465</v>
      </c>
      <c r="B233">
        <v>0</v>
      </c>
    </row>
    <row r="234" spans="1:2" x14ac:dyDescent="0.3">
      <c r="A234" t="s">
        <v>408</v>
      </c>
      <c r="B234">
        <v>0</v>
      </c>
    </row>
    <row r="235" spans="1:2" x14ac:dyDescent="0.3">
      <c r="A235" t="s">
        <v>466</v>
      </c>
      <c r="B235">
        <v>0</v>
      </c>
    </row>
    <row r="236" spans="1:2" x14ac:dyDescent="0.3">
      <c r="A236" t="s">
        <v>409</v>
      </c>
      <c r="B236">
        <v>0</v>
      </c>
    </row>
    <row r="237" spans="1:2" x14ac:dyDescent="0.3">
      <c r="A237" t="s">
        <v>467</v>
      </c>
      <c r="B237">
        <v>0</v>
      </c>
    </row>
    <row r="238" spans="1:2" x14ac:dyDescent="0.3">
      <c r="A238" t="s">
        <v>410</v>
      </c>
      <c r="B238">
        <v>0</v>
      </c>
    </row>
    <row r="239" spans="1:2" x14ac:dyDescent="0.3">
      <c r="A239" t="s">
        <v>468</v>
      </c>
      <c r="B239">
        <v>0</v>
      </c>
    </row>
    <row r="240" spans="1:2" x14ac:dyDescent="0.3">
      <c r="A240" t="s">
        <v>469</v>
      </c>
      <c r="B240">
        <v>0</v>
      </c>
    </row>
    <row r="241" spans="1:2" x14ac:dyDescent="0.3">
      <c r="A241">
        <v>450024</v>
      </c>
      <c r="B241">
        <v>0</v>
      </c>
    </row>
    <row r="242" spans="1:2" x14ac:dyDescent="0.3">
      <c r="A242">
        <v>450072</v>
      </c>
      <c r="B242">
        <v>0</v>
      </c>
    </row>
    <row r="243" spans="1:2" x14ac:dyDescent="0.3">
      <c r="A243" t="s">
        <v>174</v>
      </c>
      <c r="B243">
        <v>0</v>
      </c>
    </row>
    <row r="244" spans="1:2" x14ac:dyDescent="0.3">
      <c r="A244" t="s">
        <v>175</v>
      </c>
      <c r="B244">
        <v>59400</v>
      </c>
    </row>
    <row r="245" spans="1:2" x14ac:dyDescent="0.3">
      <c r="A245">
        <v>450179</v>
      </c>
      <c r="B245">
        <v>38600</v>
      </c>
    </row>
    <row r="246" spans="1:2" x14ac:dyDescent="0.3">
      <c r="A246">
        <v>450256</v>
      </c>
      <c r="B246">
        <v>0</v>
      </c>
    </row>
    <row r="247" spans="1:2" x14ac:dyDescent="0.3">
      <c r="A247">
        <v>450271</v>
      </c>
      <c r="B247">
        <v>0</v>
      </c>
    </row>
    <row r="248" spans="1:2" x14ac:dyDescent="0.3">
      <c r="A248" t="s">
        <v>177</v>
      </c>
      <c r="B248">
        <v>0</v>
      </c>
    </row>
    <row r="249" spans="1:2" x14ac:dyDescent="0.3">
      <c r="A249">
        <v>450316</v>
      </c>
      <c r="B249">
        <v>0</v>
      </c>
    </row>
    <row r="250" spans="1:2" x14ac:dyDescent="0.3">
      <c r="A250" t="s">
        <v>179</v>
      </c>
      <c r="B250">
        <v>521400</v>
      </c>
    </row>
    <row r="251" spans="1:2" x14ac:dyDescent="0.3">
      <c r="A251">
        <v>450348</v>
      </c>
      <c r="B251">
        <v>99600</v>
      </c>
    </row>
    <row r="252" spans="1:2" x14ac:dyDescent="0.3">
      <c r="A252" t="s">
        <v>181</v>
      </c>
      <c r="B252">
        <v>48400</v>
      </c>
    </row>
    <row r="253" spans="1:2" x14ac:dyDescent="0.3">
      <c r="A253">
        <v>450431</v>
      </c>
      <c r="B253">
        <v>1126400</v>
      </c>
    </row>
    <row r="254" spans="1:2" x14ac:dyDescent="0.3">
      <c r="A254" t="s">
        <v>183</v>
      </c>
      <c r="B254">
        <v>0</v>
      </c>
    </row>
    <row r="255" spans="1:2" x14ac:dyDescent="0.3">
      <c r="A255" t="s">
        <v>344</v>
      </c>
      <c r="B255">
        <v>96800</v>
      </c>
    </row>
    <row r="256" spans="1:2" x14ac:dyDescent="0.3">
      <c r="A256" t="s">
        <v>184</v>
      </c>
      <c r="B256">
        <v>85800</v>
      </c>
    </row>
    <row r="257" spans="1:2" x14ac:dyDescent="0.3">
      <c r="A257" t="s">
        <v>185</v>
      </c>
      <c r="B257">
        <v>39000</v>
      </c>
    </row>
    <row r="258" spans="1:2" x14ac:dyDescent="0.3">
      <c r="A258">
        <v>450612</v>
      </c>
      <c r="B258">
        <v>0</v>
      </c>
    </row>
    <row r="259" spans="1:2" x14ac:dyDescent="0.3">
      <c r="A259">
        <v>450636</v>
      </c>
      <c r="B259">
        <v>24200</v>
      </c>
    </row>
    <row r="260" spans="1:2" x14ac:dyDescent="0.3">
      <c r="A260">
        <v>450647</v>
      </c>
      <c r="B260">
        <v>0</v>
      </c>
    </row>
    <row r="261" spans="1:2" x14ac:dyDescent="0.3">
      <c r="A261" t="s">
        <v>188</v>
      </c>
      <c r="B261">
        <v>0</v>
      </c>
    </row>
    <row r="262" spans="1:2" x14ac:dyDescent="0.3">
      <c r="A262">
        <v>450829</v>
      </c>
      <c r="B262">
        <v>768000</v>
      </c>
    </row>
    <row r="263" spans="1:2" x14ac:dyDescent="0.3">
      <c r="A263">
        <v>450940</v>
      </c>
      <c r="B263">
        <v>44000</v>
      </c>
    </row>
    <row r="264" spans="1:2" x14ac:dyDescent="0.3">
      <c r="A264">
        <v>450962</v>
      </c>
      <c r="B264">
        <v>1463000</v>
      </c>
    </row>
    <row r="265" spans="1:2" x14ac:dyDescent="0.3">
      <c r="A265">
        <v>451002</v>
      </c>
      <c r="B265">
        <v>78000</v>
      </c>
    </row>
    <row r="266" spans="1:2" x14ac:dyDescent="0.3">
      <c r="A266" t="s">
        <v>193</v>
      </c>
      <c r="B266">
        <v>446600</v>
      </c>
    </row>
    <row r="267" spans="1:2" x14ac:dyDescent="0.3">
      <c r="A267">
        <v>451040</v>
      </c>
      <c r="B267">
        <v>0</v>
      </c>
    </row>
    <row r="268" spans="1:2" x14ac:dyDescent="0.3">
      <c r="A268" t="s">
        <v>194</v>
      </c>
      <c r="B268">
        <v>363000</v>
      </c>
    </row>
    <row r="269" spans="1:2" x14ac:dyDescent="0.3">
      <c r="A269" t="s">
        <v>195</v>
      </c>
      <c r="B269">
        <v>836000</v>
      </c>
    </row>
    <row r="270" spans="1:2" x14ac:dyDescent="0.3">
      <c r="A270" t="s">
        <v>345</v>
      </c>
      <c r="B270">
        <v>0</v>
      </c>
    </row>
    <row r="271" spans="1:2" x14ac:dyDescent="0.3">
      <c r="A271" t="s">
        <v>196</v>
      </c>
      <c r="B271">
        <v>1856000</v>
      </c>
    </row>
    <row r="272" spans="1:2" x14ac:dyDescent="0.3">
      <c r="A272">
        <v>451383</v>
      </c>
      <c r="B272">
        <v>254000</v>
      </c>
    </row>
    <row r="273" spans="1:2" x14ac:dyDescent="0.3">
      <c r="A273">
        <v>451384</v>
      </c>
      <c r="B273">
        <v>66000</v>
      </c>
    </row>
    <row r="274" spans="1:2" x14ac:dyDescent="0.3">
      <c r="A274">
        <v>451401</v>
      </c>
      <c r="B274">
        <v>0</v>
      </c>
    </row>
    <row r="275" spans="1:2" x14ac:dyDescent="0.3">
      <c r="A275" t="s">
        <v>197</v>
      </c>
      <c r="B275">
        <v>437300</v>
      </c>
    </row>
    <row r="276" spans="1:2" x14ac:dyDescent="0.3">
      <c r="A276" t="s">
        <v>198</v>
      </c>
      <c r="B276">
        <v>0</v>
      </c>
    </row>
    <row r="277" spans="1:2" x14ac:dyDescent="0.3">
      <c r="A277" t="s">
        <v>394</v>
      </c>
      <c r="B277">
        <v>0</v>
      </c>
    </row>
    <row r="278" spans="1:2" x14ac:dyDescent="0.3">
      <c r="A278" t="s">
        <v>387</v>
      </c>
      <c r="B278">
        <v>1980000</v>
      </c>
    </row>
    <row r="279" spans="1:2" x14ac:dyDescent="0.3">
      <c r="A279" t="s">
        <v>199</v>
      </c>
      <c r="B279">
        <v>130000</v>
      </c>
    </row>
    <row r="280" spans="1:2" x14ac:dyDescent="0.3">
      <c r="A280" t="s">
        <v>200</v>
      </c>
      <c r="B280">
        <v>83600</v>
      </c>
    </row>
    <row r="281" spans="1:2" x14ac:dyDescent="0.3">
      <c r="A281">
        <v>451516</v>
      </c>
      <c r="B281">
        <v>0</v>
      </c>
    </row>
    <row r="282" spans="1:2" x14ac:dyDescent="0.3">
      <c r="A282" t="s">
        <v>348</v>
      </c>
      <c r="B282">
        <v>0</v>
      </c>
    </row>
    <row r="283" spans="1:2" x14ac:dyDescent="0.3">
      <c r="A283">
        <v>451558</v>
      </c>
      <c r="B283">
        <v>66000</v>
      </c>
    </row>
    <row r="284" spans="1:2" x14ac:dyDescent="0.3">
      <c r="A284" t="s">
        <v>201</v>
      </c>
      <c r="B284">
        <v>35200</v>
      </c>
    </row>
    <row r="285" spans="1:2" x14ac:dyDescent="0.3">
      <c r="A285">
        <v>451572</v>
      </c>
      <c r="B285">
        <v>822800</v>
      </c>
    </row>
    <row r="286" spans="1:2" x14ac:dyDescent="0.3">
      <c r="A286">
        <v>451583</v>
      </c>
      <c r="B286">
        <v>0</v>
      </c>
    </row>
    <row r="287" spans="1:2" x14ac:dyDescent="0.3">
      <c r="A287">
        <v>451584</v>
      </c>
      <c r="B287">
        <v>0</v>
      </c>
    </row>
    <row r="288" spans="1:2" x14ac:dyDescent="0.3">
      <c r="A288" t="s">
        <v>205</v>
      </c>
      <c r="B288">
        <v>796500</v>
      </c>
    </row>
    <row r="289" spans="1:2" x14ac:dyDescent="0.3">
      <c r="A289">
        <v>451600</v>
      </c>
      <c r="B289">
        <v>0</v>
      </c>
    </row>
    <row r="290" spans="1:2" x14ac:dyDescent="0.3">
      <c r="A290">
        <v>451621</v>
      </c>
      <c r="B290">
        <v>266200</v>
      </c>
    </row>
    <row r="291" spans="1:2" x14ac:dyDescent="0.3">
      <c r="A291" t="s">
        <v>208</v>
      </c>
      <c r="B291">
        <v>59400</v>
      </c>
    </row>
    <row r="292" spans="1:2" x14ac:dyDescent="0.3">
      <c r="A292" t="s">
        <v>209</v>
      </c>
      <c r="B292">
        <v>72600</v>
      </c>
    </row>
    <row r="293" spans="1:2" x14ac:dyDescent="0.3">
      <c r="A293" t="s">
        <v>210</v>
      </c>
      <c r="B293">
        <v>0</v>
      </c>
    </row>
    <row r="294" spans="1:2" x14ac:dyDescent="0.3">
      <c r="A294" t="s">
        <v>211</v>
      </c>
      <c r="B294">
        <v>0</v>
      </c>
    </row>
    <row r="295" spans="1:2" x14ac:dyDescent="0.3">
      <c r="A295" t="s">
        <v>442</v>
      </c>
      <c r="B295">
        <v>0</v>
      </c>
    </row>
    <row r="296" spans="1:2" x14ac:dyDescent="0.3">
      <c r="A296">
        <v>451707</v>
      </c>
      <c r="B296">
        <v>24200</v>
      </c>
    </row>
    <row r="297" spans="1:2" x14ac:dyDescent="0.3">
      <c r="A297">
        <v>451792</v>
      </c>
      <c r="B297">
        <v>96800</v>
      </c>
    </row>
    <row r="298" spans="1:2" x14ac:dyDescent="0.3">
      <c r="A298">
        <v>451811</v>
      </c>
      <c r="B298">
        <v>714000</v>
      </c>
    </row>
    <row r="299" spans="1:2" x14ac:dyDescent="0.3">
      <c r="A299" t="s">
        <v>429</v>
      </c>
      <c r="B299">
        <v>0</v>
      </c>
    </row>
    <row r="300" spans="1:2" x14ac:dyDescent="0.3">
      <c r="A300">
        <v>451844</v>
      </c>
      <c r="B300">
        <v>816000</v>
      </c>
    </row>
    <row r="301" spans="1:2" x14ac:dyDescent="0.3">
      <c r="A301" t="s">
        <v>215</v>
      </c>
      <c r="B301">
        <v>5644800</v>
      </c>
    </row>
    <row r="302" spans="1:2" x14ac:dyDescent="0.3">
      <c r="A302" t="s">
        <v>216</v>
      </c>
      <c r="B302">
        <v>0</v>
      </c>
    </row>
    <row r="303" spans="1:2" x14ac:dyDescent="0.3">
      <c r="A303">
        <v>451892</v>
      </c>
      <c r="B303">
        <v>24200</v>
      </c>
    </row>
    <row r="304" spans="1:2" x14ac:dyDescent="0.3">
      <c r="A304">
        <v>451906</v>
      </c>
      <c r="B304">
        <v>0</v>
      </c>
    </row>
    <row r="305" spans="1:2" x14ac:dyDescent="0.3">
      <c r="A305" t="s">
        <v>219</v>
      </c>
      <c r="B305">
        <v>198000</v>
      </c>
    </row>
    <row r="306" spans="1:2" x14ac:dyDescent="0.3">
      <c r="A306" t="s">
        <v>220</v>
      </c>
      <c r="B306">
        <v>365200</v>
      </c>
    </row>
    <row r="307" spans="1:2" x14ac:dyDescent="0.3">
      <c r="A307">
        <v>452017</v>
      </c>
      <c r="B307">
        <v>0</v>
      </c>
    </row>
    <row r="308" spans="1:2" x14ac:dyDescent="0.3">
      <c r="A308">
        <v>452053</v>
      </c>
      <c r="B308">
        <v>0</v>
      </c>
    </row>
    <row r="309" spans="1:2" x14ac:dyDescent="0.3">
      <c r="A309">
        <v>452065</v>
      </c>
      <c r="B309">
        <v>0</v>
      </c>
    </row>
    <row r="310" spans="1:2" x14ac:dyDescent="0.3">
      <c r="A310">
        <v>452083</v>
      </c>
      <c r="B310">
        <v>0</v>
      </c>
    </row>
    <row r="311" spans="1:2" x14ac:dyDescent="0.3">
      <c r="A311">
        <v>452085</v>
      </c>
      <c r="B311">
        <v>0</v>
      </c>
    </row>
    <row r="312" spans="1:2" x14ac:dyDescent="0.3">
      <c r="A312">
        <v>452089</v>
      </c>
      <c r="B312">
        <v>0</v>
      </c>
    </row>
    <row r="313" spans="1:2" x14ac:dyDescent="0.3">
      <c r="A313">
        <v>452101</v>
      </c>
      <c r="B313">
        <v>0</v>
      </c>
    </row>
    <row r="314" spans="1:2" x14ac:dyDescent="0.3">
      <c r="A314">
        <v>452106</v>
      </c>
      <c r="B314">
        <v>0</v>
      </c>
    </row>
    <row r="315" spans="1:2" x14ac:dyDescent="0.3">
      <c r="A315">
        <v>452108</v>
      </c>
      <c r="B315">
        <v>0</v>
      </c>
    </row>
    <row r="316" spans="1:2" x14ac:dyDescent="0.3">
      <c r="A316">
        <v>452128</v>
      </c>
      <c r="B316">
        <v>0</v>
      </c>
    </row>
    <row r="317" spans="1:2" x14ac:dyDescent="0.3">
      <c r="A317">
        <v>452130</v>
      </c>
      <c r="B317">
        <v>0</v>
      </c>
    </row>
    <row r="318" spans="1:2" x14ac:dyDescent="0.3">
      <c r="A318">
        <v>452164</v>
      </c>
      <c r="B318">
        <v>0</v>
      </c>
    </row>
    <row r="319" spans="1:2" x14ac:dyDescent="0.3">
      <c r="A319">
        <v>452169</v>
      </c>
      <c r="B319">
        <v>44000</v>
      </c>
    </row>
    <row r="320" spans="1:2" x14ac:dyDescent="0.3">
      <c r="A320">
        <v>452196</v>
      </c>
      <c r="B320">
        <v>459800</v>
      </c>
    </row>
    <row r="321" spans="1:2" x14ac:dyDescent="0.3">
      <c r="A321" t="s">
        <v>458</v>
      </c>
      <c r="B321">
        <v>0</v>
      </c>
    </row>
    <row r="322" spans="1:2" x14ac:dyDescent="0.3">
      <c r="A322" t="s">
        <v>233</v>
      </c>
      <c r="B322">
        <v>266200</v>
      </c>
    </row>
    <row r="323" spans="1:2" x14ac:dyDescent="0.3">
      <c r="A323" t="s">
        <v>352</v>
      </c>
      <c r="B323">
        <v>0</v>
      </c>
    </row>
    <row r="324" spans="1:2" x14ac:dyDescent="0.3">
      <c r="A324">
        <v>452366</v>
      </c>
      <c r="B324">
        <v>508200</v>
      </c>
    </row>
    <row r="325" spans="1:2" x14ac:dyDescent="0.3">
      <c r="A325">
        <v>452367</v>
      </c>
      <c r="B325">
        <v>387200</v>
      </c>
    </row>
    <row r="326" spans="1:2" x14ac:dyDescent="0.3">
      <c r="A326">
        <v>452466</v>
      </c>
      <c r="B326">
        <v>308000</v>
      </c>
    </row>
    <row r="327" spans="1:2" x14ac:dyDescent="0.3">
      <c r="A327">
        <v>452526</v>
      </c>
      <c r="B327">
        <v>13200</v>
      </c>
    </row>
    <row r="328" spans="1:2" x14ac:dyDescent="0.3">
      <c r="A328">
        <v>452551</v>
      </c>
      <c r="B328">
        <v>605000</v>
      </c>
    </row>
    <row r="329" spans="1:2" x14ac:dyDescent="0.3">
      <c r="A329">
        <v>452579</v>
      </c>
      <c r="B329">
        <v>110000</v>
      </c>
    </row>
    <row r="330" spans="1:2" x14ac:dyDescent="0.3">
      <c r="A330">
        <v>452590</v>
      </c>
      <c r="B330">
        <v>1064800</v>
      </c>
    </row>
    <row r="331" spans="1:2" x14ac:dyDescent="0.3">
      <c r="A331">
        <v>452629</v>
      </c>
      <c r="B331">
        <v>0</v>
      </c>
    </row>
    <row r="332" spans="1:2" x14ac:dyDescent="0.3">
      <c r="A332">
        <v>452761</v>
      </c>
      <c r="B332">
        <v>176000</v>
      </c>
    </row>
    <row r="333" spans="1:2" x14ac:dyDescent="0.3">
      <c r="A333">
        <v>452777</v>
      </c>
      <c r="B333">
        <v>96800</v>
      </c>
    </row>
    <row r="334" spans="1:2" x14ac:dyDescent="0.3">
      <c r="A334">
        <v>452778</v>
      </c>
      <c r="B334">
        <v>374000</v>
      </c>
    </row>
    <row r="335" spans="1:2" x14ac:dyDescent="0.3">
      <c r="A335">
        <v>452781</v>
      </c>
      <c r="B335">
        <v>0</v>
      </c>
    </row>
    <row r="336" spans="1:2" x14ac:dyDescent="0.3">
      <c r="A336">
        <v>452802</v>
      </c>
      <c r="B336">
        <v>78000</v>
      </c>
    </row>
    <row r="337" spans="1:2" x14ac:dyDescent="0.3">
      <c r="A337">
        <v>452820</v>
      </c>
      <c r="B337">
        <v>0</v>
      </c>
    </row>
    <row r="338" spans="1:2" x14ac:dyDescent="0.3">
      <c r="A338" t="s">
        <v>245</v>
      </c>
      <c r="B338">
        <v>700000</v>
      </c>
    </row>
    <row r="339" spans="1:2" x14ac:dyDescent="0.3">
      <c r="A339" t="s">
        <v>246</v>
      </c>
      <c r="B339">
        <v>25000</v>
      </c>
    </row>
    <row r="340" spans="1:2" x14ac:dyDescent="0.3">
      <c r="A340">
        <v>452952</v>
      </c>
      <c r="B340">
        <v>144000</v>
      </c>
    </row>
    <row r="341" spans="1:2" x14ac:dyDescent="0.3">
      <c r="A341">
        <v>452965</v>
      </c>
      <c r="B341">
        <v>61600</v>
      </c>
    </row>
    <row r="342" spans="1:2" x14ac:dyDescent="0.3">
      <c r="A342">
        <v>452971</v>
      </c>
      <c r="B342">
        <v>145200</v>
      </c>
    </row>
    <row r="343" spans="1:2" x14ac:dyDescent="0.3">
      <c r="A343">
        <v>452973</v>
      </c>
      <c r="B343">
        <v>96800</v>
      </c>
    </row>
    <row r="344" spans="1:2" x14ac:dyDescent="0.3">
      <c r="A344">
        <v>452976</v>
      </c>
      <c r="B344">
        <v>0</v>
      </c>
    </row>
    <row r="345" spans="1:2" x14ac:dyDescent="0.3">
      <c r="A345" t="s">
        <v>252</v>
      </c>
      <c r="B345">
        <v>738000</v>
      </c>
    </row>
    <row r="346" spans="1:2" x14ac:dyDescent="0.3">
      <c r="A346">
        <v>453010</v>
      </c>
      <c r="B346">
        <v>132000</v>
      </c>
    </row>
    <row r="347" spans="1:2" x14ac:dyDescent="0.3">
      <c r="A347">
        <v>453035</v>
      </c>
      <c r="B347">
        <v>0</v>
      </c>
    </row>
    <row r="348" spans="1:2" x14ac:dyDescent="0.3">
      <c r="A348">
        <v>453037</v>
      </c>
      <c r="B348">
        <v>338800</v>
      </c>
    </row>
    <row r="349" spans="1:2" x14ac:dyDescent="0.3">
      <c r="A349">
        <v>453055</v>
      </c>
      <c r="B349">
        <v>24200</v>
      </c>
    </row>
    <row r="350" spans="1:2" x14ac:dyDescent="0.3">
      <c r="A350">
        <v>453074</v>
      </c>
      <c r="B350">
        <v>576000</v>
      </c>
    </row>
    <row r="351" spans="1:2" x14ac:dyDescent="0.3">
      <c r="A351">
        <v>453108</v>
      </c>
      <c r="B351">
        <v>1000000</v>
      </c>
    </row>
    <row r="352" spans="1:2" x14ac:dyDescent="0.3">
      <c r="A352" t="s">
        <v>355</v>
      </c>
      <c r="B352">
        <v>13200</v>
      </c>
    </row>
    <row r="353" spans="1:2" x14ac:dyDescent="0.3">
      <c r="A353">
        <v>453195</v>
      </c>
      <c r="B353">
        <v>344000</v>
      </c>
    </row>
    <row r="354" spans="1:2" x14ac:dyDescent="0.3">
      <c r="A354">
        <v>453215</v>
      </c>
      <c r="B354">
        <v>72600</v>
      </c>
    </row>
    <row r="355" spans="1:2" x14ac:dyDescent="0.3">
      <c r="A355">
        <v>453257</v>
      </c>
      <c r="B355">
        <v>460800</v>
      </c>
    </row>
    <row r="356" spans="1:2" x14ac:dyDescent="0.3">
      <c r="A356" t="s">
        <v>261</v>
      </c>
      <c r="B356">
        <v>37400</v>
      </c>
    </row>
    <row r="357" spans="1:2" x14ac:dyDescent="0.3">
      <c r="A357">
        <v>453288</v>
      </c>
      <c r="B357">
        <v>701800</v>
      </c>
    </row>
    <row r="358" spans="1:2" x14ac:dyDescent="0.3">
      <c r="A358">
        <v>453298</v>
      </c>
      <c r="B358">
        <v>2400000</v>
      </c>
    </row>
    <row r="359" spans="1:2" x14ac:dyDescent="0.3">
      <c r="A359">
        <v>453299</v>
      </c>
      <c r="B359">
        <v>0</v>
      </c>
    </row>
    <row r="360" spans="1:2" x14ac:dyDescent="0.3">
      <c r="A360" t="s">
        <v>439</v>
      </c>
      <c r="B360">
        <v>616000</v>
      </c>
    </row>
    <row r="361" spans="1:2" x14ac:dyDescent="0.3">
      <c r="A361">
        <v>453333</v>
      </c>
      <c r="B361">
        <v>96800</v>
      </c>
    </row>
    <row r="362" spans="1:2" x14ac:dyDescent="0.3">
      <c r="A362">
        <v>453363</v>
      </c>
      <c r="B362">
        <v>176000</v>
      </c>
    </row>
    <row r="363" spans="1:2" x14ac:dyDescent="0.3">
      <c r="A363">
        <v>453367</v>
      </c>
      <c r="B363">
        <v>145200</v>
      </c>
    </row>
    <row r="364" spans="1:2" x14ac:dyDescent="0.3">
      <c r="A364">
        <v>453368</v>
      </c>
      <c r="B364">
        <v>1040600</v>
      </c>
    </row>
    <row r="365" spans="1:2" x14ac:dyDescent="0.3">
      <c r="A365">
        <v>453378</v>
      </c>
      <c r="B365">
        <v>774400</v>
      </c>
    </row>
    <row r="366" spans="1:2" x14ac:dyDescent="0.3">
      <c r="A366" t="s">
        <v>356</v>
      </c>
      <c r="B366">
        <v>13200</v>
      </c>
    </row>
    <row r="367" spans="1:2" x14ac:dyDescent="0.3">
      <c r="A367">
        <v>453385</v>
      </c>
      <c r="B367">
        <v>121000</v>
      </c>
    </row>
    <row r="368" spans="1:2" x14ac:dyDescent="0.3">
      <c r="A368" t="s">
        <v>422</v>
      </c>
      <c r="B368">
        <v>193600</v>
      </c>
    </row>
    <row r="369" spans="1:2" x14ac:dyDescent="0.3">
      <c r="A369">
        <v>453389</v>
      </c>
      <c r="B369">
        <v>822800</v>
      </c>
    </row>
    <row r="370" spans="1:2" x14ac:dyDescent="0.3">
      <c r="A370" t="s">
        <v>272</v>
      </c>
      <c r="B370">
        <v>128000</v>
      </c>
    </row>
    <row r="371" spans="1:2" x14ac:dyDescent="0.3">
      <c r="A371">
        <v>453396</v>
      </c>
      <c r="B371">
        <v>56000</v>
      </c>
    </row>
    <row r="372" spans="1:2" x14ac:dyDescent="0.3">
      <c r="A372">
        <v>453400</v>
      </c>
      <c r="B372">
        <v>24200</v>
      </c>
    </row>
    <row r="373" spans="1:2" x14ac:dyDescent="0.3">
      <c r="A373">
        <v>453401</v>
      </c>
      <c r="B373">
        <v>70400</v>
      </c>
    </row>
    <row r="374" spans="1:2" x14ac:dyDescent="0.3">
      <c r="A374">
        <v>453409</v>
      </c>
      <c r="B374">
        <v>204600</v>
      </c>
    </row>
    <row r="375" spans="1:2" x14ac:dyDescent="0.3">
      <c r="A375">
        <v>453410</v>
      </c>
      <c r="B375">
        <v>158400</v>
      </c>
    </row>
    <row r="376" spans="1:2" x14ac:dyDescent="0.3">
      <c r="A376">
        <v>453414</v>
      </c>
      <c r="B376">
        <v>0</v>
      </c>
    </row>
    <row r="377" spans="1:2" x14ac:dyDescent="0.3">
      <c r="A377">
        <v>453418</v>
      </c>
      <c r="B377">
        <v>1075800</v>
      </c>
    </row>
    <row r="378" spans="1:2" x14ac:dyDescent="0.3">
      <c r="A378">
        <v>453419</v>
      </c>
      <c r="B378">
        <v>56000</v>
      </c>
    </row>
    <row r="379" spans="1:2" x14ac:dyDescent="0.3">
      <c r="A379">
        <v>453423</v>
      </c>
      <c r="B379">
        <v>0</v>
      </c>
    </row>
    <row r="380" spans="1:2" x14ac:dyDescent="0.3">
      <c r="A380">
        <v>453449</v>
      </c>
      <c r="B380">
        <v>48400</v>
      </c>
    </row>
    <row r="381" spans="1:2" x14ac:dyDescent="0.3">
      <c r="A381">
        <v>453451</v>
      </c>
      <c r="B381">
        <v>459800</v>
      </c>
    </row>
    <row r="382" spans="1:2" x14ac:dyDescent="0.3">
      <c r="A382">
        <v>453462</v>
      </c>
      <c r="B382">
        <v>100000</v>
      </c>
    </row>
    <row r="383" spans="1:2" x14ac:dyDescent="0.3">
      <c r="A383">
        <v>453479</v>
      </c>
      <c r="B383">
        <v>121000</v>
      </c>
    </row>
    <row r="384" spans="1:2" x14ac:dyDescent="0.3">
      <c r="A384">
        <v>453483</v>
      </c>
      <c r="B384">
        <v>0</v>
      </c>
    </row>
    <row r="385" spans="1:2" x14ac:dyDescent="0.3">
      <c r="A385" t="s">
        <v>285</v>
      </c>
      <c r="B385">
        <v>132000</v>
      </c>
    </row>
    <row r="386" spans="1:2" x14ac:dyDescent="0.3">
      <c r="A386" t="s">
        <v>358</v>
      </c>
      <c r="B386">
        <v>24200</v>
      </c>
    </row>
    <row r="387" spans="1:2" x14ac:dyDescent="0.3">
      <c r="A387">
        <v>453516</v>
      </c>
      <c r="B387">
        <v>145200</v>
      </c>
    </row>
    <row r="388" spans="1:2" x14ac:dyDescent="0.3">
      <c r="A388">
        <v>453523</v>
      </c>
      <c r="B388">
        <v>107800</v>
      </c>
    </row>
    <row r="389" spans="1:2" x14ac:dyDescent="0.3">
      <c r="A389">
        <v>453526</v>
      </c>
      <c r="B389">
        <v>400000</v>
      </c>
    </row>
    <row r="390" spans="1:2" x14ac:dyDescent="0.3">
      <c r="A390">
        <v>453528</v>
      </c>
      <c r="B390">
        <v>0</v>
      </c>
    </row>
    <row r="391" spans="1:2" x14ac:dyDescent="0.3">
      <c r="A391">
        <v>453554</v>
      </c>
      <c r="B391">
        <v>0</v>
      </c>
    </row>
    <row r="392" spans="1:2" x14ac:dyDescent="0.3">
      <c r="A392">
        <v>453584</v>
      </c>
      <c r="B392">
        <v>61600</v>
      </c>
    </row>
    <row r="393" spans="1:2" x14ac:dyDescent="0.3">
      <c r="A393">
        <v>453585</v>
      </c>
      <c r="B393">
        <v>0</v>
      </c>
    </row>
    <row r="394" spans="1:2" x14ac:dyDescent="0.3">
      <c r="A394">
        <v>453590</v>
      </c>
      <c r="B394">
        <v>158400</v>
      </c>
    </row>
    <row r="395" spans="1:2" x14ac:dyDescent="0.3">
      <c r="A395">
        <v>453591</v>
      </c>
      <c r="B395">
        <v>484000</v>
      </c>
    </row>
    <row r="396" spans="1:2" x14ac:dyDescent="0.3">
      <c r="A396">
        <v>453601</v>
      </c>
      <c r="B396">
        <v>59400</v>
      </c>
    </row>
    <row r="397" spans="1:2" x14ac:dyDescent="0.3">
      <c r="A397">
        <v>453618</v>
      </c>
      <c r="B397">
        <v>24200</v>
      </c>
    </row>
    <row r="398" spans="1:2" x14ac:dyDescent="0.3">
      <c r="A398">
        <v>453621</v>
      </c>
      <c r="B398">
        <v>13200</v>
      </c>
    </row>
    <row r="399" spans="1:2" x14ac:dyDescent="0.3">
      <c r="A399" t="s">
        <v>396</v>
      </c>
      <c r="B399">
        <v>0</v>
      </c>
    </row>
    <row r="400" spans="1:2" x14ac:dyDescent="0.3">
      <c r="A400">
        <v>453630</v>
      </c>
      <c r="B400">
        <v>96800</v>
      </c>
    </row>
    <row r="401" spans="1:2" x14ac:dyDescent="0.3">
      <c r="A401">
        <v>453633</v>
      </c>
      <c r="B401">
        <v>0</v>
      </c>
    </row>
    <row r="402" spans="1:2" x14ac:dyDescent="0.3">
      <c r="A402">
        <v>453640</v>
      </c>
      <c r="B402">
        <v>24200</v>
      </c>
    </row>
    <row r="403" spans="1:2" x14ac:dyDescent="0.3">
      <c r="A403">
        <v>453641</v>
      </c>
      <c r="B403">
        <v>24200</v>
      </c>
    </row>
    <row r="404" spans="1:2" x14ac:dyDescent="0.3">
      <c r="A404">
        <v>453643</v>
      </c>
      <c r="B404">
        <v>13200</v>
      </c>
    </row>
    <row r="405" spans="1:2" x14ac:dyDescent="0.3">
      <c r="A405">
        <v>453644</v>
      </c>
      <c r="B405">
        <v>0</v>
      </c>
    </row>
    <row r="406" spans="1:2" x14ac:dyDescent="0.3">
      <c r="A406">
        <v>453645</v>
      </c>
      <c r="B406">
        <v>37400</v>
      </c>
    </row>
    <row r="407" spans="1:2" x14ac:dyDescent="0.3">
      <c r="A407" t="s">
        <v>301</v>
      </c>
      <c r="B407">
        <v>83600</v>
      </c>
    </row>
    <row r="408" spans="1:2" x14ac:dyDescent="0.3">
      <c r="A408">
        <v>453657</v>
      </c>
      <c r="B408">
        <v>0</v>
      </c>
    </row>
    <row r="409" spans="1:2" x14ac:dyDescent="0.3">
      <c r="A409">
        <v>453659</v>
      </c>
      <c r="B409">
        <v>85800</v>
      </c>
    </row>
    <row r="410" spans="1:2" x14ac:dyDescent="0.3">
      <c r="A410">
        <v>453660</v>
      </c>
      <c r="B410">
        <v>13200</v>
      </c>
    </row>
    <row r="411" spans="1:2" x14ac:dyDescent="0.3">
      <c r="A411">
        <v>453666</v>
      </c>
      <c r="B411">
        <v>100000</v>
      </c>
    </row>
    <row r="412" spans="1:2" x14ac:dyDescent="0.3">
      <c r="A412" t="s">
        <v>462</v>
      </c>
      <c r="B412">
        <v>0</v>
      </c>
    </row>
    <row r="413" spans="1:2" x14ac:dyDescent="0.3">
      <c r="A413">
        <v>453686</v>
      </c>
      <c r="B413">
        <v>0</v>
      </c>
    </row>
    <row r="414" spans="1:2" x14ac:dyDescent="0.3">
      <c r="A414">
        <v>453690</v>
      </c>
      <c r="B414">
        <v>145200</v>
      </c>
    </row>
    <row r="415" spans="1:2" x14ac:dyDescent="0.3">
      <c r="A415">
        <v>453713</v>
      </c>
      <c r="B415">
        <v>88575</v>
      </c>
    </row>
    <row r="416" spans="1:2" x14ac:dyDescent="0.3">
      <c r="A416">
        <v>453719</v>
      </c>
      <c r="B416">
        <v>96800</v>
      </c>
    </row>
    <row r="417" spans="1:2" x14ac:dyDescent="0.3">
      <c r="A417">
        <v>453738</v>
      </c>
      <c r="B417">
        <v>0</v>
      </c>
    </row>
    <row r="418" spans="1:2" x14ac:dyDescent="0.3">
      <c r="A418">
        <v>453748</v>
      </c>
      <c r="B418">
        <v>0</v>
      </c>
    </row>
    <row r="419" spans="1:2" x14ac:dyDescent="0.3">
      <c r="A419" t="s">
        <v>428</v>
      </c>
      <c r="B419">
        <v>0</v>
      </c>
    </row>
    <row r="420" spans="1:2" x14ac:dyDescent="0.3">
      <c r="A420">
        <v>453762</v>
      </c>
      <c r="B420">
        <v>0</v>
      </c>
    </row>
    <row r="421" spans="1:2" x14ac:dyDescent="0.3">
      <c r="A421">
        <v>453766</v>
      </c>
      <c r="B421">
        <v>0</v>
      </c>
    </row>
    <row r="422" spans="1:2" x14ac:dyDescent="0.3">
      <c r="A422" t="s">
        <v>397</v>
      </c>
      <c r="B422">
        <v>145200</v>
      </c>
    </row>
    <row r="423" spans="1:2" x14ac:dyDescent="0.3">
      <c r="A423">
        <v>453772</v>
      </c>
      <c r="B423">
        <v>0</v>
      </c>
    </row>
    <row r="424" spans="1:2" x14ac:dyDescent="0.3">
      <c r="A424">
        <v>453773</v>
      </c>
      <c r="B424">
        <v>188000</v>
      </c>
    </row>
    <row r="425" spans="1:2" x14ac:dyDescent="0.3">
      <c r="A425">
        <v>453800</v>
      </c>
      <c r="B425">
        <v>208000</v>
      </c>
    </row>
    <row r="426" spans="1:2" x14ac:dyDescent="0.3">
      <c r="A426">
        <v>453805</v>
      </c>
      <c r="B426">
        <v>85800</v>
      </c>
    </row>
    <row r="427" spans="1:2" x14ac:dyDescent="0.3">
      <c r="A427">
        <v>453836</v>
      </c>
      <c r="B427">
        <v>0</v>
      </c>
    </row>
    <row r="428" spans="1:2" x14ac:dyDescent="0.3">
      <c r="A428">
        <v>453853</v>
      </c>
      <c r="B428">
        <v>0</v>
      </c>
    </row>
    <row r="429" spans="1:2" x14ac:dyDescent="0.3">
      <c r="A429">
        <v>453867</v>
      </c>
      <c r="B429">
        <v>0</v>
      </c>
    </row>
    <row r="430" spans="1:2" x14ac:dyDescent="0.3">
      <c r="A430" t="s">
        <v>388</v>
      </c>
      <c r="B430">
        <v>508200</v>
      </c>
    </row>
    <row r="431" spans="1:2" x14ac:dyDescent="0.3">
      <c r="A431">
        <v>453879</v>
      </c>
      <c r="B431">
        <v>0</v>
      </c>
    </row>
    <row r="432" spans="1:2" x14ac:dyDescent="0.3">
      <c r="A432">
        <v>453881</v>
      </c>
      <c r="B432">
        <v>0</v>
      </c>
    </row>
    <row r="433" spans="1:2" x14ac:dyDescent="0.3">
      <c r="A433">
        <v>453888</v>
      </c>
      <c r="B433">
        <v>0</v>
      </c>
    </row>
    <row r="434" spans="1:2" x14ac:dyDescent="0.3">
      <c r="A434">
        <v>453894</v>
      </c>
      <c r="B434">
        <v>0</v>
      </c>
    </row>
    <row r="435" spans="1:2" x14ac:dyDescent="0.3">
      <c r="A435">
        <v>453900</v>
      </c>
      <c r="B435">
        <v>0</v>
      </c>
    </row>
    <row r="436" spans="1:2" x14ac:dyDescent="0.3">
      <c r="A436">
        <v>453902</v>
      </c>
      <c r="B436">
        <v>0</v>
      </c>
    </row>
    <row r="437" spans="1:2" x14ac:dyDescent="0.3">
      <c r="A437">
        <v>453914</v>
      </c>
      <c r="B437">
        <v>0</v>
      </c>
    </row>
    <row r="438" spans="1:2" x14ac:dyDescent="0.3">
      <c r="A438">
        <v>453916</v>
      </c>
      <c r="B438">
        <v>0</v>
      </c>
    </row>
    <row r="439" spans="1:2" x14ac:dyDescent="0.3">
      <c r="A439">
        <v>453922</v>
      </c>
      <c r="B439">
        <v>0</v>
      </c>
    </row>
    <row r="440" spans="1:2" x14ac:dyDescent="0.3">
      <c r="A440">
        <v>453935</v>
      </c>
      <c r="B44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A80BE-49F0-4402-BD8A-BE173F015CB1}">
  <dimension ref="A1:F1148"/>
  <sheetViews>
    <sheetView workbookViewId="0">
      <selection activeCell="G10" sqref="G10"/>
    </sheetView>
  </sheetViews>
  <sheetFormatPr baseColWidth="10" defaultRowHeight="14.4" x14ac:dyDescent="0.3"/>
  <cols>
    <col min="4" max="4" width="11.5546875" style="52"/>
  </cols>
  <sheetData>
    <row r="1" spans="1:6" x14ac:dyDescent="0.3">
      <c r="A1" s="42">
        <v>400208</v>
      </c>
      <c r="B1" s="43">
        <v>142</v>
      </c>
      <c r="C1" s="43">
        <v>8000</v>
      </c>
      <c r="D1" s="51">
        <f>VLOOKUP(B1,E:F,2,0)</f>
        <v>0.73372191503301964</v>
      </c>
      <c r="E1">
        <v>102</v>
      </c>
      <c r="F1" s="49">
        <v>0.9</v>
      </c>
    </row>
    <row r="2" spans="1:6" x14ac:dyDescent="0.3">
      <c r="A2" s="42">
        <v>400208</v>
      </c>
      <c r="B2" s="43">
        <v>798</v>
      </c>
      <c r="C2" s="43">
        <v>8000</v>
      </c>
      <c r="D2" s="51">
        <f t="shared" ref="D2:D65" si="0">VLOOKUP(B2,E:F,2,0)</f>
        <v>0.98201053946219186</v>
      </c>
      <c r="E2">
        <v>103</v>
      </c>
      <c r="F2" s="49">
        <v>0.9</v>
      </c>
    </row>
    <row r="3" spans="1:6" x14ac:dyDescent="0.3">
      <c r="A3" s="42">
        <v>400208</v>
      </c>
      <c r="B3" s="43">
        <v>910</v>
      </c>
      <c r="C3" s="43">
        <v>8000</v>
      </c>
      <c r="D3" s="51">
        <f t="shared" si="0"/>
        <v>0.98980878134129691</v>
      </c>
      <c r="E3">
        <v>104</v>
      </c>
      <c r="F3" s="49">
        <v>0.9</v>
      </c>
    </row>
    <row r="4" spans="1:6" x14ac:dyDescent="0.3">
      <c r="A4" s="42">
        <v>400208</v>
      </c>
      <c r="B4" s="43">
        <v>2000</v>
      </c>
      <c r="C4" s="43">
        <v>246000</v>
      </c>
      <c r="D4" s="51">
        <f t="shared" si="0"/>
        <v>0.93535875888817066</v>
      </c>
      <c r="E4">
        <v>105</v>
      </c>
      <c r="F4" s="49">
        <v>0.9</v>
      </c>
    </row>
    <row r="5" spans="1:6" x14ac:dyDescent="0.3">
      <c r="A5" s="42">
        <v>400208</v>
      </c>
      <c r="B5" s="43">
        <v>750</v>
      </c>
      <c r="C5" s="43">
        <v>5000</v>
      </c>
      <c r="D5" s="51">
        <f t="shared" si="0"/>
        <v>0.82058595435750881</v>
      </c>
      <c r="E5">
        <v>106</v>
      </c>
      <c r="F5" s="49">
        <v>0.9</v>
      </c>
    </row>
    <row r="6" spans="1:6" x14ac:dyDescent="0.3">
      <c r="A6" s="42">
        <v>400211</v>
      </c>
      <c r="B6" s="43">
        <v>142</v>
      </c>
      <c r="C6" s="43">
        <v>8000</v>
      </c>
      <c r="D6" s="51">
        <f t="shared" si="0"/>
        <v>0.73372191503301964</v>
      </c>
      <c r="E6">
        <v>107</v>
      </c>
      <c r="F6" s="49">
        <v>0.9</v>
      </c>
    </row>
    <row r="7" spans="1:6" x14ac:dyDescent="0.3">
      <c r="A7" s="42">
        <v>400211</v>
      </c>
      <c r="B7" s="43">
        <v>798</v>
      </c>
      <c r="C7" s="43">
        <v>8000</v>
      </c>
      <c r="D7" s="51">
        <f t="shared" si="0"/>
        <v>0.98201053946219186</v>
      </c>
      <c r="E7">
        <v>108</v>
      </c>
      <c r="F7" s="49">
        <v>0.9</v>
      </c>
    </row>
    <row r="8" spans="1:6" x14ac:dyDescent="0.3">
      <c r="A8" s="42">
        <v>400211</v>
      </c>
      <c r="B8" s="43">
        <v>910</v>
      </c>
      <c r="C8" s="43">
        <v>8000</v>
      </c>
      <c r="D8" s="51">
        <f t="shared" si="0"/>
        <v>0.98980878134129691</v>
      </c>
      <c r="E8">
        <v>109</v>
      </c>
      <c r="F8" s="49">
        <v>0.8415653743272018</v>
      </c>
    </row>
    <row r="9" spans="1:6" x14ac:dyDescent="0.3">
      <c r="A9" s="42">
        <v>400211</v>
      </c>
      <c r="B9" s="43">
        <v>2000</v>
      </c>
      <c r="C9" s="43">
        <v>222000</v>
      </c>
      <c r="D9" s="51">
        <f t="shared" si="0"/>
        <v>0.93535875888817066</v>
      </c>
      <c r="E9">
        <v>122</v>
      </c>
      <c r="F9" s="49">
        <v>0.72509988568394079</v>
      </c>
    </row>
    <row r="10" spans="1:6" x14ac:dyDescent="0.3">
      <c r="A10" s="42">
        <v>400211</v>
      </c>
      <c r="B10" s="43">
        <v>750</v>
      </c>
      <c r="C10" s="43">
        <v>5000</v>
      </c>
      <c r="D10" s="51">
        <f t="shared" si="0"/>
        <v>0.82058595435750881</v>
      </c>
      <c r="E10">
        <v>123</v>
      </c>
      <c r="F10" s="49">
        <v>0.9</v>
      </c>
    </row>
    <row r="11" spans="1:6" x14ac:dyDescent="0.3">
      <c r="A11" s="42">
        <v>400213</v>
      </c>
      <c r="B11" s="43">
        <v>142</v>
      </c>
      <c r="C11" s="43">
        <v>8000</v>
      </c>
      <c r="D11" s="51">
        <f t="shared" si="0"/>
        <v>0.73372191503301964</v>
      </c>
      <c r="E11">
        <v>124</v>
      </c>
      <c r="F11" s="49">
        <v>0.76056338028169013</v>
      </c>
    </row>
    <row r="12" spans="1:6" x14ac:dyDescent="0.3">
      <c r="A12" s="42">
        <v>400213</v>
      </c>
      <c r="B12" s="43">
        <v>798</v>
      </c>
      <c r="C12" s="43">
        <v>8000</v>
      </c>
      <c r="D12" s="51">
        <f t="shared" si="0"/>
        <v>0.98201053946219186</v>
      </c>
      <c r="E12">
        <v>125</v>
      </c>
      <c r="F12" s="49">
        <v>0.51487674883411061</v>
      </c>
    </row>
    <row r="13" spans="1:6" x14ac:dyDescent="0.3">
      <c r="A13" s="42">
        <v>400213</v>
      </c>
      <c r="B13" s="43">
        <v>910</v>
      </c>
      <c r="C13" s="43">
        <v>8000</v>
      </c>
      <c r="D13" s="51">
        <f t="shared" si="0"/>
        <v>0.98980878134129691</v>
      </c>
      <c r="E13">
        <v>126</v>
      </c>
      <c r="F13" s="49">
        <v>0.9</v>
      </c>
    </row>
    <row r="14" spans="1:6" x14ac:dyDescent="0.3">
      <c r="A14" s="42">
        <v>400213</v>
      </c>
      <c r="B14" s="43">
        <v>2000</v>
      </c>
      <c r="C14" s="43">
        <v>261000</v>
      </c>
      <c r="D14" s="51">
        <f t="shared" si="0"/>
        <v>0.93535875888817066</v>
      </c>
      <c r="E14">
        <v>127</v>
      </c>
      <c r="F14" s="49">
        <v>0.772139856764963</v>
      </c>
    </row>
    <row r="15" spans="1:6" x14ac:dyDescent="0.3">
      <c r="A15" s="42">
        <v>400213</v>
      </c>
      <c r="B15" s="43">
        <v>750</v>
      </c>
      <c r="C15" s="43">
        <v>5000</v>
      </c>
      <c r="D15" s="51">
        <f t="shared" si="0"/>
        <v>0.82058595435750881</v>
      </c>
      <c r="E15">
        <v>134</v>
      </c>
      <c r="F15" s="49">
        <v>0.9</v>
      </c>
    </row>
    <row r="16" spans="1:6" x14ac:dyDescent="0.3">
      <c r="A16" s="42" t="s">
        <v>41</v>
      </c>
      <c r="B16" s="43">
        <v>142</v>
      </c>
      <c r="C16" s="43">
        <v>7000</v>
      </c>
      <c r="D16" s="51">
        <f t="shared" si="0"/>
        <v>0.73372191503301964</v>
      </c>
      <c r="E16">
        <v>135</v>
      </c>
      <c r="F16" s="49">
        <v>0.9</v>
      </c>
    </row>
    <row r="17" spans="1:6" x14ac:dyDescent="0.3">
      <c r="A17" s="42" t="s">
        <v>41</v>
      </c>
      <c r="B17" s="43">
        <v>798</v>
      </c>
      <c r="C17" s="43">
        <v>7000</v>
      </c>
      <c r="D17" s="51">
        <f t="shared" si="0"/>
        <v>0.98201053946219186</v>
      </c>
      <c r="E17">
        <v>136</v>
      </c>
      <c r="F17" s="49">
        <v>0.73107264335751254</v>
      </c>
    </row>
    <row r="18" spans="1:6" x14ac:dyDescent="0.3">
      <c r="A18" s="42" t="s">
        <v>41</v>
      </c>
      <c r="B18" s="43">
        <v>910</v>
      </c>
      <c r="C18" s="43">
        <v>7000</v>
      </c>
      <c r="D18" s="51">
        <f t="shared" si="0"/>
        <v>0.98980878134129691</v>
      </c>
      <c r="E18">
        <v>137</v>
      </c>
      <c r="F18" s="49">
        <v>0.9</v>
      </c>
    </row>
    <row r="19" spans="1:6" x14ac:dyDescent="0.3">
      <c r="A19" s="42" t="s">
        <v>41</v>
      </c>
      <c r="B19" s="43">
        <v>2000</v>
      </c>
      <c r="C19" s="43">
        <v>261000</v>
      </c>
      <c r="D19" s="51">
        <f t="shared" si="0"/>
        <v>0.93535875888817066</v>
      </c>
      <c r="E19">
        <v>139</v>
      </c>
      <c r="F19" s="49">
        <v>0.88259633793871128</v>
      </c>
    </row>
    <row r="20" spans="1:6" x14ac:dyDescent="0.3">
      <c r="A20" s="42" t="s">
        <v>41</v>
      </c>
      <c r="B20" s="43">
        <v>750</v>
      </c>
      <c r="C20" s="43">
        <v>5000</v>
      </c>
      <c r="D20" s="51">
        <f t="shared" si="0"/>
        <v>0.82058595435750881</v>
      </c>
      <c r="E20">
        <v>140</v>
      </c>
      <c r="F20" s="49">
        <v>0.9</v>
      </c>
    </row>
    <row r="21" spans="1:6" x14ac:dyDescent="0.3">
      <c r="A21" s="42">
        <v>400279</v>
      </c>
      <c r="B21" s="43">
        <v>124</v>
      </c>
      <c r="C21" s="43">
        <v>6000</v>
      </c>
      <c r="D21" s="51">
        <f t="shared" si="0"/>
        <v>0.76056338028169013</v>
      </c>
      <c r="E21">
        <v>141</v>
      </c>
      <c r="F21" s="49">
        <v>0.72618274209629163</v>
      </c>
    </row>
    <row r="22" spans="1:6" x14ac:dyDescent="0.3">
      <c r="A22" s="42">
        <v>400279</v>
      </c>
      <c r="B22" s="43">
        <v>798</v>
      </c>
      <c r="C22" s="43">
        <v>6000</v>
      </c>
      <c r="D22" s="51">
        <f t="shared" si="0"/>
        <v>0.98201053946219186</v>
      </c>
      <c r="E22">
        <v>142</v>
      </c>
      <c r="F22" s="49">
        <v>0.73372191503301964</v>
      </c>
    </row>
    <row r="23" spans="1:6" x14ac:dyDescent="0.3">
      <c r="A23" s="42">
        <v>400279</v>
      </c>
      <c r="B23" s="43">
        <v>910</v>
      </c>
      <c r="C23" s="43">
        <v>6000</v>
      </c>
      <c r="D23" s="51">
        <f t="shared" si="0"/>
        <v>0.98980878134129691</v>
      </c>
      <c r="E23">
        <v>205</v>
      </c>
      <c r="F23" s="49">
        <v>0.9</v>
      </c>
    </row>
    <row r="24" spans="1:6" x14ac:dyDescent="0.3">
      <c r="A24" s="42">
        <v>400279</v>
      </c>
      <c r="B24" s="43">
        <v>2700</v>
      </c>
      <c r="C24" s="43">
        <v>10000</v>
      </c>
      <c r="D24" s="51">
        <f t="shared" si="0"/>
        <v>0.95856377880310994</v>
      </c>
      <c r="E24">
        <v>206</v>
      </c>
      <c r="F24" s="49">
        <v>0.9</v>
      </c>
    </row>
    <row r="25" spans="1:6" x14ac:dyDescent="0.3">
      <c r="A25" s="42">
        <v>400279</v>
      </c>
      <c r="B25" s="43">
        <v>750</v>
      </c>
      <c r="C25" s="43">
        <v>5000</v>
      </c>
      <c r="D25" s="51">
        <f t="shared" si="0"/>
        <v>0.82058595435750881</v>
      </c>
      <c r="E25">
        <v>207</v>
      </c>
      <c r="F25" s="49">
        <v>0.90565335550442194</v>
      </c>
    </row>
    <row r="26" spans="1:6" x14ac:dyDescent="0.3">
      <c r="A26" s="42" t="s">
        <v>43</v>
      </c>
      <c r="B26" s="43">
        <v>142</v>
      </c>
      <c r="C26" s="43">
        <v>7000</v>
      </c>
      <c r="D26" s="51">
        <f t="shared" si="0"/>
        <v>0.73372191503301964</v>
      </c>
      <c r="E26">
        <v>210</v>
      </c>
      <c r="F26" s="49">
        <v>0.88209415934394453</v>
      </c>
    </row>
    <row r="27" spans="1:6" x14ac:dyDescent="0.3">
      <c r="A27" s="42" t="s">
        <v>43</v>
      </c>
      <c r="B27" s="43">
        <v>798</v>
      </c>
      <c r="C27" s="43">
        <v>7000</v>
      </c>
      <c r="D27" s="51">
        <f t="shared" si="0"/>
        <v>0.98201053946219186</v>
      </c>
      <c r="E27">
        <v>211</v>
      </c>
      <c r="F27" s="49">
        <v>0.7340150113753876</v>
      </c>
    </row>
    <row r="28" spans="1:6" x14ac:dyDescent="0.3">
      <c r="A28" s="42" t="s">
        <v>43</v>
      </c>
      <c r="B28" s="43">
        <v>910</v>
      </c>
      <c r="C28" s="43">
        <v>7000</v>
      </c>
      <c r="D28" s="51">
        <f t="shared" si="0"/>
        <v>0.98980878134129691</v>
      </c>
      <c r="E28">
        <v>212</v>
      </c>
      <c r="F28" s="49">
        <v>0.91115887131188655</v>
      </c>
    </row>
    <row r="29" spans="1:6" x14ac:dyDescent="0.3">
      <c r="A29" s="42" t="s">
        <v>43</v>
      </c>
      <c r="B29" s="43">
        <v>2000</v>
      </c>
      <c r="C29" s="43">
        <v>201000</v>
      </c>
      <c r="D29" s="51">
        <f t="shared" si="0"/>
        <v>0.93535875888817066</v>
      </c>
      <c r="E29">
        <v>213</v>
      </c>
      <c r="F29" s="49">
        <v>0.89211414217378293</v>
      </c>
    </row>
    <row r="30" spans="1:6" x14ac:dyDescent="0.3">
      <c r="A30" s="42" t="s">
        <v>43</v>
      </c>
      <c r="B30" s="43">
        <v>750</v>
      </c>
      <c r="C30" s="43">
        <v>5000</v>
      </c>
      <c r="D30" s="51">
        <f t="shared" si="0"/>
        <v>0.82058595435750881</v>
      </c>
      <c r="E30">
        <v>214</v>
      </c>
      <c r="F30" s="49">
        <v>0.91778021233859708</v>
      </c>
    </row>
    <row r="31" spans="1:6" x14ac:dyDescent="0.3">
      <c r="A31" s="42">
        <v>400292</v>
      </c>
      <c r="B31" s="43">
        <v>142</v>
      </c>
      <c r="C31" s="43">
        <v>8000</v>
      </c>
      <c r="D31" s="51">
        <f t="shared" si="0"/>
        <v>0.73372191503301964</v>
      </c>
      <c r="E31">
        <v>215</v>
      </c>
      <c r="F31" s="49">
        <v>0.81343416045002803</v>
      </c>
    </row>
    <row r="32" spans="1:6" x14ac:dyDescent="0.3">
      <c r="A32" s="42">
        <v>400292</v>
      </c>
      <c r="B32" s="43">
        <v>798</v>
      </c>
      <c r="C32" s="43">
        <v>8000</v>
      </c>
      <c r="D32" s="51">
        <f t="shared" si="0"/>
        <v>0.98201053946219186</v>
      </c>
      <c r="E32">
        <v>216</v>
      </c>
      <c r="F32" s="49">
        <v>0.89206001750765074</v>
      </c>
    </row>
    <row r="33" spans="1:6" x14ac:dyDescent="0.3">
      <c r="A33" s="42">
        <v>400292</v>
      </c>
      <c r="B33" s="43">
        <v>910</v>
      </c>
      <c r="C33" s="43">
        <v>8000</v>
      </c>
      <c r="D33" s="51">
        <f t="shared" si="0"/>
        <v>0.98980878134129691</v>
      </c>
      <c r="E33">
        <v>217</v>
      </c>
      <c r="F33" s="49">
        <v>0.86370034656778971</v>
      </c>
    </row>
    <row r="34" spans="1:6" x14ac:dyDescent="0.3">
      <c r="A34" s="42">
        <v>400292</v>
      </c>
      <c r="B34" s="43">
        <v>2000</v>
      </c>
      <c r="C34" s="43">
        <v>193000</v>
      </c>
      <c r="D34" s="51">
        <f t="shared" si="0"/>
        <v>0.93535875888817066</v>
      </c>
      <c r="E34">
        <v>220</v>
      </c>
      <c r="F34" s="49">
        <v>0.9</v>
      </c>
    </row>
    <row r="35" spans="1:6" x14ac:dyDescent="0.3">
      <c r="A35" s="42">
        <v>400292</v>
      </c>
      <c r="B35" s="43">
        <v>750</v>
      </c>
      <c r="C35" s="43">
        <v>5000</v>
      </c>
      <c r="D35" s="51">
        <f t="shared" si="0"/>
        <v>0.82058595435750881</v>
      </c>
      <c r="E35">
        <v>221</v>
      </c>
      <c r="F35" s="49">
        <v>0.86451773785099451</v>
      </c>
    </row>
    <row r="36" spans="1:6" x14ac:dyDescent="0.3">
      <c r="A36" s="42">
        <v>400293</v>
      </c>
      <c r="B36" s="43">
        <v>142</v>
      </c>
      <c r="C36" s="43">
        <v>10000</v>
      </c>
      <c r="D36" s="51">
        <f t="shared" si="0"/>
        <v>0.73372191503301964</v>
      </c>
      <c r="E36">
        <v>255</v>
      </c>
      <c r="F36" s="49">
        <v>0.9</v>
      </c>
    </row>
    <row r="37" spans="1:6" x14ac:dyDescent="0.3">
      <c r="A37" s="42">
        <v>400293</v>
      </c>
      <c r="B37" s="43">
        <v>798</v>
      </c>
      <c r="C37" s="43">
        <v>10000</v>
      </c>
      <c r="D37" s="51">
        <f t="shared" si="0"/>
        <v>0.98201053946219186</v>
      </c>
      <c r="E37">
        <v>256</v>
      </c>
      <c r="F37" s="49">
        <v>0.69647682713923009</v>
      </c>
    </row>
    <row r="38" spans="1:6" x14ac:dyDescent="0.3">
      <c r="A38" s="42">
        <v>400293</v>
      </c>
      <c r="B38" s="43">
        <v>910</v>
      </c>
      <c r="C38" s="43">
        <v>10000</v>
      </c>
      <c r="D38" s="51">
        <f t="shared" si="0"/>
        <v>0.98980878134129691</v>
      </c>
      <c r="E38">
        <v>257</v>
      </c>
      <c r="F38" s="49">
        <v>0.82485582393453927</v>
      </c>
    </row>
    <row r="39" spans="1:6" x14ac:dyDescent="0.3">
      <c r="A39" s="42">
        <v>400293</v>
      </c>
      <c r="B39" s="43">
        <v>2000</v>
      </c>
      <c r="C39" s="43">
        <v>317000</v>
      </c>
      <c r="D39" s="51">
        <f t="shared" si="0"/>
        <v>0.93535875888817066</v>
      </c>
      <c r="E39">
        <v>258</v>
      </c>
      <c r="F39" s="49">
        <v>0.73342188280044252</v>
      </c>
    </row>
    <row r="40" spans="1:6" x14ac:dyDescent="0.3">
      <c r="A40" s="42">
        <v>400293</v>
      </c>
      <c r="B40" s="43">
        <v>750</v>
      </c>
      <c r="C40" s="43">
        <v>6000</v>
      </c>
      <c r="D40" s="51">
        <f t="shared" si="0"/>
        <v>0.82058595435750881</v>
      </c>
      <c r="E40">
        <v>260</v>
      </c>
      <c r="F40" s="49">
        <v>0.84463020674510114</v>
      </c>
    </row>
    <row r="41" spans="1:6" x14ac:dyDescent="0.3">
      <c r="A41" s="42">
        <v>400296</v>
      </c>
      <c r="B41" s="43">
        <v>142</v>
      </c>
      <c r="C41" s="43">
        <v>10000</v>
      </c>
      <c r="D41" s="51">
        <f t="shared" si="0"/>
        <v>0.73372191503301964</v>
      </c>
      <c r="E41">
        <v>261</v>
      </c>
      <c r="F41" s="49">
        <v>0.86363448374932017</v>
      </c>
    </row>
    <row r="42" spans="1:6" x14ac:dyDescent="0.3">
      <c r="A42" s="42">
        <v>400296</v>
      </c>
      <c r="B42" s="43">
        <v>798</v>
      </c>
      <c r="C42" s="43">
        <v>10000</v>
      </c>
      <c r="D42" s="51">
        <f t="shared" si="0"/>
        <v>0.98201053946219186</v>
      </c>
      <c r="E42">
        <v>262</v>
      </c>
      <c r="F42" s="49">
        <v>0.84105582227237186</v>
      </c>
    </row>
    <row r="43" spans="1:6" x14ac:dyDescent="0.3">
      <c r="A43" s="42">
        <v>400296</v>
      </c>
      <c r="B43" s="43">
        <v>910</v>
      </c>
      <c r="C43" s="43">
        <v>10000</v>
      </c>
      <c r="D43" s="51">
        <f t="shared" si="0"/>
        <v>0.98980878134129691</v>
      </c>
      <c r="E43">
        <v>265</v>
      </c>
      <c r="F43" s="49">
        <v>0.77814176591921203</v>
      </c>
    </row>
    <row r="44" spans="1:6" x14ac:dyDescent="0.3">
      <c r="A44" s="42">
        <v>400296</v>
      </c>
      <c r="B44" s="43">
        <v>2000</v>
      </c>
      <c r="C44" s="43">
        <v>277000</v>
      </c>
      <c r="D44" s="51">
        <f t="shared" si="0"/>
        <v>0.93535875888817066</v>
      </c>
      <c r="E44">
        <v>266</v>
      </c>
      <c r="F44" s="49">
        <v>0.84702959767415587</v>
      </c>
    </row>
    <row r="45" spans="1:6" x14ac:dyDescent="0.3">
      <c r="A45" s="42">
        <v>400296</v>
      </c>
      <c r="B45" s="43">
        <v>750</v>
      </c>
      <c r="C45" s="43">
        <v>6000</v>
      </c>
      <c r="D45" s="51">
        <f t="shared" si="0"/>
        <v>0.82058595435750881</v>
      </c>
      <c r="E45">
        <v>270</v>
      </c>
      <c r="F45" s="49">
        <v>0.5994991091348586</v>
      </c>
    </row>
    <row r="46" spans="1:6" x14ac:dyDescent="0.3">
      <c r="A46" s="42">
        <v>400298</v>
      </c>
      <c r="B46" s="43">
        <v>142</v>
      </c>
      <c r="C46" s="43">
        <v>10000</v>
      </c>
      <c r="D46" s="51">
        <f t="shared" si="0"/>
        <v>0.73372191503301964</v>
      </c>
      <c r="E46">
        <v>271</v>
      </c>
      <c r="F46" s="49">
        <v>0.8495871070735026</v>
      </c>
    </row>
    <row r="47" spans="1:6" x14ac:dyDescent="0.3">
      <c r="A47" s="42">
        <v>400298</v>
      </c>
      <c r="B47" s="43">
        <v>798</v>
      </c>
      <c r="C47" s="43">
        <v>10000</v>
      </c>
      <c r="D47" s="51">
        <f t="shared" si="0"/>
        <v>0.98201053946219186</v>
      </c>
      <c r="E47">
        <v>280</v>
      </c>
      <c r="F47" s="49">
        <v>0.78667931488415466</v>
      </c>
    </row>
    <row r="48" spans="1:6" x14ac:dyDescent="0.3">
      <c r="A48" s="42">
        <v>400298</v>
      </c>
      <c r="B48" s="43">
        <v>910</v>
      </c>
      <c r="C48" s="43">
        <v>10000</v>
      </c>
      <c r="D48" s="51">
        <f t="shared" si="0"/>
        <v>0.98980878134129691</v>
      </c>
      <c r="E48">
        <v>281</v>
      </c>
      <c r="F48" s="49">
        <v>0.33334796183684462</v>
      </c>
    </row>
    <row r="49" spans="1:6" x14ac:dyDescent="0.3">
      <c r="A49" s="42">
        <v>400298</v>
      </c>
      <c r="B49" s="43">
        <v>2000</v>
      </c>
      <c r="C49" s="43">
        <v>317000</v>
      </c>
      <c r="D49" s="51">
        <f t="shared" si="0"/>
        <v>0.93535875888817066</v>
      </c>
      <c r="E49">
        <v>282</v>
      </c>
      <c r="F49" s="49">
        <v>0.75434788947886156</v>
      </c>
    </row>
    <row r="50" spans="1:6" x14ac:dyDescent="0.3">
      <c r="A50" s="42">
        <v>400298</v>
      </c>
      <c r="B50" s="43">
        <v>750</v>
      </c>
      <c r="C50" s="43">
        <v>5000</v>
      </c>
      <c r="D50" s="51">
        <f t="shared" si="0"/>
        <v>0.82058595435750881</v>
      </c>
      <c r="E50">
        <v>301</v>
      </c>
      <c r="F50" s="49">
        <v>0.9</v>
      </c>
    </row>
    <row r="51" spans="1:6" x14ac:dyDescent="0.3">
      <c r="A51" s="42">
        <v>400299</v>
      </c>
      <c r="B51" s="43">
        <v>142</v>
      </c>
      <c r="C51" s="43">
        <v>10000</v>
      </c>
      <c r="D51" s="51">
        <f t="shared" si="0"/>
        <v>0.73372191503301964</v>
      </c>
      <c r="E51">
        <v>303</v>
      </c>
      <c r="F51" s="49">
        <v>0.9</v>
      </c>
    </row>
    <row r="52" spans="1:6" x14ac:dyDescent="0.3">
      <c r="A52" s="42">
        <v>400299</v>
      </c>
      <c r="B52" s="43">
        <v>798</v>
      </c>
      <c r="C52" s="43">
        <v>10000</v>
      </c>
      <c r="D52" s="51">
        <f t="shared" si="0"/>
        <v>0.98201053946219186</v>
      </c>
      <c r="E52">
        <v>304</v>
      </c>
      <c r="F52" s="49">
        <v>0.9</v>
      </c>
    </row>
    <row r="53" spans="1:6" x14ac:dyDescent="0.3">
      <c r="A53" s="42">
        <v>400299</v>
      </c>
      <c r="B53" s="43">
        <v>910</v>
      </c>
      <c r="C53" s="43">
        <v>10000</v>
      </c>
      <c r="D53" s="51">
        <f t="shared" si="0"/>
        <v>0.98980878134129691</v>
      </c>
      <c r="E53">
        <v>305</v>
      </c>
      <c r="F53" s="49">
        <v>0.9</v>
      </c>
    </row>
    <row r="54" spans="1:6" x14ac:dyDescent="0.3">
      <c r="A54" s="42">
        <v>400299</v>
      </c>
      <c r="B54" s="43">
        <v>2000</v>
      </c>
      <c r="C54" s="43">
        <v>277000</v>
      </c>
      <c r="D54" s="51">
        <f t="shared" si="0"/>
        <v>0.93535875888817066</v>
      </c>
      <c r="E54">
        <v>306</v>
      </c>
      <c r="F54" s="49">
        <v>0.9</v>
      </c>
    </row>
    <row r="55" spans="1:6" x14ac:dyDescent="0.3">
      <c r="A55" s="42">
        <v>400299</v>
      </c>
      <c r="B55" s="43">
        <v>750</v>
      </c>
      <c r="C55" s="43">
        <v>6000</v>
      </c>
      <c r="D55" s="51">
        <f t="shared" si="0"/>
        <v>0.82058595435750881</v>
      </c>
      <c r="E55">
        <v>307</v>
      </c>
      <c r="F55" s="49">
        <v>0.9</v>
      </c>
    </row>
    <row r="56" spans="1:6" x14ac:dyDescent="0.3">
      <c r="A56" s="42">
        <v>400303</v>
      </c>
      <c r="B56" s="43">
        <v>142</v>
      </c>
      <c r="C56" s="43">
        <v>6000</v>
      </c>
      <c r="D56" s="51">
        <f t="shared" si="0"/>
        <v>0.73372191503301964</v>
      </c>
      <c r="E56">
        <v>310</v>
      </c>
      <c r="F56" s="49">
        <v>0.9</v>
      </c>
    </row>
    <row r="57" spans="1:6" x14ac:dyDescent="0.3">
      <c r="A57" s="42">
        <v>400303</v>
      </c>
      <c r="B57" s="43">
        <v>798</v>
      </c>
      <c r="C57" s="43">
        <v>6000</v>
      </c>
      <c r="D57" s="51">
        <f t="shared" si="0"/>
        <v>0.98201053946219186</v>
      </c>
      <c r="E57">
        <v>330</v>
      </c>
      <c r="F57" s="49">
        <v>0.9</v>
      </c>
    </row>
    <row r="58" spans="1:6" x14ac:dyDescent="0.3">
      <c r="A58" s="42">
        <v>400303</v>
      </c>
      <c r="B58" s="43">
        <v>910</v>
      </c>
      <c r="C58" s="43">
        <v>6000</v>
      </c>
      <c r="D58" s="51">
        <f t="shared" si="0"/>
        <v>0.98980878134129691</v>
      </c>
      <c r="E58">
        <v>335</v>
      </c>
      <c r="F58" s="49">
        <v>0.9</v>
      </c>
    </row>
    <row r="59" spans="1:6" x14ac:dyDescent="0.3">
      <c r="A59" s="42">
        <v>400303</v>
      </c>
      <c r="B59" s="43">
        <v>2000</v>
      </c>
      <c r="C59" s="43">
        <v>222000</v>
      </c>
      <c r="D59" s="51">
        <f t="shared" si="0"/>
        <v>0.93535875888817066</v>
      </c>
      <c r="E59">
        <v>400</v>
      </c>
      <c r="F59" s="49">
        <v>1</v>
      </c>
    </row>
    <row r="60" spans="1:6" x14ac:dyDescent="0.3">
      <c r="A60" s="42">
        <v>400303</v>
      </c>
      <c r="B60" s="43">
        <v>750</v>
      </c>
      <c r="C60" s="43">
        <v>6000</v>
      </c>
      <c r="D60" s="51">
        <f t="shared" si="0"/>
        <v>0.82058595435750881</v>
      </c>
      <c r="E60">
        <v>401</v>
      </c>
      <c r="F60" s="49">
        <v>0.54371925546744249</v>
      </c>
    </row>
    <row r="61" spans="1:6" x14ac:dyDescent="0.3">
      <c r="A61" s="42">
        <v>400311</v>
      </c>
      <c r="B61" s="43">
        <v>142</v>
      </c>
      <c r="C61" s="43">
        <v>10000</v>
      </c>
      <c r="D61" s="51">
        <f t="shared" si="0"/>
        <v>0.73372191503301964</v>
      </c>
      <c r="E61">
        <v>405</v>
      </c>
      <c r="F61" s="49">
        <v>0.67723488591146541</v>
      </c>
    </row>
    <row r="62" spans="1:6" x14ac:dyDescent="0.3">
      <c r="A62" s="42">
        <v>400311</v>
      </c>
      <c r="B62" s="43">
        <v>798</v>
      </c>
      <c r="C62" s="43">
        <v>10000</v>
      </c>
      <c r="D62" s="51">
        <f t="shared" si="0"/>
        <v>0.98201053946219186</v>
      </c>
      <c r="E62">
        <v>406</v>
      </c>
      <c r="F62" s="49">
        <v>0.53768896517227793</v>
      </c>
    </row>
    <row r="63" spans="1:6" x14ac:dyDescent="0.3">
      <c r="A63" s="42">
        <v>400311</v>
      </c>
      <c r="B63" s="43">
        <v>910</v>
      </c>
      <c r="C63" s="43">
        <v>10000</v>
      </c>
      <c r="D63" s="51">
        <f t="shared" si="0"/>
        <v>0.98980878134129691</v>
      </c>
      <c r="E63">
        <v>407</v>
      </c>
      <c r="F63" s="49">
        <v>0.58662294120052372</v>
      </c>
    </row>
    <row r="64" spans="1:6" x14ac:dyDescent="0.3">
      <c r="A64" s="42">
        <v>400311</v>
      </c>
      <c r="B64" s="43">
        <v>2000</v>
      </c>
      <c r="C64" s="43">
        <v>222000</v>
      </c>
      <c r="D64" s="51">
        <f t="shared" si="0"/>
        <v>0.93535875888817066</v>
      </c>
      <c r="E64">
        <v>408</v>
      </c>
      <c r="F64" s="49">
        <v>0.9</v>
      </c>
    </row>
    <row r="65" spans="1:6" x14ac:dyDescent="0.3">
      <c r="A65" s="42">
        <v>400311</v>
      </c>
      <c r="B65" s="43">
        <v>750</v>
      </c>
      <c r="C65" s="43">
        <v>6000</v>
      </c>
      <c r="D65" s="51">
        <f t="shared" si="0"/>
        <v>0.82058595435750881</v>
      </c>
      <c r="E65">
        <v>409</v>
      </c>
      <c r="F65" s="49">
        <v>0.50230256748551327</v>
      </c>
    </row>
    <row r="66" spans="1:6" x14ac:dyDescent="0.3">
      <c r="A66" s="42">
        <v>400312</v>
      </c>
      <c r="B66" s="43">
        <v>406</v>
      </c>
      <c r="C66" s="43">
        <v>4000</v>
      </c>
      <c r="D66" s="51">
        <f t="shared" ref="D66:D129" si="1">VLOOKUP(B66,E:F,2,0)</f>
        <v>0.53768896517227793</v>
      </c>
      <c r="E66">
        <v>410</v>
      </c>
      <c r="F66" s="49">
        <v>0.9</v>
      </c>
    </row>
    <row r="67" spans="1:6" x14ac:dyDescent="0.3">
      <c r="A67" s="42">
        <v>400312</v>
      </c>
      <c r="B67" s="43">
        <v>798</v>
      </c>
      <c r="C67" s="43">
        <v>4000</v>
      </c>
      <c r="D67" s="51">
        <f t="shared" si="1"/>
        <v>0.98201053946219186</v>
      </c>
      <c r="E67">
        <v>411</v>
      </c>
      <c r="F67" s="49">
        <v>0.9</v>
      </c>
    </row>
    <row r="68" spans="1:6" x14ac:dyDescent="0.3">
      <c r="A68" s="42">
        <v>400312</v>
      </c>
      <c r="B68" s="43">
        <v>910</v>
      </c>
      <c r="C68" s="43">
        <v>4000</v>
      </c>
      <c r="D68" s="51">
        <f t="shared" si="1"/>
        <v>0.98980878134129691</v>
      </c>
      <c r="E68">
        <v>412</v>
      </c>
      <c r="F68" s="49">
        <v>0.68599281682914315</v>
      </c>
    </row>
    <row r="69" spans="1:6" x14ac:dyDescent="0.3">
      <c r="A69" s="42">
        <v>400312</v>
      </c>
      <c r="B69" s="43">
        <v>2000</v>
      </c>
      <c r="C69" s="43">
        <v>277000</v>
      </c>
      <c r="D69" s="51">
        <f t="shared" si="1"/>
        <v>0.93535875888817066</v>
      </c>
      <c r="E69">
        <v>415</v>
      </c>
      <c r="F69" s="49">
        <v>0.9</v>
      </c>
    </row>
    <row r="70" spans="1:6" x14ac:dyDescent="0.3">
      <c r="A70" s="42">
        <v>400312</v>
      </c>
      <c r="B70" s="43">
        <v>750</v>
      </c>
      <c r="C70" s="43">
        <v>5000</v>
      </c>
      <c r="D70" s="51">
        <f t="shared" si="1"/>
        <v>0.82058595435750881</v>
      </c>
      <c r="E70">
        <v>416</v>
      </c>
      <c r="F70" s="49">
        <v>0.9</v>
      </c>
    </row>
    <row r="71" spans="1:6" x14ac:dyDescent="0.3">
      <c r="A71" s="42" t="s">
        <v>54</v>
      </c>
      <c r="B71" s="43">
        <v>406</v>
      </c>
      <c r="C71" s="43">
        <v>4000</v>
      </c>
      <c r="D71" s="51">
        <f t="shared" si="1"/>
        <v>0.53768896517227793</v>
      </c>
      <c r="E71">
        <v>417</v>
      </c>
      <c r="F71" s="49">
        <v>0.58636197761627973</v>
      </c>
    </row>
    <row r="72" spans="1:6" x14ac:dyDescent="0.3">
      <c r="A72" s="42" t="s">
        <v>54</v>
      </c>
      <c r="B72" s="43">
        <v>798</v>
      </c>
      <c r="C72" s="43">
        <v>4000</v>
      </c>
      <c r="D72" s="51">
        <f t="shared" si="1"/>
        <v>0.98201053946219186</v>
      </c>
      <c r="E72">
        <v>420</v>
      </c>
      <c r="F72" s="49">
        <v>0.9</v>
      </c>
    </row>
    <row r="73" spans="1:6" x14ac:dyDescent="0.3">
      <c r="A73" s="42" t="s">
        <v>54</v>
      </c>
      <c r="B73" s="43">
        <v>910</v>
      </c>
      <c r="C73" s="43">
        <v>4000</v>
      </c>
      <c r="D73" s="51">
        <f t="shared" si="1"/>
        <v>0.98980878134129691</v>
      </c>
      <c r="E73">
        <v>421</v>
      </c>
      <c r="F73" s="49">
        <v>0.9</v>
      </c>
    </row>
    <row r="74" spans="1:6" x14ac:dyDescent="0.3">
      <c r="A74" s="44" t="s">
        <v>54</v>
      </c>
      <c r="B74" s="43">
        <v>2700</v>
      </c>
      <c r="C74" s="43">
        <v>277000</v>
      </c>
      <c r="D74" s="51">
        <f t="shared" si="1"/>
        <v>0.95856377880310994</v>
      </c>
      <c r="E74">
        <v>425</v>
      </c>
      <c r="F74" s="49">
        <v>0.9</v>
      </c>
    </row>
    <row r="75" spans="1:6" x14ac:dyDescent="0.3">
      <c r="A75" s="42" t="s">
        <v>54</v>
      </c>
      <c r="B75" s="43">
        <v>750</v>
      </c>
      <c r="C75" s="43">
        <v>5000</v>
      </c>
      <c r="D75" s="51">
        <f t="shared" si="1"/>
        <v>0.82058595435750881</v>
      </c>
      <c r="E75">
        <v>452</v>
      </c>
      <c r="F75" s="49">
        <v>0.74384356298175025</v>
      </c>
    </row>
    <row r="76" spans="1:6" x14ac:dyDescent="0.3">
      <c r="A76" s="42">
        <v>400314</v>
      </c>
      <c r="B76" s="43">
        <v>401</v>
      </c>
      <c r="C76" s="43">
        <v>2300</v>
      </c>
      <c r="D76" s="51">
        <f t="shared" si="1"/>
        <v>0.54371925546744249</v>
      </c>
      <c r="E76">
        <v>453</v>
      </c>
      <c r="F76" s="49">
        <v>0.9</v>
      </c>
    </row>
    <row r="77" spans="1:6" x14ac:dyDescent="0.3">
      <c r="A77" s="42">
        <v>400314</v>
      </c>
      <c r="B77" s="43">
        <v>798</v>
      </c>
      <c r="C77" s="43">
        <v>2300</v>
      </c>
      <c r="D77" s="51">
        <f t="shared" si="1"/>
        <v>0.98201053946219186</v>
      </c>
      <c r="E77">
        <v>454</v>
      </c>
      <c r="F77" s="49">
        <v>0.71384567996303705</v>
      </c>
    </row>
    <row r="78" spans="1:6" x14ac:dyDescent="0.3">
      <c r="A78" s="42">
        <v>400314</v>
      </c>
      <c r="B78" s="43">
        <v>910</v>
      </c>
      <c r="C78" s="43">
        <v>2300</v>
      </c>
      <c r="D78" s="51">
        <f t="shared" si="1"/>
        <v>0.98980878134129691</v>
      </c>
      <c r="E78">
        <v>455</v>
      </c>
      <c r="F78" s="49">
        <v>0.71840222382598762</v>
      </c>
    </row>
    <row r="79" spans="1:6" x14ac:dyDescent="0.3">
      <c r="A79" s="42">
        <v>400314</v>
      </c>
      <c r="B79" s="43">
        <v>2000</v>
      </c>
      <c r="C79" s="43">
        <v>233000</v>
      </c>
      <c r="D79" s="51">
        <f t="shared" si="1"/>
        <v>0.93535875888817066</v>
      </c>
      <c r="E79">
        <v>456</v>
      </c>
      <c r="F79" s="49">
        <v>0.9375</v>
      </c>
    </row>
    <row r="80" spans="1:6" x14ac:dyDescent="0.3">
      <c r="A80" s="42">
        <v>400314</v>
      </c>
      <c r="B80" s="43">
        <v>750</v>
      </c>
      <c r="C80" s="43">
        <v>4000</v>
      </c>
      <c r="D80" s="51">
        <f t="shared" si="1"/>
        <v>0.82058595435750881</v>
      </c>
      <c r="E80">
        <v>457</v>
      </c>
      <c r="F80" s="49">
        <v>0.75743338468817811</v>
      </c>
    </row>
    <row r="81" spans="1:6" x14ac:dyDescent="0.3">
      <c r="A81" s="42" t="s">
        <v>450</v>
      </c>
      <c r="B81" s="43">
        <v>799</v>
      </c>
      <c r="C81" s="43">
        <v>100000</v>
      </c>
      <c r="D81" s="51">
        <f t="shared" si="1"/>
        <v>0.94657286846895594</v>
      </c>
      <c r="E81">
        <v>458</v>
      </c>
      <c r="F81" s="49">
        <v>0.59985775838557109</v>
      </c>
    </row>
    <row r="82" spans="1:6" x14ac:dyDescent="0.3">
      <c r="A82" s="42" t="s">
        <v>450</v>
      </c>
      <c r="B82" s="43">
        <v>777</v>
      </c>
      <c r="C82" s="43">
        <v>100000</v>
      </c>
      <c r="D82" s="51">
        <f t="shared" si="1"/>
        <v>0.97115107221848251</v>
      </c>
      <c r="E82">
        <v>482</v>
      </c>
      <c r="F82" s="49">
        <v>0.9</v>
      </c>
    </row>
    <row r="83" spans="1:6" x14ac:dyDescent="0.3">
      <c r="A83" s="42" t="s">
        <v>379</v>
      </c>
      <c r="B83" s="43">
        <v>799</v>
      </c>
      <c r="C83" s="43">
        <v>100000</v>
      </c>
      <c r="D83" s="51">
        <f t="shared" si="1"/>
        <v>0.94657286846895594</v>
      </c>
      <c r="E83">
        <v>500</v>
      </c>
      <c r="F83" s="49">
        <v>0.31003371442296568</v>
      </c>
    </row>
    <row r="84" spans="1:6" x14ac:dyDescent="0.3">
      <c r="A84" s="42" t="s">
        <v>379</v>
      </c>
      <c r="B84" s="43">
        <v>777</v>
      </c>
      <c r="C84" s="43">
        <v>100000</v>
      </c>
      <c r="D84" s="51">
        <f t="shared" si="1"/>
        <v>0.97115107221848251</v>
      </c>
      <c r="E84">
        <v>501</v>
      </c>
      <c r="F84" s="49">
        <v>0.21905576892699671</v>
      </c>
    </row>
    <row r="85" spans="1:6" x14ac:dyDescent="0.3">
      <c r="A85" s="42">
        <v>402079</v>
      </c>
      <c r="B85" s="43">
        <v>136</v>
      </c>
      <c r="C85" s="43">
        <v>4000</v>
      </c>
      <c r="D85" s="51">
        <f t="shared" si="1"/>
        <v>0.73107264335751254</v>
      </c>
      <c r="E85">
        <v>502</v>
      </c>
      <c r="F85" s="49">
        <v>0.50842064529979858</v>
      </c>
    </row>
    <row r="86" spans="1:6" x14ac:dyDescent="0.3">
      <c r="A86" s="42">
        <v>402079</v>
      </c>
      <c r="B86" s="43">
        <v>910</v>
      </c>
      <c r="C86" s="43">
        <v>4000</v>
      </c>
      <c r="D86" s="51">
        <f t="shared" si="1"/>
        <v>0.98980878134129691</v>
      </c>
      <c r="E86">
        <v>503</v>
      </c>
      <c r="F86" s="49">
        <v>0.9</v>
      </c>
    </row>
    <row r="87" spans="1:6" x14ac:dyDescent="0.3">
      <c r="A87" s="42">
        <v>403076</v>
      </c>
      <c r="B87" s="43">
        <v>211</v>
      </c>
      <c r="C87" s="43">
        <v>1800</v>
      </c>
      <c r="D87" s="51">
        <f t="shared" si="1"/>
        <v>0.7340150113753876</v>
      </c>
      <c r="E87">
        <v>504</v>
      </c>
      <c r="F87" s="49">
        <v>0.68820280459344474</v>
      </c>
    </row>
    <row r="88" spans="1:6" x14ac:dyDescent="0.3">
      <c r="A88" s="42">
        <v>403076</v>
      </c>
      <c r="B88" s="43">
        <v>916</v>
      </c>
      <c r="C88" s="43">
        <v>100000</v>
      </c>
      <c r="D88" s="51">
        <f t="shared" si="1"/>
        <v>0.79896960148178731</v>
      </c>
      <c r="E88">
        <v>505</v>
      </c>
      <c r="F88" s="49">
        <v>0.45530909825705002</v>
      </c>
    </row>
    <row r="89" spans="1:6" x14ac:dyDescent="0.3">
      <c r="A89" s="42">
        <v>403076</v>
      </c>
      <c r="B89" s="43">
        <v>260</v>
      </c>
      <c r="C89" s="43">
        <v>3000</v>
      </c>
      <c r="D89" s="51">
        <f t="shared" si="1"/>
        <v>0.84463020674510114</v>
      </c>
      <c r="E89">
        <v>506</v>
      </c>
      <c r="F89" s="49">
        <v>0.44878370206629176</v>
      </c>
    </row>
    <row r="90" spans="1:6" x14ac:dyDescent="0.3">
      <c r="A90" s="42">
        <v>403076</v>
      </c>
      <c r="B90" s="43">
        <v>724</v>
      </c>
      <c r="C90" s="43">
        <v>100000</v>
      </c>
      <c r="D90" s="51">
        <f t="shared" si="1"/>
        <v>0.96268545084111112</v>
      </c>
      <c r="E90">
        <v>507</v>
      </c>
      <c r="F90" s="49">
        <v>0.56476326448443914</v>
      </c>
    </row>
    <row r="91" spans="1:6" x14ac:dyDescent="0.3">
      <c r="A91" s="42">
        <v>403085</v>
      </c>
      <c r="B91" s="43">
        <v>214</v>
      </c>
      <c r="C91" s="43">
        <v>1800</v>
      </c>
      <c r="D91" s="51">
        <f t="shared" si="1"/>
        <v>0.91778021233859708</v>
      </c>
      <c r="E91">
        <v>508</v>
      </c>
      <c r="F91" s="49">
        <v>3.6978131212723657E-3</v>
      </c>
    </row>
    <row r="92" spans="1:6" x14ac:dyDescent="0.3">
      <c r="A92" s="42">
        <v>403085</v>
      </c>
      <c r="B92" s="43">
        <v>916</v>
      </c>
      <c r="C92" s="43">
        <v>100000</v>
      </c>
      <c r="D92" s="51">
        <f t="shared" si="1"/>
        <v>0.79896960148178731</v>
      </c>
      <c r="E92">
        <v>509</v>
      </c>
      <c r="F92" s="49">
        <v>0.79687787344213523</v>
      </c>
    </row>
    <row r="93" spans="1:6" x14ac:dyDescent="0.3">
      <c r="A93" s="42">
        <v>403085</v>
      </c>
      <c r="B93" s="43">
        <v>260</v>
      </c>
      <c r="C93" s="43">
        <v>3000</v>
      </c>
      <c r="D93" s="51">
        <f t="shared" si="1"/>
        <v>0.84463020674510114</v>
      </c>
      <c r="E93">
        <v>510</v>
      </c>
      <c r="F93" s="49">
        <v>0.9</v>
      </c>
    </row>
    <row r="94" spans="1:6" x14ac:dyDescent="0.3">
      <c r="A94" s="42">
        <v>403085</v>
      </c>
      <c r="B94" s="43">
        <v>724</v>
      </c>
      <c r="C94" s="43">
        <v>100000</v>
      </c>
      <c r="D94" s="51">
        <f t="shared" si="1"/>
        <v>0.96268545084111112</v>
      </c>
      <c r="E94">
        <v>520</v>
      </c>
      <c r="F94" s="49">
        <v>0.57032521966417404</v>
      </c>
    </row>
    <row r="95" spans="1:6" x14ac:dyDescent="0.3">
      <c r="A95" s="42">
        <v>403092</v>
      </c>
      <c r="B95" s="43">
        <v>211</v>
      </c>
      <c r="C95" s="43">
        <v>1300</v>
      </c>
      <c r="D95" s="51">
        <f t="shared" si="1"/>
        <v>0.7340150113753876</v>
      </c>
      <c r="E95">
        <v>521</v>
      </c>
      <c r="F95" s="49">
        <v>0.51119480265152517</v>
      </c>
    </row>
    <row r="96" spans="1:6" x14ac:dyDescent="0.3">
      <c r="A96" s="42">
        <v>403092</v>
      </c>
      <c r="B96" s="43">
        <v>916</v>
      </c>
      <c r="C96" s="43">
        <v>100000</v>
      </c>
      <c r="D96" s="51">
        <f t="shared" si="1"/>
        <v>0.79896960148178731</v>
      </c>
      <c r="E96">
        <v>522</v>
      </c>
      <c r="F96" s="49">
        <v>0.48</v>
      </c>
    </row>
    <row r="97" spans="1:6" x14ac:dyDescent="0.3">
      <c r="A97" s="42">
        <v>403092</v>
      </c>
      <c r="B97" s="43">
        <v>260</v>
      </c>
      <c r="C97" s="43">
        <v>3000</v>
      </c>
      <c r="D97" s="51">
        <f t="shared" si="1"/>
        <v>0.84463020674510114</v>
      </c>
      <c r="E97">
        <v>523</v>
      </c>
      <c r="F97" s="49">
        <v>0.31679259040366015</v>
      </c>
    </row>
    <row r="98" spans="1:6" x14ac:dyDescent="0.3">
      <c r="A98" s="42">
        <v>403092</v>
      </c>
      <c r="B98" s="43">
        <v>724</v>
      </c>
      <c r="C98" s="43">
        <v>100000</v>
      </c>
      <c r="D98" s="51">
        <f t="shared" si="1"/>
        <v>0.96268545084111112</v>
      </c>
      <c r="E98">
        <v>550</v>
      </c>
      <c r="F98" s="49">
        <v>0.29727915871862404</v>
      </c>
    </row>
    <row r="99" spans="1:6" x14ac:dyDescent="0.3">
      <c r="A99" s="42">
        <v>403106</v>
      </c>
      <c r="B99" s="43">
        <v>211</v>
      </c>
      <c r="C99" s="43">
        <v>600</v>
      </c>
      <c r="D99" s="51">
        <f t="shared" si="1"/>
        <v>0.7340150113753876</v>
      </c>
      <c r="E99">
        <v>599</v>
      </c>
      <c r="F99" s="49">
        <v>0.9</v>
      </c>
    </row>
    <row r="100" spans="1:6" x14ac:dyDescent="0.3">
      <c r="A100" s="42">
        <v>403106</v>
      </c>
      <c r="B100" s="43">
        <v>916</v>
      </c>
      <c r="C100" s="43">
        <v>100000</v>
      </c>
      <c r="D100" s="51">
        <f t="shared" si="1"/>
        <v>0.79896960148178731</v>
      </c>
      <c r="E100">
        <v>610</v>
      </c>
      <c r="F100" s="49">
        <v>0.36033491064876211</v>
      </c>
    </row>
    <row r="101" spans="1:6" x14ac:dyDescent="0.3">
      <c r="A101" s="42">
        <v>403106</v>
      </c>
      <c r="B101" s="43">
        <v>270</v>
      </c>
      <c r="C101" s="43">
        <v>1000</v>
      </c>
      <c r="D101" s="51">
        <f t="shared" si="1"/>
        <v>0.5994991091348586</v>
      </c>
      <c r="E101">
        <v>620</v>
      </c>
      <c r="F101" s="49">
        <v>0.88457697017948123</v>
      </c>
    </row>
    <row r="102" spans="1:6" x14ac:dyDescent="0.3">
      <c r="A102" s="42">
        <v>403106</v>
      </c>
      <c r="B102" s="43">
        <v>780</v>
      </c>
      <c r="C102" s="43">
        <v>3000</v>
      </c>
      <c r="D102" s="51">
        <f t="shared" si="1"/>
        <v>0.84056678392667161</v>
      </c>
      <c r="E102">
        <v>622</v>
      </c>
      <c r="F102" s="49">
        <v>0.70670684539130946</v>
      </c>
    </row>
    <row r="103" spans="1:6" x14ac:dyDescent="0.3">
      <c r="A103" s="42">
        <v>403106</v>
      </c>
      <c r="B103" s="43">
        <v>724</v>
      </c>
      <c r="C103" s="43">
        <v>100000</v>
      </c>
      <c r="D103" s="51">
        <f t="shared" si="1"/>
        <v>0.96268545084111112</v>
      </c>
      <c r="E103">
        <v>623</v>
      </c>
      <c r="F103" s="49">
        <v>0.92666666666666664</v>
      </c>
    </row>
    <row r="104" spans="1:6" x14ac:dyDescent="0.3">
      <c r="A104" s="42">
        <v>403109</v>
      </c>
      <c r="B104" s="43">
        <v>211</v>
      </c>
      <c r="C104" s="43">
        <v>800</v>
      </c>
      <c r="D104" s="51">
        <f t="shared" si="1"/>
        <v>0.7340150113753876</v>
      </c>
      <c r="E104">
        <v>630</v>
      </c>
      <c r="F104" s="49">
        <v>0.69509150876285319</v>
      </c>
    </row>
    <row r="105" spans="1:6" x14ac:dyDescent="0.3">
      <c r="A105" s="42">
        <v>403109</v>
      </c>
      <c r="B105" s="43">
        <v>916</v>
      </c>
      <c r="C105" s="43">
        <v>100000</v>
      </c>
      <c r="D105" s="51">
        <f t="shared" si="1"/>
        <v>0.79896960148178731</v>
      </c>
      <c r="E105">
        <v>632</v>
      </c>
      <c r="F105" s="49">
        <v>0.35224043150560469</v>
      </c>
    </row>
    <row r="106" spans="1:6" x14ac:dyDescent="0.3">
      <c r="A106" s="42">
        <v>403109</v>
      </c>
      <c r="B106" s="43">
        <v>270</v>
      </c>
      <c r="C106" s="43">
        <v>1000</v>
      </c>
      <c r="D106" s="51">
        <f t="shared" si="1"/>
        <v>0.5994991091348586</v>
      </c>
      <c r="E106">
        <v>633</v>
      </c>
      <c r="F106" s="49">
        <v>0.9</v>
      </c>
    </row>
    <row r="107" spans="1:6" x14ac:dyDescent="0.3">
      <c r="A107" s="42">
        <v>403109</v>
      </c>
      <c r="B107" s="43">
        <v>780</v>
      </c>
      <c r="C107" s="43">
        <v>3000</v>
      </c>
      <c r="D107" s="51">
        <f t="shared" si="1"/>
        <v>0.84056678392667161</v>
      </c>
      <c r="E107">
        <v>655</v>
      </c>
      <c r="F107" s="49">
        <v>0.40703314625541681</v>
      </c>
    </row>
    <row r="108" spans="1:6" x14ac:dyDescent="0.3">
      <c r="A108" s="42">
        <v>403109</v>
      </c>
      <c r="B108" s="43">
        <v>724</v>
      </c>
      <c r="C108" s="43">
        <v>100000</v>
      </c>
      <c r="D108" s="51">
        <f t="shared" si="1"/>
        <v>0.96268545084111112</v>
      </c>
      <c r="E108">
        <v>700</v>
      </c>
      <c r="F108" s="49">
        <v>0.84270403007072903</v>
      </c>
    </row>
    <row r="109" spans="1:6" x14ac:dyDescent="0.3">
      <c r="A109" s="42">
        <v>403110</v>
      </c>
      <c r="B109" s="43">
        <v>211</v>
      </c>
      <c r="C109" s="43">
        <v>600</v>
      </c>
      <c r="D109" s="51">
        <f t="shared" si="1"/>
        <v>0.7340150113753876</v>
      </c>
      <c r="E109">
        <v>701</v>
      </c>
      <c r="F109" s="49">
        <v>0.22809912314364367</v>
      </c>
    </row>
    <row r="110" spans="1:6" x14ac:dyDescent="0.3">
      <c r="A110" s="42">
        <v>403110</v>
      </c>
      <c r="B110" s="43">
        <v>916</v>
      </c>
      <c r="C110" s="43">
        <v>100000</v>
      </c>
      <c r="D110" s="51">
        <f t="shared" si="1"/>
        <v>0.79896960148178731</v>
      </c>
      <c r="E110">
        <v>705</v>
      </c>
      <c r="F110" s="49">
        <v>0.9</v>
      </c>
    </row>
    <row r="111" spans="1:6" x14ac:dyDescent="0.3">
      <c r="A111" s="42">
        <v>403110</v>
      </c>
      <c r="B111" s="43">
        <v>270</v>
      </c>
      <c r="C111" s="43">
        <v>1000</v>
      </c>
      <c r="D111" s="51">
        <f t="shared" si="1"/>
        <v>0.5994991091348586</v>
      </c>
      <c r="E111">
        <v>710</v>
      </c>
      <c r="F111" s="49">
        <v>0.9</v>
      </c>
    </row>
    <row r="112" spans="1:6" x14ac:dyDescent="0.3">
      <c r="A112" s="42">
        <v>403110</v>
      </c>
      <c r="B112" s="43">
        <v>780</v>
      </c>
      <c r="C112" s="43">
        <v>3000</v>
      </c>
      <c r="D112" s="51">
        <f t="shared" si="1"/>
        <v>0.84056678392667161</v>
      </c>
      <c r="E112">
        <v>720</v>
      </c>
      <c r="F112" s="49">
        <v>1</v>
      </c>
    </row>
    <row r="113" spans="1:6" x14ac:dyDescent="0.3">
      <c r="A113" s="42">
        <v>403110</v>
      </c>
      <c r="B113" s="43">
        <v>724</v>
      </c>
      <c r="C113" s="43">
        <v>100000</v>
      </c>
      <c r="D113" s="51">
        <f t="shared" si="1"/>
        <v>0.96268545084111112</v>
      </c>
      <c r="E113">
        <v>723</v>
      </c>
      <c r="F113" s="49">
        <v>0.9</v>
      </c>
    </row>
    <row r="114" spans="1:6" x14ac:dyDescent="0.3">
      <c r="A114" s="42">
        <v>403577</v>
      </c>
      <c r="B114" s="43">
        <v>205</v>
      </c>
      <c r="C114" s="43">
        <v>600</v>
      </c>
      <c r="D114" s="51">
        <f t="shared" si="1"/>
        <v>0.9</v>
      </c>
      <c r="E114">
        <v>724</v>
      </c>
      <c r="F114" s="49">
        <v>0.96268545084111112</v>
      </c>
    </row>
    <row r="115" spans="1:6" x14ac:dyDescent="0.3">
      <c r="A115" s="42">
        <v>403577</v>
      </c>
      <c r="B115" s="43">
        <v>915</v>
      </c>
      <c r="C115" s="43">
        <v>20000</v>
      </c>
      <c r="D115" s="51">
        <f t="shared" si="1"/>
        <v>0.88966598861199153</v>
      </c>
      <c r="E115">
        <v>726</v>
      </c>
      <c r="F115" s="49">
        <v>1</v>
      </c>
    </row>
    <row r="116" spans="1:6" x14ac:dyDescent="0.3">
      <c r="A116" s="42">
        <v>403577</v>
      </c>
      <c r="B116" s="43">
        <v>270</v>
      </c>
      <c r="C116" s="43">
        <v>1200</v>
      </c>
      <c r="D116" s="51">
        <f t="shared" si="1"/>
        <v>0.5994991091348586</v>
      </c>
      <c r="E116">
        <v>728</v>
      </c>
      <c r="F116" s="49">
        <v>0.98637968590336922</v>
      </c>
    </row>
    <row r="117" spans="1:6" x14ac:dyDescent="0.3">
      <c r="A117" s="42">
        <v>403577</v>
      </c>
      <c r="B117" s="43">
        <v>724</v>
      </c>
      <c r="C117" s="43">
        <v>100000</v>
      </c>
      <c r="D117" s="51">
        <f t="shared" si="1"/>
        <v>0.96268545084111112</v>
      </c>
      <c r="E117">
        <v>729</v>
      </c>
      <c r="F117" s="49">
        <v>0.9</v>
      </c>
    </row>
    <row r="118" spans="1:6" x14ac:dyDescent="0.3">
      <c r="A118" s="42">
        <v>403584</v>
      </c>
      <c r="B118" s="43">
        <v>213</v>
      </c>
      <c r="C118" s="43">
        <v>600</v>
      </c>
      <c r="D118" s="51">
        <f t="shared" si="1"/>
        <v>0.89211414217378293</v>
      </c>
      <c r="E118">
        <v>730</v>
      </c>
      <c r="F118" s="49">
        <v>0.9</v>
      </c>
    </row>
    <row r="119" spans="1:6" x14ac:dyDescent="0.3">
      <c r="A119" s="42">
        <v>403584</v>
      </c>
      <c r="B119" s="43">
        <v>916</v>
      </c>
      <c r="C119" s="43">
        <v>100000</v>
      </c>
      <c r="D119" s="51">
        <f t="shared" si="1"/>
        <v>0.79896960148178731</v>
      </c>
      <c r="E119">
        <v>731</v>
      </c>
      <c r="F119" s="49">
        <v>0.9</v>
      </c>
    </row>
    <row r="120" spans="1:6" x14ac:dyDescent="0.3">
      <c r="A120" s="42">
        <v>403584</v>
      </c>
      <c r="B120" s="43">
        <v>270</v>
      </c>
      <c r="C120" s="43">
        <v>1100</v>
      </c>
      <c r="D120" s="51">
        <f t="shared" si="1"/>
        <v>0.5994991091348586</v>
      </c>
      <c r="E120">
        <v>732</v>
      </c>
      <c r="F120" s="49">
        <v>0.9</v>
      </c>
    </row>
    <row r="121" spans="1:6" x14ac:dyDescent="0.3">
      <c r="A121" s="42">
        <v>403584</v>
      </c>
      <c r="B121" s="43">
        <v>780</v>
      </c>
      <c r="C121" s="43">
        <v>3000</v>
      </c>
      <c r="D121" s="51">
        <f t="shared" si="1"/>
        <v>0.84056678392667161</v>
      </c>
      <c r="E121">
        <v>750</v>
      </c>
      <c r="F121" s="49">
        <v>0.82058595435750881</v>
      </c>
    </row>
    <row r="122" spans="1:6" x14ac:dyDescent="0.3">
      <c r="A122" s="42">
        <v>403584</v>
      </c>
      <c r="B122" s="43">
        <v>724</v>
      </c>
      <c r="C122" s="43">
        <v>100000</v>
      </c>
      <c r="D122" s="51">
        <f t="shared" si="1"/>
        <v>0.96268545084111112</v>
      </c>
      <c r="E122">
        <v>774</v>
      </c>
      <c r="F122" s="49">
        <v>1</v>
      </c>
    </row>
    <row r="123" spans="1:6" x14ac:dyDescent="0.3">
      <c r="A123" s="42">
        <v>403763</v>
      </c>
      <c r="B123" s="43">
        <v>207</v>
      </c>
      <c r="C123" s="43">
        <v>1200</v>
      </c>
      <c r="D123" s="51">
        <f t="shared" si="1"/>
        <v>0.90565335550442194</v>
      </c>
      <c r="E123">
        <v>775</v>
      </c>
      <c r="F123" s="49">
        <v>0.9</v>
      </c>
    </row>
    <row r="124" spans="1:6" x14ac:dyDescent="0.3">
      <c r="A124" s="42">
        <v>403763</v>
      </c>
      <c r="B124" s="43">
        <v>916</v>
      </c>
      <c r="C124" s="43">
        <v>100000</v>
      </c>
      <c r="D124" s="51">
        <f t="shared" si="1"/>
        <v>0.79896960148178731</v>
      </c>
      <c r="E124">
        <v>776</v>
      </c>
      <c r="F124" s="49">
        <v>0.81520632683423377</v>
      </c>
    </row>
    <row r="125" spans="1:6" x14ac:dyDescent="0.3">
      <c r="A125" s="42">
        <v>403763</v>
      </c>
      <c r="B125" s="43">
        <v>260</v>
      </c>
      <c r="C125" s="43">
        <v>3000</v>
      </c>
      <c r="D125" s="51">
        <f t="shared" si="1"/>
        <v>0.84463020674510114</v>
      </c>
      <c r="E125">
        <v>777</v>
      </c>
      <c r="F125" s="49">
        <v>0.97115107221848251</v>
      </c>
    </row>
    <row r="126" spans="1:6" x14ac:dyDescent="0.3">
      <c r="A126" s="42">
        <v>403763</v>
      </c>
      <c r="B126" s="43">
        <v>724</v>
      </c>
      <c r="C126" s="43">
        <v>100000</v>
      </c>
      <c r="D126" s="51">
        <f t="shared" si="1"/>
        <v>0.96268545084111112</v>
      </c>
      <c r="E126">
        <v>779</v>
      </c>
      <c r="F126" s="49">
        <v>0.87596263474538438</v>
      </c>
    </row>
    <row r="127" spans="1:6" x14ac:dyDescent="0.3">
      <c r="A127" s="42">
        <v>403844</v>
      </c>
      <c r="B127" s="43">
        <v>205</v>
      </c>
      <c r="C127" s="43">
        <v>800</v>
      </c>
      <c r="D127" s="51">
        <f t="shared" si="1"/>
        <v>0.9</v>
      </c>
      <c r="E127">
        <v>780</v>
      </c>
      <c r="F127" s="49">
        <v>0.84056678392667161</v>
      </c>
    </row>
    <row r="128" spans="1:6" x14ac:dyDescent="0.3">
      <c r="A128" s="42">
        <v>403844</v>
      </c>
      <c r="B128" s="43">
        <v>910</v>
      </c>
      <c r="C128" s="43">
        <v>20000</v>
      </c>
      <c r="D128" s="51">
        <f t="shared" si="1"/>
        <v>0.98980878134129691</v>
      </c>
      <c r="E128">
        <v>781</v>
      </c>
      <c r="F128" s="49">
        <v>0.65562182430449689</v>
      </c>
    </row>
    <row r="129" spans="1:6" x14ac:dyDescent="0.3">
      <c r="A129" s="42">
        <v>403844</v>
      </c>
      <c r="B129" s="43">
        <v>270</v>
      </c>
      <c r="C129" s="43">
        <v>2200</v>
      </c>
      <c r="D129" s="51">
        <f t="shared" si="1"/>
        <v>0.5994991091348586</v>
      </c>
      <c r="E129">
        <v>782</v>
      </c>
      <c r="F129" s="49">
        <v>0.9528158796643651</v>
      </c>
    </row>
    <row r="130" spans="1:6" x14ac:dyDescent="0.3">
      <c r="A130" s="42">
        <v>403844</v>
      </c>
      <c r="B130" s="43">
        <v>799</v>
      </c>
      <c r="C130" s="43">
        <v>1000</v>
      </c>
      <c r="D130" s="51">
        <f t="shared" ref="D130:D193" si="2">VLOOKUP(B130,E:F,2,0)</f>
        <v>0.94657286846895594</v>
      </c>
      <c r="E130">
        <v>783</v>
      </c>
      <c r="F130" s="49">
        <v>0.89869496347256517</v>
      </c>
    </row>
    <row r="131" spans="1:6" x14ac:dyDescent="0.3">
      <c r="A131" s="42">
        <v>403844</v>
      </c>
      <c r="B131" s="43">
        <v>724</v>
      </c>
      <c r="C131" s="43">
        <v>30000</v>
      </c>
      <c r="D131" s="51">
        <f t="shared" si="2"/>
        <v>0.96268545084111112</v>
      </c>
      <c r="E131">
        <v>785</v>
      </c>
      <c r="F131" s="49">
        <v>0.9</v>
      </c>
    </row>
    <row r="132" spans="1:6" x14ac:dyDescent="0.3">
      <c r="A132" s="42">
        <v>403844</v>
      </c>
      <c r="B132" s="43">
        <v>799</v>
      </c>
      <c r="C132" s="43">
        <v>50000</v>
      </c>
      <c r="D132" s="51">
        <f t="shared" si="2"/>
        <v>0.94657286846895594</v>
      </c>
      <c r="E132">
        <v>790</v>
      </c>
      <c r="F132" s="49">
        <v>0.9</v>
      </c>
    </row>
    <row r="133" spans="1:6" x14ac:dyDescent="0.3">
      <c r="A133" s="42">
        <v>403901</v>
      </c>
      <c r="B133" s="43">
        <v>213</v>
      </c>
      <c r="C133" s="43">
        <v>1200</v>
      </c>
      <c r="D133" s="51">
        <f t="shared" si="2"/>
        <v>0.89211414217378293</v>
      </c>
      <c r="E133">
        <v>791</v>
      </c>
      <c r="F133" s="49">
        <v>0.97679948894341373</v>
      </c>
    </row>
    <row r="134" spans="1:6" x14ac:dyDescent="0.3">
      <c r="A134" s="42">
        <v>403901</v>
      </c>
      <c r="B134" s="43">
        <v>916</v>
      </c>
      <c r="C134" s="43">
        <v>100000</v>
      </c>
      <c r="D134" s="51">
        <f t="shared" si="2"/>
        <v>0.79896960148178731</v>
      </c>
      <c r="E134">
        <v>792</v>
      </c>
      <c r="F134" s="49">
        <v>0.84331110952491661</v>
      </c>
    </row>
    <row r="135" spans="1:6" x14ac:dyDescent="0.3">
      <c r="A135" s="42">
        <v>403901</v>
      </c>
      <c r="B135" s="43">
        <v>261</v>
      </c>
      <c r="C135" s="43">
        <v>2600</v>
      </c>
      <c r="D135" s="51">
        <f t="shared" si="2"/>
        <v>0.86363448374932017</v>
      </c>
      <c r="E135">
        <v>793</v>
      </c>
      <c r="F135" s="49">
        <v>0.83</v>
      </c>
    </row>
    <row r="136" spans="1:6" x14ac:dyDescent="0.3">
      <c r="A136" s="42">
        <v>403901</v>
      </c>
      <c r="B136" s="43">
        <v>724</v>
      </c>
      <c r="C136" s="43">
        <v>100000</v>
      </c>
      <c r="D136" s="51">
        <f t="shared" si="2"/>
        <v>0.96268545084111112</v>
      </c>
      <c r="E136">
        <v>794</v>
      </c>
      <c r="F136" s="49">
        <v>0.36644639180194422</v>
      </c>
    </row>
    <row r="137" spans="1:6" x14ac:dyDescent="0.3">
      <c r="A137" s="42">
        <v>403970</v>
      </c>
      <c r="B137" s="43">
        <v>210</v>
      </c>
      <c r="C137" s="43">
        <v>2500</v>
      </c>
      <c r="D137" s="51">
        <f t="shared" si="2"/>
        <v>0.88209415934394453</v>
      </c>
      <c r="E137">
        <v>795</v>
      </c>
      <c r="F137" s="49">
        <v>1</v>
      </c>
    </row>
    <row r="138" spans="1:6" x14ac:dyDescent="0.3">
      <c r="A138" s="42">
        <v>403970</v>
      </c>
      <c r="B138" s="43">
        <v>915</v>
      </c>
      <c r="C138" s="43">
        <v>20000</v>
      </c>
      <c r="D138" s="51">
        <f t="shared" si="2"/>
        <v>0.88966598861199153</v>
      </c>
      <c r="E138">
        <v>796</v>
      </c>
      <c r="F138" s="49">
        <v>0.9</v>
      </c>
    </row>
    <row r="139" spans="1:6" x14ac:dyDescent="0.3">
      <c r="A139" s="42">
        <v>403970</v>
      </c>
      <c r="B139" s="43">
        <v>260</v>
      </c>
      <c r="C139" s="43">
        <v>3000</v>
      </c>
      <c r="D139" s="51">
        <f t="shared" si="2"/>
        <v>0.84463020674510114</v>
      </c>
      <c r="E139">
        <v>797</v>
      </c>
      <c r="F139" s="49">
        <v>0.63058824093167687</v>
      </c>
    </row>
    <row r="140" spans="1:6" x14ac:dyDescent="0.3">
      <c r="A140" s="42">
        <v>403970</v>
      </c>
      <c r="B140" s="43">
        <v>724</v>
      </c>
      <c r="C140" s="43">
        <v>50000</v>
      </c>
      <c r="D140" s="51">
        <f t="shared" si="2"/>
        <v>0.96268545084111112</v>
      </c>
      <c r="E140">
        <v>798</v>
      </c>
      <c r="F140" s="49">
        <v>0.98201053946219186</v>
      </c>
    </row>
    <row r="141" spans="1:6" x14ac:dyDescent="0.3">
      <c r="A141" s="42">
        <v>403970</v>
      </c>
      <c r="B141" s="43">
        <v>799</v>
      </c>
      <c r="C141" s="43">
        <v>50000</v>
      </c>
      <c r="D141" s="51">
        <f t="shared" si="2"/>
        <v>0.94657286846895594</v>
      </c>
      <c r="E141">
        <v>799</v>
      </c>
      <c r="F141" s="49">
        <v>0.94657286846895594</v>
      </c>
    </row>
    <row r="142" spans="1:6" x14ac:dyDescent="0.3">
      <c r="A142" s="42" t="s">
        <v>68</v>
      </c>
      <c r="B142" s="43">
        <v>221</v>
      </c>
      <c r="C142" s="43">
        <v>1000</v>
      </c>
      <c r="D142" s="51">
        <f t="shared" si="2"/>
        <v>0.86451773785099451</v>
      </c>
      <c r="E142">
        <v>800</v>
      </c>
      <c r="F142" s="49">
        <v>0.9</v>
      </c>
    </row>
    <row r="143" spans="1:6" x14ac:dyDescent="0.3">
      <c r="A143" s="42" t="s">
        <v>68</v>
      </c>
      <c r="B143" s="43">
        <v>916</v>
      </c>
      <c r="C143" s="43">
        <v>100000</v>
      </c>
      <c r="D143" s="51">
        <f t="shared" si="2"/>
        <v>0.79896960148178731</v>
      </c>
      <c r="E143">
        <v>896</v>
      </c>
      <c r="F143" s="49">
        <v>0.96573997971437597</v>
      </c>
    </row>
    <row r="144" spans="1:6" x14ac:dyDescent="0.3">
      <c r="A144" s="42" t="s">
        <v>68</v>
      </c>
      <c r="B144" s="43">
        <v>270</v>
      </c>
      <c r="C144" s="43">
        <v>1000</v>
      </c>
      <c r="D144" s="51">
        <f t="shared" si="2"/>
        <v>0.5994991091348586</v>
      </c>
      <c r="E144">
        <v>897</v>
      </c>
      <c r="F144" s="49">
        <v>0.92288649499076136</v>
      </c>
    </row>
    <row r="145" spans="1:6" x14ac:dyDescent="0.3">
      <c r="A145" s="42" t="s">
        <v>68</v>
      </c>
      <c r="B145" s="43">
        <v>780</v>
      </c>
      <c r="C145" s="43">
        <v>3000</v>
      </c>
      <c r="D145" s="51">
        <f t="shared" si="2"/>
        <v>0.84056678392667161</v>
      </c>
      <c r="E145">
        <v>898</v>
      </c>
      <c r="F145" s="49">
        <v>0.97355283670366832</v>
      </c>
    </row>
    <row r="146" spans="1:6" x14ac:dyDescent="0.3">
      <c r="A146" s="42" t="s">
        <v>391</v>
      </c>
      <c r="B146" s="43">
        <v>212</v>
      </c>
      <c r="C146" s="43">
        <v>2200</v>
      </c>
      <c r="D146" s="51">
        <f t="shared" si="2"/>
        <v>0.91115887131188655</v>
      </c>
      <c r="E146">
        <v>899</v>
      </c>
      <c r="F146" s="49">
        <v>0.95461978174300688</v>
      </c>
    </row>
    <row r="147" spans="1:6" x14ac:dyDescent="0.3">
      <c r="A147" s="42" t="s">
        <v>391</v>
      </c>
      <c r="B147" s="45">
        <v>916</v>
      </c>
      <c r="C147" s="43">
        <v>100000</v>
      </c>
      <c r="D147" s="51">
        <f t="shared" si="2"/>
        <v>0.79896960148178731</v>
      </c>
      <c r="E147">
        <v>900</v>
      </c>
      <c r="F147" s="49">
        <v>5.8823529411764705E-2</v>
      </c>
    </row>
    <row r="148" spans="1:6" x14ac:dyDescent="0.3">
      <c r="A148" s="42" t="s">
        <v>391</v>
      </c>
      <c r="B148" s="43">
        <v>260</v>
      </c>
      <c r="C148" s="43">
        <v>3000</v>
      </c>
      <c r="D148" s="51">
        <f t="shared" si="2"/>
        <v>0.84463020674510114</v>
      </c>
      <c r="E148">
        <v>901</v>
      </c>
      <c r="F148" s="49">
        <v>0.96300120789971955</v>
      </c>
    </row>
    <row r="149" spans="1:6" x14ac:dyDescent="0.3">
      <c r="A149" s="42" t="s">
        <v>391</v>
      </c>
      <c r="B149" s="43">
        <v>724</v>
      </c>
      <c r="C149" s="43">
        <v>100000</v>
      </c>
      <c r="D149" s="51">
        <f t="shared" si="2"/>
        <v>0.96268545084111112</v>
      </c>
      <c r="E149">
        <v>902</v>
      </c>
      <c r="F149" s="49">
        <v>0.97839437081824199</v>
      </c>
    </row>
    <row r="150" spans="1:6" x14ac:dyDescent="0.3">
      <c r="A150" s="42">
        <v>403981</v>
      </c>
      <c r="B150" s="43">
        <v>213</v>
      </c>
      <c r="C150" s="43">
        <v>1600</v>
      </c>
      <c r="D150" s="51">
        <f t="shared" si="2"/>
        <v>0.89211414217378293</v>
      </c>
      <c r="E150">
        <v>903</v>
      </c>
      <c r="F150" s="49">
        <v>0.88372275364591502</v>
      </c>
    </row>
    <row r="151" spans="1:6" x14ac:dyDescent="0.3">
      <c r="A151" s="42">
        <v>403981</v>
      </c>
      <c r="B151" s="43">
        <v>916</v>
      </c>
      <c r="C151" s="43">
        <v>100000</v>
      </c>
      <c r="D151" s="51">
        <f t="shared" si="2"/>
        <v>0.79896960148178731</v>
      </c>
      <c r="E151">
        <v>904</v>
      </c>
      <c r="F151" s="49">
        <v>0.96515456030928937</v>
      </c>
    </row>
    <row r="152" spans="1:6" x14ac:dyDescent="0.3">
      <c r="A152" s="42">
        <v>403981</v>
      </c>
      <c r="B152" s="43">
        <v>270</v>
      </c>
      <c r="C152" s="43">
        <v>2500</v>
      </c>
      <c r="D152" s="51">
        <f t="shared" si="2"/>
        <v>0.5994991091348586</v>
      </c>
      <c r="E152">
        <v>905</v>
      </c>
      <c r="F152" s="49">
        <v>0.9</v>
      </c>
    </row>
    <row r="153" spans="1:6" x14ac:dyDescent="0.3">
      <c r="A153" s="42">
        <v>403981</v>
      </c>
      <c r="B153" s="43">
        <v>724</v>
      </c>
      <c r="C153" s="43">
        <v>100000</v>
      </c>
      <c r="D153" s="51">
        <f t="shared" si="2"/>
        <v>0.96268545084111112</v>
      </c>
      <c r="E153">
        <v>906</v>
      </c>
      <c r="F153" s="49">
        <v>0.99395624320077358</v>
      </c>
    </row>
    <row r="154" spans="1:6" x14ac:dyDescent="0.3">
      <c r="A154" s="42">
        <v>403988</v>
      </c>
      <c r="B154" s="43">
        <v>221</v>
      </c>
      <c r="C154" s="43">
        <v>720</v>
      </c>
      <c r="D154" s="51">
        <f t="shared" si="2"/>
        <v>0.86451773785099451</v>
      </c>
      <c r="E154">
        <v>907</v>
      </c>
      <c r="F154" s="49">
        <v>0.930251475449558</v>
      </c>
    </row>
    <row r="155" spans="1:6" x14ac:dyDescent="0.3">
      <c r="A155" s="42">
        <v>403988</v>
      </c>
      <c r="B155" s="43">
        <v>916</v>
      </c>
      <c r="C155" s="43">
        <v>100000</v>
      </c>
      <c r="D155" s="51">
        <f t="shared" si="2"/>
        <v>0.79896960148178731</v>
      </c>
      <c r="E155">
        <v>908</v>
      </c>
      <c r="F155" s="49">
        <v>0.98360046356023001</v>
      </c>
    </row>
    <row r="156" spans="1:6" x14ac:dyDescent="0.3">
      <c r="A156" s="42">
        <v>403988</v>
      </c>
      <c r="B156" s="43">
        <v>270</v>
      </c>
      <c r="C156" s="43">
        <v>1000</v>
      </c>
      <c r="D156" s="51">
        <f t="shared" si="2"/>
        <v>0.5994991091348586</v>
      </c>
      <c r="E156">
        <v>909</v>
      </c>
      <c r="F156" s="49">
        <v>0.94388219544846041</v>
      </c>
    </row>
    <row r="157" spans="1:6" x14ac:dyDescent="0.3">
      <c r="A157" s="42">
        <v>403988</v>
      </c>
      <c r="B157" s="43">
        <v>780</v>
      </c>
      <c r="C157" s="43">
        <v>1000</v>
      </c>
      <c r="D157" s="51">
        <f t="shared" si="2"/>
        <v>0.84056678392667161</v>
      </c>
      <c r="E157">
        <v>910</v>
      </c>
      <c r="F157" s="49">
        <v>0.98980878134129691</v>
      </c>
    </row>
    <row r="158" spans="1:6" x14ac:dyDescent="0.3">
      <c r="A158" s="42">
        <v>403993</v>
      </c>
      <c r="B158" s="43">
        <v>221</v>
      </c>
      <c r="C158" s="43">
        <v>500</v>
      </c>
      <c r="D158" s="51">
        <f t="shared" si="2"/>
        <v>0.86451773785099451</v>
      </c>
      <c r="E158">
        <v>911</v>
      </c>
      <c r="F158" s="49">
        <v>0.98502065517584647</v>
      </c>
    </row>
    <row r="159" spans="1:6" x14ac:dyDescent="0.3">
      <c r="A159" s="42">
        <v>403993</v>
      </c>
      <c r="B159" s="43">
        <v>916</v>
      </c>
      <c r="C159" s="43">
        <v>100000</v>
      </c>
      <c r="D159" s="51">
        <f t="shared" si="2"/>
        <v>0.79896960148178731</v>
      </c>
      <c r="E159">
        <v>912</v>
      </c>
      <c r="F159" s="49">
        <v>0.96217424475646141</v>
      </c>
    </row>
    <row r="160" spans="1:6" x14ac:dyDescent="0.3">
      <c r="A160" s="42">
        <v>403993</v>
      </c>
      <c r="B160" s="43">
        <v>779</v>
      </c>
      <c r="C160" s="43">
        <v>600</v>
      </c>
      <c r="D160" s="51">
        <f t="shared" si="2"/>
        <v>0.87596263474538438</v>
      </c>
      <c r="E160">
        <v>913</v>
      </c>
      <c r="F160" s="49">
        <v>0.97828204176478195</v>
      </c>
    </row>
    <row r="161" spans="1:6" x14ac:dyDescent="0.3">
      <c r="A161" s="42">
        <v>403994</v>
      </c>
      <c r="B161" s="43">
        <v>221</v>
      </c>
      <c r="C161" s="45">
        <v>1300</v>
      </c>
      <c r="D161" s="51">
        <f t="shared" si="2"/>
        <v>0.86451773785099451</v>
      </c>
      <c r="E161">
        <v>914</v>
      </c>
      <c r="F161" s="49">
        <v>0.9691896978052037</v>
      </c>
    </row>
    <row r="162" spans="1:6" x14ac:dyDescent="0.3">
      <c r="A162" s="42">
        <v>403994</v>
      </c>
      <c r="B162" s="43">
        <v>916</v>
      </c>
      <c r="C162" s="43">
        <v>100000</v>
      </c>
      <c r="D162" s="51">
        <f t="shared" si="2"/>
        <v>0.79896960148178731</v>
      </c>
      <c r="E162">
        <v>915</v>
      </c>
      <c r="F162" s="49">
        <v>0.88966598861199153</v>
      </c>
    </row>
    <row r="163" spans="1:6" x14ac:dyDescent="0.3">
      <c r="A163" s="42">
        <v>403994</v>
      </c>
      <c r="B163" s="43">
        <v>270</v>
      </c>
      <c r="C163" s="43">
        <v>1200</v>
      </c>
      <c r="D163" s="51">
        <f t="shared" si="2"/>
        <v>0.5994991091348586</v>
      </c>
      <c r="E163">
        <v>916</v>
      </c>
      <c r="F163" s="49">
        <v>0.79896960148178731</v>
      </c>
    </row>
    <row r="164" spans="1:6" x14ac:dyDescent="0.3">
      <c r="A164" s="42">
        <v>403994</v>
      </c>
      <c r="B164" s="43">
        <v>780</v>
      </c>
      <c r="C164" s="43">
        <v>3000</v>
      </c>
      <c r="D164" s="51">
        <f t="shared" si="2"/>
        <v>0.84056678392667161</v>
      </c>
      <c r="E164">
        <v>917</v>
      </c>
      <c r="F164" s="49">
        <v>0.98064988733083158</v>
      </c>
    </row>
    <row r="165" spans="1:6" x14ac:dyDescent="0.3">
      <c r="A165" s="42">
        <v>403996</v>
      </c>
      <c r="B165" s="43">
        <v>221</v>
      </c>
      <c r="C165" s="43">
        <v>1200</v>
      </c>
      <c r="D165" s="51">
        <f t="shared" si="2"/>
        <v>0.86451773785099451</v>
      </c>
      <c r="E165">
        <v>918</v>
      </c>
      <c r="F165" s="49">
        <v>0.92025306726200806</v>
      </c>
    </row>
    <row r="166" spans="1:6" x14ac:dyDescent="0.3">
      <c r="A166" s="42">
        <v>403996</v>
      </c>
      <c r="B166" s="43">
        <v>916</v>
      </c>
      <c r="C166" s="43">
        <v>100000</v>
      </c>
      <c r="D166" s="51">
        <f t="shared" si="2"/>
        <v>0.79896960148178731</v>
      </c>
      <c r="E166">
        <v>920</v>
      </c>
      <c r="F166" s="49">
        <v>1</v>
      </c>
    </row>
    <row r="167" spans="1:6" x14ac:dyDescent="0.3">
      <c r="A167" s="42">
        <v>403996</v>
      </c>
      <c r="B167" s="43">
        <v>270</v>
      </c>
      <c r="C167" s="43">
        <v>1000</v>
      </c>
      <c r="D167" s="51">
        <f t="shared" si="2"/>
        <v>0.5994991091348586</v>
      </c>
      <c r="E167">
        <v>930</v>
      </c>
      <c r="F167" s="49">
        <v>0.90034320579636495</v>
      </c>
    </row>
    <row r="168" spans="1:6" x14ac:dyDescent="0.3">
      <c r="A168" s="42">
        <v>403996</v>
      </c>
      <c r="B168" s="43">
        <v>780</v>
      </c>
      <c r="C168" s="43">
        <v>3000</v>
      </c>
      <c r="D168" s="51">
        <f t="shared" si="2"/>
        <v>0.84056678392667161</v>
      </c>
      <c r="E168">
        <v>960</v>
      </c>
      <c r="F168" s="49">
        <v>0.91819105691056901</v>
      </c>
    </row>
    <row r="169" spans="1:6" x14ac:dyDescent="0.3">
      <c r="A169" s="42">
        <v>404003</v>
      </c>
      <c r="B169" s="43">
        <v>214</v>
      </c>
      <c r="C169" s="43">
        <v>2000</v>
      </c>
      <c r="D169" s="51">
        <f t="shared" si="2"/>
        <v>0.91778021233859708</v>
      </c>
      <c r="E169">
        <v>2000</v>
      </c>
      <c r="F169" s="49">
        <v>0.93535875888817066</v>
      </c>
    </row>
    <row r="170" spans="1:6" x14ac:dyDescent="0.3">
      <c r="A170" s="42">
        <v>404003</v>
      </c>
      <c r="B170" s="43">
        <v>916</v>
      </c>
      <c r="C170" s="43">
        <v>100000</v>
      </c>
      <c r="D170" s="51">
        <f t="shared" si="2"/>
        <v>0.79896960148178731</v>
      </c>
      <c r="E170">
        <v>2700</v>
      </c>
      <c r="F170" s="49">
        <v>0.95856377880310994</v>
      </c>
    </row>
    <row r="171" spans="1:6" x14ac:dyDescent="0.3">
      <c r="A171" s="42">
        <v>404003</v>
      </c>
      <c r="B171" s="43">
        <v>260</v>
      </c>
      <c r="C171" s="43">
        <v>2500</v>
      </c>
      <c r="D171" s="51">
        <f t="shared" si="2"/>
        <v>0.84463020674510114</v>
      </c>
      <c r="E171">
        <v>3600</v>
      </c>
      <c r="F171" s="49">
        <v>0.87527907802245908</v>
      </c>
    </row>
    <row r="172" spans="1:6" x14ac:dyDescent="0.3">
      <c r="A172" s="42">
        <v>404003</v>
      </c>
      <c r="B172" s="43">
        <v>724</v>
      </c>
      <c r="C172" s="43">
        <v>100000</v>
      </c>
      <c r="D172" s="51">
        <f t="shared" si="2"/>
        <v>0.96268545084111112</v>
      </c>
      <c r="E172">
        <v>3601</v>
      </c>
      <c r="F172" s="49">
        <v>0.9</v>
      </c>
    </row>
    <row r="173" spans="1:6" x14ac:dyDescent="0.3">
      <c r="A173" s="42" t="s">
        <v>314</v>
      </c>
      <c r="B173" s="43">
        <v>216</v>
      </c>
      <c r="C173" s="43">
        <v>1800</v>
      </c>
      <c r="D173" s="51">
        <f t="shared" si="2"/>
        <v>0.89206001750765074</v>
      </c>
      <c r="E173">
        <v>8001</v>
      </c>
      <c r="F173" s="49">
        <v>0.80699359041984919</v>
      </c>
    </row>
    <row r="174" spans="1:6" x14ac:dyDescent="0.3">
      <c r="A174" s="42" t="s">
        <v>314</v>
      </c>
      <c r="B174" s="43">
        <v>916</v>
      </c>
      <c r="C174" s="43">
        <v>100000</v>
      </c>
      <c r="D174" s="51">
        <f t="shared" si="2"/>
        <v>0.79896960148178731</v>
      </c>
      <c r="E174">
        <v>9999</v>
      </c>
      <c r="F174" s="49">
        <v>0.9</v>
      </c>
    </row>
    <row r="175" spans="1:6" x14ac:dyDescent="0.3">
      <c r="A175" s="42" t="s">
        <v>314</v>
      </c>
      <c r="B175" s="45">
        <v>265</v>
      </c>
      <c r="C175" s="43">
        <v>2400</v>
      </c>
      <c r="D175" s="51">
        <f t="shared" si="2"/>
        <v>0.77814176591921203</v>
      </c>
      <c r="E175">
        <v>671361</v>
      </c>
      <c r="F175" s="49">
        <v>0.9</v>
      </c>
    </row>
    <row r="176" spans="1:6" x14ac:dyDescent="0.3">
      <c r="A176" s="42" t="s">
        <v>314</v>
      </c>
      <c r="B176" s="43">
        <v>724</v>
      </c>
      <c r="C176" s="43">
        <v>100000</v>
      </c>
      <c r="D176" s="51">
        <f t="shared" si="2"/>
        <v>0.96268545084111112</v>
      </c>
      <c r="E176">
        <v>671523</v>
      </c>
      <c r="F176" s="49">
        <v>0.9</v>
      </c>
    </row>
    <row r="177" spans="1:6" x14ac:dyDescent="0.3">
      <c r="A177" s="42">
        <v>404006</v>
      </c>
      <c r="B177" s="43">
        <v>221</v>
      </c>
      <c r="C177" s="43">
        <v>1100</v>
      </c>
      <c r="D177" s="51">
        <f t="shared" si="2"/>
        <v>0.86451773785099451</v>
      </c>
      <c r="E177">
        <v>671970</v>
      </c>
      <c r="F177" s="49">
        <v>0.9</v>
      </c>
    </row>
    <row r="178" spans="1:6" x14ac:dyDescent="0.3">
      <c r="A178" s="42">
        <v>404006</v>
      </c>
      <c r="B178" s="43">
        <v>916</v>
      </c>
      <c r="C178" s="43">
        <v>100000</v>
      </c>
      <c r="D178" s="51">
        <f t="shared" si="2"/>
        <v>0.79896960148178731</v>
      </c>
      <c r="E178">
        <v>671302</v>
      </c>
      <c r="F178" s="49" t="e">
        <v>#REF!</v>
      </c>
    </row>
    <row r="179" spans="1:6" x14ac:dyDescent="0.3">
      <c r="A179" s="42">
        <v>404006</v>
      </c>
      <c r="B179" s="43">
        <v>270</v>
      </c>
      <c r="C179" s="43">
        <v>1500</v>
      </c>
      <c r="D179" s="51">
        <f t="shared" si="2"/>
        <v>0.5994991091348586</v>
      </c>
      <c r="E179">
        <v>671330</v>
      </c>
      <c r="F179" s="49" t="e">
        <v>#REF!</v>
      </c>
    </row>
    <row r="180" spans="1:6" x14ac:dyDescent="0.3">
      <c r="A180" s="42">
        <v>404006</v>
      </c>
      <c r="B180" s="43">
        <v>780</v>
      </c>
      <c r="C180" s="43">
        <v>3000</v>
      </c>
      <c r="D180" s="51">
        <f t="shared" si="2"/>
        <v>0.84056678392667161</v>
      </c>
      <c r="E180">
        <v>671340</v>
      </c>
      <c r="F180" s="49" t="e">
        <v>#REF!</v>
      </c>
    </row>
    <row r="181" spans="1:6" x14ac:dyDescent="0.3">
      <c r="A181" s="42">
        <v>404014</v>
      </c>
      <c r="B181" s="43">
        <v>213</v>
      </c>
      <c r="C181" s="43">
        <v>600</v>
      </c>
      <c r="D181" s="51">
        <f t="shared" si="2"/>
        <v>0.89211414217378293</v>
      </c>
      <c r="E181">
        <v>671361</v>
      </c>
      <c r="F181" s="49" t="e">
        <v>#REF!</v>
      </c>
    </row>
    <row r="182" spans="1:6" x14ac:dyDescent="0.3">
      <c r="A182" s="42">
        <v>404014</v>
      </c>
      <c r="B182" s="43">
        <v>916</v>
      </c>
      <c r="C182" s="43">
        <v>100000</v>
      </c>
      <c r="D182" s="51">
        <f t="shared" si="2"/>
        <v>0.79896960148178731</v>
      </c>
      <c r="E182">
        <v>671523</v>
      </c>
      <c r="F182" s="49" t="e">
        <v>#REF!</v>
      </c>
    </row>
    <row r="183" spans="1:6" x14ac:dyDescent="0.3">
      <c r="A183" s="42">
        <v>404014</v>
      </c>
      <c r="B183" s="43">
        <v>270</v>
      </c>
      <c r="C183" s="43">
        <v>1000</v>
      </c>
      <c r="D183" s="51">
        <f t="shared" si="2"/>
        <v>0.5994991091348586</v>
      </c>
      <c r="E183">
        <v>671970</v>
      </c>
      <c r="F183" s="49" t="e">
        <v>#REF!</v>
      </c>
    </row>
    <row r="184" spans="1:6" x14ac:dyDescent="0.3">
      <c r="A184" s="42">
        <v>404014</v>
      </c>
      <c r="B184" s="43">
        <v>780</v>
      </c>
      <c r="C184" s="43">
        <v>3000</v>
      </c>
      <c r="D184" s="51">
        <f t="shared" si="2"/>
        <v>0.84056678392667161</v>
      </c>
      <c r="E184">
        <v>671993</v>
      </c>
      <c r="F184" s="49" t="e">
        <v>#REF!</v>
      </c>
    </row>
    <row r="185" spans="1:6" x14ac:dyDescent="0.3">
      <c r="A185" s="42">
        <v>404014</v>
      </c>
      <c r="B185" s="43">
        <v>724</v>
      </c>
      <c r="C185" s="43">
        <v>100000</v>
      </c>
      <c r="D185" s="51">
        <f t="shared" si="2"/>
        <v>0.96268545084111112</v>
      </c>
      <c r="E185">
        <v>681198</v>
      </c>
      <c r="F185" s="49" t="e">
        <v>#REF!</v>
      </c>
    </row>
    <row r="186" spans="1:6" x14ac:dyDescent="0.3">
      <c r="A186" s="42">
        <v>404015</v>
      </c>
      <c r="B186" s="43">
        <v>221</v>
      </c>
      <c r="C186" s="43">
        <v>1200</v>
      </c>
      <c r="D186" s="51">
        <f t="shared" si="2"/>
        <v>0.86451773785099451</v>
      </c>
      <c r="E186">
        <v>681337</v>
      </c>
      <c r="F186" s="49" t="e">
        <v>#REF!</v>
      </c>
    </row>
    <row r="187" spans="1:6" x14ac:dyDescent="0.3">
      <c r="A187" s="42">
        <v>404015</v>
      </c>
      <c r="B187" s="43">
        <v>916</v>
      </c>
      <c r="C187" s="43">
        <v>100000</v>
      </c>
      <c r="D187" s="51">
        <f t="shared" si="2"/>
        <v>0.79896960148178731</v>
      </c>
      <c r="E187">
        <v>681379</v>
      </c>
      <c r="F187" s="49" t="e">
        <v>#REF!</v>
      </c>
    </row>
    <row r="188" spans="1:6" x14ac:dyDescent="0.3">
      <c r="A188" s="42">
        <v>404015</v>
      </c>
      <c r="B188" s="43">
        <v>270</v>
      </c>
      <c r="C188" s="43">
        <v>1000</v>
      </c>
      <c r="D188" s="51">
        <f t="shared" si="2"/>
        <v>0.5994991091348586</v>
      </c>
      <c r="E188">
        <v>691199</v>
      </c>
      <c r="F188" s="49" t="e">
        <v>#REF!</v>
      </c>
    </row>
    <row r="189" spans="1:6" x14ac:dyDescent="0.3">
      <c r="A189" s="42">
        <v>404015</v>
      </c>
      <c r="B189" s="43">
        <v>780</v>
      </c>
      <c r="C189" s="43">
        <v>3000</v>
      </c>
      <c r="D189" s="51">
        <f t="shared" si="2"/>
        <v>0.84056678392667161</v>
      </c>
      <c r="E189">
        <v>691728</v>
      </c>
      <c r="F189" s="49" t="e">
        <v>#REF!</v>
      </c>
    </row>
    <row r="190" spans="1:6" x14ac:dyDescent="0.3">
      <c r="A190" s="42">
        <v>404018</v>
      </c>
      <c r="B190" s="43">
        <v>212</v>
      </c>
      <c r="C190" s="43">
        <v>600</v>
      </c>
      <c r="D190" s="51">
        <f t="shared" si="2"/>
        <v>0.91115887131188655</v>
      </c>
      <c r="E190">
        <v>692030</v>
      </c>
      <c r="F190" s="49" t="e">
        <v>#REF!</v>
      </c>
    </row>
    <row r="191" spans="1:6" x14ac:dyDescent="0.3">
      <c r="A191" s="42">
        <v>404018</v>
      </c>
      <c r="B191" s="43">
        <v>916</v>
      </c>
      <c r="C191" s="43">
        <v>100000</v>
      </c>
      <c r="D191" s="51">
        <f t="shared" si="2"/>
        <v>0.79896960148178731</v>
      </c>
      <c r="E191">
        <v>701476</v>
      </c>
      <c r="F191" s="49" t="e">
        <v>#REF!</v>
      </c>
    </row>
    <row r="192" spans="1:6" x14ac:dyDescent="0.3">
      <c r="A192" s="42">
        <v>404018</v>
      </c>
      <c r="B192" s="43">
        <v>270</v>
      </c>
      <c r="C192" s="43">
        <v>1000</v>
      </c>
      <c r="D192" s="51">
        <f t="shared" si="2"/>
        <v>0.5994991091348586</v>
      </c>
      <c r="E192">
        <v>701924</v>
      </c>
      <c r="F192" s="49" t="e">
        <v>#REF!</v>
      </c>
    </row>
    <row r="193" spans="1:6" x14ac:dyDescent="0.3">
      <c r="A193" s="42">
        <v>404018</v>
      </c>
      <c r="B193" s="43">
        <v>780</v>
      </c>
      <c r="C193" s="43">
        <v>3000</v>
      </c>
      <c r="D193" s="51">
        <f t="shared" si="2"/>
        <v>0.84056678392667161</v>
      </c>
      <c r="E193">
        <v>999999</v>
      </c>
      <c r="F193" s="49" t="e">
        <v>#REF!</v>
      </c>
    </row>
    <row r="194" spans="1:6" x14ac:dyDescent="0.3">
      <c r="A194" s="42">
        <v>404018</v>
      </c>
      <c r="B194" s="43">
        <v>724</v>
      </c>
      <c r="C194" s="45">
        <v>100000</v>
      </c>
      <c r="D194" s="51">
        <f t="shared" ref="D194:D257" si="3">VLOOKUP(B194,E:F,2,0)</f>
        <v>0.96268545084111112</v>
      </c>
      <c r="E194">
        <v>779</v>
      </c>
      <c r="F194" s="50">
        <v>10.9</v>
      </c>
    </row>
    <row r="195" spans="1:6" x14ac:dyDescent="0.3">
      <c r="A195" s="42">
        <v>404020</v>
      </c>
      <c r="B195" s="43">
        <v>210</v>
      </c>
      <c r="C195" s="43">
        <v>1600</v>
      </c>
      <c r="D195" s="51">
        <f t="shared" si="3"/>
        <v>0.88209415934394453</v>
      </c>
      <c r="F195" s="50">
        <v>10.9</v>
      </c>
    </row>
    <row r="196" spans="1:6" x14ac:dyDescent="0.3">
      <c r="A196" s="42">
        <v>404020</v>
      </c>
      <c r="B196" s="43">
        <v>916</v>
      </c>
      <c r="C196" s="43">
        <v>100000</v>
      </c>
      <c r="D196" s="51">
        <f t="shared" si="3"/>
        <v>0.79896960148178731</v>
      </c>
      <c r="F196" s="50">
        <v>10.9</v>
      </c>
    </row>
    <row r="197" spans="1:6" x14ac:dyDescent="0.3">
      <c r="A197" s="42">
        <v>404020</v>
      </c>
      <c r="B197" s="43">
        <v>260</v>
      </c>
      <c r="C197" s="43">
        <v>2500</v>
      </c>
      <c r="D197" s="51">
        <f t="shared" si="3"/>
        <v>0.84463020674510114</v>
      </c>
      <c r="F197" s="50">
        <v>10.9</v>
      </c>
    </row>
    <row r="198" spans="1:6" x14ac:dyDescent="0.3">
      <c r="A198" s="42">
        <v>404020</v>
      </c>
      <c r="B198" s="43">
        <v>724</v>
      </c>
      <c r="C198" s="43">
        <v>100000</v>
      </c>
      <c r="D198" s="51">
        <f t="shared" si="3"/>
        <v>0.96268545084111112</v>
      </c>
      <c r="F198" s="50">
        <v>10.9</v>
      </c>
    </row>
    <row r="199" spans="1:6" x14ac:dyDescent="0.3">
      <c r="A199" s="42">
        <v>404033</v>
      </c>
      <c r="B199" s="43">
        <v>207</v>
      </c>
      <c r="C199" s="43">
        <v>1800</v>
      </c>
      <c r="D199" s="51">
        <f t="shared" si="3"/>
        <v>0.90565335550442194</v>
      </c>
      <c r="F199" s="50">
        <v>10.9</v>
      </c>
    </row>
    <row r="200" spans="1:6" x14ac:dyDescent="0.3">
      <c r="A200" s="42">
        <v>404033</v>
      </c>
      <c r="B200" s="43">
        <v>916</v>
      </c>
      <c r="C200" s="43">
        <v>100000</v>
      </c>
      <c r="D200" s="51">
        <f t="shared" si="3"/>
        <v>0.79896960148178731</v>
      </c>
      <c r="F200" s="50">
        <v>10.9</v>
      </c>
    </row>
    <row r="201" spans="1:6" x14ac:dyDescent="0.3">
      <c r="A201" s="42">
        <v>404033</v>
      </c>
      <c r="B201" s="43">
        <v>262</v>
      </c>
      <c r="C201" s="43">
        <v>3000</v>
      </c>
      <c r="D201" s="51">
        <f t="shared" si="3"/>
        <v>0.84105582227237186</v>
      </c>
      <c r="F201" s="50">
        <v>10.9</v>
      </c>
    </row>
    <row r="202" spans="1:6" x14ac:dyDescent="0.3">
      <c r="A202" s="42">
        <v>404033</v>
      </c>
      <c r="B202" s="43">
        <v>724</v>
      </c>
      <c r="C202" s="43">
        <v>100000</v>
      </c>
      <c r="D202" s="51">
        <f t="shared" si="3"/>
        <v>0.96268545084111112</v>
      </c>
      <c r="F202" s="50">
        <v>10.9</v>
      </c>
    </row>
    <row r="203" spans="1:6" x14ac:dyDescent="0.3">
      <c r="A203" s="42" t="s">
        <v>82</v>
      </c>
      <c r="B203" s="43">
        <v>207</v>
      </c>
      <c r="C203" s="43">
        <v>1600</v>
      </c>
      <c r="D203" s="51">
        <f t="shared" si="3"/>
        <v>0.90565335550442194</v>
      </c>
      <c r="F203" s="50">
        <v>10.9</v>
      </c>
    </row>
    <row r="204" spans="1:6" x14ac:dyDescent="0.3">
      <c r="A204" s="42" t="s">
        <v>82</v>
      </c>
      <c r="B204" s="43">
        <v>916</v>
      </c>
      <c r="C204" s="43">
        <v>100000</v>
      </c>
      <c r="D204" s="51">
        <f t="shared" si="3"/>
        <v>0.79896960148178731</v>
      </c>
      <c r="F204" s="50">
        <v>10.9</v>
      </c>
    </row>
    <row r="205" spans="1:6" x14ac:dyDescent="0.3">
      <c r="A205" s="42" t="s">
        <v>82</v>
      </c>
      <c r="B205" s="43">
        <v>266</v>
      </c>
      <c r="C205" s="43">
        <v>2000</v>
      </c>
      <c r="D205" s="51">
        <f t="shared" si="3"/>
        <v>0.84702959767415587</v>
      </c>
      <c r="F205" s="50">
        <v>10.9</v>
      </c>
    </row>
    <row r="206" spans="1:6" x14ac:dyDescent="0.3">
      <c r="A206" s="42" t="s">
        <v>82</v>
      </c>
      <c r="B206" s="43">
        <v>724</v>
      </c>
      <c r="C206" s="43">
        <v>100000</v>
      </c>
      <c r="D206" s="51">
        <f t="shared" si="3"/>
        <v>0.96268545084111112</v>
      </c>
      <c r="F206" s="50">
        <v>10.9</v>
      </c>
    </row>
    <row r="207" spans="1:6" x14ac:dyDescent="0.3">
      <c r="A207" s="42">
        <v>404041</v>
      </c>
      <c r="B207" s="43">
        <v>210</v>
      </c>
      <c r="C207" s="43">
        <v>1800</v>
      </c>
      <c r="D207" s="51">
        <f t="shared" si="3"/>
        <v>0.88209415934394453</v>
      </c>
      <c r="F207" s="50">
        <v>10.9</v>
      </c>
    </row>
    <row r="208" spans="1:6" x14ac:dyDescent="0.3">
      <c r="A208" s="42">
        <v>404041</v>
      </c>
      <c r="B208" s="43">
        <v>910</v>
      </c>
      <c r="C208" s="43">
        <v>20000</v>
      </c>
      <c r="D208" s="51">
        <f t="shared" si="3"/>
        <v>0.98980878134129691</v>
      </c>
      <c r="F208" s="50">
        <v>10.9</v>
      </c>
    </row>
    <row r="209" spans="1:6" x14ac:dyDescent="0.3">
      <c r="A209" s="42">
        <v>404041</v>
      </c>
      <c r="B209" s="43">
        <v>261</v>
      </c>
      <c r="C209" s="43">
        <v>3000</v>
      </c>
      <c r="D209" s="51">
        <f t="shared" si="3"/>
        <v>0.86363448374932017</v>
      </c>
      <c r="F209" s="50">
        <v>10.9</v>
      </c>
    </row>
    <row r="210" spans="1:6" x14ac:dyDescent="0.3">
      <c r="A210" s="42">
        <v>404041</v>
      </c>
      <c r="B210" s="43">
        <v>724</v>
      </c>
      <c r="C210" s="43">
        <v>30000</v>
      </c>
      <c r="D210" s="51">
        <f t="shared" si="3"/>
        <v>0.96268545084111112</v>
      </c>
      <c r="F210" s="50">
        <v>10.9</v>
      </c>
    </row>
    <row r="211" spans="1:6" x14ac:dyDescent="0.3">
      <c r="A211" s="42">
        <v>404043</v>
      </c>
      <c r="B211" s="43">
        <v>210</v>
      </c>
      <c r="C211" s="43">
        <v>1000</v>
      </c>
      <c r="D211" s="51">
        <f t="shared" si="3"/>
        <v>0.88209415934394453</v>
      </c>
      <c r="F211" s="50">
        <v>10.9</v>
      </c>
    </row>
    <row r="212" spans="1:6" x14ac:dyDescent="0.3">
      <c r="A212" s="42">
        <v>404043</v>
      </c>
      <c r="B212" s="43">
        <v>910</v>
      </c>
      <c r="C212" s="43">
        <v>20000</v>
      </c>
      <c r="D212" s="51">
        <f t="shared" si="3"/>
        <v>0.98980878134129691</v>
      </c>
      <c r="F212" s="50">
        <v>10.9</v>
      </c>
    </row>
    <row r="213" spans="1:6" x14ac:dyDescent="0.3">
      <c r="A213" s="42">
        <v>404043</v>
      </c>
      <c r="B213" s="43">
        <v>270</v>
      </c>
      <c r="C213" s="43">
        <v>2000</v>
      </c>
      <c r="D213" s="51">
        <f t="shared" si="3"/>
        <v>0.5994991091348586</v>
      </c>
      <c r="F213" s="50">
        <v>10.9</v>
      </c>
    </row>
    <row r="214" spans="1:6" x14ac:dyDescent="0.3">
      <c r="A214" s="42">
        <v>404043</v>
      </c>
      <c r="B214" s="43">
        <v>270</v>
      </c>
      <c r="C214" s="43">
        <v>1000</v>
      </c>
      <c r="D214" s="51">
        <f t="shared" si="3"/>
        <v>0.5994991091348586</v>
      </c>
      <c r="F214" s="50">
        <v>10.9</v>
      </c>
    </row>
    <row r="215" spans="1:6" x14ac:dyDescent="0.3">
      <c r="A215" s="42">
        <v>404043</v>
      </c>
      <c r="B215" s="43">
        <v>724</v>
      </c>
      <c r="C215" s="43">
        <v>50000</v>
      </c>
      <c r="D215" s="51">
        <f t="shared" si="3"/>
        <v>0.96268545084111112</v>
      </c>
      <c r="F215" s="50">
        <v>10.9</v>
      </c>
    </row>
    <row r="216" spans="1:6" x14ac:dyDescent="0.3">
      <c r="A216" s="42">
        <v>404043</v>
      </c>
      <c r="B216" s="43">
        <v>799</v>
      </c>
      <c r="C216" s="43">
        <v>50000</v>
      </c>
      <c r="D216" s="51">
        <f t="shared" si="3"/>
        <v>0.94657286846895594</v>
      </c>
      <c r="F216" s="50">
        <v>10.9</v>
      </c>
    </row>
    <row r="217" spans="1:6" x14ac:dyDescent="0.3">
      <c r="A217" s="42">
        <v>404051</v>
      </c>
      <c r="B217" s="43">
        <v>216</v>
      </c>
      <c r="C217" s="43">
        <v>1100</v>
      </c>
      <c r="D217" s="51">
        <f t="shared" si="3"/>
        <v>0.89206001750765074</v>
      </c>
      <c r="F217" s="50">
        <v>10.9</v>
      </c>
    </row>
    <row r="218" spans="1:6" x14ac:dyDescent="0.3">
      <c r="A218" s="42">
        <v>404051</v>
      </c>
      <c r="B218" s="43">
        <v>916</v>
      </c>
      <c r="C218" s="43">
        <v>100000</v>
      </c>
      <c r="D218" s="51">
        <f t="shared" si="3"/>
        <v>0.79896960148178731</v>
      </c>
      <c r="F218" s="50">
        <v>10.9</v>
      </c>
    </row>
    <row r="219" spans="1:6" x14ac:dyDescent="0.3">
      <c r="A219" s="42">
        <v>404051</v>
      </c>
      <c r="B219" s="43">
        <v>265</v>
      </c>
      <c r="C219" s="43">
        <v>1800</v>
      </c>
      <c r="D219" s="51">
        <f t="shared" si="3"/>
        <v>0.77814176591921203</v>
      </c>
      <c r="F219" s="50">
        <v>10.9</v>
      </c>
    </row>
    <row r="220" spans="1:6" x14ac:dyDescent="0.3">
      <c r="A220" s="42">
        <v>404051</v>
      </c>
      <c r="B220" s="43">
        <v>780</v>
      </c>
      <c r="C220" s="43">
        <v>3000</v>
      </c>
      <c r="D220" s="51">
        <f t="shared" si="3"/>
        <v>0.84056678392667161</v>
      </c>
      <c r="F220" s="50">
        <v>10.9</v>
      </c>
    </row>
    <row r="221" spans="1:6" x14ac:dyDescent="0.3">
      <c r="A221" s="42">
        <v>404051</v>
      </c>
      <c r="B221" s="43">
        <v>724</v>
      </c>
      <c r="C221" s="43">
        <v>100000</v>
      </c>
      <c r="D221" s="51">
        <f t="shared" si="3"/>
        <v>0.96268545084111112</v>
      </c>
      <c r="F221" s="50">
        <v>10.9</v>
      </c>
    </row>
    <row r="222" spans="1:6" x14ac:dyDescent="0.3">
      <c r="A222" s="42">
        <v>404052</v>
      </c>
      <c r="B222" s="43">
        <v>213</v>
      </c>
      <c r="C222" s="43">
        <v>1800</v>
      </c>
      <c r="D222" s="51">
        <f t="shared" si="3"/>
        <v>0.89211414217378293</v>
      </c>
      <c r="F222" s="50">
        <v>10.9</v>
      </c>
    </row>
    <row r="223" spans="1:6" x14ac:dyDescent="0.3">
      <c r="A223" s="42">
        <v>404052</v>
      </c>
      <c r="B223" s="43">
        <v>915</v>
      </c>
      <c r="C223" s="43">
        <v>20000</v>
      </c>
      <c r="D223" s="51">
        <f t="shared" si="3"/>
        <v>0.88966598861199153</v>
      </c>
      <c r="F223" s="50">
        <v>10.9</v>
      </c>
    </row>
    <row r="224" spans="1:6" x14ac:dyDescent="0.3">
      <c r="A224" s="42">
        <v>404052</v>
      </c>
      <c r="B224" s="43">
        <v>260</v>
      </c>
      <c r="C224" s="43">
        <v>3000</v>
      </c>
      <c r="D224" s="51">
        <f t="shared" si="3"/>
        <v>0.84463020674510114</v>
      </c>
      <c r="F224" s="50">
        <v>10.9</v>
      </c>
    </row>
    <row r="225" spans="1:6" x14ac:dyDescent="0.3">
      <c r="A225" s="42">
        <v>404052</v>
      </c>
      <c r="B225" s="43">
        <v>724</v>
      </c>
      <c r="C225" s="43">
        <v>20000</v>
      </c>
      <c r="D225" s="51">
        <f t="shared" si="3"/>
        <v>0.96268545084111112</v>
      </c>
      <c r="F225" s="50">
        <v>10.9</v>
      </c>
    </row>
    <row r="226" spans="1:6" x14ac:dyDescent="0.3">
      <c r="A226" s="42">
        <v>404052</v>
      </c>
      <c r="B226" s="43">
        <v>799</v>
      </c>
      <c r="C226" s="43">
        <v>50000</v>
      </c>
      <c r="D226" s="51">
        <f t="shared" si="3"/>
        <v>0.94657286846895594</v>
      </c>
      <c r="F226" s="50">
        <v>10.9</v>
      </c>
    </row>
    <row r="227" spans="1:6" x14ac:dyDescent="0.3">
      <c r="A227" s="42">
        <v>404053</v>
      </c>
      <c r="B227" s="43">
        <v>216</v>
      </c>
      <c r="C227" s="43">
        <v>1200</v>
      </c>
      <c r="D227" s="51">
        <f t="shared" si="3"/>
        <v>0.89206001750765074</v>
      </c>
      <c r="F227" s="50">
        <v>10.9</v>
      </c>
    </row>
    <row r="228" spans="1:6" x14ac:dyDescent="0.3">
      <c r="A228" s="42">
        <v>404053</v>
      </c>
      <c r="B228" s="43">
        <v>916</v>
      </c>
      <c r="C228" s="43">
        <v>100000</v>
      </c>
      <c r="D228" s="51">
        <f t="shared" si="3"/>
        <v>0.79896960148178731</v>
      </c>
      <c r="F228" s="50">
        <v>10.9</v>
      </c>
    </row>
    <row r="229" spans="1:6" x14ac:dyDescent="0.3">
      <c r="A229" s="42">
        <v>404053</v>
      </c>
      <c r="B229" s="43">
        <v>265</v>
      </c>
      <c r="C229" s="43">
        <v>2500</v>
      </c>
      <c r="D229" s="51">
        <f t="shared" si="3"/>
        <v>0.77814176591921203</v>
      </c>
      <c r="F229" s="50">
        <v>10.9</v>
      </c>
    </row>
    <row r="230" spans="1:6" x14ac:dyDescent="0.3">
      <c r="A230" s="42">
        <v>404053</v>
      </c>
      <c r="B230" s="43">
        <v>724</v>
      </c>
      <c r="C230" s="43">
        <v>100000</v>
      </c>
      <c r="D230" s="51">
        <f t="shared" si="3"/>
        <v>0.96268545084111112</v>
      </c>
      <c r="F230" s="50">
        <v>10.9</v>
      </c>
    </row>
    <row r="231" spans="1:6" x14ac:dyDescent="0.3">
      <c r="A231" s="42">
        <v>404055</v>
      </c>
      <c r="B231" s="43">
        <v>210</v>
      </c>
      <c r="C231" s="43">
        <v>1500</v>
      </c>
      <c r="D231" s="51">
        <f t="shared" si="3"/>
        <v>0.88209415934394453</v>
      </c>
      <c r="F231" s="50">
        <v>10.9</v>
      </c>
    </row>
    <row r="232" spans="1:6" x14ac:dyDescent="0.3">
      <c r="A232" s="42">
        <v>404055</v>
      </c>
      <c r="B232" s="43">
        <v>916</v>
      </c>
      <c r="C232" s="43">
        <v>100000</v>
      </c>
      <c r="D232" s="51">
        <f t="shared" si="3"/>
        <v>0.79896960148178731</v>
      </c>
      <c r="F232" s="50">
        <v>10.9</v>
      </c>
    </row>
    <row r="233" spans="1:6" x14ac:dyDescent="0.3">
      <c r="A233" s="42">
        <v>404055</v>
      </c>
      <c r="B233" s="43">
        <v>265</v>
      </c>
      <c r="C233" s="43">
        <v>2300</v>
      </c>
      <c r="D233" s="51">
        <f t="shared" si="3"/>
        <v>0.77814176591921203</v>
      </c>
      <c r="F233" s="50">
        <v>10.9</v>
      </c>
    </row>
    <row r="234" spans="1:6" x14ac:dyDescent="0.3">
      <c r="A234" s="42">
        <v>404055</v>
      </c>
      <c r="B234" s="43">
        <v>724</v>
      </c>
      <c r="C234" s="43">
        <v>100000</v>
      </c>
      <c r="D234" s="51">
        <f t="shared" si="3"/>
        <v>0.96268545084111112</v>
      </c>
      <c r="F234" s="50">
        <v>10.9</v>
      </c>
    </row>
    <row r="235" spans="1:6" x14ac:dyDescent="0.3">
      <c r="A235" s="42" t="s">
        <v>85</v>
      </c>
      <c r="B235" s="43">
        <v>142</v>
      </c>
      <c r="C235" s="43">
        <v>10000</v>
      </c>
      <c r="D235" s="51">
        <f t="shared" si="3"/>
        <v>0.73372191503301964</v>
      </c>
      <c r="F235" s="50">
        <v>10.9</v>
      </c>
    </row>
    <row r="236" spans="1:6" x14ac:dyDescent="0.3">
      <c r="A236" s="42" t="s">
        <v>85</v>
      </c>
      <c r="B236" s="43">
        <v>911</v>
      </c>
      <c r="C236" s="43">
        <v>10000</v>
      </c>
      <c r="D236" s="51">
        <f t="shared" si="3"/>
        <v>0.98502065517584647</v>
      </c>
      <c r="F236" s="50">
        <v>10.9</v>
      </c>
    </row>
    <row r="237" spans="1:6" x14ac:dyDescent="0.3">
      <c r="A237" s="42" t="s">
        <v>85</v>
      </c>
      <c r="B237" s="43">
        <v>2700</v>
      </c>
      <c r="C237" s="43">
        <v>30000</v>
      </c>
      <c r="D237" s="51">
        <f t="shared" si="3"/>
        <v>0.95856377880310994</v>
      </c>
      <c r="F237" s="50">
        <v>10.9</v>
      </c>
    </row>
    <row r="238" spans="1:6" x14ac:dyDescent="0.3">
      <c r="A238" s="42" t="s">
        <v>85</v>
      </c>
      <c r="B238" s="43">
        <v>777</v>
      </c>
      <c r="C238" s="43">
        <v>100000</v>
      </c>
      <c r="D238" s="51">
        <f t="shared" si="3"/>
        <v>0.97115107221848251</v>
      </c>
      <c r="F238" s="50">
        <v>10.9</v>
      </c>
    </row>
    <row r="239" spans="1:6" x14ac:dyDescent="0.3">
      <c r="A239" s="42" t="s">
        <v>87</v>
      </c>
      <c r="B239" s="43">
        <v>799</v>
      </c>
      <c r="C239" s="43">
        <v>100000</v>
      </c>
      <c r="D239" s="51">
        <f t="shared" si="3"/>
        <v>0.94657286846895594</v>
      </c>
      <c r="F239" s="50">
        <v>10.9</v>
      </c>
    </row>
    <row r="240" spans="1:6" x14ac:dyDescent="0.3">
      <c r="A240" s="42" t="s">
        <v>87</v>
      </c>
      <c r="B240" s="43">
        <v>777</v>
      </c>
      <c r="C240" s="43">
        <v>100000</v>
      </c>
      <c r="D240" s="51">
        <f t="shared" si="3"/>
        <v>0.97115107221848251</v>
      </c>
      <c r="F240" s="50">
        <v>10.9</v>
      </c>
    </row>
    <row r="241" spans="1:6" x14ac:dyDescent="0.3">
      <c r="A241" s="42" t="s">
        <v>320</v>
      </c>
      <c r="B241" s="43">
        <v>122</v>
      </c>
      <c r="C241" s="43">
        <v>4500</v>
      </c>
      <c r="D241" s="51">
        <f t="shared" si="3"/>
        <v>0.72509988568394079</v>
      </c>
      <c r="F241" s="50">
        <v>10.9</v>
      </c>
    </row>
    <row r="242" spans="1:6" x14ac:dyDescent="0.3">
      <c r="A242" s="42" t="s">
        <v>320</v>
      </c>
      <c r="B242" s="43">
        <v>917</v>
      </c>
      <c r="C242" s="43">
        <v>4500</v>
      </c>
      <c r="D242" s="51">
        <f t="shared" si="3"/>
        <v>0.98064988733083158</v>
      </c>
      <c r="F242" s="50">
        <v>10.9</v>
      </c>
    </row>
    <row r="243" spans="1:6" x14ac:dyDescent="0.3">
      <c r="A243" s="42">
        <v>405714</v>
      </c>
      <c r="B243" s="43">
        <v>136</v>
      </c>
      <c r="C243" s="43">
        <v>10000</v>
      </c>
      <c r="D243" s="51">
        <f t="shared" si="3"/>
        <v>0.73107264335751254</v>
      </c>
      <c r="F243" s="50">
        <v>10.9</v>
      </c>
    </row>
    <row r="244" spans="1:6" x14ac:dyDescent="0.3">
      <c r="A244" s="42">
        <v>405714</v>
      </c>
      <c r="B244" s="43">
        <v>798</v>
      </c>
      <c r="C244" s="43">
        <v>10000</v>
      </c>
      <c r="D244" s="51">
        <f t="shared" si="3"/>
        <v>0.98201053946219186</v>
      </c>
      <c r="F244" s="50">
        <v>10.9</v>
      </c>
    </row>
    <row r="245" spans="1:6" x14ac:dyDescent="0.3">
      <c r="A245" s="42">
        <v>405714</v>
      </c>
      <c r="B245" s="43">
        <v>910</v>
      </c>
      <c r="C245" s="43">
        <v>10000</v>
      </c>
      <c r="D245" s="51">
        <f t="shared" si="3"/>
        <v>0.98980878134129691</v>
      </c>
      <c r="F245" s="50">
        <v>10.9</v>
      </c>
    </row>
    <row r="246" spans="1:6" x14ac:dyDescent="0.3">
      <c r="A246" s="42">
        <v>405714</v>
      </c>
      <c r="B246" s="43">
        <v>2700</v>
      </c>
      <c r="C246" s="43">
        <v>10000</v>
      </c>
      <c r="D246" s="51">
        <f t="shared" si="3"/>
        <v>0.95856377880310994</v>
      </c>
      <c r="F246" s="50">
        <v>10.9</v>
      </c>
    </row>
    <row r="247" spans="1:6" x14ac:dyDescent="0.3">
      <c r="A247" s="42">
        <v>405714</v>
      </c>
      <c r="B247" s="43">
        <v>750</v>
      </c>
      <c r="C247" s="43">
        <v>5500</v>
      </c>
      <c r="D247" s="51">
        <f t="shared" si="3"/>
        <v>0.82058595435750881</v>
      </c>
      <c r="F247" s="50">
        <v>10.9</v>
      </c>
    </row>
    <row r="248" spans="1:6" x14ac:dyDescent="0.3">
      <c r="A248" s="42">
        <v>407076</v>
      </c>
      <c r="B248" s="43">
        <v>127</v>
      </c>
      <c r="C248" s="43">
        <v>7000</v>
      </c>
      <c r="D248" s="51">
        <f t="shared" si="3"/>
        <v>0.772139856764963</v>
      </c>
      <c r="F248" s="50">
        <v>10.9</v>
      </c>
    </row>
    <row r="249" spans="1:6" x14ac:dyDescent="0.3">
      <c r="A249" s="42">
        <v>407076</v>
      </c>
      <c r="B249" s="43">
        <v>910</v>
      </c>
      <c r="C249" s="43">
        <v>7000</v>
      </c>
      <c r="D249" s="51">
        <f t="shared" si="3"/>
        <v>0.98980878134129691</v>
      </c>
      <c r="F249" s="50">
        <v>10.9</v>
      </c>
    </row>
    <row r="250" spans="1:6" x14ac:dyDescent="0.3">
      <c r="A250" s="42">
        <v>407076</v>
      </c>
      <c r="B250" s="43">
        <v>799</v>
      </c>
      <c r="C250" s="43">
        <v>100000</v>
      </c>
      <c r="D250" s="51">
        <f t="shared" si="3"/>
        <v>0.94657286846895594</v>
      </c>
      <c r="F250" s="50">
        <v>10.9</v>
      </c>
    </row>
    <row r="251" spans="1:6" x14ac:dyDescent="0.3">
      <c r="A251" s="42">
        <v>407444</v>
      </c>
      <c r="B251" s="43">
        <v>122</v>
      </c>
      <c r="C251" s="43">
        <v>4500</v>
      </c>
      <c r="D251" s="51">
        <f t="shared" si="3"/>
        <v>0.72509988568394079</v>
      </c>
      <c r="F251" s="50">
        <v>10.9</v>
      </c>
    </row>
    <row r="252" spans="1:6" x14ac:dyDescent="0.3">
      <c r="A252" s="42">
        <v>407444</v>
      </c>
      <c r="B252" s="43">
        <v>910</v>
      </c>
      <c r="C252" s="43">
        <v>4500</v>
      </c>
      <c r="D252" s="51">
        <f t="shared" si="3"/>
        <v>0.98980878134129691</v>
      </c>
      <c r="F252" s="50">
        <v>10.9</v>
      </c>
    </row>
    <row r="253" spans="1:6" x14ac:dyDescent="0.3">
      <c r="A253" s="42">
        <v>407444</v>
      </c>
      <c r="B253" s="43">
        <v>799</v>
      </c>
      <c r="C253" s="43">
        <v>30000</v>
      </c>
      <c r="D253" s="51">
        <f t="shared" si="3"/>
        <v>0.94657286846895594</v>
      </c>
      <c r="F253" s="50">
        <v>10.9</v>
      </c>
    </row>
    <row r="254" spans="1:6" x14ac:dyDescent="0.3">
      <c r="A254" s="42">
        <v>407518</v>
      </c>
      <c r="B254" s="43">
        <v>136</v>
      </c>
      <c r="C254" s="43">
        <v>5000</v>
      </c>
      <c r="D254" s="51">
        <f t="shared" si="3"/>
        <v>0.73107264335751254</v>
      </c>
      <c r="F254" s="50">
        <v>10.9</v>
      </c>
    </row>
    <row r="255" spans="1:6" x14ac:dyDescent="0.3">
      <c r="A255" s="42">
        <v>407518</v>
      </c>
      <c r="B255" s="43">
        <v>912</v>
      </c>
      <c r="C255" s="43">
        <v>5000</v>
      </c>
      <c r="D255" s="51">
        <f t="shared" si="3"/>
        <v>0.96217424475646141</v>
      </c>
      <c r="F255" s="50">
        <v>10.9</v>
      </c>
    </row>
    <row r="256" spans="1:6" x14ac:dyDescent="0.3">
      <c r="A256" s="42">
        <v>407605</v>
      </c>
      <c r="B256" s="43">
        <v>122</v>
      </c>
      <c r="C256" s="43">
        <v>5500</v>
      </c>
      <c r="D256" s="51">
        <f t="shared" si="3"/>
        <v>0.72509988568394079</v>
      </c>
      <c r="F256" s="50">
        <v>10.9</v>
      </c>
    </row>
    <row r="257" spans="1:6" x14ac:dyDescent="0.3">
      <c r="A257" s="42">
        <v>407605</v>
      </c>
      <c r="B257" s="43">
        <v>917</v>
      </c>
      <c r="C257" s="43">
        <v>5500</v>
      </c>
      <c r="D257" s="51">
        <f t="shared" si="3"/>
        <v>0.98064988733083158</v>
      </c>
      <c r="F257" s="50">
        <v>10.9</v>
      </c>
    </row>
    <row r="258" spans="1:6" x14ac:dyDescent="0.3">
      <c r="A258" s="42">
        <v>407612</v>
      </c>
      <c r="B258" s="43">
        <v>122</v>
      </c>
      <c r="C258" s="43">
        <v>6500</v>
      </c>
      <c r="D258" s="51">
        <f t="shared" ref="D258:D321" si="4">VLOOKUP(B258,E:F,2,0)</f>
        <v>0.72509988568394079</v>
      </c>
      <c r="F258" s="50">
        <v>10.9</v>
      </c>
    </row>
    <row r="259" spans="1:6" x14ac:dyDescent="0.3">
      <c r="A259" s="42">
        <v>407612</v>
      </c>
      <c r="B259" s="43">
        <v>917</v>
      </c>
      <c r="C259" s="43">
        <v>6500</v>
      </c>
      <c r="D259" s="51">
        <f t="shared" si="4"/>
        <v>0.98064988733083158</v>
      </c>
      <c r="F259" s="50">
        <v>10.9</v>
      </c>
    </row>
    <row r="260" spans="1:6" x14ac:dyDescent="0.3">
      <c r="A260" s="42" t="s">
        <v>121</v>
      </c>
      <c r="B260" s="43">
        <v>136</v>
      </c>
      <c r="C260" s="43">
        <v>4500</v>
      </c>
      <c r="D260" s="51">
        <f t="shared" si="4"/>
        <v>0.73107264335751254</v>
      </c>
      <c r="F260" s="50">
        <v>10.9</v>
      </c>
    </row>
    <row r="261" spans="1:6" x14ac:dyDescent="0.3">
      <c r="A261" s="42" t="s">
        <v>121</v>
      </c>
      <c r="B261" s="43">
        <v>912</v>
      </c>
      <c r="C261" s="43">
        <v>4500</v>
      </c>
      <c r="D261" s="51">
        <f t="shared" si="4"/>
        <v>0.96217424475646141</v>
      </c>
      <c r="F261" s="50">
        <v>10.9</v>
      </c>
    </row>
    <row r="262" spans="1:6" x14ac:dyDescent="0.3">
      <c r="A262" s="42">
        <v>408644</v>
      </c>
      <c r="B262" s="43">
        <v>122</v>
      </c>
      <c r="C262" s="43">
        <v>5000</v>
      </c>
      <c r="D262" s="51">
        <f t="shared" si="4"/>
        <v>0.72509988568394079</v>
      </c>
      <c r="F262" s="50">
        <v>10.9</v>
      </c>
    </row>
    <row r="263" spans="1:6" x14ac:dyDescent="0.3">
      <c r="A263" s="42">
        <v>408644</v>
      </c>
      <c r="B263" s="43">
        <v>910</v>
      </c>
      <c r="C263" s="43">
        <v>5000</v>
      </c>
      <c r="D263" s="51">
        <f t="shared" si="4"/>
        <v>0.98980878134129691</v>
      </c>
      <c r="F263" s="50">
        <v>10.9</v>
      </c>
    </row>
    <row r="264" spans="1:6" x14ac:dyDescent="0.3">
      <c r="A264" s="42">
        <v>411490</v>
      </c>
      <c r="B264" s="43">
        <v>454</v>
      </c>
      <c r="C264" s="43">
        <v>500</v>
      </c>
      <c r="D264" s="51">
        <f t="shared" si="4"/>
        <v>0.71384567996303705</v>
      </c>
      <c r="F264" s="50">
        <v>10.9</v>
      </c>
    </row>
    <row r="265" spans="1:6" x14ac:dyDescent="0.3">
      <c r="A265" s="42">
        <v>411490</v>
      </c>
      <c r="B265" s="43">
        <v>910</v>
      </c>
      <c r="C265" s="43">
        <v>500</v>
      </c>
      <c r="D265" s="51">
        <f t="shared" si="4"/>
        <v>0.98980878134129691</v>
      </c>
      <c r="F265" s="50">
        <v>10.9</v>
      </c>
    </row>
    <row r="266" spans="1:6" x14ac:dyDescent="0.3">
      <c r="A266" s="42">
        <v>411933</v>
      </c>
      <c r="B266" s="43">
        <v>142</v>
      </c>
      <c r="C266" s="43">
        <v>10000</v>
      </c>
      <c r="D266" s="51">
        <f t="shared" si="4"/>
        <v>0.73372191503301964</v>
      </c>
      <c r="F266" s="50">
        <v>10.9</v>
      </c>
    </row>
    <row r="267" spans="1:6" x14ac:dyDescent="0.3">
      <c r="A267" s="42">
        <v>411933</v>
      </c>
      <c r="B267" s="43">
        <v>798</v>
      </c>
      <c r="C267" s="43">
        <v>10000</v>
      </c>
      <c r="D267" s="51">
        <f t="shared" si="4"/>
        <v>0.98201053946219186</v>
      </c>
      <c r="F267" s="50">
        <v>10.9</v>
      </c>
    </row>
    <row r="268" spans="1:6" x14ac:dyDescent="0.3">
      <c r="A268" s="42">
        <v>411933</v>
      </c>
      <c r="B268" s="43">
        <v>910</v>
      </c>
      <c r="C268" s="43">
        <v>10000</v>
      </c>
      <c r="D268" s="51">
        <f t="shared" si="4"/>
        <v>0.98980878134129691</v>
      </c>
      <c r="F268" s="50">
        <v>10.9</v>
      </c>
    </row>
    <row r="269" spans="1:6" x14ac:dyDescent="0.3">
      <c r="A269" s="42">
        <v>411933</v>
      </c>
      <c r="B269" s="43">
        <v>2000</v>
      </c>
      <c r="C269" s="43">
        <v>277000</v>
      </c>
      <c r="D269" s="51">
        <f t="shared" si="4"/>
        <v>0.93535875888817066</v>
      </c>
      <c r="F269" s="50">
        <v>10.9</v>
      </c>
    </row>
    <row r="270" spans="1:6" x14ac:dyDescent="0.3">
      <c r="A270" s="42">
        <v>411933</v>
      </c>
      <c r="B270" s="43">
        <v>750</v>
      </c>
      <c r="C270" s="43">
        <v>5000</v>
      </c>
      <c r="D270" s="51">
        <f t="shared" si="4"/>
        <v>0.82058595435750881</v>
      </c>
      <c r="F270" s="50">
        <v>10.9</v>
      </c>
    </row>
    <row r="271" spans="1:6" x14ac:dyDescent="0.3">
      <c r="A271" s="42" t="s">
        <v>128</v>
      </c>
      <c r="B271" s="43">
        <v>412</v>
      </c>
      <c r="C271" s="43">
        <v>3600</v>
      </c>
      <c r="D271" s="51">
        <f t="shared" si="4"/>
        <v>0.68599281682914315</v>
      </c>
      <c r="F271" s="50">
        <v>10.9</v>
      </c>
    </row>
    <row r="272" spans="1:6" x14ac:dyDescent="0.3">
      <c r="A272" s="42" t="s">
        <v>128</v>
      </c>
      <c r="B272" s="43">
        <v>910</v>
      </c>
      <c r="C272" s="43">
        <v>3600</v>
      </c>
      <c r="D272" s="51">
        <f t="shared" si="4"/>
        <v>0.98980878134129691</v>
      </c>
      <c r="F272" s="50">
        <v>10.9</v>
      </c>
    </row>
    <row r="273" spans="1:6" x14ac:dyDescent="0.3">
      <c r="A273" s="42" t="s">
        <v>128</v>
      </c>
      <c r="B273" s="43">
        <v>201559</v>
      </c>
      <c r="C273" s="43"/>
      <c r="D273" s="51" t="e">
        <f t="shared" si="4"/>
        <v>#N/A</v>
      </c>
      <c r="F273" s="50">
        <v>10.9</v>
      </c>
    </row>
    <row r="274" spans="1:6" x14ac:dyDescent="0.3">
      <c r="A274" s="42" t="s">
        <v>128</v>
      </c>
      <c r="B274" s="43">
        <v>777</v>
      </c>
      <c r="C274" s="43">
        <v>15000</v>
      </c>
      <c r="D274" s="51">
        <f t="shared" si="4"/>
        <v>0.97115107221848251</v>
      </c>
      <c r="F274" s="50">
        <v>10.9</v>
      </c>
    </row>
    <row r="275" spans="1:6" x14ac:dyDescent="0.3">
      <c r="A275" s="42">
        <v>412203</v>
      </c>
      <c r="B275" s="43">
        <v>412</v>
      </c>
      <c r="C275" s="43">
        <v>3600</v>
      </c>
      <c r="D275" s="51">
        <f t="shared" si="4"/>
        <v>0.68599281682914315</v>
      </c>
      <c r="F275" s="50">
        <v>10.9</v>
      </c>
    </row>
    <row r="276" spans="1:6" x14ac:dyDescent="0.3">
      <c r="A276" s="42">
        <v>412203</v>
      </c>
      <c r="B276" s="43">
        <v>910</v>
      </c>
      <c r="C276" s="43">
        <v>3600</v>
      </c>
      <c r="D276" s="51">
        <f t="shared" si="4"/>
        <v>0.98980878134129691</v>
      </c>
      <c r="F276" s="50">
        <v>10.9</v>
      </c>
    </row>
    <row r="277" spans="1:6" x14ac:dyDescent="0.3">
      <c r="A277" s="42">
        <v>412203</v>
      </c>
      <c r="B277" s="43">
        <v>777</v>
      </c>
      <c r="C277" s="43">
        <v>20000</v>
      </c>
      <c r="D277" s="51">
        <f t="shared" si="4"/>
        <v>0.97115107221848251</v>
      </c>
      <c r="F277" s="50">
        <v>10.9</v>
      </c>
    </row>
    <row r="278" spans="1:6" x14ac:dyDescent="0.3">
      <c r="A278" s="42">
        <v>412206</v>
      </c>
      <c r="B278" s="43">
        <v>412</v>
      </c>
      <c r="C278" s="43">
        <v>3000</v>
      </c>
      <c r="D278" s="51">
        <f t="shared" si="4"/>
        <v>0.68599281682914315</v>
      </c>
      <c r="F278" s="50">
        <v>10.9</v>
      </c>
    </row>
    <row r="279" spans="1:6" x14ac:dyDescent="0.3">
      <c r="A279" s="42">
        <v>412206</v>
      </c>
      <c r="B279" s="43">
        <v>910</v>
      </c>
      <c r="C279" s="43">
        <v>3000</v>
      </c>
      <c r="D279" s="51">
        <f t="shared" si="4"/>
        <v>0.98980878134129691</v>
      </c>
      <c r="F279" s="50">
        <v>10.9</v>
      </c>
    </row>
    <row r="280" spans="1:6" x14ac:dyDescent="0.3">
      <c r="A280" s="42">
        <v>412206</v>
      </c>
      <c r="B280" s="43">
        <v>777</v>
      </c>
      <c r="C280" s="43">
        <v>2000</v>
      </c>
      <c r="D280" s="51">
        <f t="shared" si="4"/>
        <v>0.97115107221848251</v>
      </c>
      <c r="F280" s="50">
        <v>10.9</v>
      </c>
    </row>
    <row r="281" spans="1:6" x14ac:dyDescent="0.3">
      <c r="A281" s="42">
        <v>412366</v>
      </c>
      <c r="B281" s="43">
        <v>127</v>
      </c>
      <c r="C281" s="43">
        <v>7000</v>
      </c>
      <c r="D281" s="51">
        <f t="shared" si="4"/>
        <v>0.772139856764963</v>
      </c>
      <c r="F281" s="50">
        <v>10.9</v>
      </c>
    </row>
    <row r="282" spans="1:6" x14ac:dyDescent="0.3">
      <c r="A282" s="42">
        <v>412366</v>
      </c>
      <c r="B282" s="43">
        <v>909</v>
      </c>
      <c r="C282" s="43">
        <v>7000</v>
      </c>
      <c r="D282" s="51">
        <f t="shared" si="4"/>
        <v>0.94388219544846041</v>
      </c>
      <c r="F282" s="50">
        <v>10.9</v>
      </c>
    </row>
    <row r="283" spans="1:6" x14ac:dyDescent="0.3">
      <c r="A283" s="42">
        <v>412440</v>
      </c>
      <c r="B283" s="43">
        <v>142</v>
      </c>
      <c r="C283" s="43">
        <v>10000</v>
      </c>
      <c r="D283" s="51">
        <f t="shared" si="4"/>
        <v>0.73372191503301964</v>
      </c>
      <c r="F283" s="50">
        <v>10.9</v>
      </c>
    </row>
    <row r="284" spans="1:6" x14ac:dyDescent="0.3">
      <c r="A284" s="42">
        <v>412440</v>
      </c>
      <c r="B284" s="43">
        <v>798</v>
      </c>
      <c r="C284" s="43">
        <v>10000</v>
      </c>
      <c r="D284" s="51">
        <f t="shared" si="4"/>
        <v>0.98201053946219186</v>
      </c>
      <c r="F284" s="50">
        <v>10.9</v>
      </c>
    </row>
    <row r="285" spans="1:6" x14ac:dyDescent="0.3">
      <c r="A285" s="42">
        <v>412440</v>
      </c>
      <c r="B285" s="43">
        <v>910</v>
      </c>
      <c r="C285" s="43">
        <v>10000</v>
      </c>
      <c r="D285" s="51">
        <f t="shared" si="4"/>
        <v>0.98980878134129691</v>
      </c>
      <c r="F285" s="50">
        <v>10.9</v>
      </c>
    </row>
    <row r="286" spans="1:6" x14ac:dyDescent="0.3">
      <c r="A286" s="42">
        <v>412440</v>
      </c>
      <c r="B286" s="43">
        <v>2000</v>
      </c>
      <c r="C286" s="43">
        <v>261000</v>
      </c>
      <c r="D286" s="51">
        <f t="shared" si="4"/>
        <v>0.93535875888817066</v>
      </c>
      <c r="F286" s="50">
        <v>10.9</v>
      </c>
    </row>
    <row r="287" spans="1:6" x14ac:dyDescent="0.3">
      <c r="A287" s="42">
        <v>412440</v>
      </c>
      <c r="B287" s="43">
        <v>750</v>
      </c>
      <c r="C287" s="43">
        <v>6000</v>
      </c>
      <c r="D287" s="51">
        <f t="shared" si="4"/>
        <v>0.82058595435750881</v>
      </c>
      <c r="F287" s="50">
        <v>10.9</v>
      </c>
    </row>
    <row r="288" spans="1:6" x14ac:dyDescent="0.3">
      <c r="A288" s="42">
        <v>412524</v>
      </c>
      <c r="B288" s="43">
        <v>401</v>
      </c>
      <c r="C288" s="43">
        <v>2200</v>
      </c>
      <c r="D288" s="51">
        <f t="shared" si="4"/>
        <v>0.54371925546744249</v>
      </c>
      <c r="F288" s="50">
        <v>10.9</v>
      </c>
    </row>
    <row r="289" spans="1:6" x14ac:dyDescent="0.3">
      <c r="A289" s="42">
        <v>412524</v>
      </c>
      <c r="B289" s="43">
        <v>910</v>
      </c>
      <c r="C289" s="43">
        <v>2200</v>
      </c>
      <c r="D289" s="51">
        <f t="shared" si="4"/>
        <v>0.98980878134129691</v>
      </c>
      <c r="F289" s="50">
        <v>10.9</v>
      </c>
    </row>
    <row r="290" spans="1:6" x14ac:dyDescent="0.3">
      <c r="A290" s="42">
        <v>412524</v>
      </c>
      <c r="B290" s="43">
        <v>70258</v>
      </c>
      <c r="C290" s="43"/>
      <c r="D290" s="51" t="e">
        <f t="shared" si="4"/>
        <v>#N/A</v>
      </c>
      <c r="F290" s="50">
        <v>10.9</v>
      </c>
    </row>
    <row r="291" spans="1:6" x14ac:dyDescent="0.3">
      <c r="A291" s="42">
        <v>412524</v>
      </c>
      <c r="B291" s="43">
        <v>783</v>
      </c>
      <c r="C291" s="43">
        <v>1000</v>
      </c>
      <c r="D291" s="51">
        <f t="shared" si="4"/>
        <v>0.89869496347256517</v>
      </c>
      <c r="F291" s="50">
        <v>10.9</v>
      </c>
    </row>
    <row r="292" spans="1:6" x14ac:dyDescent="0.3">
      <c r="A292" s="42">
        <v>412604</v>
      </c>
      <c r="B292" s="43">
        <v>221</v>
      </c>
      <c r="C292" s="43">
        <v>1800</v>
      </c>
      <c r="D292" s="51">
        <f t="shared" si="4"/>
        <v>0.86451773785099451</v>
      </c>
      <c r="F292" s="50">
        <v>10.9</v>
      </c>
    </row>
    <row r="293" spans="1:6" x14ac:dyDescent="0.3">
      <c r="A293" s="42">
        <v>412604</v>
      </c>
      <c r="B293" s="43">
        <v>916</v>
      </c>
      <c r="C293" s="43">
        <v>100000</v>
      </c>
      <c r="D293" s="51">
        <f t="shared" si="4"/>
        <v>0.79896960148178731</v>
      </c>
      <c r="F293" s="50">
        <v>10.9</v>
      </c>
    </row>
    <row r="294" spans="1:6" x14ac:dyDescent="0.3">
      <c r="A294" s="42">
        <v>412604</v>
      </c>
      <c r="B294" s="43">
        <v>261</v>
      </c>
      <c r="C294" s="43">
        <v>3000</v>
      </c>
      <c r="D294" s="51">
        <f t="shared" si="4"/>
        <v>0.86363448374932017</v>
      </c>
      <c r="F294" s="50">
        <v>10.9</v>
      </c>
    </row>
    <row r="295" spans="1:6" x14ac:dyDescent="0.3">
      <c r="A295" s="42">
        <v>412604</v>
      </c>
      <c r="B295" s="43">
        <v>282</v>
      </c>
      <c r="C295" s="43">
        <v>2500</v>
      </c>
      <c r="D295" s="51">
        <f t="shared" si="4"/>
        <v>0.75434788947886156</v>
      </c>
      <c r="F295" s="50">
        <v>10.9</v>
      </c>
    </row>
    <row r="296" spans="1:6" x14ac:dyDescent="0.3">
      <c r="A296" s="42">
        <v>412607</v>
      </c>
      <c r="B296" s="43">
        <v>213</v>
      </c>
      <c r="C296" s="43">
        <v>2000</v>
      </c>
      <c r="D296" s="51">
        <f t="shared" si="4"/>
        <v>0.89211414217378293</v>
      </c>
      <c r="F296" s="50">
        <v>10.9</v>
      </c>
    </row>
    <row r="297" spans="1:6" x14ac:dyDescent="0.3">
      <c r="A297" s="42">
        <v>412607</v>
      </c>
      <c r="B297" s="43">
        <v>916</v>
      </c>
      <c r="C297" s="43">
        <v>100000</v>
      </c>
      <c r="D297" s="51">
        <f t="shared" si="4"/>
        <v>0.79896960148178731</v>
      </c>
      <c r="F297" s="50">
        <v>10.9</v>
      </c>
    </row>
    <row r="298" spans="1:6" x14ac:dyDescent="0.3">
      <c r="A298" s="42">
        <v>412607</v>
      </c>
      <c r="B298" s="43">
        <v>261</v>
      </c>
      <c r="C298" s="43">
        <v>3000</v>
      </c>
      <c r="D298" s="51">
        <f t="shared" si="4"/>
        <v>0.86363448374932017</v>
      </c>
      <c r="F298" s="50">
        <v>10.9</v>
      </c>
    </row>
    <row r="299" spans="1:6" x14ac:dyDescent="0.3">
      <c r="A299" s="42">
        <v>412607</v>
      </c>
      <c r="B299" s="43">
        <v>282</v>
      </c>
      <c r="C299" s="43">
        <v>2500</v>
      </c>
      <c r="D299" s="51">
        <f t="shared" si="4"/>
        <v>0.75434788947886156</v>
      </c>
      <c r="F299" s="50">
        <v>10.9</v>
      </c>
    </row>
    <row r="300" spans="1:6" x14ac:dyDescent="0.3">
      <c r="A300" s="42">
        <v>413115</v>
      </c>
      <c r="B300" s="43">
        <v>142</v>
      </c>
      <c r="C300" s="43">
        <v>8000</v>
      </c>
      <c r="D300" s="51">
        <f t="shared" si="4"/>
        <v>0.73372191503301964</v>
      </c>
      <c r="F300" s="50">
        <v>10.9</v>
      </c>
    </row>
    <row r="301" spans="1:6" x14ac:dyDescent="0.3">
      <c r="A301" s="42">
        <v>413115</v>
      </c>
      <c r="B301" s="43">
        <v>798</v>
      </c>
      <c r="C301" s="43">
        <v>8000</v>
      </c>
      <c r="D301" s="51">
        <f t="shared" si="4"/>
        <v>0.98201053946219186</v>
      </c>
      <c r="F301" s="50">
        <v>10.9</v>
      </c>
    </row>
    <row r="302" spans="1:6" x14ac:dyDescent="0.3">
      <c r="A302" s="42">
        <v>413115</v>
      </c>
      <c r="B302" s="43">
        <v>910</v>
      </c>
      <c r="C302" s="43">
        <v>8000</v>
      </c>
      <c r="D302" s="51">
        <f t="shared" si="4"/>
        <v>0.98980878134129691</v>
      </c>
      <c r="F302" s="50">
        <v>10.9</v>
      </c>
    </row>
    <row r="303" spans="1:6" x14ac:dyDescent="0.3">
      <c r="A303" s="42">
        <v>413115</v>
      </c>
      <c r="B303" s="43">
        <v>2000</v>
      </c>
      <c r="C303" s="43">
        <v>233000</v>
      </c>
      <c r="D303" s="51">
        <f t="shared" si="4"/>
        <v>0.93535875888817066</v>
      </c>
      <c r="F303" s="50">
        <v>10.9</v>
      </c>
    </row>
    <row r="304" spans="1:6" x14ac:dyDescent="0.3">
      <c r="A304" s="42">
        <v>413115</v>
      </c>
      <c r="B304" s="43">
        <v>750</v>
      </c>
      <c r="C304" s="43">
        <v>6000</v>
      </c>
      <c r="D304" s="51">
        <f t="shared" si="4"/>
        <v>0.82058595435750881</v>
      </c>
      <c r="F304" s="50">
        <v>10.9</v>
      </c>
    </row>
    <row r="305" spans="1:6" x14ac:dyDescent="0.3">
      <c r="A305" s="42">
        <v>413180</v>
      </c>
      <c r="B305" s="43">
        <v>125</v>
      </c>
      <c r="C305" s="43">
        <v>3</v>
      </c>
      <c r="D305" s="51">
        <f t="shared" si="4"/>
        <v>0.51487674883411061</v>
      </c>
      <c r="F305" s="50">
        <v>10.9</v>
      </c>
    </row>
    <row r="306" spans="1:6" x14ac:dyDescent="0.3">
      <c r="A306" s="42">
        <v>413180</v>
      </c>
      <c r="B306" s="43">
        <v>799</v>
      </c>
      <c r="C306" s="43">
        <v>3</v>
      </c>
      <c r="D306" s="51">
        <f t="shared" si="4"/>
        <v>0.94657286846895594</v>
      </c>
      <c r="F306" s="50">
        <v>10.9</v>
      </c>
    </row>
    <row r="307" spans="1:6" x14ac:dyDescent="0.3">
      <c r="A307" s="42">
        <v>413185</v>
      </c>
      <c r="B307" s="43">
        <v>125</v>
      </c>
      <c r="C307" s="43">
        <v>4</v>
      </c>
      <c r="D307" s="51">
        <f t="shared" si="4"/>
        <v>0.51487674883411061</v>
      </c>
      <c r="F307" s="50">
        <v>10.9</v>
      </c>
    </row>
    <row r="308" spans="1:6" x14ac:dyDescent="0.3">
      <c r="A308" s="42">
        <v>413185</v>
      </c>
      <c r="B308" s="43">
        <v>799</v>
      </c>
      <c r="C308" s="43">
        <v>4</v>
      </c>
      <c r="D308" s="51">
        <f t="shared" si="4"/>
        <v>0.94657286846895594</v>
      </c>
      <c r="F308" s="50">
        <v>10.9</v>
      </c>
    </row>
    <row r="309" spans="1:6" x14ac:dyDescent="0.3">
      <c r="A309" s="42">
        <v>413190</v>
      </c>
      <c r="B309" s="43">
        <v>125</v>
      </c>
      <c r="C309" s="43">
        <v>3</v>
      </c>
      <c r="D309" s="51">
        <f t="shared" si="4"/>
        <v>0.51487674883411061</v>
      </c>
      <c r="F309" s="50">
        <v>10.9</v>
      </c>
    </row>
    <row r="310" spans="1:6" x14ac:dyDescent="0.3">
      <c r="A310" s="42">
        <v>413190</v>
      </c>
      <c r="B310" s="43">
        <v>799</v>
      </c>
      <c r="C310" s="43">
        <v>3</v>
      </c>
      <c r="D310" s="51">
        <f t="shared" si="4"/>
        <v>0.94657286846895594</v>
      </c>
      <c r="F310" s="50">
        <v>10.9</v>
      </c>
    </row>
    <row r="311" spans="1:6" x14ac:dyDescent="0.3">
      <c r="A311" s="42">
        <v>413240</v>
      </c>
      <c r="B311" s="43">
        <v>417</v>
      </c>
      <c r="C311" s="43">
        <v>1800</v>
      </c>
      <c r="D311" s="51">
        <f t="shared" si="4"/>
        <v>0.58636197761627973</v>
      </c>
      <c r="F311" s="50">
        <v>10.9</v>
      </c>
    </row>
    <row r="312" spans="1:6" x14ac:dyDescent="0.3">
      <c r="A312" s="42">
        <v>413240</v>
      </c>
      <c r="B312" s="43">
        <v>2700</v>
      </c>
      <c r="C312" s="43">
        <v>10000</v>
      </c>
      <c r="D312" s="51">
        <f t="shared" si="4"/>
        <v>0.95856377880310994</v>
      </c>
      <c r="F312" s="50">
        <v>10.9</v>
      </c>
    </row>
    <row r="313" spans="1:6" x14ac:dyDescent="0.3">
      <c r="A313" s="42">
        <v>413240</v>
      </c>
      <c r="B313" s="43">
        <v>777</v>
      </c>
      <c r="C313" s="43">
        <v>41000</v>
      </c>
      <c r="D313" s="51">
        <f t="shared" si="4"/>
        <v>0.97115107221848251</v>
      </c>
      <c r="F313" s="50">
        <v>10.9</v>
      </c>
    </row>
    <row r="314" spans="1:6" x14ac:dyDescent="0.3">
      <c r="A314" s="42">
        <v>413240</v>
      </c>
      <c r="B314" s="43">
        <v>90014</v>
      </c>
      <c r="C314" s="43"/>
      <c r="D314" s="51" t="e">
        <f t="shared" si="4"/>
        <v>#N/A</v>
      </c>
      <c r="F314" s="50">
        <v>10.9</v>
      </c>
    </row>
    <row r="315" spans="1:6" x14ac:dyDescent="0.3">
      <c r="A315" s="42">
        <v>413240</v>
      </c>
      <c r="B315" s="43">
        <v>799</v>
      </c>
      <c r="C315" s="43">
        <v>100000</v>
      </c>
      <c r="D315" s="51">
        <f t="shared" si="4"/>
        <v>0.94657286846895594</v>
      </c>
      <c r="F315" s="50">
        <v>10.9</v>
      </c>
    </row>
    <row r="316" spans="1:6" x14ac:dyDescent="0.3">
      <c r="A316" s="42" t="s">
        <v>140</v>
      </c>
      <c r="B316" s="43">
        <v>417</v>
      </c>
      <c r="C316" s="43">
        <v>2500</v>
      </c>
      <c r="D316" s="51">
        <f t="shared" si="4"/>
        <v>0.58636197761627973</v>
      </c>
      <c r="F316" s="50">
        <v>10.9</v>
      </c>
    </row>
    <row r="317" spans="1:6" x14ac:dyDescent="0.3">
      <c r="A317" s="42" t="s">
        <v>140</v>
      </c>
      <c r="B317" s="43">
        <v>799</v>
      </c>
      <c r="C317" s="43">
        <v>40000</v>
      </c>
      <c r="D317" s="51">
        <f t="shared" si="4"/>
        <v>0.94657286846895594</v>
      </c>
      <c r="F317" s="50">
        <v>10.9</v>
      </c>
    </row>
    <row r="318" spans="1:6" x14ac:dyDescent="0.3">
      <c r="A318" s="42" t="s">
        <v>141</v>
      </c>
      <c r="B318" s="43">
        <v>799</v>
      </c>
      <c r="C318" s="43">
        <v>100000</v>
      </c>
      <c r="D318" s="51">
        <f t="shared" si="4"/>
        <v>0.94657286846895594</v>
      </c>
      <c r="F318" s="50">
        <v>10.9</v>
      </c>
    </row>
    <row r="319" spans="1:6" x14ac:dyDescent="0.3">
      <c r="A319" s="42" t="s">
        <v>141</v>
      </c>
      <c r="B319" s="43">
        <v>777</v>
      </c>
      <c r="C319" s="43">
        <v>100000</v>
      </c>
      <c r="D319" s="51">
        <f t="shared" si="4"/>
        <v>0.97115107221848251</v>
      </c>
      <c r="F319" s="50">
        <v>10.9</v>
      </c>
    </row>
    <row r="320" spans="1:6" x14ac:dyDescent="0.3">
      <c r="A320" s="42" t="s">
        <v>143</v>
      </c>
      <c r="B320" s="43">
        <v>406</v>
      </c>
      <c r="C320" s="43">
        <v>3000</v>
      </c>
      <c r="D320" s="51">
        <f t="shared" si="4"/>
        <v>0.53768896517227793</v>
      </c>
      <c r="F320" s="50">
        <v>10.9</v>
      </c>
    </row>
    <row r="321" spans="1:6" x14ac:dyDescent="0.3">
      <c r="A321" s="42" t="s">
        <v>143</v>
      </c>
      <c r="B321" s="43">
        <v>798</v>
      </c>
      <c r="C321" s="43">
        <v>3000</v>
      </c>
      <c r="D321" s="51">
        <f t="shared" si="4"/>
        <v>0.98201053946219186</v>
      </c>
      <c r="F321" s="50">
        <v>10.9</v>
      </c>
    </row>
    <row r="322" spans="1:6" x14ac:dyDescent="0.3">
      <c r="A322" s="42" t="s">
        <v>143</v>
      </c>
      <c r="B322" s="43">
        <v>910</v>
      </c>
      <c r="C322" s="43">
        <v>3000</v>
      </c>
      <c r="D322" s="51">
        <f t="shared" ref="D322:D385" si="5">VLOOKUP(B322,E:F,2,0)</f>
        <v>0.98980878134129691</v>
      </c>
      <c r="F322" s="50">
        <v>10.9</v>
      </c>
    </row>
    <row r="323" spans="1:6" x14ac:dyDescent="0.3">
      <c r="A323" s="42" t="s">
        <v>143</v>
      </c>
      <c r="B323" s="43">
        <v>2000</v>
      </c>
      <c r="C323" s="43">
        <v>222000</v>
      </c>
      <c r="D323" s="51">
        <f t="shared" si="5"/>
        <v>0.93535875888817066</v>
      </c>
      <c r="F323" s="50">
        <v>10.9</v>
      </c>
    </row>
    <row r="324" spans="1:6" x14ac:dyDescent="0.3">
      <c r="A324" s="42" t="s">
        <v>143</v>
      </c>
      <c r="B324" s="43">
        <v>750</v>
      </c>
      <c r="C324" s="43">
        <v>5000</v>
      </c>
      <c r="D324" s="51">
        <f t="shared" si="5"/>
        <v>0.82058595435750881</v>
      </c>
      <c r="F324" s="50">
        <v>10.9</v>
      </c>
    </row>
    <row r="325" spans="1:6" x14ac:dyDescent="0.3">
      <c r="A325" s="42">
        <v>420321</v>
      </c>
      <c r="B325" s="43">
        <v>505</v>
      </c>
      <c r="C325" s="43">
        <v>4200</v>
      </c>
      <c r="D325" s="51">
        <f t="shared" si="5"/>
        <v>0.45530909825705002</v>
      </c>
      <c r="F325" s="50">
        <v>10.9</v>
      </c>
    </row>
    <row r="326" spans="1:6" x14ac:dyDescent="0.3">
      <c r="A326" s="42">
        <v>420321</v>
      </c>
      <c r="B326" s="43">
        <v>671197</v>
      </c>
      <c r="C326" s="43"/>
      <c r="D326" s="51" t="e">
        <f t="shared" si="5"/>
        <v>#N/A</v>
      </c>
      <c r="F326" s="50">
        <v>10.9</v>
      </c>
    </row>
    <row r="327" spans="1:6" x14ac:dyDescent="0.3">
      <c r="A327" s="42">
        <v>420321</v>
      </c>
      <c r="B327" s="43">
        <v>101196</v>
      </c>
      <c r="C327" s="43"/>
      <c r="D327" s="51" t="e">
        <f t="shared" si="5"/>
        <v>#N/A</v>
      </c>
      <c r="F327" s="50">
        <v>10.9</v>
      </c>
    </row>
    <row r="328" spans="1:6" x14ac:dyDescent="0.3">
      <c r="A328" s="42">
        <v>420321</v>
      </c>
      <c r="B328" s="43">
        <v>777</v>
      </c>
      <c r="C328" s="43">
        <v>100000</v>
      </c>
      <c r="D328" s="51">
        <f t="shared" si="5"/>
        <v>0.97115107221848251</v>
      </c>
      <c r="F328" s="50">
        <v>10.9</v>
      </c>
    </row>
    <row r="329" spans="1:6" x14ac:dyDescent="0.3">
      <c r="A329" s="42">
        <v>420323</v>
      </c>
      <c r="B329" s="43">
        <v>505</v>
      </c>
      <c r="C329" s="43">
        <v>5200</v>
      </c>
      <c r="D329" s="51">
        <f t="shared" si="5"/>
        <v>0.45530909825705002</v>
      </c>
      <c r="F329" s="50">
        <v>10.9</v>
      </c>
    </row>
    <row r="330" spans="1:6" x14ac:dyDescent="0.3">
      <c r="A330" s="42">
        <v>420323</v>
      </c>
      <c r="B330" s="43">
        <v>671197</v>
      </c>
      <c r="C330" s="43"/>
      <c r="D330" s="51" t="e">
        <f t="shared" si="5"/>
        <v>#N/A</v>
      </c>
      <c r="F330" s="50">
        <v>10.9</v>
      </c>
    </row>
    <row r="331" spans="1:6" x14ac:dyDescent="0.3">
      <c r="A331" s="42">
        <v>420323</v>
      </c>
      <c r="B331" s="43">
        <v>101196</v>
      </c>
      <c r="C331" s="43"/>
      <c r="D331" s="51" t="e">
        <f t="shared" si="5"/>
        <v>#N/A</v>
      </c>
      <c r="F331" s="50">
        <v>10.9</v>
      </c>
    </row>
    <row r="332" spans="1:6" x14ac:dyDescent="0.3">
      <c r="A332" s="42">
        <v>420323</v>
      </c>
      <c r="B332" s="43">
        <v>777</v>
      </c>
      <c r="C332" s="43">
        <v>100000</v>
      </c>
      <c r="D332" s="51">
        <f t="shared" si="5"/>
        <v>0.97115107221848251</v>
      </c>
      <c r="F332" s="50">
        <v>10.9</v>
      </c>
    </row>
    <row r="333" spans="1:6" x14ac:dyDescent="0.3">
      <c r="A333" s="42">
        <v>420324</v>
      </c>
      <c r="B333" s="43">
        <v>504</v>
      </c>
      <c r="C333" s="43">
        <v>2900</v>
      </c>
      <c r="D333" s="51">
        <f t="shared" si="5"/>
        <v>0.68820280459344474</v>
      </c>
      <c r="F333" s="50">
        <v>10.9</v>
      </c>
    </row>
    <row r="334" spans="1:6" x14ac:dyDescent="0.3">
      <c r="A334" s="42">
        <v>420324</v>
      </c>
      <c r="B334" s="43">
        <v>799</v>
      </c>
      <c r="C334" s="43">
        <v>60000</v>
      </c>
      <c r="D334" s="51">
        <f t="shared" si="5"/>
        <v>0.94657286846895594</v>
      </c>
      <c r="F334" s="50">
        <v>10.9</v>
      </c>
    </row>
    <row r="335" spans="1:6" x14ac:dyDescent="0.3">
      <c r="A335" s="42">
        <v>420324</v>
      </c>
      <c r="B335" s="43">
        <v>10258</v>
      </c>
      <c r="C335" s="43"/>
      <c r="D335" s="51" t="e">
        <f t="shared" si="5"/>
        <v>#N/A</v>
      </c>
      <c r="F335" s="50">
        <v>10.9</v>
      </c>
    </row>
    <row r="336" spans="1:6" x14ac:dyDescent="0.3">
      <c r="A336" s="42">
        <v>420324</v>
      </c>
      <c r="B336" s="43">
        <v>691199</v>
      </c>
      <c r="C336" s="43"/>
      <c r="D336" s="51" t="e">
        <f t="shared" si="5"/>
        <v>#REF!</v>
      </c>
      <c r="F336" s="50">
        <v>10.9</v>
      </c>
    </row>
    <row r="337" spans="1:6" x14ac:dyDescent="0.3">
      <c r="A337" s="42">
        <v>420324</v>
      </c>
      <c r="B337" s="43">
        <v>101196</v>
      </c>
      <c r="C337" s="43"/>
      <c r="D337" s="51" t="e">
        <f t="shared" si="5"/>
        <v>#N/A</v>
      </c>
      <c r="F337" s="50">
        <v>10.9</v>
      </c>
    </row>
    <row r="338" spans="1:6" x14ac:dyDescent="0.3">
      <c r="A338" s="42">
        <v>420324</v>
      </c>
      <c r="B338" s="43">
        <v>799</v>
      </c>
      <c r="C338" s="43"/>
      <c r="D338" s="51">
        <f t="shared" si="5"/>
        <v>0.94657286846895594</v>
      </c>
      <c r="F338" s="50">
        <v>10.9</v>
      </c>
    </row>
    <row r="339" spans="1:6" x14ac:dyDescent="0.3">
      <c r="A339" s="42">
        <v>420324</v>
      </c>
      <c r="B339" s="43">
        <v>777</v>
      </c>
      <c r="C339" s="43">
        <v>80000</v>
      </c>
      <c r="D339" s="51">
        <f t="shared" si="5"/>
        <v>0.97115107221848251</v>
      </c>
      <c r="F339" s="50">
        <v>10.9</v>
      </c>
    </row>
    <row r="340" spans="1:6" x14ac:dyDescent="0.3">
      <c r="A340" s="42">
        <v>421019</v>
      </c>
      <c r="B340" s="43">
        <v>505</v>
      </c>
      <c r="C340" s="43">
        <v>6300</v>
      </c>
      <c r="D340" s="51">
        <f t="shared" si="5"/>
        <v>0.45530909825705002</v>
      </c>
      <c r="F340" s="50">
        <v>10.9</v>
      </c>
    </row>
    <row r="341" spans="1:6" x14ac:dyDescent="0.3">
      <c r="A341" s="42">
        <v>421019</v>
      </c>
      <c r="B341" s="43">
        <v>671197</v>
      </c>
      <c r="C341" s="43"/>
      <c r="D341" s="51" t="e">
        <f t="shared" si="5"/>
        <v>#N/A</v>
      </c>
      <c r="F341" s="50">
        <v>10.9</v>
      </c>
    </row>
    <row r="342" spans="1:6" x14ac:dyDescent="0.3">
      <c r="A342" s="42">
        <v>421019</v>
      </c>
      <c r="B342" s="43">
        <v>10258</v>
      </c>
      <c r="C342" s="43"/>
      <c r="D342" s="51" t="e">
        <f t="shared" si="5"/>
        <v>#N/A</v>
      </c>
      <c r="F342" s="50">
        <v>10.9</v>
      </c>
    </row>
    <row r="343" spans="1:6" x14ac:dyDescent="0.3">
      <c r="A343" s="42">
        <v>421019</v>
      </c>
      <c r="B343" s="43">
        <v>777</v>
      </c>
      <c r="C343" s="43">
        <v>100000</v>
      </c>
      <c r="D343" s="51">
        <f t="shared" si="5"/>
        <v>0.97115107221848251</v>
      </c>
      <c r="F343" s="50">
        <v>10.9</v>
      </c>
    </row>
    <row r="344" spans="1:6" x14ac:dyDescent="0.3">
      <c r="A344" s="42" t="s">
        <v>339</v>
      </c>
      <c r="B344" s="43">
        <v>406</v>
      </c>
      <c r="C344" s="43">
        <v>2600</v>
      </c>
      <c r="D344" s="51">
        <f t="shared" si="5"/>
        <v>0.53768896517227793</v>
      </c>
      <c r="F344" s="50">
        <v>10.9</v>
      </c>
    </row>
    <row r="345" spans="1:6" x14ac:dyDescent="0.3">
      <c r="A345" s="42" t="s">
        <v>339</v>
      </c>
      <c r="B345" s="43">
        <v>910</v>
      </c>
      <c r="C345" s="43">
        <v>2600</v>
      </c>
      <c r="D345" s="51">
        <f t="shared" si="5"/>
        <v>0.98980878134129691</v>
      </c>
      <c r="F345" s="50">
        <v>10.9</v>
      </c>
    </row>
    <row r="346" spans="1:6" x14ac:dyDescent="0.3">
      <c r="A346" s="42" t="s">
        <v>36</v>
      </c>
      <c r="B346" s="43">
        <v>501</v>
      </c>
      <c r="C346" s="43">
        <v>3500</v>
      </c>
      <c r="D346" s="51">
        <f t="shared" si="5"/>
        <v>0.21905576892699671</v>
      </c>
      <c r="F346" s="50">
        <v>10.9</v>
      </c>
    </row>
    <row r="347" spans="1:6" x14ac:dyDescent="0.3">
      <c r="A347" s="42" t="s">
        <v>36</v>
      </c>
      <c r="B347" s="43">
        <v>930</v>
      </c>
      <c r="C347" s="43">
        <v>3500</v>
      </c>
      <c r="D347" s="51">
        <f t="shared" si="5"/>
        <v>0.90034320579636495</v>
      </c>
      <c r="F347" s="50">
        <v>10.9</v>
      </c>
    </row>
    <row r="348" spans="1:6" x14ac:dyDescent="0.3">
      <c r="A348" s="42" t="s">
        <v>36</v>
      </c>
      <c r="B348" s="43">
        <v>3600</v>
      </c>
      <c r="C348" s="43">
        <v>20000</v>
      </c>
      <c r="D348" s="51">
        <f t="shared" si="5"/>
        <v>0.87527907802245908</v>
      </c>
      <c r="F348" s="50">
        <v>10.9</v>
      </c>
    </row>
    <row r="349" spans="1:6" x14ac:dyDescent="0.3">
      <c r="A349" s="42" t="s">
        <v>36</v>
      </c>
      <c r="B349" s="43">
        <v>793</v>
      </c>
      <c r="C349" s="43">
        <v>1000</v>
      </c>
      <c r="D349" s="51">
        <f t="shared" si="5"/>
        <v>0.83</v>
      </c>
      <c r="F349" s="50">
        <v>10.9</v>
      </c>
    </row>
    <row r="350" spans="1:6" x14ac:dyDescent="0.3">
      <c r="A350" s="42" t="s">
        <v>36</v>
      </c>
      <c r="B350" s="43">
        <v>782</v>
      </c>
      <c r="C350" s="43">
        <v>50000</v>
      </c>
      <c r="D350" s="51">
        <f t="shared" si="5"/>
        <v>0.9528158796643651</v>
      </c>
      <c r="F350" s="50">
        <v>10.9</v>
      </c>
    </row>
    <row r="351" spans="1:6" x14ac:dyDescent="0.3">
      <c r="A351" s="42" t="s">
        <v>340</v>
      </c>
      <c r="B351" s="43">
        <v>406</v>
      </c>
      <c r="C351" s="43">
        <v>3000</v>
      </c>
      <c r="D351" s="51">
        <f t="shared" si="5"/>
        <v>0.53768896517227793</v>
      </c>
      <c r="F351" s="50">
        <v>10.9</v>
      </c>
    </row>
    <row r="352" spans="1:6" x14ac:dyDescent="0.3">
      <c r="A352" s="42" t="s">
        <v>340</v>
      </c>
      <c r="B352" s="43">
        <v>910</v>
      </c>
      <c r="C352" s="43">
        <v>3000</v>
      </c>
      <c r="D352" s="51">
        <f t="shared" si="5"/>
        <v>0.98980878134129691</v>
      </c>
      <c r="F352" s="50">
        <v>10.9</v>
      </c>
    </row>
    <row r="353" spans="1:6" x14ac:dyDescent="0.3">
      <c r="A353" s="42" t="s">
        <v>341</v>
      </c>
      <c r="B353" s="43">
        <v>406</v>
      </c>
      <c r="C353" s="43">
        <v>3000</v>
      </c>
      <c r="D353" s="51">
        <f t="shared" si="5"/>
        <v>0.53768896517227793</v>
      </c>
      <c r="F353" s="50">
        <v>10.9</v>
      </c>
    </row>
    <row r="354" spans="1:6" x14ac:dyDescent="0.3">
      <c r="A354" s="42" t="s">
        <v>341</v>
      </c>
      <c r="B354" s="43">
        <v>910</v>
      </c>
      <c r="C354" s="43">
        <v>3000</v>
      </c>
      <c r="D354" s="51">
        <f t="shared" si="5"/>
        <v>0.98980878134129691</v>
      </c>
      <c r="F354" s="50">
        <v>10.9</v>
      </c>
    </row>
    <row r="355" spans="1:6" x14ac:dyDescent="0.3">
      <c r="A355" s="42">
        <v>421100</v>
      </c>
      <c r="B355" s="43">
        <v>406</v>
      </c>
      <c r="C355" s="43">
        <v>2500</v>
      </c>
      <c r="D355" s="51">
        <f t="shared" si="5"/>
        <v>0.53768896517227793</v>
      </c>
      <c r="F355" s="50">
        <v>10.9</v>
      </c>
    </row>
    <row r="356" spans="1:6" x14ac:dyDescent="0.3">
      <c r="A356" s="42">
        <v>421100</v>
      </c>
      <c r="B356" s="43">
        <v>910</v>
      </c>
      <c r="C356" s="43">
        <v>2500</v>
      </c>
      <c r="D356" s="51">
        <f t="shared" si="5"/>
        <v>0.98980878134129691</v>
      </c>
      <c r="F356" s="50">
        <v>10.9</v>
      </c>
    </row>
    <row r="357" spans="1:6" x14ac:dyDescent="0.3">
      <c r="A357" s="42" t="s">
        <v>456</v>
      </c>
      <c r="B357" s="43">
        <v>507</v>
      </c>
      <c r="C357" s="43">
        <v>3500</v>
      </c>
      <c r="D357" s="51">
        <f t="shared" si="5"/>
        <v>0.56476326448443914</v>
      </c>
      <c r="F357" s="50">
        <v>10.9</v>
      </c>
    </row>
    <row r="358" spans="1:6" x14ac:dyDescent="0.3">
      <c r="A358" s="42" t="s">
        <v>456</v>
      </c>
      <c r="B358" s="43">
        <v>3600</v>
      </c>
      <c r="C358" s="43">
        <v>5000</v>
      </c>
      <c r="D358" s="51">
        <f t="shared" si="5"/>
        <v>0.87527907802245908</v>
      </c>
      <c r="F358" s="50">
        <v>10.9</v>
      </c>
    </row>
    <row r="359" spans="1:6" x14ac:dyDescent="0.3">
      <c r="A359" s="42" t="s">
        <v>456</v>
      </c>
      <c r="B359" s="43">
        <v>774</v>
      </c>
      <c r="C359" s="43">
        <v>15000</v>
      </c>
      <c r="D359" s="51">
        <f t="shared" si="5"/>
        <v>1</v>
      </c>
      <c r="F359" s="50">
        <v>10.9</v>
      </c>
    </row>
    <row r="360" spans="1:6" x14ac:dyDescent="0.3">
      <c r="A360" s="42">
        <v>421125</v>
      </c>
      <c r="B360" s="43">
        <v>661640</v>
      </c>
      <c r="C360" s="43"/>
      <c r="D360" s="51" t="e">
        <f t="shared" si="5"/>
        <v>#N/A</v>
      </c>
      <c r="F360" s="50">
        <v>10.9</v>
      </c>
    </row>
    <row r="361" spans="1:6" x14ac:dyDescent="0.3">
      <c r="A361" s="42">
        <v>421125</v>
      </c>
      <c r="B361" s="43">
        <v>799</v>
      </c>
      <c r="C361" s="43">
        <v>50000</v>
      </c>
      <c r="D361" s="51">
        <f t="shared" si="5"/>
        <v>0.94657286846895594</v>
      </c>
      <c r="F361" s="50">
        <v>10.9</v>
      </c>
    </row>
    <row r="362" spans="1:6" x14ac:dyDescent="0.3">
      <c r="A362" s="42">
        <v>421175</v>
      </c>
      <c r="B362" s="43">
        <v>504</v>
      </c>
      <c r="C362" s="43">
        <v>6000</v>
      </c>
      <c r="D362" s="51">
        <f t="shared" si="5"/>
        <v>0.68820280459344474</v>
      </c>
      <c r="F362" s="50">
        <v>10.9</v>
      </c>
    </row>
    <row r="363" spans="1:6" x14ac:dyDescent="0.3">
      <c r="A363" s="42">
        <v>421175</v>
      </c>
      <c r="B363" s="43">
        <v>671197</v>
      </c>
      <c r="C363" s="43"/>
      <c r="D363" s="51" t="e">
        <f t="shared" si="5"/>
        <v>#N/A</v>
      </c>
      <c r="F363" s="50">
        <v>10.9</v>
      </c>
    </row>
    <row r="364" spans="1:6" x14ac:dyDescent="0.3">
      <c r="A364" s="42">
        <v>421175</v>
      </c>
      <c r="B364" s="43">
        <v>10258</v>
      </c>
      <c r="C364" s="43"/>
      <c r="D364" s="51" t="e">
        <f t="shared" si="5"/>
        <v>#N/A</v>
      </c>
      <c r="F364" s="50">
        <v>10.9</v>
      </c>
    </row>
    <row r="365" spans="1:6" x14ac:dyDescent="0.3">
      <c r="A365" s="42">
        <v>421175</v>
      </c>
      <c r="B365" s="43">
        <v>799</v>
      </c>
      <c r="C365" s="43">
        <v>32000</v>
      </c>
      <c r="D365" s="51">
        <f t="shared" si="5"/>
        <v>0.94657286846895594</v>
      </c>
      <c r="F365" s="50">
        <v>10.9</v>
      </c>
    </row>
    <row r="366" spans="1:6" x14ac:dyDescent="0.3">
      <c r="A366" s="42" t="s">
        <v>18</v>
      </c>
      <c r="B366" s="43">
        <v>505</v>
      </c>
      <c r="C366" s="43">
        <v>7000</v>
      </c>
      <c r="D366" s="51">
        <f t="shared" si="5"/>
        <v>0.45530909825705002</v>
      </c>
      <c r="F366" s="50">
        <v>10.9</v>
      </c>
    </row>
    <row r="367" spans="1:6" x14ac:dyDescent="0.3">
      <c r="A367" s="42" t="s">
        <v>18</v>
      </c>
      <c r="B367" s="43">
        <v>2700</v>
      </c>
      <c r="C367" s="43">
        <v>45000</v>
      </c>
      <c r="D367" s="51">
        <f t="shared" si="5"/>
        <v>0.95856377880310994</v>
      </c>
      <c r="F367" s="50">
        <v>10.9</v>
      </c>
    </row>
    <row r="368" spans="1:6" x14ac:dyDescent="0.3">
      <c r="A368" s="42" t="s">
        <v>18</v>
      </c>
      <c r="B368" s="43">
        <v>777</v>
      </c>
      <c r="C368" s="43">
        <v>50000</v>
      </c>
      <c r="D368" s="51">
        <f t="shared" si="5"/>
        <v>0.97115107221848251</v>
      </c>
      <c r="F368" s="50">
        <v>10.9</v>
      </c>
    </row>
    <row r="369" spans="1:6" x14ac:dyDescent="0.3">
      <c r="A369" s="42" t="s">
        <v>22</v>
      </c>
      <c r="B369" s="43">
        <v>505</v>
      </c>
      <c r="C369" s="43">
        <v>3600</v>
      </c>
      <c r="D369" s="51">
        <f t="shared" si="5"/>
        <v>0.45530909825705002</v>
      </c>
      <c r="F369" s="50">
        <v>10.9</v>
      </c>
    </row>
    <row r="370" spans="1:6" x14ac:dyDescent="0.3">
      <c r="A370" s="42" t="s">
        <v>22</v>
      </c>
      <c r="B370" s="43">
        <v>910</v>
      </c>
      <c r="C370" s="43">
        <v>3600</v>
      </c>
      <c r="D370" s="51">
        <f t="shared" si="5"/>
        <v>0.98980878134129691</v>
      </c>
      <c r="F370" s="50">
        <v>10.9</v>
      </c>
    </row>
    <row r="371" spans="1:6" x14ac:dyDescent="0.3">
      <c r="A371" s="42" t="s">
        <v>22</v>
      </c>
      <c r="B371" s="43">
        <v>3600</v>
      </c>
      <c r="C371" s="43">
        <v>14000</v>
      </c>
      <c r="D371" s="51">
        <f t="shared" si="5"/>
        <v>0.87527907802245908</v>
      </c>
      <c r="F371" s="50">
        <v>10.9</v>
      </c>
    </row>
    <row r="372" spans="1:6" x14ac:dyDescent="0.3">
      <c r="A372" s="42" t="s">
        <v>22</v>
      </c>
      <c r="B372" s="43">
        <v>2700</v>
      </c>
      <c r="C372" s="43">
        <v>30000</v>
      </c>
      <c r="D372" s="51">
        <f t="shared" si="5"/>
        <v>0.95856377880310994</v>
      </c>
      <c r="F372" s="50">
        <v>10.9</v>
      </c>
    </row>
    <row r="373" spans="1:6" x14ac:dyDescent="0.3">
      <c r="A373" s="42" t="s">
        <v>22</v>
      </c>
      <c r="B373" s="43">
        <v>777</v>
      </c>
      <c r="C373" s="43">
        <v>80000</v>
      </c>
      <c r="D373" s="51">
        <f t="shared" si="5"/>
        <v>0.97115107221848251</v>
      </c>
      <c r="F373" s="50">
        <v>10.9</v>
      </c>
    </row>
    <row r="374" spans="1:6" x14ac:dyDescent="0.3">
      <c r="A374" s="42" t="s">
        <v>29</v>
      </c>
      <c r="B374" s="43">
        <v>520</v>
      </c>
      <c r="C374" s="43">
        <v>7800</v>
      </c>
      <c r="D374" s="51">
        <f t="shared" si="5"/>
        <v>0.57032521966417404</v>
      </c>
      <c r="F374" s="50">
        <v>10.9</v>
      </c>
    </row>
    <row r="375" spans="1:6" x14ac:dyDescent="0.3">
      <c r="A375" s="42" t="s">
        <v>29</v>
      </c>
      <c r="B375" s="43">
        <v>8001</v>
      </c>
      <c r="C375" s="43">
        <v>7800</v>
      </c>
      <c r="D375" s="51">
        <f t="shared" si="5"/>
        <v>0.80699359041984919</v>
      </c>
      <c r="F375" s="50">
        <v>10.9</v>
      </c>
    </row>
    <row r="376" spans="1:6" x14ac:dyDescent="0.3">
      <c r="A376" s="42">
        <v>421654</v>
      </c>
      <c r="B376" s="43">
        <v>521</v>
      </c>
      <c r="C376" s="43">
        <v>6000</v>
      </c>
      <c r="D376" s="51">
        <f t="shared" si="5"/>
        <v>0.51119480265152517</v>
      </c>
      <c r="F376" s="50">
        <v>10.9</v>
      </c>
    </row>
    <row r="377" spans="1:6" x14ac:dyDescent="0.3">
      <c r="A377" s="42">
        <v>421654</v>
      </c>
      <c r="B377" s="43">
        <v>797</v>
      </c>
      <c r="C377" s="43">
        <v>6000</v>
      </c>
      <c r="D377" s="51">
        <f t="shared" si="5"/>
        <v>0.63058824093167687</v>
      </c>
      <c r="F377" s="50">
        <v>10.9</v>
      </c>
    </row>
    <row r="378" spans="1:6" x14ac:dyDescent="0.3">
      <c r="A378" s="42">
        <v>421686</v>
      </c>
      <c r="B378" s="43">
        <v>501</v>
      </c>
      <c r="C378" s="43">
        <v>3500</v>
      </c>
      <c r="D378" s="51">
        <f t="shared" si="5"/>
        <v>0.21905576892699671</v>
      </c>
      <c r="F378" s="50">
        <v>10.9</v>
      </c>
    </row>
    <row r="379" spans="1:6" x14ac:dyDescent="0.3">
      <c r="A379" s="42">
        <v>421686</v>
      </c>
      <c r="B379" s="43">
        <v>661335</v>
      </c>
      <c r="C379" s="43"/>
      <c r="D379" s="51" t="e">
        <f t="shared" si="5"/>
        <v>#N/A</v>
      </c>
      <c r="F379" s="50">
        <v>10.9</v>
      </c>
    </row>
    <row r="380" spans="1:6" x14ac:dyDescent="0.3">
      <c r="A380" s="42">
        <v>421686</v>
      </c>
      <c r="B380" s="43">
        <v>2700</v>
      </c>
      <c r="C380" s="43">
        <v>10000</v>
      </c>
      <c r="D380" s="51">
        <f t="shared" si="5"/>
        <v>0.95856377880310994</v>
      </c>
      <c r="F380" s="50">
        <v>10.9</v>
      </c>
    </row>
    <row r="381" spans="1:6" x14ac:dyDescent="0.3">
      <c r="A381" s="42">
        <v>421686</v>
      </c>
      <c r="B381" s="43">
        <v>777</v>
      </c>
      <c r="C381" s="43">
        <v>20000</v>
      </c>
      <c r="D381" s="51">
        <f t="shared" si="5"/>
        <v>0.97115107221848251</v>
      </c>
      <c r="F381" s="50">
        <v>10.9</v>
      </c>
    </row>
    <row r="382" spans="1:6" x14ac:dyDescent="0.3">
      <c r="A382" s="42" t="s">
        <v>150</v>
      </c>
      <c r="B382" s="43">
        <v>523</v>
      </c>
      <c r="C382" s="43">
        <v>8000</v>
      </c>
      <c r="D382" s="51">
        <f t="shared" si="5"/>
        <v>0.31679259040366015</v>
      </c>
      <c r="F382" s="50">
        <v>10.9</v>
      </c>
    </row>
    <row r="383" spans="1:6" x14ac:dyDescent="0.3">
      <c r="A383" s="42" t="s">
        <v>150</v>
      </c>
      <c r="B383" s="43">
        <v>671197</v>
      </c>
      <c r="C383" s="43"/>
      <c r="D383" s="51" t="e">
        <f t="shared" si="5"/>
        <v>#N/A</v>
      </c>
      <c r="F383" s="50">
        <v>10.9</v>
      </c>
    </row>
    <row r="384" spans="1:6" x14ac:dyDescent="0.3">
      <c r="A384" s="42" t="s">
        <v>150</v>
      </c>
      <c r="B384" s="43">
        <v>201482</v>
      </c>
      <c r="C384" s="43"/>
      <c r="D384" s="51" t="e">
        <f t="shared" si="5"/>
        <v>#N/A</v>
      </c>
      <c r="F384" s="50">
        <v>10.9</v>
      </c>
    </row>
    <row r="385" spans="1:6" x14ac:dyDescent="0.3">
      <c r="A385" s="42" t="s">
        <v>150</v>
      </c>
      <c r="B385" s="43">
        <v>781</v>
      </c>
      <c r="C385" s="43">
        <v>560</v>
      </c>
      <c r="D385" s="51">
        <f t="shared" si="5"/>
        <v>0.65562182430449689</v>
      </c>
      <c r="F385" s="50">
        <v>10.9</v>
      </c>
    </row>
    <row r="386" spans="1:6" x14ac:dyDescent="0.3">
      <c r="A386" s="42" t="s">
        <v>432</v>
      </c>
      <c r="B386" s="43">
        <v>502</v>
      </c>
      <c r="C386" s="43">
        <v>6000</v>
      </c>
      <c r="D386" s="51">
        <f t="shared" ref="D386:D449" si="6">VLOOKUP(B386,E:F,2,0)</f>
        <v>0.50842064529979858</v>
      </c>
      <c r="F386" s="50">
        <v>10.9</v>
      </c>
    </row>
    <row r="387" spans="1:6" x14ac:dyDescent="0.3">
      <c r="A387" s="42" t="s">
        <v>432</v>
      </c>
      <c r="B387" s="43">
        <v>910</v>
      </c>
      <c r="C387" s="43">
        <v>6000</v>
      </c>
      <c r="D387" s="51">
        <f t="shared" si="6"/>
        <v>0.98980878134129691</v>
      </c>
      <c r="F387" s="50">
        <v>10.9</v>
      </c>
    </row>
    <row r="388" spans="1:6" x14ac:dyDescent="0.3">
      <c r="A388" s="42" t="s">
        <v>432</v>
      </c>
      <c r="B388" s="43">
        <v>31568</v>
      </c>
      <c r="C388" s="43"/>
      <c r="D388" s="51" t="e">
        <f t="shared" si="6"/>
        <v>#N/A</v>
      </c>
      <c r="F388" s="50">
        <v>10.9</v>
      </c>
    </row>
    <row r="389" spans="1:6" x14ac:dyDescent="0.3">
      <c r="A389" s="42" t="s">
        <v>432</v>
      </c>
      <c r="B389" s="43">
        <v>777</v>
      </c>
      <c r="C389" s="43">
        <v>80000</v>
      </c>
      <c r="D389" s="51">
        <f t="shared" si="6"/>
        <v>0.97115107221848251</v>
      </c>
      <c r="F389" s="50">
        <v>10.9</v>
      </c>
    </row>
    <row r="390" spans="1:6" x14ac:dyDescent="0.3">
      <c r="A390" s="42">
        <v>421867</v>
      </c>
      <c r="B390" s="43">
        <v>550</v>
      </c>
      <c r="C390" s="43">
        <v>4800</v>
      </c>
      <c r="D390" s="51">
        <f t="shared" si="6"/>
        <v>0.29727915871862404</v>
      </c>
      <c r="F390" s="50">
        <v>10.9</v>
      </c>
    </row>
    <row r="391" spans="1:6" x14ac:dyDescent="0.3">
      <c r="A391" s="42">
        <v>421867</v>
      </c>
      <c r="B391" s="43">
        <v>910</v>
      </c>
      <c r="C391" s="43">
        <v>4800</v>
      </c>
      <c r="D391" s="51">
        <f t="shared" si="6"/>
        <v>0.98980878134129691</v>
      </c>
      <c r="F391" s="50">
        <v>10.9</v>
      </c>
    </row>
    <row r="392" spans="1:6" x14ac:dyDescent="0.3">
      <c r="A392" s="42">
        <v>421867</v>
      </c>
      <c r="B392" s="43">
        <v>201482</v>
      </c>
      <c r="C392" s="43"/>
      <c r="D392" s="51" t="e">
        <f t="shared" si="6"/>
        <v>#N/A</v>
      </c>
      <c r="F392" s="50">
        <v>10.9</v>
      </c>
    </row>
    <row r="393" spans="1:6" x14ac:dyDescent="0.3">
      <c r="A393" s="42">
        <v>421867</v>
      </c>
      <c r="B393" s="43">
        <v>799</v>
      </c>
      <c r="C393" s="43"/>
      <c r="D393" s="51">
        <f t="shared" si="6"/>
        <v>0.94657286846895594</v>
      </c>
      <c r="F393" s="50">
        <v>10.9</v>
      </c>
    </row>
    <row r="394" spans="1:6" x14ac:dyDescent="0.3">
      <c r="A394" s="42">
        <v>421867</v>
      </c>
      <c r="B394" s="43">
        <v>91160</v>
      </c>
      <c r="C394" s="43"/>
      <c r="D394" s="51" t="e">
        <f t="shared" si="6"/>
        <v>#N/A</v>
      </c>
      <c r="F394" s="50">
        <v>10.9</v>
      </c>
    </row>
    <row r="395" spans="1:6" x14ac:dyDescent="0.3">
      <c r="A395" s="42">
        <v>421867</v>
      </c>
      <c r="B395" s="43">
        <v>799</v>
      </c>
      <c r="C395" s="43">
        <v>99999999</v>
      </c>
      <c r="D395" s="51">
        <f t="shared" si="6"/>
        <v>0.94657286846895594</v>
      </c>
      <c r="F395" s="50">
        <v>10.9</v>
      </c>
    </row>
    <row r="396" spans="1:6" x14ac:dyDescent="0.3">
      <c r="A396" s="42" t="s">
        <v>152</v>
      </c>
      <c r="B396" s="43">
        <v>523</v>
      </c>
      <c r="C396" s="43">
        <v>8000</v>
      </c>
      <c r="D396" s="51">
        <f t="shared" si="6"/>
        <v>0.31679259040366015</v>
      </c>
      <c r="F396" s="50">
        <v>10.9</v>
      </c>
    </row>
    <row r="397" spans="1:6" x14ac:dyDescent="0.3">
      <c r="A397" s="42" t="s">
        <v>152</v>
      </c>
      <c r="B397" s="43">
        <v>671197</v>
      </c>
      <c r="C397" s="43"/>
      <c r="D397" s="51" t="e">
        <f t="shared" si="6"/>
        <v>#N/A</v>
      </c>
      <c r="F397" s="50">
        <v>10.9</v>
      </c>
    </row>
    <row r="398" spans="1:6" x14ac:dyDescent="0.3">
      <c r="A398" s="42" t="s">
        <v>152</v>
      </c>
      <c r="B398" s="43">
        <v>201482</v>
      </c>
      <c r="C398" s="43"/>
      <c r="D398" s="51" t="e">
        <f t="shared" si="6"/>
        <v>#N/A</v>
      </c>
      <c r="F398" s="50">
        <v>10.9</v>
      </c>
    </row>
    <row r="399" spans="1:6" x14ac:dyDescent="0.3">
      <c r="A399" s="42" t="s">
        <v>152</v>
      </c>
      <c r="B399" s="43">
        <v>92127</v>
      </c>
      <c r="C399" s="43"/>
      <c r="D399" s="51" t="e">
        <f t="shared" si="6"/>
        <v>#N/A</v>
      </c>
      <c r="F399" s="50">
        <v>10.9</v>
      </c>
    </row>
    <row r="400" spans="1:6" x14ac:dyDescent="0.3">
      <c r="A400" s="42" t="s">
        <v>152</v>
      </c>
      <c r="B400" s="43">
        <v>799</v>
      </c>
      <c r="C400" s="43">
        <v>100000</v>
      </c>
      <c r="D400" s="51">
        <f t="shared" si="6"/>
        <v>0.94657286846895594</v>
      </c>
      <c r="F400" s="50">
        <v>10.9</v>
      </c>
    </row>
    <row r="401" spans="1:6" x14ac:dyDescent="0.3">
      <c r="A401" s="42" t="s">
        <v>33</v>
      </c>
      <c r="B401" s="43">
        <v>500</v>
      </c>
      <c r="C401" s="43">
        <v>4800</v>
      </c>
      <c r="D401" s="51">
        <f t="shared" si="6"/>
        <v>0.31003371442296568</v>
      </c>
      <c r="F401" s="50">
        <v>10.9</v>
      </c>
    </row>
    <row r="402" spans="1:6" x14ac:dyDescent="0.3">
      <c r="A402" s="42" t="s">
        <v>33</v>
      </c>
      <c r="B402" s="43">
        <v>910</v>
      </c>
      <c r="C402" s="43">
        <v>4800</v>
      </c>
      <c r="D402" s="51">
        <f t="shared" si="6"/>
        <v>0.98980878134129691</v>
      </c>
      <c r="F402" s="50">
        <v>10.9</v>
      </c>
    </row>
    <row r="403" spans="1:6" x14ac:dyDescent="0.3">
      <c r="A403" s="42" t="s">
        <v>33</v>
      </c>
      <c r="B403" s="43">
        <v>3600</v>
      </c>
      <c r="C403" s="43">
        <v>1500</v>
      </c>
      <c r="D403" s="51">
        <f t="shared" si="6"/>
        <v>0.87527907802245908</v>
      </c>
      <c r="F403" s="50">
        <v>10.9</v>
      </c>
    </row>
    <row r="404" spans="1:6" x14ac:dyDescent="0.3">
      <c r="A404" s="42" t="s">
        <v>33</v>
      </c>
      <c r="B404" s="43">
        <v>2700</v>
      </c>
      <c r="C404" s="43">
        <v>5000</v>
      </c>
      <c r="D404" s="51">
        <f t="shared" si="6"/>
        <v>0.95856377880310994</v>
      </c>
      <c r="F404" s="50">
        <v>10.9</v>
      </c>
    </row>
    <row r="405" spans="1:6" x14ac:dyDescent="0.3">
      <c r="A405" s="42" t="s">
        <v>33</v>
      </c>
      <c r="B405" s="43">
        <v>782</v>
      </c>
      <c r="C405" s="43">
        <v>1500</v>
      </c>
      <c r="D405" s="51">
        <f t="shared" si="6"/>
        <v>0.9528158796643651</v>
      </c>
      <c r="F405" s="50">
        <v>10.9</v>
      </c>
    </row>
    <row r="406" spans="1:6" x14ac:dyDescent="0.3">
      <c r="A406" s="42" t="s">
        <v>154</v>
      </c>
      <c r="B406" s="43">
        <v>550</v>
      </c>
      <c r="C406" s="43">
        <v>21000</v>
      </c>
      <c r="D406" s="51">
        <f t="shared" si="6"/>
        <v>0.29727915871862404</v>
      </c>
      <c r="F406" s="50">
        <v>10.9</v>
      </c>
    </row>
    <row r="407" spans="1:6" x14ac:dyDescent="0.3">
      <c r="A407" s="42" t="s">
        <v>154</v>
      </c>
      <c r="B407" s="43">
        <v>918</v>
      </c>
      <c r="C407" s="43">
        <v>21000</v>
      </c>
      <c r="D407" s="51">
        <f t="shared" si="6"/>
        <v>0.92025306726200806</v>
      </c>
      <c r="F407" s="50">
        <v>10.9</v>
      </c>
    </row>
    <row r="408" spans="1:6" x14ac:dyDescent="0.3">
      <c r="A408" s="42" t="s">
        <v>154</v>
      </c>
      <c r="B408" s="43">
        <v>2000</v>
      </c>
      <c r="C408" s="43">
        <v>60000</v>
      </c>
      <c r="D408" s="51">
        <f t="shared" si="6"/>
        <v>0.93535875888817066</v>
      </c>
      <c r="F408" s="50">
        <v>10.9</v>
      </c>
    </row>
    <row r="409" spans="1:6" x14ac:dyDescent="0.3">
      <c r="A409" s="42" t="s">
        <v>154</v>
      </c>
      <c r="B409" s="43">
        <v>799</v>
      </c>
      <c r="C409" s="43"/>
      <c r="D409" s="51">
        <f t="shared" si="6"/>
        <v>0.94657286846895594</v>
      </c>
      <c r="F409" s="50">
        <v>10.9</v>
      </c>
    </row>
    <row r="410" spans="1:6" x14ac:dyDescent="0.3">
      <c r="A410" s="42" t="s">
        <v>154</v>
      </c>
      <c r="B410" s="43">
        <v>91170</v>
      </c>
      <c r="C410" s="43"/>
      <c r="D410" s="51" t="e">
        <f t="shared" si="6"/>
        <v>#N/A</v>
      </c>
      <c r="F410" s="50">
        <v>10.9</v>
      </c>
    </row>
    <row r="411" spans="1:6" x14ac:dyDescent="0.3">
      <c r="A411" s="42" t="s">
        <v>154</v>
      </c>
      <c r="B411" s="43">
        <v>799</v>
      </c>
      <c r="C411" s="43">
        <v>100000</v>
      </c>
      <c r="D411" s="51">
        <f t="shared" si="6"/>
        <v>0.94657286846895594</v>
      </c>
      <c r="F411" s="50">
        <v>10.9</v>
      </c>
    </row>
    <row r="412" spans="1:6" x14ac:dyDescent="0.3">
      <c r="A412" s="42">
        <v>422003</v>
      </c>
      <c r="B412" s="43">
        <v>550</v>
      </c>
      <c r="C412" s="43">
        <v>5000</v>
      </c>
      <c r="D412" s="51">
        <f t="shared" si="6"/>
        <v>0.29727915871862404</v>
      </c>
      <c r="F412" s="50">
        <v>10.9</v>
      </c>
    </row>
    <row r="413" spans="1:6" x14ac:dyDescent="0.3">
      <c r="A413" s="42">
        <v>422003</v>
      </c>
      <c r="B413" s="43">
        <v>918</v>
      </c>
      <c r="C413" s="43">
        <v>5000</v>
      </c>
      <c r="D413" s="51">
        <f t="shared" si="6"/>
        <v>0.92025306726200806</v>
      </c>
      <c r="F413" s="50">
        <v>10.9</v>
      </c>
    </row>
    <row r="414" spans="1:6" x14ac:dyDescent="0.3">
      <c r="A414" s="42">
        <v>422003</v>
      </c>
      <c r="B414" s="43">
        <v>2700</v>
      </c>
      <c r="C414" s="43">
        <v>15000</v>
      </c>
      <c r="D414" s="51">
        <f t="shared" si="6"/>
        <v>0.95856377880310994</v>
      </c>
      <c r="F414" s="50">
        <v>10.9</v>
      </c>
    </row>
    <row r="415" spans="1:6" x14ac:dyDescent="0.3">
      <c r="A415" s="42">
        <v>422003</v>
      </c>
      <c r="B415" s="43">
        <v>777</v>
      </c>
      <c r="C415" s="43">
        <v>40000</v>
      </c>
      <c r="D415" s="51">
        <f t="shared" si="6"/>
        <v>0.97115107221848251</v>
      </c>
      <c r="F415" s="50">
        <v>10.9</v>
      </c>
    </row>
    <row r="416" spans="1:6" x14ac:dyDescent="0.3">
      <c r="A416" s="42">
        <v>422004</v>
      </c>
      <c r="B416" s="43">
        <v>506</v>
      </c>
      <c r="C416" s="43">
        <v>6000</v>
      </c>
      <c r="D416" s="51">
        <f t="shared" si="6"/>
        <v>0.44878370206629176</v>
      </c>
      <c r="F416" s="50">
        <v>10.9</v>
      </c>
    </row>
    <row r="417" spans="1:6" x14ac:dyDescent="0.3">
      <c r="A417" s="42">
        <v>422004</v>
      </c>
      <c r="B417" s="43">
        <v>2700</v>
      </c>
      <c r="C417" s="43">
        <v>30000</v>
      </c>
      <c r="D417" s="51">
        <f t="shared" si="6"/>
        <v>0.95856377880310994</v>
      </c>
      <c r="F417" s="50">
        <v>10.9</v>
      </c>
    </row>
    <row r="418" spans="1:6" x14ac:dyDescent="0.3">
      <c r="A418" s="42">
        <v>422004</v>
      </c>
      <c r="B418" s="43">
        <v>799</v>
      </c>
      <c r="C418" s="43">
        <v>20000</v>
      </c>
      <c r="D418" s="51">
        <f t="shared" si="6"/>
        <v>0.94657286846895594</v>
      </c>
      <c r="F418" s="50">
        <v>10.9</v>
      </c>
    </row>
    <row r="419" spans="1:6" x14ac:dyDescent="0.3">
      <c r="A419" s="42">
        <v>422007</v>
      </c>
      <c r="B419" s="43">
        <v>500</v>
      </c>
      <c r="C419" s="43">
        <v>18000</v>
      </c>
      <c r="D419" s="51">
        <f t="shared" si="6"/>
        <v>0.31003371442296568</v>
      </c>
      <c r="F419" s="50">
        <v>10.9</v>
      </c>
    </row>
    <row r="420" spans="1:6" x14ac:dyDescent="0.3">
      <c r="A420" s="42">
        <v>422007</v>
      </c>
      <c r="B420" s="43">
        <v>2700</v>
      </c>
      <c r="C420" s="43">
        <v>20000</v>
      </c>
      <c r="D420" s="51">
        <f t="shared" si="6"/>
        <v>0.95856377880310994</v>
      </c>
      <c r="F420" s="50">
        <v>10.9</v>
      </c>
    </row>
    <row r="421" spans="1:6" x14ac:dyDescent="0.3">
      <c r="A421" s="42">
        <v>422007</v>
      </c>
      <c r="B421" s="43">
        <v>777</v>
      </c>
      <c r="C421" s="43">
        <v>50000</v>
      </c>
      <c r="D421" s="51">
        <f t="shared" si="6"/>
        <v>0.97115107221848251</v>
      </c>
      <c r="F421" s="50">
        <v>10.9</v>
      </c>
    </row>
    <row r="422" spans="1:6" x14ac:dyDescent="0.3">
      <c r="A422" s="42">
        <v>422016</v>
      </c>
      <c r="B422" s="43">
        <v>522</v>
      </c>
      <c r="C422" s="43">
        <v>3300</v>
      </c>
      <c r="D422" s="51">
        <f t="shared" si="6"/>
        <v>0.48</v>
      </c>
      <c r="F422" s="50">
        <v>10.9</v>
      </c>
    </row>
    <row r="423" spans="1:6" x14ac:dyDescent="0.3">
      <c r="A423" s="42">
        <v>422016</v>
      </c>
      <c r="B423" s="43">
        <v>910</v>
      </c>
      <c r="C423" s="43">
        <v>3300</v>
      </c>
      <c r="D423" s="51">
        <f t="shared" si="6"/>
        <v>0.98980878134129691</v>
      </c>
      <c r="F423" s="50">
        <v>10.9</v>
      </c>
    </row>
    <row r="424" spans="1:6" x14ac:dyDescent="0.3">
      <c r="A424" s="42">
        <v>422016</v>
      </c>
      <c r="B424" s="43">
        <v>799</v>
      </c>
      <c r="C424" s="43"/>
      <c r="D424" s="51">
        <f t="shared" si="6"/>
        <v>0.94657286846895594</v>
      </c>
      <c r="F424" s="50">
        <v>10.9</v>
      </c>
    </row>
    <row r="425" spans="1:6" x14ac:dyDescent="0.3">
      <c r="A425" s="42" t="s">
        <v>34</v>
      </c>
      <c r="B425" s="43">
        <v>500</v>
      </c>
      <c r="C425" s="43">
        <v>5000</v>
      </c>
      <c r="D425" s="51">
        <f t="shared" si="6"/>
        <v>0.31003371442296568</v>
      </c>
      <c r="F425" s="50">
        <v>10.9</v>
      </c>
    </row>
    <row r="426" spans="1:6" x14ac:dyDescent="0.3">
      <c r="A426" s="42" t="s">
        <v>34</v>
      </c>
      <c r="B426" s="43">
        <v>2700</v>
      </c>
      <c r="C426" s="43">
        <v>20000</v>
      </c>
      <c r="D426" s="51">
        <f t="shared" si="6"/>
        <v>0.95856377880310994</v>
      </c>
      <c r="F426" s="50">
        <v>10.9</v>
      </c>
    </row>
    <row r="427" spans="1:6" x14ac:dyDescent="0.3">
      <c r="A427" s="42" t="s">
        <v>34</v>
      </c>
      <c r="B427" s="43">
        <v>777</v>
      </c>
      <c r="C427" s="43">
        <v>30000</v>
      </c>
      <c r="D427" s="51">
        <f t="shared" si="6"/>
        <v>0.97115107221848251</v>
      </c>
      <c r="F427" s="50">
        <v>10.9</v>
      </c>
    </row>
    <row r="428" spans="1:6" x14ac:dyDescent="0.3">
      <c r="A428" s="42" t="s">
        <v>158</v>
      </c>
      <c r="B428" s="43">
        <v>550</v>
      </c>
      <c r="C428" s="43">
        <v>5000</v>
      </c>
      <c r="D428" s="51">
        <f t="shared" si="6"/>
        <v>0.29727915871862404</v>
      </c>
      <c r="F428" s="50">
        <v>10.9</v>
      </c>
    </row>
    <row r="429" spans="1:6" x14ac:dyDescent="0.3">
      <c r="A429" s="42" t="s">
        <v>158</v>
      </c>
      <c r="B429" s="43">
        <v>918</v>
      </c>
      <c r="C429" s="43">
        <v>5000</v>
      </c>
      <c r="D429" s="51">
        <f t="shared" si="6"/>
        <v>0.92025306726200806</v>
      </c>
      <c r="F429" s="50">
        <v>10.9</v>
      </c>
    </row>
    <row r="430" spans="1:6" x14ac:dyDescent="0.3">
      <c r="A430" s="42" t="s">
        <v>158</v>
      </c>
      <c r="B430" s="43">
        <v>3600</v>
      </c>
      <c r="C430" s="43">
        <v>15000</v>
      </c>
      <c r="D430" s="51">
        <f t="shared" si="6"/>
        <v>0.87527907802245908</v>
      </c>
      <c r="F430" s="50">
        <v>10.9</v>
      </c>
    </row>
    <row r="431" spans="1:6" x14ac:dyDescent="0.3">
      <c r="A431" s="42" t="s">
        <v>158</v>
      </c>
      <c r="B431" s="43">
        <v>795</v>
      </c>
      <c r="C431" s="43">
        <v>1000</v>
      </c>
      <c r="D431" s="51">
        <f t="shared" si="6"/>
        <v>1</v>
      </c>
      <c r="F431" s="50">
        <v>10.9</v>
      </c>
    </row>
    <row r="432" spans="1:6" x14ac:dyDescent="0.3">
      <c r="A432" s="42" t="s">
        <v>158</v>
      </c>
      <c r="B432" s="43">
        <v>782</v>
      </c>
      <c r="C432" s="43">
        <v>50000</v>
      </c>
      <c r="D432" s="51">
        <f t="shared" si="6"/>
        <v>0.9528158796643651</v>
      </c>
      <c r="F432" s="50">
        <v>10.9</v>
      </c>
    </row>
    <row r="433" spans="1:6" x14ac:dyDescent="0.3">
      <c r="A433" s="42" t="s">
        <v>158</v>
      </c>
      <c r="B433" s="43">
        <v>2700</v>
      </c>
      <c r="C433" s="43">
        <v>30000</v>
      </c>
      <c r="D433" s="51">
        <f t="shared" si="6"/>
        <v>0.95856377880310994</v>
      </c>
      <c r="F433" s="50">
        <v>10.9</v>
      </c>
    </row>
    <row r="434" spans="1:6" x14ac:dyDescent="0.3">
      <c r="A434" s="42" t="s">
        <v>158</v>
      </c>
      <c r="B434" s="43">
        <v>777</v>
      </c>
      <c r="C434" s="43">
        <v>40000</v>
      </c>
      <c r="D434" s="51">
        <f t="shared" si="6"/>
        <v>0.97115107221848251</v>
      </c>
      <c r="F434" s="50">
        <v>10.9</v>
      </c>
    </row>
    <row r="435" spans="1:6" x14ac:dyDescent="0.3">
      <c r="A435" s="42">
        <v>422086</v>
      </c>
      <c r="B435" s="43">
        <v>504</v>
      </c>
      <c r="C435" s="43">
        <v>4000</v>
      </c>
      <c r="D435" s="51">
        <f t="shared" si="6"/>
        <v>0.68820280459344474</v>
      </c>
      <c r="F435" s="50">
        <v>10.9</v>
      </c>
    </row>
    <row r="436" spans="1:6" x14ac:dyDescent="0.3">
      <c r="A436" s="42">
        <v>422086</v>
      </c>
      <c r="B436" s="43">
        <v>910</v>
      </c>
      <c r="C436" s="43">
        <v>4000</v>
      </c>
      <c r="D436" s="51">
        <f t="shared" si="6"/>
        <v>0.98980878134129691</v>
      </c>
      <c r="F436" s="50">
        <v>10.9</v>
      </c>
    </row>
    <row r="437" spans="1:6" x14ac:dyDescent="0.3">
      <c r="A437" s="42">
        <v>422086</v>
      </c>
      <c r="B437" s="43">
        <v>2700</v>
      </c>
      <c r="C437" s="43">
        <v>20000</v>
      </c>
      <c r="D437" s="51">
        <f t="shared" si="6"/>
        <v>0.95856377880310994</v>
      </c>
      <c r="F437" s="50">
        <v>10.9</v>
      </c>
    </row>
    <row r="438" spans="1:6" x14ac:dyDescent="0.3">
      <c r="A438" s="42">
        <v>422086</v>
      </c>
      <c r="B438" s="43">
        <v>777</v>
      </c>
      <c r="C438" s="43">
        <v>100000</v>
      </c>
      <c r="D438" s="51">
        <f t="shared" si="6"/>
        <v>0.97115107221848251</v>
      </c>
      <c r="F438" s="50">
        <v>10.9</v>
      </c>
    </row>
    <row r="439" spans="1:6" x14ac:dyDescent="0.3">
      <c r="A439" s="42" t="s">
        <v>23</v>
      </c>
      <c r="B439" s="43">
        <v>502</v>
      </c>
      <c r="C439" s="43">
        <v>2250</v>
      </c>
      <c r="D439" s="51">
        <f t="shared" si="6"/>
        <v>0.50842064529979858</v>
      </c>
      <c r="F439" s="50">
        <v>10.9</v>
      </c>
    </row>
    <row r="440" spans="1:6" x14ac:dyDescent="0.3">
      <c r="A440" s="42" t="s">
        <v>23</v>
      </c>
      <c r="B440" s="43">
        <v>2700</v>
      </c>
      <c r="C440" s="43">
        <v>20000</v>
      </c>
      <c r="D440" s="51">
        <f t="shared" si="6"/>
        <v>0.95856377880310994</v>
      </c>
      <c r="F440" s="50">
        <v>10.9</v>
      </c>
    </row>
    <row r="441" spans="1:6" x14ac:dyDescent="0.3">
      <c r="A441" s="42" t="s">
        <v>23</v>
      </c>
      <c r="B441" s="43">
        <v>91170</v>
      </c>
      <c r="C441" s="43"/>
      <c r="D441" s="51" t="e">
        <f t="shared" si="6"/>
        <v>#N/A</v>
      </c>
      <c r="F441" s="50">
        <v>10.9</v>
      </c>
    </row>
    <row r="442" spans="1:6" x14ac:dyDescent="0.3">
      <c r="A442" s="42" t="s">
        <v>23</v>
      </c>
      <c r="B442" s="43">
        <v>799</v>
      </c>
      <c r="C442" s="43">
        <v>100000</v>
      </c>
      <c r="D442" s="51">
        <f t="shared" si="6"/>
        <v>0.94657286846895594</v>
      </c>
      <c r="F442" s="50">
        <v>10.9</v>
      </c>
    </row>
    <row r="443" spans="1:6" x14ac:dyDescent="0.3">
      <c r="A443" s="42">
        <v>422088</v>
      </c>
      <c r="B443" s="43">
        <v>500</v>
      </c>
      <c r="C443" s="43">
        <v>5000</v>
      </c>
      <c r="D443" s="51">
        <f t="shared" si="6"/>
        <v>0.31003371442296568</v>
      </c>
      <c r="F443" s="50">
        <v>10.9</v>
      </c>
    </row>
    <row r="444" spans="1:6" x14ac:dyDescent="0.3">
      <c r="A444" s="42">
        <v>422088</v>
      </c>
      <c r="B444" s="43">
        <v>2700</v>
      </c>
      <c r="C444" s="43">
        <v>20000</v>
      </c>
      <c r="D444" s="51">
        <f t="shared" si="6"/>
        <v>0.95856377880310994</v>
      </c>
      <c r="F444" s="50">
        <v>10.9</v>
      </c>
    </row>
    <row r="445" spans="1:6" x14ac:dyDescent="0.3">
      <c r="A445" s="42">
        <v>422088</v>
      </c>
      <c r="B445" s="43">
        <v>777</v>
      </c>
      <c r="C445" s="43">
        <v>40000</v>
      </c>
      <c r="D445" s="51">
        <f t="shared" si="6"/>
        <v>0.97115107221848251</v>
      </c>
      <c r="F445" s="50">
        <v>10.9</v>
      </c>
    </row>
    <row r="446" spans="1:6" x14ac:dyDescent="0.3">
      <c r="A446" s="42" t="s">
        <v>31</v>
      </c>
      <c r="B446" s="43">
        <v>550</v>
      </c>
      <c r="C446" s="43">
        <v>6000</v>
      </c>
      <c r="D446" s="51">
        <f t="shared" si="6"/>
        <v>0.29727915871862404</v>
      </c>
      <c r="F446" s="50">
        <v>10.9</v>
      </c>
    </row>
    <row r="447" spans="1:6" x14ac:dyDescent="0.3">
      <c r="A447" s="42" t="s">
        <v>31</v>
      </c>
      <c r="B447" s="43">
        <v>671361</v>
      </c>
      <c r="C447" s="43"/>
      <c r="D447" s="51">
        <f t="shared" si="6"/>
        <v>0.9</v>
      </c>
      <c r="F447" s="50">
        <v>10.9</v>
      </c>
    </row>
    <row r="448" spans="1:6" x14ac:dyDescent="0.3">
      <c r="A448" s="42" t="s">
        <v>31</v>
      </c>
      <c r="B448" s="43">
        <v>2700</v>
      </c>
      <c r="C448" s="43">
        <v>15000</v>
      </c>
      <c r="D448" s="51">
        <f t="shared" si="6"/>
        <v>0.95856377880310994</v>
      </c>
      <c r="F448" s="50">
        <v>10.9</v>
      </c>
    </row>
    <row r="449" spans="1:6" x14ac:dyDescent="0.3">
      <c r="A449" s="42" t="s">
        <v>31</v>
      </c>
      <c r="B449" s="43">
        <v>799</v>
      </c>
      <c r="C449" s="43"/>
      <c r="D449" s="51">
        <f t="shared" si="6"/>
        <v>0.94657286846895594</v>
      </c>
      <c r="F449" s="50">
        <v>10.9</v>
      </c>
    </row>
    <row r="450" spans="1:6" x14ac:dyDescent="0.3">
      <c r="A450" s="42" t="s">
        <v>31</v>
      </c>
      <c r="B450" s="43">
        <v>91170</v>
      </c>
      <c r="C450" s="43"/>
      <c r="D450" s="51" t="e">
        <f t="shared" ref="D450:D513" si="7">VLOOKUP(B450,E:F,2,0)</f>
        <v>#N/A</v>
      </c>
      <c r="F450" s="50">
        <v>10.9</v>
      </c>
    </row>
    <row r="451" spans="1:6" x14ac:dyDescent="0.3">
      <c r="A451" s="42" t="s">
        <v>31</v>
      </c>
      <c r="B451" s="43">
        <v>799</v>
      </c>
      <c r="C451" s="43">
        <v>100000</v>
      </c>
      <c r="D451" s="51">
        <f t="shared" si="7"/>
        <v>0.94657286846895594</v>
      </c>
      <c r="F451" s="50">
        <v>10.9</v>
      </c>
    </row>
    <row r="452" spans="1:6" x14ac:dyDescent="0.3">
      <c r="A452" s="42" t="s">
        <v>9</v>
      </c>
      <c r="B452" s="43">
        <v>504</v>
      </c>
      <c r="C452" s="43">
        <v>3500</v>
      </c>
      <c r="D452" s="51">
        <f t="shared" si="7"/>
        <v>0.68820280459344474</v>
      </c>
      <c r="F452" s="50">
        <v>10.9</v>
      </c>
    </row>
    <row r="453" spans="1:6" x14ac:dyDescent="0.3">
      <c r="A453" s="42" t="s">
        <v>9</v>
      </c>
      <c r="B453" s="43">
        <v>910</v>
      </c>
      <c r="C453" s="43">
        <v>3500</v>
      </c>
      <c r="D453" s="51">
        <f t="shared" si="7"/>
        <v>0.98980878134129691</v>
      </c>
      <c r="F453" s="50">
        <v>10.9</v>
      </c>
    </row>
    <row r="454" spans="1:6" x14ac:dyDescent="0.3">
      <c r="A454" s="42" t="s">
        <v>9</v>
      </c>
      <c r="B454" s="43">
        <v>2700</v>
      </c>
      <c r="C454" s="43">
        <v>30000</v>
      </c>
      <c r="D454" s="51">
        <f t="shared" si="7"/>
        <v>0.95856377880310994</v>
      </c>
      <c r="F454" s="50">
        <v>10.9</v>
      </c>
    </row>
    <row r="455" spans="1:6" x14ac:dyDescent="0.3">
      <c r="A455" s="42" t="s">
        <v>9</v>
      </c>
      <c r="B455" s="43">
        <v>791</v>
      </c>
      <c r="C455" s="43">
        <v>30000</v>
      </c>
      <c r="D455" s="51">
        <f t="shared" si="7"/>
        <v>0.97679948894341373</v>
      </c>
      <c r="F455" s="50">
        <v>10.9</v>
      </c>
    </row>
    <row r="456" spans="1:6" x14ac:dyDescent="0.3">
      <c r="A456" s="42" t="s">
        <v>10</v>
      </c>
      <c r="B456" s="43">
        <v>504</v>
      </c>
      <c r="C456" s="43">
        <v>3500</v>
      </c>
      <c r="D456" s="51">
        <f t="shared" si="7"/>
        <v>0.68820280459344474</v>
      </c>
      <c r="F456" s="50">
        <v>10.9</v>
      </c>
    </row>
    <row r="457" spans="1:6" x14ac:dyDescent="0.3">
      <c r="A457" s="42" t="s">
        <v>10</v>
      </c>
      <c r="B457" s="43">
        <v>910</v>
      </c>
      <c r="C457" s="43">
        <v>3500</v>
      </c>
      <c r="D457" s="51">
        <f t="shared" si="7"/>
        <v>0.98980878134129691</v>
      </c>
      <c r="F457" s="50">
        <v>10.9</v>
      </c>
    </row>
    <row r="458" spans="1:6" x14ac:dyDescent="0.3">
      <c r="A458" s="42" t="s">
        <v>10</v>
      </c>
      <c r="B458" s="43">
        <v>2700</v>
      </c>
      <c r="C458" s="43">
        <v>30000</v>
      </c>
      <c r="D458" s="51">
        <f t="shared" si="7"/>
        <v>0.95856377880310994</v>
      </c>
      <c r="F458" s="50">
        <v>10.9</v>
      </c>
    </row>
    <row r="459" spans="1:6" x14ac:dyDescent="0.3">
      <c r="A459" s="42" t="s">
        <v>10</v>
      </c>
      <c r="B459" s="43">
        <v>791</v>
      </c>
      <c r="C459" s="43">
        <v>30000</v>
      </c>
      <c r="D459" s="51">
        <f t="shared" si="7"/>
        <v>0.97679948894341373</v>
      </c>
      <c r="F459" s="50">
        <v>10.9</v>
      </c>
    </row>
    <row r="460" spans="1:6" x14ac:dyDescent="0.3">
      <c r="A460" s="42">
        <v>422136</v>
      </c>
      <c r="B460" s="43">
        <v>505</v>
      </c>
      <c r="C460" s="43">
        <v>3600</v>
      </c>
      <c r="D460" s="51">
        <f t="shared" si="7"/>
        <v>0.45530909825705002</v>
      </c>
      <c r="F460" s="50">
        <v>10.9</v>
      </c>
    </row>
    <row r="461" spans="1:6" x14ac:dyDescent="0.3">
      <c r="A461" s="42">
        <v>422136</v>
      </c>
      <c r="B461" s="43">
        <v>910</v>
      </c>
      <c r="C461" s="43">
        <v>3600</v>
      </c>
      <c r="D461" s="51">
        <f t="shared" si="7"/>
        <v>0.98980878134129691</v>
      </c>
      <c r="F461" s="50">
        <v>10.9</v>
      </c>
    </row>
    <row r="462" spans="1:6" x14ac:dyDescent="0.3">
      <c r="A462" s="42">
        <v>422136</v>
      </c>
      <c r="B462" s="43">
        <v>2700</v>
      </c>
      <c r="C462" s="43">
        <v>4500</v>
      </c>
      <c r="D462" s="51">
        <f t="shared" si="7"/>
        <v>0.95856377880310994</v>
      </c>
      <c r="F462" s="50">
        <v>10.9</v>
      </c>
    </row>
    <row r="463" spans="1:6" x14ac:dyDescent="0.3">
      <c r="A463" s="42">
        <v>422136</v>
      </c>
      <c r="B463" s="43">
        <v>791</v>
      </c>
      <c r="C463" s="43">
        <v>1000</v>
      </c>
      <c r="D463" s="51">
        <f t="shared" si="7"/>
        <v>0.97679948894341373</v>
      </c>
      <c r="F463" s="50">
        <v>10.9</v>
      </c>
    </row>
    <row r="464" spans="1:6" x14ac:dyDescent="0.3">
      <c r="A464" s="42" t="s">
        <v>35</v>
      </c>
      <c r="B464" s="43">
        <v>500</v>
      </c>
      <c r="C464" s="43">
        <v>6000</v>
      </c>
      <c r="D464" s="51">
        <f t="shared" si="7"/>
        <v>0.31003371442296568</v>
      </c>
      <c r="F464" s="50">
        <v>10.9</v>
      </c>
    </row>
    <row r="465" spans="1:6" x14ac:dyDescent="0.3">
      <c r="A465" s="42" t="s">
        <v>35</v>
      </c>
      <c r="B465" s="43">
        <v>2700</v>
      </c>
      <c r="C465" s="43">
        <v>20000</v>
      </c>
      <c r="D465" s="51">
        <f t="shared" si="7"/>
        <v>0.95856377880310994</v>
      </c>
      <c r="F465" s="50">
        <v>10.9</v>
      </c>
    </row>
    <row r="466" spans="1:6" x14ac:dyDescent="0.3">
      <c r="A466" s="42" t="s">
        <v>35</v>
      </c>
      <c r="B466" s="43">
        <v>777</v>
      </c>
      <c r="C466" s="43">
        <v>30000</v>
      </c>
      <c r="D466" s="51">
        <f t="shared" si="7"/>
        <v>0.97115107221848251</v>
      </c>
      <c r="F466" s="50">
        <v>10.9</v>
      </c>
    </row>
    <row r="467" spans="1:6" x14ac:dyDescent="0.3">
      <c r="A467" s="42" t="s">
        <v>436</v>
      </c>
      <c r="B467" s="43">
        <v>504</v>
      </c>
      <c r="C467" s="43">
        <v>2400</v>
      </c>
      <c r="D467" s="51">
        <f t="shared" si="7"/>
        <v>0.68820280459344474</v>
      </c>
      <c r="F467" s="50">
        <v>10.9</v>
      </c>
    </row>
    <row r="468" spans="1:6" x14ac:dyDescent="0.3">
      <c r="A468" s="42" t="s">
        <v>436</v>
      </c>
      <c r="B468" s="43">
        <v>671330</v>
      </c>
      <c r="C468" s="43"/>
      <c r="D468" s="51" t="e">
        <f t="shared" si="7"/>
        <v>#REF!</v>
      </c>
      <c r="F468" s="50">
        <v>10.9</v>
      </c>
    </row>
    <row r="469" spans="1:6" x14ac:dyDescent="0.3">
      <c r="A469" s="42" t="s">
        <v>436</v>
      </c>
      <c r="B469" s="43">
        <v>121921</v>
      </c>
      <c r="C469" s="43"/>
      <c r="D469" s="51" t="e">
        <f t="shared" si="7"/>
        <v>#N/A</v>
      </c>
      <c r="F469" s="50">
        <v>10.9</v>
      </c>
    </row>
    <row r="470" spans="1:6" x14ac:dyDescent="0.3">
      <c r="A470" s="42" t="s">
        <v>436</v>
      </c>
      <c r="B470" s="43">
        <v>91170</v>
      </c>
      <c r="C470" s="43"/>
      <c r="D470" s="51" t="e">
        <f t="shared" si="7"/>
        <v>#N/A</v>
      </c>
      <c r="F470" s="50">
        <v>10.9</v>
      </c>
    </row>
    <row r="471" spans="1:6" x14ac:dyDescent="0.3">
      <c r="A471" s="42" t="s">
        <v>436</v>
      </c>
      <c r="B471" s="43">
        <v>799</v>
      </c>
      <c r="C471" s="43">
        <v>100000</v>
      </c>
      <c r="D471" s="51">
        <f t="shared" si="7"/>
        <v>0.94657286846895594</v>
      </c>
      <c r="F471" s="50">
        <v>10.9</v>
      </c>
    </row>
    <row r="472" spans="1:6" x14ac:dyDescent="0.3">
      <c r="A472" s="42">
        <v>422185</v>
      </c>
      <c r="B472" s="43">
        <v>550</v>
      </c>
      <c r="C472" s="43">
        <v>3000</v>
      </c>
      <c r="D472" s="51">
        <f t="shared" si="7"/>
        <v>0.29727915871862404</v>
      </c>
      <c r="F472" s="50">
        <v>10.9</v>
      </c>
    </row>
    <row r="473" spans="1:6" x14ac:dyDescent="0.3">
      <c r="A473" s="42">
        <v>422185</v>
      </c>
      <c r="B473" s="43">
        <v>671302</v>
      </c>
      <c r="C473" s="43"/>
      <c r="D473" s="51" t="e">
        <f t="shared" si="7"/>
        <v>#REF!</v>
      </c>
      <c r="F473" s="50">
        <v>10.9</v>
      </c>
    </row>
    <row r="474" spans="1:6" x14ac:dyDescent="0.3">
      <c r="A474" s="42">
        <v>422185</v>
      </c>
      <c r="B474" s="43">
        <v>31568</v>
      </c>
      <c r="C474" s="43"/>
      <c r="D474" s="51" t="e">
        <f t="shared" si="7"/>
        <v>#N/A</v>
      </c>
      <c r="F474" s="50">
        <v>10.9</v>
      </c>
    </row>
    <row r="475" spans="1:6" x14ac:dyDescent="0.3">
      <c r="A475" s="42">
        <v>422185</v>
      </c>
      <c r="B475" s="43">
        <v>799</v>
      </c>
      <c r="C475" s="43">
        <v>0</v>
      </c>
      <c r="D475" s="51">
        <f t="shared" si="7"/>
        <v>0.94657286846895594</v>
      </c>
      <c r="F475" s="50">
        <v>10.9</v>
      </c>
    </row>
    <row r="476" spans="1:6" x14ac:dyDescent="0.3">
      <c r="A476" s="42">
        <v>422185</v>
      </c>
      <c r="B476" s="43">
        <v>782</v>
      </c>
      <c r="C476" s="43">
        <v>1000</v>
      </c>
      <c r="D476" s="51">
        <f t="shared" si="7"/>
        <v>0.9528158796643651</v>
      </c>
      <c r="F476" s="50">
        <v>10.9</v>
      </c>
    </row>
    <row r="477" spans="1:6" x14ac:dyDescent="0.3">
      <c r="A477" s="42" t="s">
        <v>161</v>
      </c>
      <c r="B477" s="43">
        <v>550</v>
      </c>
      <c r="C477" s="43">
        <v>3000</v>
      </c>
      <c r="D477" s="51">
        <f t="shared" si="7"/>
        <v>0.29727915871862404</v>
      </c>
      <c r="F477" s="50">
        <v>10.9</v>
      </c>
    </row>
    <row r="478" spans="1:6" x14ac:dyDescent="0.3">
      <c r="A478" s="42" t="s">
        <v>161</v>
      </c>
      <c r="B478" s="43">
        <v>671330</v>
      </c>
      <c r="C478" s="43"/>
      <c r="D478" s="51" t="e">
        <f t="shared" si="7"/>
        <v>#REF!</v>
      </c>
      <c r="F478" s="50">
        <v>10.9</v>
      </c>
    </row>
    <row r="479" spans="1:6" x14ac:dyDescent="0.3">
      <c r="A479" s="42" t="s">
        <v>161</v>
      </c>
      <c r="B479" s="43">
        <v>31568</v>
      </c>
      <c r="C479" s="43"/>
      <c r="D479" s="51" t="e">
        <f t="shared" si="7"/>
        <v>#N/A</v>
      </c>
      <c r="F479" s="50">
        <v>10.9</v>
      </c>
    </row>
    <row r="480" spans="1:6" x14ac:dyDescent="0.3">
      <c r="A480" s="42" t="s">
        <v>161</v>
      </c>
      <c r="B480" s="43">
        <v>799</v>
      </c>
      <c r="C480" s="43">
        <v>0</v>
      </c>
      <c r="D480" s="51">
        <f t="shared" si="7"/>
        <v>0.94657286846895594</v>
      </c>
      <c r="F480" s="50">
        <v>10.9</v>
      </c>
    </row>
    <row r="481" spans="1:6" x14ac:dyDescent="0.3">
      <c r="A481" s="42" t="s">
        <v>161</v>
      </c>
      <c r="B481" s="43">
        <v>799</v>
      </c>
      <c r="C481" s="43">
        <v>530</v>
      </c>
      <c r="D481" s="51">
        <f t="shared" si="7"/>
        <v>0.94657286846895594</v>
      </c>
      <c r="F481" s="50">
        <v>10.9</v>
      </c>
    </row>
    <row r="482" spans="1:6" x14ac:dyDescent="0.3">
      <c r="A482" s="42">
        <v>422262</v>
      </c>
      <c r="B482" s="43">
        <v>500</v>
      </c>
      <c r="C482" s="43">
        <v>6000</v>
      </c>
      <c r="D482" s="51">
        <f t="shared" si="7"/>
        <v>0.31003371442296568</v>
      </c>
      <c r="F482" s="50">
        <v>10.9</v>
      </c>
    </row>
    <row r="483" spans="1:6" x14ac:dyDescent="0.3">
      <c r="A483" s="42">
        <v>422262</v>
      </c>
      <c r="B483" s="43">
        <v>2700</v>
      </c>
      <c r="C483" s="43">
        <v>20000</v>
      </c>
      <c r="D483" s="51">
        <f t="shared" si="7"/>
        <v>0.95856377880310994</v>
      </c>
      <c r="F483" s="50">
        <v>10.9</v>
      </c>
    </row>
    <row r="484" spans="1:6" x14ac:dyDescent="0.3">
      <c r="A484" s="42">
        <v>422262</v>
      </c>
      <c r="B484" s="43">
        <v>777</v>
      </c>
      <c r="C484" s="43">
        <v>40000</v>
      </c>
      <c r="D484" s="51">
        <f t="shared" si="7"/>
        <v>0.97115107221848251</v>
      </c>
      <c r="F484" s="50">
        <v>10.9</v>
      </c>
    </row>
    <row r="485" spans="1:6" x14ac:dyDescent="0.3">
      <c r="A485" s="42">
        <v>422297</v>
      </c>
      <c r="B485" s="43">
        <v>500</v>
      </c>
      <c r="C485" s="43">
        <v>36000</v>
      </c>
      <c r="D485" s="51">
        <f t="shared" si="7"/>
        <v>0.31003371442296568</v>
      </c>
      <c r="F485" s="50">
        <v>10.9</v>
      </c>
    </row>
    <row r="486" spans="1:6" x14ac:dyDescent="0.3">
      <c r="A486" s="42">
        <v>422297</v>
      </c>
      <c r="B486" s="43">
        <v>782</v>
      </c>
      <c r="C486" s="43">
        <v>15000</v>
      </c>
      <c r="D486" s="51">
        <f t="shared" si="7"/>
        <v>0.9528158796643651</v>
      </c>
      <c r="F486" s="50">
        <v>10.9</v>
      </c>
    </row>
    <row r="487" spans="1:6" x14ac:dyDescent="0.3">
      <c r="A487" s="42">
        <v>422297</v>
      </c>
      <c r="B487" s="43">
        <v>2700</v>
      </c>
      <c r="C487" s="43">
        <v>60000</v>
      </c>
      <c r="D487" s="51">
        <f t="shared" si="7"/>
        <v>0.95856377880310994</v>
      </c>
      <c r="F487" s="50">
        <v>10.9</v>
      </c>
    </row>
    <row r="488" spans="1:6" x14ac:dyDescent="0.3">
      <c r="A488" s="42">
        <v>422297</v>
      </c>
      <c r="B488" s="43">
        <v>776</v>
      </c>
      <c r="C488" s="43">
        <v>70000</v>
      </c>
      <c r="D488" s="51">
        <f t="shared" si="7"/>
        <v>0.81520632683423377</v>
      </c>
      <c r="F488" s="50">
        <v>10.9</v>
      </c>
    </row>
    <row r="489" spans="1:6" x14ac:dyDescent="0.3">
      <c r="A489" s="42" t="s">
        <v>164</v>
      </c>
      <c r="B489" s="43">
        <v>521</v>
      </c>
      <c r="C489" s="43">
        <v>7200</v>
      </c>
      <c r="D489" s="51">
        <f t="shared" si="7"/>
        <v>0.51119480265152517</v>
      </c>
      <c r="F489" s="50">
        <v>10.9</v>
      </c>
    </row>
    <row r="490" spans="1:6" x14ac:dyDescent="0.3">
      <c r="A490" s="42" t="s">
        <v>164</v>
      </c>
      <c r="B490" s="43">
        <v>910</v>
      </c>
      <c r="C490" s="43">
        <v>3600</v>
      </c>
      <c r="D490" s="51">
        <f t="shared" si="7"/>
        <v>0.98980878134129691</v>
      </c>
      <c r="F490" s="50">
        <v>10.9</v>
      </c>
    </row>
    <row r="491" spans="1:6" x14ac:dyDescent="0.3">
      <c r="A491" s="42" t="s">
        <v>164</v>
      </c>
      <c r="B491" s="43">
        <v>50014</v>
      </c>
      <c r="C491" s="43"/>
      <c r="D491" s="51" t="e">
        <f t="shared" si="7"/>
        <v>#N/A</v>
      </c>
      <c r="F491" s="50">
        <v>10.9</v>
      </c>
    </row>
    <row r="492" spans="1:6" x14ac:dyDescent="0.3">
      <c r="A492" s="42" t="s">
        <v>164</v>
      </c>
      <c r="B492" s="43">
        <v>799</v>
      </c>
      <c r="C492" s="43"/>
      <c r="D492" s="51">
        <f t="shared" si="7"/>
        <v>0.94657286846895594</v>
      </c>
      <c r="F492" s="50">
        <v>10.9</v>
      </c>
    </row>
    <row r="493" spans="1:6" x14ac:dyDescent="0.3">
      <c r="A493" s="42" t="s">
        <v>164</v>
      </c>
      <c r="B493" s="43">
        <v>782</v>
      </c>
      <c r="C493" s="43">
        <v>2000</v>
      </c>
      <c r="D493" s="51">
        <f t="shared" si="7"/>
        <v>0.9528158796643651</v>
      </c>
      <c r="F493" s="50">
        <v>10.9</v>
      </c>
    </row>
    <row r="494" spans="1:6" x14ac:dyDescent="0.3">
      <c r="A494" s="42" t="s">
        <v>165</v>
      </c>
      <c r="B494" s="43">
        <v>521</v>
      </c>
      <c r="C494" s="43">
        <v>7200</v>
      </c>
      <c r="D494" s="51">
        <f t="shared" si="7"/>
        <v>0.51119480265152517</v>
      </c>
      <c r="F494" s="50">
        <v>10.9</v>
      </c>
    </row>
    <row r="495" spans="1:6" x14ac:dyDescent="0.3">
      <c r="A495" s="42" t="s">
        <v>165</v>
      </c>
      <c r="B495" s="43">
        <v>910</v>
      </c>
      <c r="C495" s="43">
        <v>3600</v>
      </c>
      <c r="D495" s="51">
        <f t="shared" si="7"/>
        <v>0.98980878134129691</v>
      </c>
      <c r="F495" s="50">
        <v>10.9</v>
      </c>
    </row>
    <row r="496" spans="1:6" x14ac:dyDescent="0.3">
      <c r="A496" s="42" t="s">
        <v>165</v>
      </c>
      <c r="B496" s="43">
        <v>50014</v>
      </c>
      <c r="C496" s="43"/>
      <c r="D496" s="51" t="e">
        <f t="shared" si="7"/>
        <v>#N/A</v>
      </c>
      <c r="F496" s="50">
        <v>10.9</v>
      </c>
    </row>
    <row r="497" spans="1:6" x14ac:dyDescent="0.3">
      <c r="A497" s="42" t="s">
        <v>165</v>
      </c>
      <c r="B497" s="43">
        <v>799</v>
      </c>
      <c r="C497" s="43"/>
      <c r="D497" s="51">
        <f t="shared" si="7"/>
        <v>0.94657286846895594</v>
      </c>
      <c r="F497" s="50">
        <v>10.9</v>
      </c>
    </row>
    <row r="498" spans="1:6" x14ac:dyDescent="0.3">
      <c r="A498" s="42" t="s">
        <v>165</v>
      </c>
      <c r="B498" s="43">
        <v>782</v>
      </c>
      <c r="C498" s="43">
        <v>2000</v>
      </c>
      <c r="D498" s="51">
        <f t="shared" si="7"/>
        <v>0.9528158796643651</v>
      </c>
      <c r="F498" s="50">
        <v>10.9</v>
      </c>
    </row>
    <row r="499" spans="1:6" x14ac:dyDescent="0.3">
      <c r="A499" s="42">
        <v>422420</v>
      </c>
      <c r="B499" s="43">
        <v>500</v>
      </c>
      <c r="C499" s="43">
        <v>5000</v>
      </c>
      <c r="D499" s="51">
        <f t="shared" si="7"/>
        <v>0.31003371442296568</v>
      </c>
      <c r="F499" s="50">
        <v>10.9</v>
      </c>
    </row>
    <row r="500" spans="1:6" x14ac:dyDescent="0.3">
      <c r="A500" s="42">
        <v>422420</v>
      </c>
      <c r="B500" s="43">
        <v>2700</v>
      </c>
      <c r="C500" s="43">
        <v>15000</v>
      </c>
      <c r="D500" s="51">
        <f t="shared" si="7"/>
        <v>0.95856377880310994</v>
      </c>
      <c r="F500" s="50">
        <v>10.9</v>
      </c>
    </row>
    <row r="501" spans="1:6" x14ac:dyDescent="0.3">
      <c r="A501" s="42">
        <v>422420</v>
      </c>
      <c r="B501" s="43">
        <v>782</v>
      </c>
      <c r="C501" s="43">
        <v>1000</v>
      </c>
      <c r="D501" s="51">
        <f t="shared" si="7"/>
        <v>0.9528158796643651</v>
      </c>
      <c r="F501" s="50">
        <v>10.9</v>
      </c>
    </row>
    <row r="502" spans="1:6" x14ac:dyDescent="0.3">
      <c r="A502" s="42" t="s">
        <v>452</v>
      </c>
      <c r="B502" s="43">
        <v>500</v>
      </c>
      <c r="C502" s="43">
        <v>6000</v>
      </c>
      <c r="D502" s="51">
        <f t="shared" si="7"/>
        <v>0.31003371442296568</v>
      </c>
      <c r="F502" s="50">
        <v>10.9</v>
      </c>
    </row>
    <row r="503" spans="1:6" x14ac:dyDescent="0.3">
      <c r="A503" s="42" t="s">
        <v>452</v>
      </c>
      <c r="B503" s="43">
        <v>799</v>
      </c>
      <c r="C503" s="43"/>
      <c r="D503" s="51">
        <f t="shared" si="7"/>
        <v>0.94657286846895594</v>
      </c>
      <c r="F503" s="50">
        <v>10.9</v>
      </c>
    </row>
    <row r="504" spans="1:6" x14ac:dyDescent="0.3">
      <c r="A504" s="42" t="s">
        <v>452</v>
      </c>
      <c r="B504" s="43">
        <v>782</v>
      </c>
      <c r="C504" s="43">
        <v>5000</v>
      </c>
      <c r="D504" s="51">
        <f t="shared" si="7"/>
        <v>0.9528158796643651</v>
      </c>
      <c r="F504" s="50">
        <v>10.9</v>
      </c>
    </row>
    <row r="505" spans="1:6" x14ac:dyDescent="0.3">
      <c r="A505" s="42" t="s">
        <v>453</v>
      </c>
      <c r="B505" s="43">
        <v>500</v>
      </c>
      <c r="C505" s="43">
        <v>6000</v>
      </c>
      <c r="D505" s="51">
        <f t="shared" si="7"/>
        <v>0.31003371442296568</v>
      </c>
      <c r="F505" s="50">
        <v>10.9</v>
      </c>
    </row>
    <row r="506" spans="1:6" x14ac:dyDescent="0.3">
      <c r="A506" s="42" t="s">
        <v>453</v>
      </c>
      <c r="B506" s="43">
        <v>799</v>
      </c>
      <c r="C506" s="43">
        <v>5000</v>
      </c>
      <c r="D506" s="51">
        <f t="shared" si="7"/>
        <v>0.94657286846895594</v>
      </c>
      <c r="F506" s="50">
        <v>10.9</v>
      </c>
    </row>
    <row r="507" spans="1:6" x14ac:dyDescent="0.3">
      <c r="A507" s="42">
        <v>422443</v>
      </c>
      <c r="B507" s="43">
        <v>523</v>
      </c>
      <c r="C507" s="43">
        <v>4000</v>
      </c>
      <c r="D507" s="51">
        <f t="shared" si="7"/>
        <v>0.31679259040366015</v>
      </c>
      <c r="F507" s="50">
        <v>10.9</v>
      </c>
    </row>
    <row r="508" spans="1:6" x14ac:dyDescent="0.3">
      <c r="A508" s="42">
        <v>422443</v>
      </c>
      <c r="B508" s="43">
        <v>913</v>
      </c>
      <c r="C508" s="43">
        <v>4000</v>
      </c>
      <c r="D508" s="51">
        <f t="shared" si="7"/>
        <v>0.97828204176478195</v>
      </c>
      <c r="F508" s="50">
        <v>10.9</v>
      </c>
    </row>
    <row r="509" spans="1:6" x14ac:dyDescent="0.3">
      <c r="A509" s="42">
        <v>422443</v>
      </c>
      <c r="B509" s="43">
        <v>799</v>
      </c>
      <c r="C509" s="43"/>
      <c r="D509" s="51">
        <f t="shared" si="7"/>
        <v>0.94657286846895594</v>
      </c>
      <c r="F509" s="50">
        <v>10.9</v>
      </c>
    </row>
    <row r="510" spans="1:6" x14ac:dyDescent="0.3">
      <c r="A510" s="42">
        <v>422443</v>
      </c>
      <c r="B510" s="43">
        <v>799</v>
      </c>
      <c r="C510" s="43"/>
      <c r="D510" s="51">
        <f t="shared" si="7"/>
        <v>0.94657286846895594</v>
      </c>
      <c r="F510" s="50">
        <v>10.9</v>
      </c>
    </row>
    <row r="511" spans="1:6" x14ac:dyDescent="0.3">
      <c r="A511" s="42">
        <v>422443</v>
      </c>
      <c r="B511" s="43">
        <v>782</v>
      </c>
      <c r="C511" s="43">
        <v>1000</v>
      </c>
      <c r="D511" s="51">
        <f t="shared" si="7"/>
        <v>0.9528158796643651</v>
      </c>
      <c r="F511" s="50">
        <v>10.9</v>
      </c>
    </row>
    <row r="512" spans="1:6" x14ac:dyDescent="0.3">
      <c r="A512" s="42">
        <v>422443</v>
      </c>
      <c r="B512" s="43">
        <v>2700</v>
      </c>
      <c r="C512" s="43">
        <v>10000</v>
      </c>
      <c r="D512" s="51">
        <f t="shared" si="7"/>
        <v>0.95856377880310994</v>
      </c>
      <c r="F512" s="50">
        <v>10.9</v>
      </c>
    </row>
    <row r="513" spans="1:6" x14ac:dyDescent="0.3">
      <c r="A513" s="42">
        <v>422443</v>
      </c>
      <c r="B513" s="43">
        <v>777</v>
      </c>
      <c r="C513" s="43">
        <v>20000</v>
      </c>
      <c r="D513" s="51">
        <f t="shared" si="7"/>
        <v>0.97115107221848251</v>
      </c>
      <c r="F513" s="50">
        <v>10.9</v>
      </c>
    </row>
    <row r="514" spans="1:6" x14ac:dyDescent="0.3">
      <c r="A514" s="42">
        <v>422444</v>
      </c>
      <c r="B514" s="43">
        <v>523</v>
      </c>
      <c r="C514" s="43">
        <v>4000</v>
      </c>
      <c r="D514" s="51">
        <f t="shared" ref="D514:D577" si="8">VLOOKUP(B514,E:F,2,0)</f>
        <v>0.31679259040366015</v>
      </c>
      <c r="F514" s="50">
        <v>10.9</v>
      </c>
    </row>
    <row r="515" spans="1:6" x14ac:dyDescent="0.3">
      <c r="A515" s="42">
        <v>422444</v>
      </c>
      <c r="B515" s="43">
        <v>913</v>
      </c>
      <c r="C515" s="43">
        <v>4000</v>
      </c>
      <c r="D515" s="51">
        <f t="shared" si="8"/>
        <v>0.97828204176478195</v>
      </c>
      <c r="F515" s="50">
        <v>10.9</v>
      </c>
    </row>
    <row r="516" spans="1:6" x14ac:dyDescent="0.3">
      <c r="A516" s="42">
        <v>422444</v>
      </c>
      <c r="B516" s="43">
        <v>799</v>
      </c>
      <c r="C516" s="43"/>
      <c r="D516" s="51">
        <f t="shared" si="8"/>
        <v>0.94657286846895594</v>
      </c>
      <c r="F516" s="50">
        <v>10.9</v>
      </c>
    </row>
    <row r="517" spans="1:6" x14ac:dyDescent="0.3">
      <c r="A517" s="42">
        <v>422444</v>
      </c>
      <c r="B517" s="43">
        <v>799</v>
      </c>
      <c r="C517" s="43"/>
      <c r="D517" s="51">
        <f t="shared" si="8"/>
        <v>0.94657286846895594</v>
      </c>
      <c r="F517" s="50">
        <v>10.9</v>
      </c>
    </row>
    <row r="518" spans="1:6" x14ac:dyDescent="0.3">
      <c r="A518" s="42">
        <v>422444</v>
      </c>
      <c r="B518" s="43">
        <v>782</v>
      </c>
      <c r="C518" s="43">
        <v>1000</v>
      </c>
      <c r="D518" s="51">
        <f t="shared" si="8"/>
        <v>0.9528158796643651</v>
      </c>
      <c r="F518" s="50">
        <v>10.9</v>
      </c>
    </row>
    <row r="519" spans="1:6" x14ac:dyDescent="0.3">
      <c r="A519" s="42">
        <v>422444</v>
      </c>
      <c r="B519" s="43">
        <v>2700</v>
      </c>
      <c r="C519" s="43">
        <v>10000</v>
      </c>
      <c r="D519" s="51">
        <f t="shared" si="8"/>
        <v>0.95856377880310994</v>
      </c>
      <c r="F519" s="50">
        <v>10.9</v>
      </c>
    </row>
    <row r="520" spans="1:6" x14ac:dyDescent="0.3">
      <c r="A520" s="42">
        <v>422444</v>
      </c>
      <c r="B520" s="43">
        <v>777</v>
      </c>
      <c r="C520" s="43">
        <v>20000</v>
      </c>
      <c r="D520" s="51">
        <f t="shared" si="8"/>
        <v>0.97115107221848251</v>
      </c>
      <c r="F520" s="50">
        <v>10.9</v>
      </c>
    </row>
    <row r="521" spans="1:6" x14ac:dyDescent="0.3">
      <c r="A521" s="42">
        <v>422449</v>
      </c>
      <c r="B521" s="43">
        <v>504</v>
      </c>
      <c r="C521" s="43">
        <v>4000</v>
      </c>
      <c r="D521" s="51">
        <f t="shared" si="8"/>
        <v>0.68820280459344474</v>
      </c>
      <c r="F521" s="50">
        <v>10.9</v>
      </c>
    </row>
    <row r="522" spans="1:6" x14ac:dyDescent="0.3">
      <c r="A522" s="42">
        <v>422449</v>
      </c>
      <c r="B522" s="43">
        <v>910</v>
      </c>
      <c r="C522" s="43">
        <v>4000</v>
      </c>
      <c r="D522" s="51">
        <f t="shared" si="8"/>
        <v>0.98980878134129691</v>
      </c>
      <c r="F522" s="50">
        <v>10.9</v>
      </c>
    </row>
    <row r="523" spans="1:6" x14ac:dyDescent="0.3">
      <c r="A523" s="42">
        <v>422449</v>
      </c>
      <c r="B523" s="43">
        <v>2700</v>
      </c>
      <c r="C523" s="43">
        <v>30000</v>
      </c>
      <c r="D523" s="51">
        <f t="shared" si="8"/>
        <v>0.95856377880310994</v>
      </c>
      <c r="F523" s="50">
        <v>10.9</v>
      </c>
    </row>
    <row r="524" spans="1:6" x14ac:dyDescent="0.3">
      <c r="A524" s="42">
        <v>422449</v>
      </c>
      <c r="B524" s="43">
        <v>777</v>
      </c>
      <c r="C524" s="43">
        <v>100000</v>
      </c>
      <c r="D524" s="51">
        <f t="shared" si="8"/>
        <v>0.97115107221848251</v>
      </c>
      <c r="F524" s="50">
        <v>10.9</v>
      </c>
    </row>
    <row r="525" spans="1:6" x14ac:dyDescent="0.3">
      <c r="A525" s="42">
        <v>422459</v>
      </c>
      <c r="B525" s="43">
        <v>500</v>
      </c>
      <c r="C525" s="43">
        <v>36000</v>
      </c>
      <c r="D525" s="51">
        <f t="shared" si="8"/>
        <v>0.31003371442296568</v>
      </c>
      <c r="F525" s="50">
        <v>10.9</v>
      </c>
    </row>
    <row r="526" spans="1:6" x14ac:dyDescent="0.3">
      <c r="A526" s="42">
        <v>422459</v>
      </c>
      <c r="B526" s="43">
        <v>782</v>
      </c>
      <c r="C526" s="43">
        <v>15000</v>
      </c>
      <c r="D526" s="51">
        <f t="shared" si="8"/>
        <v>0.9528158796643651</v>
      </c>
      <c r="F526" s="50">
        <v>10.9</v>
      </c>
    </row>
    <row r="527" spans="1:6" x14ac:dyDescent="0.3">
      <c r="A527" s="42">
        <v>422459</v>
      </c>
      <c r="B527" s="43">
        <v>2700</v>
      </c>
      <c r="C527" s="43">
        <v>30000</v>
      </c>
      <c r="D527" s="51">
        <f t="shared" si="8"/>
        <v>0.95856377880310994</v>
      </c>
      <c r="F527" s="50">
        <v>10.9</v>
      </c>
    </row>
    <row r="528" spans="1:6" x14ac:dyDescent="0.3">
      <c r="A528" s="42">
        <v>422459</v>
      </c>
      <c r="B528" s="43">
        <v>776</v>
      </c>
      <c r="C528" s="43">
        <v>70000</v>
      </c>
      <c r="D528" s="51">
        <f t="shared" si="8"/>
        <v>0.81520632683423377</v>
      </c>
      <c r="F528" s="50">
        <v>10.9</v>
      </c>
    </row>
    <row r="529" spans="1:6" x14ac:dyDescent="0.3">
      <c r="A529" s="42" t="s">
        <v>407</v>
      </c>
      <c r="B529" s="43">
        <v>550</v>
      </c>
      <c r="C529" s="43">
        <v>3000</v>
      </c>
      <c r="D529" s="51">
        <f t="shared" si="8"/>
        <v>0.29727915871862404</v>
      </c>
      <c r="F529" s="50">
        <v>10.9</v>
      </c>
    </row>
    <row r="530" spans="1:6" x14ac:dyDescent="0.3">
      <c r="A530" s="42" t="s">
        <v>407</v>
      </c>
      <c r="B530" s="43">
        <v>671302</v>
      </c>
      <c r="C530" s="43"/>
      <c r="D530" s="51" t="e">
        <f t="shared" si="8"/>
        <v>#REF!</v>
      </c>
      <c r="F530" s="50">
        <v>10.9</v>
      </c>
    </row>
    <row r="531" spans="1:6" x14ac:dyDescent="0.3">
      <c r="A531" s="42" t="s">
        <v>407</v>
      </c>
      <c r="B531" s="43">
        <v>31568</v>
      </c>
      <c r="C531" s="43"/>
      <c r="D531" s="51" t="e">
        <f t="shared" si="8"/>
        <v>#N/A</v>
      </c>
      <c r="F531" s="50">
        <v>10.9</v>
      </c>
    </row>
    <row r="532" spans="1:6" x14ac:dyDescent="0.3">
      <c r="A532" s="42" t="s">
        <v>407</v>
      </c>
      <c r="B532" s="43">
        <v>799</v>
      </c>
      <c r="C532" s="43">
        <v>100000</v>
      </c>
      <c r="D532" s="51">
        <f t="shared" si="8"/>
        <v>0.94657286846895594</v>
      </c>
      <c r="F532" s="50">
        <v>10.9</v>
      </c>
    </row>
    <row r="533" spans="1:6" x14ac:dyDescent="0.3">
      <c r="A533" s="42" t="s">
        <v>407</v>
      </c>
      <c r="B533" s="43">
        <v>782</v>
      </c>
      <c r="C533" s="43">
        <v>600</v>
      </c>
      <c r="D533" s="51">
        <f t="shared" si="8"/>
        <v>0.9528158796643651</v>
      </c>
      <c r="F533" s="50">
        <v>10.9</v>
      </c>
    </row>
    <row r="534" spans="1:6" x14ac:dyDescent="0.3">
      <c r="A534" s="42">
        <v>422470</v>
      </c>
      <c r="B534" s="43">
        <v>550</v>
      </c>
      <c r="C534" s="43">
        <v>6000</v>
      </c>
      <c r="D534" s="51">
        <f t="shared" si="8"/>
        <v>0.29727915871862404</v>
      </c>
      <c r="F534" s="50">
        <v>10.9</v>
      </c>
    </row>
    <row r="535" spans="1:6" x14ac:dyDescent="0.3">
      <c r="A535" s="42">
        <v>422470</v>
      </c>
      <c r="B535" s="43">
        <v>918</v>
      </c>
      <c r="C535" s="43">
        <v>6000</v>
      </c>
      <c r="D535" s="51">
        <f t="shared" si="8"/>
        <v>0.92025306726200806</v>
      </c>
      <c r="F535" s="50">
        <v>10.9</v>
      </c>
    </row>
    <row r="536" spans="1:6" x14ac:dyDescent="0.3">
      <c r="A536" s="42">
        <v>422470</v>
      </c>
      <c r="B536" s="43">
        <v>2700</v>
      </c>
      <c r="C536" s="43">
        <v>15000</v>
      </c>
      <c r="D536" s="51">
        <f t="shared" si="8"/>
        <v>0.95856377880310994</v>
      </c>
      <c r="F536" s="50">
        <v>10.9</v>
      </c>
    </row>
    <row r="537" spans="1:6" x14ac:dyDescent="0.3">
      <c r="A537" s="42">
        <v>422470</v>
      </c>
      <c r="B537" s="43">
        <v>799</v>
      </c>
      <c r="C537" s="43"/>
      <c r="D537" s="51">
        <f t="shared" si="8"/>
        <v>0.94657286846895594</v>
      </c>
      <c r="F537" s="50">
        <v>10.9</v>
      </c>
    </row>
    <row r="538" spans="1:6" x14ac:dyDescent="0.3">
      <c r="A538" s="42">
        <v>422470</v>
      </c>
      <c r="B538" s="43">
        <v>777</v>
      </c>
      <c r="C538" s="43">
        <v>30000</v>
      </c>
      <c r="D538" s="51">
        <f t="shared" si="8"/>
        <v>0.97115107221848251</v>
      </c>
      <c r="F538" s="50">
        <v>10.9</v>
      </c>
    </row>
    <row r="539" spans="1:6" x14ac:dyDescent="0.3">
      <c r="A539" s="42">
        <v>422480</v>
      </c>
      <c r="B539" s="43">
        <v>500</v>
      </c>
      <c r="C539" s="43">
        <v>4800</v>
      </c>
      <c r="D539" s="51">
        <f t="shared" si="8"/>
        <v>0.31003371442296568</v>
      </c>
      <c r="F539" s="50">
        <v>10.9</v>
      </c>
    </row>
    <row r="540" spans="1:6" x14ac:dyDescent="0.3">
      <c r="A540" s="42">
        <v>422480</v>
      </c>
      <c r="B540" s="43">
        <v>910</v>
      </c>
      <c r="C540" s="43">
        <v>4800</v>
      </c>
      <c r="D540" s="51">
        <f t="shared" si="8"/>
        <v>0.98980878134129691</v>
      </c>
      <c r="F540" s="50">
        <v>10.9</v>
      </c>
    </row>
    <row r="541" spans="1:6" x14ac:dyDescent="0.3">
      <c r="A541" s="42">
        <v>422480</v>
      </c>
      <c r="B541" s="43">
        <v>655</v>
      </c>
      <c r="C541" s="43">
        <v>375</v>
      </c>
      <c r="D541" s="51">
        <f t="shared" si="8"/>
        <v>0.40703314625541681</v>
      </c>
      <c r="F541" s="50">
        <v>10.9</v>
      </c>
    </row>
    <row r="542" spans="1:6" x14ac:dyDescent="0.3">
      <c r="A542" s="42">
        <v>422480</v>
      </c>
      <c r="B542" s="43">
        <v>794</v>
      </c>
      <c r="C542" s="43">
        <v>200000</v>
      </c>
      <c r="D542" s="51">
        <f t="shared" si="8"/>
        <v>0.36644639180194422</v>
      </c>
      <c r="F542" s="50">
        <v>10.9</v>
      </c>
    </row>
    <row r="543" spans="1:6" x14ac:dyDescent="0.3">
      <c r="A543" s="42">
        <v>422480</v>
      </c>
      <c r="B543" s="43">
        <v>728</v>
      </c>
      <c r="C543" s="43">
        <v>1000</v>
      </c>
      <c r="D543" s="51">
        <f t="shared" si="8"/>
        <v>0.98637968590336922</v>
      </c>
      <c r="F543" s="50">
        <v>10.9</v>
      </c>
    </row>
    <row r="544" spans="1:6" x14ac:dyDescent="0.3">
      <c r="A544" s="42">
        <v>422480</v>
      </c>
      <c r="B544" s="43">
        <v>782</v>
      </c>
      <c r="C544" s="43">
        <v>1300</v>
      </c>
      <c r="D544" s="51">
        <f t="shared" si="8"/>
        <v>0.9528158796643651</v>
      </c>
      <c r="F544" s="50">
        <v>10.9</v>
      </c>
    </row>
    <row r="545" spans="1:6" x14ac:dyDescent="0.3">
      <c r="A545" s="42">
        <v>422480</v>
      </c>
      <c r="B545" s="43">
        <v>782</v>
      </c>
      <c r="C545" s="43">
        <v>600</v>
      </c>
      <c r="D545" s="51">
        <f t="shared" si="8"/>
        <v>0.9528158796643651</v>
      </c>
      <c r="F545" s="50">
        <v>10.9</v>
      </c>
    </row>
    <row r="546" spans="1:6" x14ac:dyDescent="0.3">
      <c r="A546" s="42">
        <v>422481</v>
      </c>
      <c r="B546" s="43">
        <v>500</v>
      </c>
      <c r="C546" s="43">
        <v>4800</v>
      </c>
      <c r="D546" s="51">
        <f t="shared" si="8"/>
        <v>0.31003371442296568</v>
      </c>
      <c r="F546" s="50">
        <v>10.9</v>
      </c>
    </row>
    <row r="547" spans="1:6" x14ac:dyDescent="0.3">
      <c r="A547" s="42">
        <v>422481</v>
      </c>
      <c r="B547" s="43">
        <v>910</v>
      </c>
      <c r="C547" s="43">
        <v>4800</v>
      </c>
      <c r="D547" s="51">
        <f t="shared" si="8"/>
        <v>0.98980878134129691</v>
      </c>
      <c r="F547" s="50">
        <v>10.9</v>
      </c>
    </row>
    <row r="548" spans="1:6" x14ac:dyDescent="0.3">
      <c r="A548" s="42">
        <v>422481</v>
      </c>
      <c r="B548" s="43">
        <v>655</v>
      </c>
      <c r="C548" s="43">
        <v>500</v>
      </c>
      <c r="D548" s="51">
        <f t="shared" si="8"/>
        <v>0.40703314625541681</v>
      </c>
      <c r="F548" s="50">
        <v>10.9</v>
      </c>
    </row>
    <row r="549" spans="1:6" x14ac:dyDescent="0.3">
      <c r="A549" s="42">
        <v>422481</v>
      </c>
      <c r="B549" s="46">
        <v>794</v>
      </c>
      <c r="C549" s="43">
        <v>200000</v>
      </c>
      <c r="D549" s="51">
        <f t="shared" si="8"/>
        <v>0.36644639180194422</v>
      </c>
      <c r="F549" s="50">
        <v>10.9</v>
      </c>
    </row>
    <row r="550" spans="1:6" x14ac:dyDescent="0.3">
      <c r="A550" s="42">
        <v>422481</v>
      </c>
      <c r="B550" s="43">
        <v>728</v>
      </c>
      <c r="C550" s="43">
        <v>1000</v>
      </c>
      <c r="D550" s="51">
        <f t="shared" si="8"/>
        <v>0.98637968590336922</v>
      </c>
      <c r="F550" s="50">
        <v>10.9</v>
      </c>
    </row>
    <row r="551" spans="1:6" x14ac:dyDescent="0.3">
      <c r="A551" s="42">
        <v>422481</v>
      </c>
      <c r="B551" s="43">
        <v>782</v>
      </c>
      <c r="C551" s="43">
        <v>1300</v>
      </c>
      <c r="D551" s="51">
        <f t="shared" si="8"/>
        <v>0.9528158796643651</v>
      </c>
      <c r="F551" s="50">
        <v>10.9</v>
      </c>
    </row>
    <row r="552" spans="1:6" x14ac:dyDescent="0.3">
      <c r="A552" s="42">
        <v>422601</v>
      </c>
      <c r="B552" s="43">
        <v>500</v>
      </c>
      <c r="C552" s="43">
        <v>14000</v>
      </c>
      <c r="D552" s="51">
        <f t="shared" si="8"/>
        <v>0.31003371442296568</v>
      </c>
      <c r="F552" s="50">
        <v>10.9</v>
      </c>
    </row>
    <row r="553" spans="1:6" x14ac:dyDescent="0.3">
      <c r="A553" s="42">
        <v>422601</v>
      </c>
      <c r="B553" s="43">
        <v>3600</v>
      </c>
      <c r="C553" s="43">
        <v>50000</v>
      </c>
      <c r="D553" s="51">
        <f t="shared" si="8"/>
        <v>0.87527907802245908</v>
      </c>
      <c r="F553" s="50">
        <v>10.9</v>
      </c>
    </row>
    <row r="554" spans="1:6" x14ac:dyDescent="0.3">
      <c r="A554" s="42">
        <v>422601</v>
      </c>
      <c r="B554" s="43">
        <v>782</v>
      </c>
      <c r="C554" s="43">
        <v>1000</v>
      </c>
      <c r="D554" s="51">
        <f t="shared" si="8"/>
        <v>0.9528158796643651</v>
      </c>
      <c r="F554" s="50">
        <v>10.9</v>
      </c>
    </row>
    <row r="555" spans="1:6" x14ac:dyDescent="0.3">
      <c r="A555" s="42">
        <v>422601</v>
      </c>
      <c r="B555" s="43">
        <v>774</v>
      </c>
      <c r="C555" s="43">
        <v>100000</v>
      </c>
      <c r="D555" s="51">
        <f t="shared" si="8"/>
        <v>1</v>
      </c>
      <c r="F555" s="50">
        <v>10.9</v>
      </c>
    </row>
    <row r="556" spans="1:6" x14ac:dyDescent="0.3">
      <c r="A556" s="42" t="s">
        <v>438</v>
      </c>
      <c r="B556" s="43">
        <v>506</v>
      </c>
      <c r="C556" s="43">
        <v>2400</v>
      </c>
      <c r="D556" s="51">
        <f t="shared" si="8"/>
        <v>0.44878370206629176</v>
      </c>
      <c r="F556" s="50">
        <v>10.9</v>
      </c>
    </row>
    <row r="557" spans="1:6" x14ac:dyDescent="0.3">
      <c r="A557" s="42" t="s">
        <v>438</v>
      </c>
      <c r="B557" s="43">
        <v>782</v>
      </c>
      <c r="C557" s="43">
        <v>1000</v>
      </c>
      <c r="D557" s="51">
        <f t="shared" si="8"/>
        <v>0.9528158796643651</v>
      </c>
      <c r="F557" s="50">
        <v>10.9</v>
      </c>
    </row>
    <row r="558" spans="1:6" x14ac:dyDescent="0.3">
      <c r="A558" s="42" t="s">
        <v>438</v>
      </c>
      <c r="B558" s="43">
        <v>2700</v>
      </c>
      <c r="C558" s="43">
        <v>25000</v>
      </c>
      <c r="D558" s="51">
        <f t="shared" si="8"/>
        <v>0.95856377880310994</v>
      </c>
      <c r="F558" s="50">
        <v>10.9</v>
      </c>
    </row>
    <row r="559" spans="1:6" x14ac:dyDescent="0.3">
      <c r="A559" s="42" t="s">
        <v>438</v>
      </c>
      <c r="B559" s="43">
        <v>792</v>
      </c>
      <c r="C559" s="43">
        <v>800</v>
      </c>
      <c r="D559" s="51">
        <f t="shared" si="8"/>
        <v>0.84331110952491661</v>
      </c>
      <c r="F559" s="50">
        <v>10.9</v>
      </c>
    </row>
    <row r="560" spans="1:6" x14ac:dyDescent="0.3">
      <c r="A560" s="42" t="s">
        <v>438</v>
      </c>
      <c r="B560" s="43">
        <v>782</v>
      </c>
      <c r="C560" s="43">
        <v>50000</v>
      </c>
      <c r="D560" s="51">
        <f t="shared" si="8"/>
        <v>0.9528158796643651</v>
      </c>
      <c r="F560" s="50">
        <v>10.9</v>
      </c>
    </row>
    <row r="561" spans="1:6" x14ac:dyDescent="0.3">
      <c r="A561" s="42">
        <v>422769</v>
      </c>
      <c r="B561" s="43">
        <v>782</v>
      </c>
      <c r="C561" s="43">
        <v>500</v>
      </c>
      <c r="D561" s="51">
        <f t="shared" si="8"/>
        <v>0.9528158796643651</v>
      </c>
      <c r="F561" s="50">
        <v>10.9</v>
      </c>
    </row>
    <row r="562" spans="1:6" x14ac:dyDescent="0.3">
      <c r="A562" s="42">
        <v>422769</v>
      </c>
      <c r="B562" s="43">
        <v>799</v>
      </c>
      <c r="C562" s="43"/>
      <c r="D562" s="51">
        <f t="shared" si="8"/>
        <v>0.94657286846895594</v>
      </c>
      <c r="F562" s="50">
        <v>10.9</v>
      </c>
    </row>
    <row r="563" spans="1:6" x14ac:dyDescent="0.3">
      <c r="A563" s="42">
        <v>450072</v>
      </c>
      <c r="B563" s="43">
        <v>452</v>
      </c>
      <c r="C563" s="43">
        <v>600</v>
      </c>
      <c r="D563" s="51">
        <f t="shared" si="8"/>
        <v>0.74384356298175025</v>
      </c>
      <c r="F563" s="50">
        <v>10.9</v>
      </c>
    </row>
    <row r="564" spans="1:6" x14ac:dyDescent="0.3">
      <c r="A564" s="42">
        <v>450072</v>
      </c>
      <c r="B564" s="43">
        <v>910</v>
      </c>
      <c r="C564" s="43">
        <v>600</v>
      </c>
      <c r="D564" s="51">
        <f t="shared" si="8"/>
        <v>0.98980878134129691</v>
      </c>
      <c r="F564" s="50">
        <v>10.9</v>
      </c>
    </row>
    <row r="565" spans="1:6" x14ac:dyDescent="0.3">
      <c r="A565" s="42" t="s">
        <v>174</v>
      </c>
      <c r="B565" s="43">
        <v>452</v>
      </c>
      <c r="C565" s="43">
        <v>600</v>
      </c>
      <c r="D565" s="51">
        <f t="shared" si="8"/>
        <v>0.74384356298175025</v>
      </c>
      <c r="F565" s="50">
        <v>10.9</v>
      </c>
    </row>
    <row r="566" spans="1:6" x14ac:dyDescent="0.3">
      <c r="A566" s="42" t="s">
        <v>174</v>
      </c>
      <c r="B566" s="43">
        <v>910</v>
      </c>
      <c r="C566" s="43">
        <v>600</v>
      </c>
      <c r="D566" s="51">
        <f t="shared" si="8"/>
        <v>0.98980878134129691</v>
      </c>
      <c r="F566" s="50">
        <v>10.9</v>
      </c>
    </row>
    <row r="567" spans="1:6" x14ac:dyDescent="0.3">
      <c r="A567" s="42" t="s">
        <v>175</v>
      </c>
      <c r="B567" s="43">
        <v>221</v>
      </c>
      <c r="C567" s="43">
        <v>700</v>
      </c>
      <c r="D567" s="51">
        <f t="shared" si="8"/>
        <v>0.86451773785099451</v>
      </c>
      <c r="F567" s="50">
        <v>10.9</v>
      </c>
    </row>
    <row r="568" spans="1:6" x14ac:dyDescent="0.3">
      <c r="A568" s="42" t="s">
        <v>175</v>
      </c>
      <c r="B568" s="43">
        <v>916</v>
      </c>
      <c r="C568" s="43">
        <v>100000</v>
      </c>
      <c r="D568" s="51">
        <f t="shared" si="8"/>
        <v>0.79896960148178731</v>
      </c>
      <c r="F568" s="50">
        <v>10.9</v>
      </c>
    </row>
    <row r="569" spans="1:6" x14ac:dyDescent="0.3">
      <c r="A569" s="42" t="s">
        <v>175</v>
      </c>
      <c r="B569" s="43">
        <v>270</v>
      </c>
      <c r="C569" s="43">
        <v>1000</v>
      </c>
      <c r="D569" s="51">
        <f t="shared" si="8"/>
        <v>0.5994991091348586</v>
      </c>
      <c r="F569" s="50">
        <v>10.9</v>
      </c>
    </row>
    <row r="570" spans="1:6" x14ac:dyDescent="0.3">
      <c r="A570" s="42" t="s">
        <v>175</v>
      </c>
      <c r="B570" s="43">
        <v>780</v>
      </c>
      <c r="C570" s="43">
        <v>3000</v>
      </c>
      <c r="D570" s="51">
        <f t="shared" si="8"/>
        <v>0.84056678392667161</v>
      </c>
      <c r="F570" s="50">
        <v>10.9</v>
      </c>
    </row>
    <row r="571" spans="1:6" x14ac:dyDescent="0.3">
      <c r="A571" s="42">
        <v>450179</v>
      </c>
      <c r="B571" s="43">
        <v>122</v>
      </c>
      <c r="C571" s="43">
        <v>7000</v>
      </c>
      <c r="D571" s="51">
        <f t="shared" si="8"/>
        <v>0.72509988568394079</v>
      </c>
      <c r="F571" s="50">
        <v>10.9</v>
      </c>
    </row>
    <row r="572" spans="1:6" x14ac:dyDescent="0.3">
      <c r="A572" s="42">
        <v>450179</v>
      </c>
      <c r="B572" s="43">
        <v>917</v>
      </c>
      <c r="C572" s="43">
        <v>7000</v>
      </c>
      <c r="D572" s="51">
        <f t="shared" si="8"/>
        <v>0.98064988733083158</v>
      </c>
      <c r="F572" s="50">
        <v>10.9</v>
      </c>
    </row>
    <row r="573" spans="1:6" x14ac:dyDescent="0.3">
      <c r="A573" s="42" t="s">
        <v>179</v>
      </c>
      <c r="B573" s="43">
        <v>142</v>
      </c>
      <c r="C573" s="43">
        <v>10000</v>
      </c>
      <c r="D573" s="51">
        <f t="shared" si="8"/>
        <v>0.73372191503301964</v>
      </c>
      <c r="F573" s="50">
        <v>10.9</v>
      </c>
    </row>
    <row r="574" spans="1:6" x14ac:dyDescent="0.3">
      <c r="A574" s="42" t="s">
        <v>179</v>
      </c>
      <c r="B574" s="43">
        <v>798</v>
      </c>
      <c r="C574" s="43">
        <v>10000</v>
      </c>
      <c r="D574" s="51">
        <f t="shared" si="8"/>
        <v>0.98201053946219186</v>
      </c>
      <c r="F574" s="50">
        <v>10.9</v>
      </c>
    </row>
    <row r="575" spans="1:6" x14ac:dyDescent="0.3">
      <c r="A575" s="42" t="s">
        <v>179</v>
      </c>
      <c r="B575" s="43">
        <v>910</v>
      </c>
      <c r="C575" s="43">
        <v>10000</v>
      </c>
      <c r="D575" s="51">
        <f t="shared" si="8"/>
        <v>0.98980878134129691</v>
      </c>
      <c r="F575" s="50">
        <v>10.9</v>
      </c>
    </row>
    <row r="576" spans="1:6" x14ac:dyDescent="0.3">
      <c r="A576" s="42" t="s">
        <v>179</v>
      </c>
      <c r="B576" s="43">
        <v>2000</v>
      </c>
      <c r="C576" s="43">
        <v>246000</v>
      </c>
      <c r="D576" s="51">
        <f t="shared" si="8"/>
        <v>0.93535875888817066</v>
      </c>
      <c r="F576" s="50">
        <v>10.9</v>
      </c>
    </row>
    <row r="577" spans="1:6" x14ac:dyDescent="0.3">
      <c r="A577" s="42" t="s">
        <v>179</v>
      </c>
      <c r="B577" s="43">
        <v>750</v>
      </c>
      <c r="C577" s="43">
        <v>6000</v>
      </c>
      <c r="D577" s="51">
        <f t="shared" si="8"/>
        <v>0.82058595435750881</v>
      </c>
      <c r="F577" s="50">
        <v>10.9</v>
      </c>
    </row>
    <row r="578" spans="1:6" x14ac:dyDescent="0.3">
      <c r="A578" s="42">
        <v>450348</v>
      </c>
      <c r="B578" s="43">
        <v>122</v>
      </c>
      <c r="C578" s="43">
        <v>2200</v>
      </c>
      <c r="D578" s="51">
        <f t="shared" ref="D578:D641" si="9">VLOOKUP(B578,E:F,2,0)</f>
        <v>0.72509988568394079</v>
      </c>
      <c r="F578" s="50">
        <v>10.9</v>
      </c>
    </row>
    <row r="579" spans="1:6" x14ac:dyDescent="0.3">
      <c r="A579" s="42">
        <v>450348</v>
      </c>
      <c r="B579" s="43">
        <v>917</v>
      </c>
      <c r="C579" s="43">
        <v>2200</v>
      </c>
      <c r="D579" s="51">
        <f t="shared" si="9"/>
        <v>0.98064988733083158</v>
      </c>
      <c r="F579" s="50">
        <v>10.9</v>
      </c>
    </row>
    <row r="580" spans="1:6" x14ac:dyDescent="0.3">
      <c r="A580" s="42" t="s">
        <v>181</v>
      </c>
      <c r="B580" s="43">
        <v>142</v>
      </c>
      <c r="C580" s="43">
        <v>10000</v>
      </c>
      <c r="D580" s="51">
        <f t="shared" si="9"/>
        <v>0.73372191503301964</v>
      </c>
      <c r="F580" s="50">
        <v>10.9</v>
      </c>
    </row>
    <row r="581" spans="1:6" x14ac:dyDescent="0.3">
      <c r="A581" s="42" t="s">
        <v>181</v>
      </c>
      <c r="B581" s="43">
        <v>798</v>
      </c>
      <c r="C581" s="43">
        <v>10000</v>
      </c>
      <c r="D581" s="51">
        <f t="shared" si="9"/>
        <v>0.98201053946219186</v>
      </c>
      <c r="F581" s="50">
        <v>10.9</v>
      </c>
    </row>
    <row r="582" spans="1:6" x14ac:dyDescent="0.3">
      <c r="A582" s="42" t="s">
        <v>181</v>
      </c>
      <c r="B582" s="43">
        <v>910</v>
      </c>
      <c r="C582" s="43">
        <v>10000</v>
      </c>
      <c r="D582" s="51">
        <f t="shared" si="9"/>
        <v>0.98980878134129691</v>
      </c>
      <c r="F582" s="50">
        <v>10.9</v>
      </c>
    </row>
    <row r="583" spans="1:6" x14ac:dyDescent="0.3">
      <c r="A583" s="42" t="s">
        <v>181</v>
      </c>
      <c r="B583" s="43">
        <v>2000</v>
      </c>
      <c r="C583" s="43">
        <v>246000</v>
      </c>
      <c r="D583" s="51">
        <f t="shared" si="9"/>
        <v>0.93535875888817066</v>
      </c>
      <c r="F583" s="50">
        <v>10.9</v>
      </c>
    </row>
    <row r="584" spans="1:6" x14ac:dyDescent="0.3">
      <c r="A584" s="42" t="s">
        <v>181</v>
      </c>
      <c r="B584" s="43">
        <v>750</v>
      </c>
      <c r="C584" s="43">
        <v>5000</v>
      </c>
      <c r="D584" s="51">
        <f t="shared" si="9"/>
        <v>0.82058595435750881</v>
      </c>
      <c r="F584" s="50">
        <v>10.9</v>
      </c>
    </row>
    <row r="585" spans="1:6" x14ac:dyDescent="0.3">
      <c r="A585" s="42">
        <v>450431</v>
      </c>
      <c r="B585" s="43">
        <v>142</v>
      </c>
      <c r="C585" s="43">
        <v>8000</v>
      </c>
      <c r="D585" s="51">
        <f t="shared" si="9"/>
        <v>0.73372191503301964</v>
      </c>
      <c r="F585" s="50">
        <v>10.9</v>
      </c>
    </row>
    <row r="586" spans="1:6" x14ac:dyDescent="0.3">
      <c r="A586" s="42">
        <v>450431</v>
      </c>
      <c r="B586" s="43">
        <v>798</v>
      </c>
      <c r="C586" s="43">
        <v>8000</v>
      </c>
      <c r="D586" s="51">
        <f t="shared" si="9"/>
        <v>0.98201053946219186</v>
      </c>
      <c r="F586" s="50">
        <v>10.9</v>
      </c>
    </row>
    <row r="587" spans="1:6" x14ac:dyDescent="0.3">
      <c r="A587" s="42">
        <v>450431</v>
      </c>
      <c r="B587" s="43">
        <v>910</v>
      </c>
      <c r="C587" s="43">
        <v>8000</v>
      </c>
      <c r="D587" s="51">
        <f t="shared" si="9"/>
        <v>0.98980878134129691</v>
      </c>
      <c r="F587" s="50">
        <v>10.9</v>
      </c>
    </row>
    <row r="588" spans="1:6" x14ac:dyDescent="0.3">
      <c r="A588" s="42">
        <v>450431</v>
      </c>
      <c r="B588" s="43">
        <v>2000</v>
      </c>
      <c r="C588" s="43">
        <v>201000</v>
      </c>
      <c r="D588" s="51">
        <f t="shared" si="9"/>
        <v>0.93535875888817066</v>
      </c>
      <c r="F588" s="50">
        <v>10.9</v>
      </c>
    </row>
    <row r="589" spans="1:6" x14ac:dyDescent="0.3">
      <c r="A589" s="42">
        <v>450431</v>
      </c>
      <c r="B589" s="43">
        <v>750</v>
      </c>
      <c r="C589" s="43">
        <v>5000</v>
      </c>
      <c r="D589" s="51">
        <f t="shared" si="9"/>
        <v>0.82058595435750881</v>
      </c>
      <c r="F589" s="50">
        <v>10.9</v>
      </c>
    </row>
    <row r="590" spans="1:6" x14ac:dyDescent="0.3">
      <c r="A590" s="42" t="s">
        <v>183</v>
      </c>
      <c r="B590" s="43">
        <v>142</v>
      </c>
      <c r="C590" s="43">
        <v>8000</v>
      </c>
      <c r="D590" s="51">
        <f t="shared" si="9"/>
        <v>0.73372191503301964</v>
      </c>
      <c r="F590" s="50">
        <v>10.9</v>
      </c>
    </row>
    <row r="591" spans="1:6" x14ac:dyDescent="0.3">
      <c r="A591" s="42" t="s">
        <v>183</v>
      </c>
      <c r="B591" s="43">
        <v>798</v>
      </c>
      <c r="C591" s="43">
        <v>8000</v>
      </c>
      <c r="D591" s="51">
        <f t="shared" si="9"/>
        <v>0.98201053946219186</v>
      </c>
      <c r="F591" s="50">
        <v>10.9</v>
      </c>
    </row>
    <row r="592" spans="1:6" x14ac:dyDescent="0.3">
      <c r="A592" s="42" t="s">
        <v>183</v>
      </c>
      <c r="B592" s="43">
        <v>910</v>
      </c>
      <c r="C592" s="43">
        <v>8000</v>
      </c>
      <c r="D592" s="51">
        <f t="shared" si="9"/>
        <v>0.98980878134129691</v>
      </c>
      <c r="F592" s="50">
        <v>10.9</v>
      </c>
    </row>
    <row r="593" spans="1:6" x14ac:dyDescent="0.3">
      <c r="A593" s="42" t="s">
        <v>183</v>
      </c>
      <c r="B593" s="43">
        <v>2000</v>
      </c>
      <c r="C593" s="43">
        <v>201000</v>
      </c>
      <c r="D593" s="51">
        <f t="shared" si="9"/>
        <v>0.93535875888817066</v>
      </c>
      <c r="F593" s="50">
        <v>10.9</v>
      </c>
    </row>
    <row r="594" spans="1:6" x14ac:dyDescent="0.3">
      <c r="A594" s="42" t="s">
        <v>183</v>
      </c>
      <c r="B594" s="43">
        <v>750</v>
      </c>
      <c r="C594" s="43">
        <v>5000</v>
      </c>
      <c r="D594" s="51">
        <f t="shared" si="9"/>
        <v>0.82058595435750881</v>
      </c>
      <c r="F594" s="50">
        <v>10.9</v>
      </c>
    </row>
    <row r="595" spans="1:6" x14ac:dyDescent="0.3">
      <c r="A595" s="42" t="s">
        <v>344</v>
      </c>
      <c r="B595" s="43">
        <v>142</v>
      </c>
      <c r="C595" s="43">
        <v>8000</v>
      </c>
      <c r="D595" s="51">
        <f t="shared" si="9"/>
        <v>0.73372191503301964</v>
      </c>
      <c r="F595" s="50">
        <v>10.9</v>
      </c>
    </row>
    <row r="596" spans="1:6" x14ac:dyDescent="0.3">
      <c r="A596" s="42" t="s">
        <v>344</v>
      </c>
      <c r="B596" s="43">
        <v>798</v>
      </c>
      <c r="C596" s="43">
        <v>8000</v>
      </c>
      <c r="D596" s="51">
        <f t="shared" si="9"/>
        <v>0.98201053946219186</v>
      </c>
      <c r="F596" s="50">
        <v>10.9</v>
      </c>
    </row>
    <row r="597" spans="1:6" x14ac:dyDescent="0.3">
      <c r="A597" s="42" t="s">
        <v>344</v>
      </c>
      <c r="B597" s="43">
        <v>910</v>
      </c>
      <c r="C597" s="43">
        <v>8000</v>
      </c>
      <c r="D597" s="51">
        <f t="shared" si="9"/>
        <v>0.98980878134129691</v>
      </c>
      <c r="F597" s="50">
        <v>10.9</v>
      </c>
    </row>
    <row r="598" spans="1:6" x14ac:dyDescent="0.3">
      <c r="A598" s="42" t="s">
        <v>344</v>
      </c>
      <c r="B598" s="43">
        <v>2000</v>
      </c>
      <c r="C598" s="43">
        <v>201000</v>
      </c>
      <c r="D598" s="51">
        <f t="shared" si="9"/>
        <v>0.93535875888817066</v>
      </c>
      <c r="F598" s="50">
        <v>10.9</v>
      </c>
    </row>
    <row r="599" spans="1:6" x14ac:dyDescent="0.3">
      <c r="A599" s="42" t="s">
        <v>344</v>
      </c>
      <c r="B599" s="43">
        <v>750</v>
      </c>
      <c r="C599" s="43">
        <v>5000</v>
      </c>
      <c r="D599" s="51">
        <f t="shared" si="9"/>
        <v>0.82058595435750881</v>
      </c>
      <c r="F599" s="50">
        <v>10.9</v>
      </c>
    </row>
    <row r="600" spans="1:6" x14ac:dyDescent="0.3">
      <c r="A600" s="42" t="s">
        <v>184</v>
      </c>
      <c r="B600" s="43">
        <v>142</v>
      </c>
      <c r="C600" s="43">
        <v>8000</v>
      </c>
      <c r="D600" s="51">
        <f t="shared" si="9"/>
        <v>0.73372191503301964</v>
      </c>
      <c r="F600" s="50">
        <v>10.9</v>
      </c>
    </row>
    <row r="601" spans="1:6" x14ac:dyDescent="0.3">
      <c r="A601" s="42" t="s">
        <v>184</v>
      </c>
      <c r="B601" s="43">
        <v>798</v>
      </c>
      <c r="C601" s="43">
        <v>8000</v>
      </c>
      <c r="D601" s="51">
        <f t="shared" si="9"/>
        <v>0.98201053946219186</v>
      </c>
      <c r="F601" s="50">
        <v>10.9</v>
      </c>
    </row>
    <row r="602" spans="1:6" x14ac:dyDescent="0.3">
      <c r="A602" s="42" t="s">
        <v>184</v>
      </c>
      <c r="B602" s="43">
        <v>910</v>
      </c>
      <c r="C602" s="43">
        <v>8000</v>
      </c>
      <c r="D602" s="51">
        <f t="shared" si="9"/>
        <v>0.98980878134129691</v>
      </c>
      <c r="F602" s="50">
        <v>10.9</v>
      </c>
    </row>
    <row r="603" spans="1:6" x14ac:dyDescent="0.3">
      <c r="A603" s="42" t="s">
        <v>184</v>
      </c>
      <c r="B603" s="43">
        <v>2000</v>
      </c>
      <c r="C603" s="43">
        <v>201000</v>
      </c>
      <c r="D603" s="51">
        <f t="shared" si="9"/>
        <v>0.93535875888817066</v>
      </c>
      <c r="F603" s="50">
        <v>10.9</v>
      </c>
    </row>
    <row r="604" spans="1:6" x14ac:dyDescent="0.3">
      <c r="A604" s="42" t="s">
        <v>184</v>
      </c>
      <c r="B604" s="43">
        <v>750</v>
      </c>
      <c r="C604" s="43">
        <v>5000</v>
      </c>
      <c r="D604" s="51">
        <f t="shared" si="9"/>
        <v>0.82058595435750881</v>
      </c>
      <c r="F604" s="50">
        <v>10.9</v>
      </c>
    </row>
    <row r="605" spans="1:6" x14ac:dyDescent="0.3">
      <c r="A605" s="42" t="s">
        <v>185</v>
      </c>
      <c r="B605" s="43">
        <v>401</v>
      </c>
      <c r="C605" s="43">
        <v>3000</v>
      </c>
      <c r="D605" s="51">
        <f t="shared" si="9"/>
        <v>0.54371925546744249</v>
      </c>
      <c r="F605" s="50">
        <v>10.9</v>
      </c>
    </row>
    <row r="606" spans="1:6" x14ac:dyDescent="0.3">
      <c r="A606" s="42" t="s">
        <v>185</v>
      </c>
      <c r="B606" s="43">
        <v>798</v>
      </c>
      <c r="C606" s="43">
        <v>3000</v>
      </c>
      <c r="D606" s="51">
        <f t="shared" si="9"/>
        <v>0.98201053946219186</v>
      </c>
      <c r="F606" s="50">
        <v>10.9</v>
      </c>
    </row>
    <row r="607" spans="1:6" x14ac:dyDescent="0.3">
      <c r="A607" s="42" t="s">
        <v>185</v>
      </c>
      <c r="B607" s="43">
        <v>910</v>
      </c>
      <c r="C607" s="43">
        <v>3000</v>
      </c>
      <c r="D607" s="51">
        <f t="shared" si="9"/>
        <v>0.98980878134129691</v>
      </c>
      <c r="F607" s="50">
        <v>10.9</v>
      </c>
    </row>
    <row r="608" spans="1:6" x14ac:dyDescent="0.3">
      <c r="A608" s="42" t="s">
        <v>185</v>
      </c>
      <c r="B608" s="43">
        <v>2000</v>
      </c>
      <c r="C608" s="43">
        <v>222000</v>
      </c>
      <c r="D608" s="51">
        <f t="shared" si="9"/>
        <v>0.93535875888817066</v>
      </c>
      <c r="F608" s="50">
        <v>10.9</v>
      </c>
    </row>
    <row r="609" spans="1:6" x14ac:dyDescent="0.3">
      <c r="A609" s="42" t="s">
        <v>185</v>
      </c>
      <c r="B609" s="43">
        <v>750</v>
      </c>
      <c r="C609" s="43">
        <v>4000</v>
      </c>
      <c r="D609" s="51">
        <f t="shared" si="9"/>
        <v>0.82058595435750881</v>
      </c>
      <c r="F609" s="50">
        <v>10.9</v>
      </c>
    </row>
    <row r="610" spans="1:6" x14ac:dyDescent="0.3">
      <c r="A610" s="42">
        <v>450636</v>
      </c>
      <c r="B610" s="43">
        <v>142</v>
      </c>
      <c r="C610" s="43">
        <v>8000</v>
      </c>
      <c r="D610" s="51">
        <f t="shared" si="9"/>
        <v>0.73372191503301964</v>
      </c>
      <c r="F610" s="50">
        <v>10.9</v>
      </c>
    </row>
    <row r="611" spans="1:6" x14ac:dyDescent="0.3">
      <c r="A611" s="42">
        <v>450636</v>
      </c>
      <c r="B611" s="43">
        <v>910</v>
      </c>
      <c r="C611" s="43">
        <v>8000</v>
      </c>
      <c r="D611" s="51">
        <f t="shared" si="9"/>
        <v>0.98980878134129691</v>
      </c>
      <c r="F611" s="50">
        <v>10.9</v>
      </c>
    </row>
    <row r="612" spans="1:6" x14ac:dyDescent="0.3">
      <c r="A612" s="42">
        <v>450636</v>
      </c>
      <c r="B612" s="43">
        <v>2700</v>
      </c>
      <c r="C612" s="43">
        <v>10000</v>
      </c>
      <c r="D612" s="51">
        <f t="shared" si="9"/>
        <v>0.95856377880310994</v>
      </c>
      <c r="F612" s="50">
        <v>10.9</v>
      </c>
    </row>
    <row r="613" spans="1:6" x14ac:dyDescent="0.3">
      <c r="A613" s="42">
        <v>450636</v>
      </c>
      <c r="B613" s="43">
        <v>777</v>
      </c>
      <c r="C613" s="43">
        <v>10000</v>
      </c>
      <c r="D613" s="51">
        <f t="shared" si="9"/>
        <v>0.97115107221848251</v>
      </c>
      <c r="F613" s="50">
        <v>10.9</v>
      </c>
    </row>
    <row r="614" spans="1:6" x14ac:dyDescent="0.3">
      <c r="A614" s="42">
        <v>450647</v>
      </c>
      <c r="B614" s="43">
        <v>142</v>
      </c>
      <c r="C614" s="43">
        <v>8000</v>
      </c>
      <c r="D614" s="51">
        <f t="shared" si="9"/>
        <v>0.73372191503301964</v>
      </c>
      <c r="F614" s="50">
        <v>10.9</v>
      </c>
    </row>
    <row r="615" spans="1:6" x14ac:dyDescent="0.3">
      <c r="A615" s="42">
        <v>450647</v>
      </c>
      <c r="B615" s="43">
        <v>798</v>
      </c>
      <c r="C615" s="43">
        <v>8000</v>
      </c>
      <c r="D615" s="51">
        <f t="shared" si="9"/>
        <v>0.98201053946219186</v>
      </c>
      <c r="F615" s="50">
        <v>10.9</v>
      </c>
    </row>
    <row r="616" spans="1:6" x14ac:dyDescent="0.3">
      <c r="A616" s="42">
        <v>450647</v>
      </c>
      <c r="B616" s="43">
        <v>910</v>
      </c>
      <c r="C616" s="43">
        <v>8000</v>
      </c>
      <c r="D616" s="51">
        <f t="shared" si="9"/>
        <v>0.98980878134129691</v>
      </c>
      <c r="F616" s="50">
        <v>10.9</v>
      </c>
    </row>
    <row r="617" spans="1:6" x14ac:dyDescent="0.3">
      <c r="A617" s="44">
        <v>450647</v>
      </c>
      <c r="B617" s="43">
        <v>2700</v>
      </c>
      <c r="C617" s="43">
        <v>10000</v>
      </c>
      <c r="D617" s="51">
        <f t="shared" si="9"/>
        <v>0.95856377880310994</v>
      </c>
      <c r="F617" s="50">
        <v>10.9</v>
      </c>
    </row>
    <row r="618" spans="1:6" x14ac:dyDescent="0.3">
      <c r="A618" s="42">
        <v>450647</v>
      </c>
      <c r="B618" s="43">
        <v>750</v>
      </c>
      <c r="C618" s="43">
        <v>6000</v>
      </c>
      <c r="D618" s="51">
        <f t="shared" si="9"/>
        <v>0.82058595435750881</v>
      </c>
      <c r="F618" s="50">
        <v>10.9</v>
      </c>
    </row>
    <row r="619" spans="1:6" x14ac:dyDescent="0.3">
      <c r="A619" s="42">
        <v>450829</v>
      </c>
      <c r="B619" s="43">
        <v>455</v>
      </c>
      <c r="C619" s="43">
        <v>500</v>
      </c>
      <c r="D619" s="51">
        <f t="shared" si="9"/>
        <v>0.71840222382598762</v>
      </c>
      <c r="F619" s="50">
        <v>10.9</v>
      </c>
    </row>
    <row r="620" spans="1:6" x14ac:dyDescent="0.3">
      <c r="A620" s="42">
        <v>450829</v>
      </c>
      <c r="B620" s="43">
        <v>910</v>
      </c>
      <c r="C620" s="43">
        <v>500</v>
      </c>
      <c r="D620" s="51">
        <f t="shared" si="9"/>
        <v>0.98980878134129691</v>
      </c>
      <c r="F620" s="50">
        <v>10.9</v>
      </c>
    </row>
    <row r="621" spans="1:6" x14ac:dyDescent="0.3">
      <c r="A621" s="42">
        <v>450962</v>
      </c>
      <c r="B621" s="43">
        <v>142</v>
      </c>
      <c r="C621" s="43">
        <v>8000</v>
      </c>
      <c r="D621" s="51">
        <f t="shared" si="9"/>
        <v>0.73372191503301964</v>
      </c>
      <c r="F621" s="50">
        <v>10.9</v>
      </c>
    </row>
    <row r="622" spans="1:6" x14ac:dyDescent="0.3">
      <c r="A622" s="42">
        <v>450962</v>
      </c>
      <c r="B622" s="43">
        <v>798</v>
      </c>
      <c r="C622" s="43">
        <v>8000</v>
      </c>
      <c r="D622" s="51">
        <f t="shared" si="9"/>
        <v>0.98201053946219186</v>
      </c>
      <c r="F622" s="50">
        <v>10.9</v>
      </c>
    </row>
    <row r="623" spans="1:6" x14ac:dyDescent="0.3">
      <c r="A623" s="42">
        <v>450962</v>
      </c>
      <c r="B623" s="43">
        <v>910</v>
      </c>
      <c r="C623" s="43">
        <v>8000</v>
      </c>
      <c r="D623" s="51">
        <f t="shared" si="9"/>
        <v>0.98980878134129691</v>
      </c>
      <c r="F623" s="50">
        <v>10.9</v>
      </c>
    </row>
    <row r="624" spans="1:6" x14ac:dyDescent="0.3">
      <c r="A624" s="42">
        <v>450962</v>
      </c>
      <c r="B624" s="43">
        <v>2000</v>
      </c>
      <c r="C624" s="43">
        <v>177000</v>
      </c>
      <c r="D624" s="51">
        <f t="shared" si="9"/>
        <v>0.93535875888817066</v>
      </c>
      <c r="F624" s="50">
        <v>10.9</v>
      </c>
    </row>
    <row r="625" spans="1:6" x14ac:dyDescent="0.3">
      <c r="A625" s="42">
        <v>450962</v>
      </c>
      <c r="B625" s="43">
        <v>750</v>
      </c>
      <c r="C625" s="43">
        <v>5000</v>
      </c>
      <c r="D625" s="51">
        <f t="shared" si="9"/>
        <v>0.82058595435750881</v>
      </c>
      <c r="F625" s="50">
        <v>10.9</v>
      </c>
    </row>
    <row r="626" spans="1:6" x14ac:dyDescent="0.3">
      <c r="A626" s="42">
        <v>451002</v>
      </c>
      <c r="B626" s="43">
        <v>127</v>
      </c>
      <c r="C626" s="43">
        <v>700</v>
      </c>
      <c r="D626" s="51">
        <f t="shared" si="9"/>
        <v>0.772139856764963</v>
      </c>
      <c r="F626" s="50">
        <v>10.9</v>
      </c>
    </row>
    <row r="627" spans="1:6" x14ac:dyDescent="0.3">
      <c r="A627" s="42">
        <v>451002</v>
      </c>
      <c r="B627" s="43">
        <v>799</v>
      </c>
      <c r="C627" s="43">
        <v>700</v>
      </c>
      <c r="D627" s="51">
        <f t="shared" si="9"/>
        <v>0.94657286846895594</v>
      </c>
      <c r="F627" s="50">
        <v>10.9</v>
      </c>
    </row>
    <row r="628" spans="1:6" x14ac:dyDescent="0.3">
      <c r="A628" s="42" t="s">
        <v>193</v>
      </c>
      <c r="B628" s="43">
        <v>142</v>
      </c>
      <c r="C628" s="43">
        <v>10000</v>
      </c>
      <c r="D628" s="51">
        <f t="shared" si="9"/>
        <v>0.73372191503301964</v>
      </c>
      <c r="F628" s="50">
        <v>10.9</v>
      </c>
    </row>
    <row r="629" spans="1:6" x14ac:dyDescent="0.3">
      <c r="A629" s="42" t="s">
        <v>193</v>
      </c>
      <c r="B629" s="43">
        <v>798</v>
      </c>
      <c r="C629" s="43">
        <v>10000</v>
      </c>
      <c r="D629" s="51">
        <f t="shared" si="9"/>
        <v>0.98201053946219186</v>
      </c>
      <c r="F629" s="50">
        <v>10.9</v>
      </c>
    </row>
    <row r="630" spans="1:6" x14ac:dyDescent="0.3">
      <c r="A630" s="42" t="s">
        <v>193</v>
      </c>
      <c r="B630" s="43">
        <v>910</v>
      </c>
      <c r="C630" s="43">
        <v>10000</v>
      </c>
      <c r="D630" s="51">
        <f t="shared" si="9"/>
        <v>0.98980878134129691</v>
      </c>
      <c r="F630" s="50">
        <v>10.9</v>
      </c>
    </row>
    <row r="631" spans="1:6" x14ac:dyDescent="0.3">
      <c r="A631" s="42" t="s">
        <v>193</v>
      </c>
      <c r="B631" s="43">
        <v>2000</v>
      </c>
      <c r="C631" s="43">
        <v>246000</v>
      </c>
      <c r="D631" s="51">
        <f t="shared" si="9"/>
        <v>0.93535875888817066</v>
      </c>
      <c r="F631" s="50">
        <v>10.9</v>
      </c>
    </row>
    <row r="632" spans="1:6" x14ac:dyDescent="0.3">
      <c r="A632" s="42" t="s">
        <v>193</v>
      </c>
      <c r="B632" s="43">
        <v>750</v>
      </c>
      <c r="C632" s="43">
        <v>5000</v>
      </c>
      <c r="D632" s="51">
        <f t="shared" si="9"/>
        <v>0.82058595435750881</v>
      </c>
      <c r="F632" s="50">
        <v>10.9</v>
      </c>
    </row>
    <row r="633" spans="1:6" x14ac:dyDescent="0.3">
      <c r="A633" s="42" t="s">
        <v>194</v>
      </c>
      <c r="B633" s="43">
        <v>136</v>
      </c>
      <c r="C633" s="43">
        <v>5000</v>
      </c>
      <c r="D633" s="51">
        <f t="shared" si="9"/>
        <v>0.73107264335751254</v>
      </c>
      <c r="F633" s="50">
        <v>10.9</v>
      </c>
    </row>
    <row r="634" spans="1:6" x14ac:dyDescent="0.3">
      <c r="A634" s="42" t="s">
        <v>194</v>
      </c>
      <c r="B634" s="43">
        <v>912</v>
      </c>
      <c r="C634" s="43">
        <v>5000</v>
      </c>
      <c r="D634" s="51">
        <f t="shared" si="9"/>
        <v>0.96217424475646141</v>
      </c>
      <c r="F634" s="50">
        <v>10.9</v>
      </c>
    </row>
    <row r="635" spans="1:6" x14ac:dyDescent="0.3">
      <c r="A635" s="42" t="s">
        <v>195</v>
      </c>
      <c r="B635" s="43">
        <v>124</v>
      </c>
      <c r="C635" s="43">
        <v>3500</v>
      </c>
      <c r="D635" s="51">
        <f t="shared" si="9"/>
        <v>0.76056338028169013</v>
      </c>
      <c r="F635" s="50">
        <v>10.9</v>
      </c>
    </row>
    <row r="636" spans="1:6" x14ac:dyDescent="0.3">
      <c r="A636" s="42" t="s">
        <v>195</v>
      </c>
      <c r="B636" s="43">
        <v>910</v>
      </c>
      <c r="C636" s="43">
        <v>3500</v>
      </c>
      <c r="D636" s="51">
        <f t="shared" si="9"/>
        <v>0.98980878134129691</v>
      </c>
      <c r="F636" s="50">
        <v>10.9</v>
      </c>
    </row>
    <row r="637" spans="1:6" x14ac:dyDescent="0.3">
      <c r="A637" s="42" t="s">
        <v>195</v>
      </c>
      <c r="B637" s="43">
        <v>655</v>
      </c>
      <c r="C637" s="43">
        <v>7000</v>
      </c>
      <c r="D637" s="51">
        <f t="shared" si="9"/>
        <v>0.40703314625541681</v>
      </c>
      <c r="F637" s="50">
        <v>10.9</v>
      </c>
    </row>
    <row r="638" spans="1:6" x14ac:dyDescent="0.3">
      <c r="A638" s="42" t="s">
        <v>195</v>
      </c>
      <c r="B638" s="43">
        <v>783</v>
      </c>
      <c r="C638" s="43">
        <v>20000</v>
      </c>
      <c r="D638" s="51">
        <f t="shared" si="9"/>
        <v>0.89869496347256517</v>
      </c>
      <c r="F638" s="50">
        <v>10.9</v>
      </c>
    </row>
    <row r="639" spans="1:6" x14ac:dyDescent="0.3">
      <c r="A639" s="42" t="s">
        <v>195</v>
      </c>
      <c r="B639" s="43">
        <v>777</v>
      </c>
      <c r="C639" s="43">
        <v>10000</v>
      </c>
      <c r="D639" s="51">
        <f t="shared" si="9"/>
        <v>0.97115107221848251</v>
      </c>
      <c r="F639" s="50">
        <v>10.9</v>
      </c>
    </row>
    <row r="640" spans="1:6" x14ac:dyDescent="0.3">
      <c r="A640" s="42" t="s">
        <v>196</v>
      </c>
      <c r="B640" s="43">
        <v>417</v>
      </c>
      <c r="C640" s="43">
        <v>3500</v>
      </c>
      <c r="D640" s="51">
        <f t="shared" si="9"/>
        <v>0.58636197761627973</v>
      </c>
      <c r="F640" s="50">
        <v>10.9</v>
      </c>
    </row>
    <row r="641" spans="1:6" x14ac:dyDescent="0.3">
      <c r="A641" s="42">
        <v>451383</v>
      </c>
      <c r="B641" s="43">
        <v>506</v>
      </c>
      <c r="C641" s="43">
        <v>4800</v>
      </c>
      <c r="D641" s="51">
        <f t="shared" si="9"/>
        <v>0.44878370206629176</v>
      </c>
      <c r="F641" s="50">
        <v>10.9</v>
      </c>
    </row>
    <row r="642" spans="1:6" x14ac:dyDescent="0.3">
      <c r="A642" s="42">
        <v>451383</v>
      </c>
      <c r="B642" s="43">
        <v>910</v>
      </c>
      <c r="C642" s="43">
        <v>4800</v>
      </c>
      <c r="D642" s="51">
        <f t="shared" ref="D642:D705" si="10">VLOOKUP(B642,E:F,2,0)</f>
        <v>0.98980878134129691</v>
      </c>
      <c r="F642" s="50">
        <v>10.9</v>
      </c>
    </row>
    <row r="643" spans="1:6" x14ac:dyDescent="0.3">
      <c r="A643" s="42">
        <v>451383</v>
      </c>
      <c r="B643" s="43">
        <v>3600</v>
      </c>
      <c r="C643" s="43">
        <v>70000</v>
      </c>
      <c r="D643" s="51">
        <f t="shared" si="10"/>
        <v>0.87527907802245908</v>
      </c>
      <c r="F643" s="50">
        <v>10.9</v>
      </c>
    </row>
    <row r="644" spans="1:6" x14ac:dyDescent="0.3">
      <c r="A644" s="42">
        <v>451384</v>
      </c>
      <c r="B644" s="43">
        <v>504</v>
      </c>
      <c r="C644" s="43">
        <v>4800</v>
      </c>
      <c r="D644" s="51">
        <f t="shared" si="10"/>
        <v>0.68820280459344474</v>
      </c>
      <c r="F644" s="50">
        <v>10.9</v>
      </c>
    </row>
    <row r="645" spans="1:6" x14ac:dyDescent="0.3">
      <c r="A645" s="42">
        <v>451384</v>
      </c>
      <c r="B645" s="43">
        <v>910</v>
      </c>
      <c r="C645" s="43">
        <v>4800</v>
      </c>
      <c r="D645" s="51">
        <f t="shared" si="10"/>
        <v>0.98980878134129691</v>
      </c>
      <c r="F645" s="50">
        <v>10.9</v>
      </c>
    </row>
    <row r="646" spans="1:6" x14ac:dyDescent="0.3">
      <c r="A646" s="42">
        <v>451384</v>
      </c>
      <c r="B646" s="43">
        <v>3600</v>
      </c>
      <c r="C646" s="43">
        <v>70000</v>
      </c>
      <c r="D646" s="51">
        <f t="shared" si="10"/>
        <v>0.87527907802245908</v>
      </c>
      <c r="F646" s="50">
        <v>10.9</v>
      </c>
    </row>
    <row r="647" spans="1:6" x14ac:dyDescent="0.3">
      <c r="A647" s="42">
        <v>451384</v>
      </c>
      <c r="B647" s="43">
        <v>777</v>
      </c>
      <c r="C647" s="43">
        <v>100000</v>
      </c>
      <c r="D647" s="51">
        <f t="shared" si="10"/>
        <v>0.97115107221848251</v>
      </c>
      <c r="F647" s="50">
        <v>10.9</v>
      </c>
    </row>
    <row r="648" spans="1:6" x14ac:dyDescent="0.3">
      <c r="A648" s="42">
        <v>451400</v>
      </c>
      <c r="B648" s="43">
        <v>136</v>
      </c>
      <c r="C648" s="43">
        <v>5000</v>
      </c>
      <c r="D648" s="51">
        <f t="shared" si="10"/>
        <v>0.73107264335751254</v>
      </c>
      <c r="F648" s="50">
        <v>10.9</v>
      </c>
    </row>
    <row r="649" spans="1:6" x14ac:dyDescent="0.3">
      <c r="A649" s="42">
        <v>451400</v>
      </c>
      <c r="B649" s="43">
        <v>910</v>
      </c>
      <c r="C649" s="43">
        <v>5000</v>
      </c>
      <c r="D649" s="51">
        <f t="shared" si="10"/>
        <v>0.98980878134129691</v>
      </c>
      <c r="F649" s="50">
        <v>10.9</v>
      </c>
    </row>
    <row r="650" spans="1:6" x14ac:dyDescent="0.3">
      <c r="A650" s="42">
        <v>451401</v>
      </c>
      <c r="B650" s="43">
        <v>136</v>
      </c>
      <c r="C650" s="43">
        <v>4000</v>
      </c>
      <c r="D650" s="51">
        <f t="shared" si="10"/>
        <v>0.73107264335751254</v>
      </c>
      <c r="F650" s="50">
        <v>10.9</v>
      </c>
    </row>
    <row r="651" spans="1:6" x14ac:dyDescent="0.3">
      <c r="A651" s="42">
        <v>451401</v>
      </c>
      <c r="B651" s="43">
        <v>910</v>
      </c>
      <c r="C651" s="43">
        <v>4000</v>
      </c>
      <c r="D651" s="51">
        <f t="shared" si="10"/>
        <v>0.98980878134129691</v>
      </c>
      <c r="F651" s="50">
        <v>10.9</v>
      </c>
    </row>
    <row r="652" spans="1:6" x14ac:dyDescent="0.3">
      <c r="A652" s="42" t="s">
        <v>474</v>
      </c>
      <c r="B652" s="43">
        <v>212</v>
      </c>
      <c r="C652" s="43">
        <v>600</v>
      </c>
      <c r="D652" s="51">
        <f t="shared" si="10"/>
        <v>0.91115887131188655</v>
      </c>
      <c r="F652" s="50">
        <v>10.9</v>
      </c>
    </row>
    <row r="653" spans="1:6" x14ac:dyDescent="0.3">
      <c r="A653" s="42" t="s">
        <v>474</v>
      </c>
      <c r="B653" s="43">
        <v>916</v>
      </c>
      <c r="C653" s="43">
        <v>100000</v>
      </c>
      <c r="D653" s="51">
        <f t="shared" si="10"/>
        <v>0.79896960148178731</v>
      </c>
      <c r="F653" s="50">
        <v>10.9</v>
      </c>
    </row>
    <row r="654" spans="1:6" x14ac:dyDescent="0.3">
      <c r="A654" s="42" t="s">
        <v>474</v>
      </c>
      <c r="B654" s="43">
        <v>270</v>
      </c>
      <c r="C654" s="43">
        <v>1000</v>
      </c>
      <c r="D654" s="51">
        <f t="shared" si="10"/>
        <v>0.5994991091348586</v>
      </c>
      <c r="F654" s="50">
        <v>10.9</v>
      </c>
    </row>
    <row r="655" spans="1:6" x14ac:dyDescent="0.3">
      <c r="A655" s="42" t="s">
        <v>474</v>
      </c>
      <c r="B655" s="43">
        <v>780</v>
      </c>
      <c r="C655" s="43">
        <v>3000</v>
      </c>
      <c r="D655" s="51">
        <f t="shared" si="10"/>
        <v>0.84056678392667161</v>
      </c>
      <c r="F655" s="50">
        <v>10.9</v>
      </c>
    </row>
    <row r="656" spans="1:6" x14ac:dyDescent="0.3">
      <c r="A656" s="42" t="s">
        <v>197</v>
      </c>
      <c r="B656" s="43">
        <v>136</v>
      </c>
      <c r="C656" s="43">
        <v>4500</v>
      </c>
      <c r="D656" s="51">
        <f t="shared" si="10"/>
        <v>0.73107264335751254</v>
      </c>
      <c r="F656" s="50">
        <v>10.9</v>
      </c>
    </row>
    <row r="657" spans="1:6" x14ac:dyDescent="0.3">
      <c r="A657" s="42" t="s">
        <v>197</v>
      </c>
      <c r="B657" s="43">
        <v>910</v>
      </c>
      <c r="C657" s="43">
        <v>4500</v>
      </c>
      <c r="D657" s="51">
        <f t="shared" si="10"/>
        <v>0.98980878134129691</v>
      </c>
      <c r="F657" s="50">
        <v>10.9</v>
      </c>
    </row>
    <row r="658" spans="1:6" x14ac:dyDescent="0.3">
      <c r="A658" s="42" t="s">
        <v>387</v>
      </c>
      <c r="B658" s="43">
        <v>213</v>
      </c>
      <c r="C658" s="43">
        <v>1300</v>
      </c>
      <c r="D658" s="51">
        <f t="shared" si="10"/>
        <v>0.89211414217378293</v>
      </c>
      <c r="F658" s="50">
        <v>10.9</v>
      </c>
    </row>
    <row r="659" spans="1:6" x14ac:dyDescent="0.3">
      <c r="A659" s="42" t="s">
        <v>387</v>
      </c>
      <c r="B659" s="43">
        <v>916</v>
      </c>
      <c r="C659" s="43">
        <v>100000</v>
      </c>
      <c r="D659" s="51">
        <f t="shared" si="10"/>
        <v>0.79896960148178731</v>
      </c>
      <c r="F659" s="50">
        <v>10.9</v>
      </c>
    </row>
    <row r="660" spans="1:6" x14ac:dyDescent="0.3">
      <c r="A660" s="42" t="s">
        <v>387</v>
      </c>
      <c r="B660" s="43">
        <v>266</v>
      </c>
      <c r="C660" s="43">
        <v>2300</v>
      </c>
      <c r="D660" s="51">
        <f t="shared" si="10"/>
        <v>0.84702959767415587</v>
      </c>
      <c r="F660" s="50">
        <v>10.9</v>
      </c>
    </row>
    <row r="661" spans="1:6" x14ac:dyDescent="0.3">
      <c r="A661" s="42" t="s">
        <v>387</v>
      </c>
      <c r="B661" s="43">
        <v>724</v>
      </c>
      <c r="C661" s="43">
        <v>100000</v>
      </c>
      <c r="D661" s="51">
        <f t="shared" si="10"/>
        <v>0.96268545084111112</v>
      </c>
      <c r="F661" s="50">
        <v>10.9</v>
      </c>
    </row>
    <row r="662" spans="1:6" x14ac:dyDescent="0.3">
      <c r="A662" s="42" t="s">
        <v>200</v>
      </c>
      <c r="B662" s="43">
        <v>211</v>
      </c>
      <c r="C662" s="43">
        <v>1000</v>
      </c>
      <c r="D662" s="51">
        <f t="shared" si="10"/>
        <v>0.7340150113753876</v>
      </c>
      <c r="F662" s="50">
        <v>10.9</v>
      </c>
    </row>
    <row r="663" spans="1:6" x14ac:dyDescent="0.3">
      <c r="A663" s="42" t="s">
        <v>200</v>
      </c>
      <c r="B663" s="43">
        <v>916</v>
      </c>
      <c r="C663" s="43">
        <v>100000</v>
      </c>
      <c r="D663" s="51">
        <f t="shared" si="10"/>
        <v>0.79896960148178731</v>
      </c>
      <c r="F663" s="50">
        <v>10.9</v>
      </c>
    </row>
    <row r="664" spans="1:6" x14ac:dyDescent="0.3">
      <c r="A664" s="42" t="s">
        <v>200</v>
      </c>
      <c r="B664" s="43">
        <v>270</v>
      </c>
      <c r="C664" s="43">
        <v>2000</v>
      </c>
      <c r="D664" s="51">
        <f t="shared" si="10"/>
        <v>0.5994991091348586</v>
      </c>
      <c r="F664" s="50">
        <v>10.9</v>
      </c>
    </row>
    <row r="665" spans="1:6" x14ac:dyDescent="0.3">
      <c r="A665" s="42" t="s">
        <v>200</v>
      </c>
      <c r="B665" s="43">
        <v>780</v>
      </c>
      <c r="C665" s="43">
        <v>3000</v>
      </c>
      <c r="D665" s="51">
        <f t="shared" si="10"/>
        <v>0.84056678392667161</v>
      </c>
      <c r="F665" s="50">
        <v>10.9</v>
      </c>
    </row>
    <row r="666" spans="1:6" x14ac:dyDescent="0.3">
      <c r="A666" s="42" t="s">
        <v>200</v>
      </c>
      <c r="B666" s="43">
        <v>724</v>
      </c>
      <c r="C666" s="43">
        <v>100000</v>
      </c>
      <c r="D666" s="51">
        <f t="shared" si="10"/>
        <v>0.96268545084111112</v>
      </c>
      <c r="F666" s="50">
        <v>10.9</v>
      </c>
    </row>
    <row r="667" spans="1:6" x14ac:dyDescent="0.3">
      <c r="A667" s="42" t="s">
        <v>201</v>
      </c>
      <c r="B667" s="43">
        <v>406</v>
      </c>
      <c r="C667" s="43">
        <v>2400</v>
      </c>
      <c r="D667" s="51">
        <f t="shared" si="10"/>
        <v>0.53768896517227793</v>
      </c>
      <c r="F667" s="50">
        <v>10.9</v>
      </c>
    </row>
    <row r="668" spans="1:6" x14ac:dyDescent="0.3">
      <c r="A668" s="42" t="s">
        <v>201</v>
      </c>
      <c r="B668" s="43">
        <v>798</v>
      </c>
      <c r="C668" s="43">
        <v>2400</v>
      </c>
      <c r="D668" s="51">
        <f t="shared" si="10"/>
        <v>0.98201053946219186</v>
      </c>
      <c r="F668" s="50">
        <v>10.9</v>
      </c>
    </row>
    <row r="669" spans="1:6" x14ac:dyDescent="0.3">
      <c r="A669" s="42" t="s">
        <v>201</v>
      </c>
      <c r="B669" s="43">
        <v>910</v>
      </c>
      <c r="C669" s="43">
        <v>2400</v>
      </c>
      <c r="D669" s="51">
        <f t="shared" si="10"/>
        <v>0.98980878134129691</v>
      </c>
      <c r="F669" s="50">
        <v>10.9</v>
      </c>
    </row>
    <row r="670" spans="1:6" x14ac:dyDescent="0.3">
      <c r="A670" s="44" t="s">
        <v>201</v>
      </c>
      <c r="B670" s="43">
        <v>2700</v>
      </c>
      <c r="C670" s="43">
        <v>10000</v>
      </c>
      <c r="D670" s="51">
        <f t="shared" si="10"/>
        <v>0.95856377880310994</v>
      </c>
      <c r="F670" s="50">
        <v>10.9</v>
      </c>
    </row>
    <row r="671" spans="1:6" x14ac:dyDescent="0.3">
      <c r="A671" s="42" t="s">
        <v>201</v>
      </c>
      <c r="B671" s="43">
        <v>750</v>
      </c>
      <c r="C671" s="43">
        <v>5000</v>
      </c>
      <c r="D671" s="51">
        <f t="shared" si="10"/>
        <v>0.82058595435750881</v>
      </c>
      <c r="F671" s="50">
        <v>10.9</v>
      </c>
    </row>
    <row r="672" spans="1:6" x14ac:dyDescent="0.3">
      <c r="A672" s="42">
        <v>451572</v>
      </c>
      <c r="B672" s="43">
        <v>221</v>
      </c>
      <c r="C672" s="43">
        <v>2000</v>
      </c>
      <c r="D672" s="51">
        <f t="shared" si="10"/>
        <v>0.86451773785099451</v>
      </c>
      <c r="F672" s="50">
        <v>10.9</v>
      </c>
    </row>
    <row r="673" spans="1:6" x14ac:dyDescent="0.3">
      <c r="A673" s="42">
        <v>451572</v>
      </c>
      <c r="B673" s="43">
        <v>916</v>
      </c>
      <c r="C673" s="43">
        <v>100000</v>
      </c>
      <c r="D673" s="51">
        <f t="shared" si="10"/>
        <v>0.79896960148178731</v>
      </c>
      <c r="F673" s="50">
        <v>10.9</v>
      </c>
    </row>
    <row r="674" spans="1:6" x14ac:dyDescent="0.3">
      <c r="A674" s="42">
        <v>451572</v>
      </c>
      <c r="B674" s="43">
        <v>262</v>
      </c>
      <c r="C674" s="43">
        <v>2500</v>
      </c>
      <c r="D674" s="51">
        <f t="shared" si="10"/>
        <v>0.84105582227237186</v>
      </c>
      <c r="F674" s="50">
        <v>10.9</v>
      </c>
    </row>
    <row r="675" spans="1:6" x14ac:dyDescent="0.3">
      <c r="A675" s="42">
        <v>451572</v>
      </c>
      <c r="B675" s="43">
        <v>724</v>
      </c>
      <c r="C675" s="43">
        <v>100000</v>
      </c>
      <c r="D675" s="51">
        <f t="shared" si="10"/>
        <v>0.96268545084111112</v>
      </c>
      <c r="F675" s="50">
        <v>10.9</v>
      </c>
    </row>
    <row r="676" spans="1:6" x14ac:dyDescent="0.3">
      <c r="A676" s="42" t="s">
        <v>205</v>
      </c>
      <c r="B676" s="43">
        <v>136</v>
      </c>
      <c r="C676" s="43">
        <v>5000</v>
      </c>
      <c r="D676" s="51">
        <f t="shared" si="10"/>
        <v>0.73107264335751254</v>
      </c>
      <c r="F676" s="50">
        <v>10.9</v>
      </c>
    </row>
    <row r="677" spans="1:6" x14ac:dyDescent="0.3">
      <c r="A677" s="42" t="s">
        <v>205</v>
      </c>
      <c r="B677" s="43">
        <v>912</v>
      </c>
      <c r="C677" s="43">
        <v>5000</v>
      </c>
      <c r="D677" s="51">
        <f t="shared" si="10"/>
        <v>0.96217424475646141</v>
      </c>
      <c r="F677" s="50">
        <v>10.9</v>
      </c>
    </row>
    <row r="678" spans="1:6" x14ac:dyDescent="0.3">
      <c r="A678" s="42" t="s">
        <v>205</v>
      </c>
      <c r="B678" s="43">
        <v>91160</v>
      </c>
      <c r="C678" s="43"/>
      <c r="D678" s="51" t="e">
        <f t="shared" si="10"/>
        <v>#N/A</v>
      </c>
      <c r="F678" s="50">
        <v>10.9</v>
      </c>
    </row>
    <row r="679" spans="1:6" x14ac:dyDescent="0.3">
      <c r="A679" s="42" t="s">
        <v>205</v>
      </c>
      <c r="B679" s="43">
        <v>799</v>
      </c>
      <c r="C679" s="43">
        <v>99999999</v>
      </c>
      <c r="D679" s="51">
        <f t="shared" si="10"/>
        <v>0.94657286846895594</v>
      </c>
      <c r="F679" s="50">
        <v>10.9</v>
      </c>
    </row>
    <row r="680" spans="1:6" x14ac:dyDescent="0.3">
      <c r="A680" s="42">
        <v>451621</v>
      </c>
      <c r="B680" s="43">
        <v>142</v>
      </c>
      <c r="C680" s="43">
        <v>8000</v>
      </c>
      <c r="D680" s="51">
        <f t="shared" si="10"/>
        <v>0.73372191503301964</v>
      </c>
      <c r="F680" s="50">
        <v>10.9</v>
      </c>
    </row>
    <row r="681" spans="1:6" x14ac:dyDescent="0.3">
      <c r="A681" s="42">
        <v>451621</v>
      </c>
      <c r="B681" s="43">
        <v>798</v>
      </c>
      <c r="C681" s="43">
        <v>8000</v>
      </c>
      <c r="D681" s="51">
        <f t="shared" si="10"/>
        <v>0.98201053946219186</v>
      </c>
      <c r="F681" s="50">
        <v>10.9</v>
      </c>
    </row>
    <row r="682" spans="1:6" x14ac:dyDescent="0.3">
      <c r="A682" s="42">
        <v>451621</v>
      </c>
      <c r="B682" s="43">
        <v>910</v>
      </c>
      <c r="C682" s="43">
        <v>8000</v>
      </c>
      <c r="D682" s="51">
        <f t="shared" si="10"/>
        <v>0.98980878134129691</v>
      </c>
      <c r="F682" s="50">
        <v>10.9</v>
      </c>
    </row>
    <row r="683" spans="1:6" x14ac:dyDescent="0.3">
      <c r="A683" s="42">
        <v>451621</v>
      </c>
      <c r="B683" s="43">
        <v>2000</v>
      </c>
      <c r="C683" s="43">
        <v>193000</v>
      </c>
      <c r="D683" s="51">
        <f t="shared" si="10"/>
        <v>0.93535875888817066</v>
      </c>
      <c r="F683" s="50">
        <v>10.9</v>
      </c>
    </row>
    <row r="684" spans="1:6" x14ac:dyDescent="0.3">
      <c r="A684" s="42">
        <v>451621</v>
      </c>
      <c r="B684" s="43">
        <v>750</v>
      </c>
      <c r="C684" s="43">
        <v>5000</v>
      </c>
      <c r="D684" s="51">
        <f t="shared" si="10"/>
        <v>0.82058595435750881</v>
      </c>
      <c r="F684" s="50">
        <v>10.9</v>
      </c>
    </row>
    <row r="685" spans="1:6" x14ac:dyDescent="0.3">
      <c r="A685" s="42" t="s">
        <v>208</v>
      </c>
      <c r="B685" s="43">
        <v>142</v>
      </c>
      <c r="C685" s="43">
        <v>8000</v>
      </c>
      <c r="D685" s="51">
        <f t="shared" si="10"/>
        <v>0.73372191503301964</v>
      </c>
      <c r="F685" s="50">
        <v>10.9</v>
      </c>
    </row>
    <row r="686" spans="1:6" x14ac:dyDescent="0.3">
      <c r="A686" s="42" t="s">
        <v>208</v>
      </c>
      <c r="B686" s="43">
        <v>798</v>
      </c>
      <c r="C686" s="43">
        <v>8000</v>
      </c>
      <c r="D686" s="51">
        <f t="shared" si="10"/>
        <v>0.98201053946219186</v>
      </c>
      <c r="F686" s="50">
        <v>10.9</v>
      </c>
    </row>
    <row r="687" spans="1:6" x14ac:dyDescent="0.3">
      <c r="A687" s="42" t="s">
        <v>208</v>
      </c>
      <c r="B687" s="43">
        <v>910</v>
      </c>
      <c r="C687" s="43">
        <v>8000</v>
      </c>
      <c r="D687" s="51">
        <f t="shared" si="10"/>
        <v>0.98980878134129691</v>
      </c>
      <c r="F687" s="50">
        <v>10.9</v>
      </c>
    </row>
    <row r="688" spans="1:6" x14ac:dyDescent="0.3">
      <c r="A688" s="42" t="s">
        <v>208</v>
      </c>
      <c r="B688" s="43">
        <v>2000</v>
      </c>
      <c r="C688" s="43">
        <v>193000</v>
      </c>
      <c r="D688" s="51">
        <f t="shared" si="10"/>
        <v>0.93535875888817066</v>
      </c>
      <c r="F688" s="50">
        <v>10.9</v>
      </c>
    </row>
    <row r="689" spans="1:6" x14ac:dyDescent="0.3">
      <c r="A689" s="42" t="s">
        <v>208</v>
      </c>
      <c r="B689" s="43">
        <v>750</v>
      </c>
      <c r="C689" s="43">
        <v>5000</v>
      </c>
      <c r="D689" s="51">
        <f t="shared" si="10"/>
        <v>0.82058595435750881</v>
      </c>
      <c r="F689" s="50">
        <v>10.9</v>
      </c>
    </row>
    <row r="690" spans="1:6" x14ac:dyDescent="0.3">
      <c r="A690" s="42">
        <v>451693</v>
      </c>
      <c r="B690" s="43">
        <v>210</v>
      </c>
      <c r="C690" s="43">
        <v>600</v>
      </c>
      <c r="D690" s="51">
        <f t="shared" si="10"/>
        <v>0.88209415934394453</v>
      </c>
      <c r="F690" s="50">
        <v>10.9</v>
      </c>
    </row>
    <row r="691" spans="1:6" x14ac:dyDescent="0.3">
      <c r="A691" s="42">
        <v>451693</v>
      </c>
      <c r="B691" s="43">
        <v>915</v>
      </c>
      <c r="C691" s="43">
        <v>8000</v>
      </c>
      <c r="D691" s="51">
        <f t="shared" si="10"/>
        <v>0.88966598861199153</v>
      </c>
      <c r="F691" s="50">
        <v>10.9</v>
      </c>
    </row>
    <row r="692" spans="1:6" x14ac:dyDescent="0.3">
      <c r="A692" s="42">
        <v>451693</v>
      </c>
      <c r="B692" s="43">
        <v>270</v>
      </c>
      <c r="C692" s="43">
        <v>1000</v>
      </c>
      <c r="D692" s="51">
        <f t="shared" si="10"/>
        <v>0.5994991091348586</v>
      </c>
      <c r="F692" s="50">
        <v>10.9</v>
      </c>
    </row>
    <row r="693" spans="1:6" x14ac:dyDescent="0.3">
      <c r="A693" s="42">
        <v>451707</v>
      </c>
      <c r="B693" s="43">
        <v>221</v>
      </c>
      <c r="C693" s="43">
        <v>1200</v>
      </c>
      <c r="D693" s="51">
        <f t="shared" si="10"/>
        <v>0.86451773785099451</v>
      </c>
      <c r="F693" s="50">
        <v>10.9</v>
      </c>
    </row>
    <row r="694" spans="1:6" x14ac:dyDescent="0.3">
      <c r="A694" s="42">
        <v>451707</v>
      </c>
      <c r="B694" s="43">
        <v>916</v>
      </c>
      <c r="C694" s="43">
        <v>100000</v>
      </c>
      <c r="D694" s="51">
        <f t="shared" si="10"/>
        <v>0.79896960148178731</v>
      </c>
      <c r="F694" s="50">
        <v>10.9</v>
      </c>
    </row>
    <row r="695" spans="1:6" x14ac:dyDescent="0.3">
      <c r="A695" s="42">
        <v>451707</v>
      </c>
      <c r="B695" s="43">
        <v>270</v>
      </c>
      <c r="C695" s="43">
        <v>1000</v>
      </c>
      <c r="D695" s="51">
        <f t="shared" si="10"/>
        <v>0.5994991091348586</v>
      </c>
      <c r="F695" s="50">
        <v>10.9</v>
      </c>
    </row>
    <row r="696" spans="1:6" x14ac:dyDescent="0.3">
      <c r="A696" s="42">
        <v>451707</v>
      </c>
      <c r="B696" s="43">
        <v>780</v>
      </c>
      <c r="C696" s="43">
        <v>3000</v>
      </c>
      <c r="D696" s="51">
        <f t="shared" si="10"/>
        <v>0.84056678392667161</v>
      </c>
      <c r="F696" s="50">
        <v>10.9</v>
      </c>
    </row>
    <row r="697" spans="1:6" x14ac:dyDescent="0.3">
      <c r="A697" s="42">
        <v>451792</v>
      </c>
      <c r="B697" s="43">
        <v>216</v>
      </c>
      <c r="C697" s="43">
        <v>1300</v>
      </c>
      <c r="D697" s="51">
        <f t="shared" si="10"/>
        <v>0.89206001750765074</v>
      </c>
      <c r="F697" s="50">
        <v>10.9</v>
      </c>
    </row>
    <row r="698" spans="1:6" x14ac:dyDescent="0.3">
      <c r="A698" s="42">
        <v>451792</v>
      </c>
      <c r="B698" s="43">
        <v>916</v>
      </c>
      <c r="C698" s="43">
        <v>100000</v>
      </c>
      <c r="D698" s="51">
        <f t="shared" si="10"/>
        <v>0.79896960148178731</v>
      </c>
      <c r="F698" s="50">
        <v>10.9</v>
      </c>
    </row>
    <row r="699" spans="1:6" x14ac:dyDescent="0.3">
      <c r="A699" s="42">
        <v>451792</v>
      </c>
      <c r="B699" s="43">
        <v>265</v>
      </c>
      <c r="C699" s="43">
        <v>2200</v>
      </c>
      <c r="D699" s="51">
        <f t="shared" si="10"/>
        <v>0.77814176591921203</v>
      </c>
      <c r="F699" s="50">
        <v>10.9</v>
      </c>
    </row>
    <row r="700" spans="1:6" x14ac:dyDescent="0.3">
      <c r="A700" s="42">
        <v>451792</v>
      </c>
      <c r="B700" s="43">
        <v>724</v>
      </c>
      <c r="C700" s="43">
        <v>100000</v>
      </c>
      <c r="D700" s="51">
        <f t="shared" si="10"/>
        <v>0.96268545084111112</v>
      </c>
      <c r="F700" s="50">
        <v>10.9</v>
      </c>
    </row>
    <row r="701" spans="1:6" x14ac:dyDescent="0.3">
      <c r="A701" s="42">
        <v>451811</v>
      </c>
      <c r="B701" s="43">
        <v>109</v>
      </c>
      <c r="C701" s="43">
        <v>4000</v>
      </c>
      <c r="D701" s="51">
        <f t="shared" si="10"/>
        <v>0.8415653743272018</v>
      </c>
      <c r="F701" s="50">
        <v>10.9</v>
      </c>
    </row>
    <row r="702" spans="1:6" x14ac:dyDescent="0.3">
      <c r="A702" s="42">
        <v>451811</v>
      </c>
      <c r="B702" s="43">
        <v>906</v>
      </c>
      <c r="C702" s="43">
        <v>4000</v>
      </c>
      <c r="D702" s="51">
        <f t="shared" si="10"/>
        <v>0.99395624320077358</v>
      </c>
      <c r="F702" s="50">
        <v>10.9</v>
      </c>
    </row>
    <row r="703" spans="1:6" x14ac:dyDescent="0.3">
      <c r="A703" s="42">
        <v>451844</v>
      </c>
      <c r="B703" s="43">
        <v>215</v>
      </c>
      <c r="C703" s="43">
        <v>2300</v>
      </c>
      <c r="D703" s="51">
        <f t="shared" si="10"/>
        <v>0.81343416045002803</v>
      </c>
      <c r="F703" s="50">
        <v>10.9</v>
      </c>
    </row>
    <row r="704" spans="1:6" x14ac:dyDescent="0.3">
      <c r="A704" s="42">
        <v>451844</v>
      </c>
      <c r="B704" s="43">
        <v>916</v>
      </c>
      <c r="C704" s="43">
        <v>100000</v>
      </c>
      <c r="D704" s="51">
        <f t="shared" si="10"/>
        <v>0.79896960148178731</v>
      </c>
      <c r="F704" s="50">
        <v>10.9</v>
      </c>
    </row>
    <row r="705" spans="1:6" x14ac:dyDescent="0.3">
      <c r="A705" s="42">
        <v>451844</v>
      </c>
      <c r="B705" s="43">
        <v>258</v>
      </c>
      <c r="C705" s="43">
        <v>3000</v>
      </c>
      <c r="D705" s="51">
        <f t="shared" si="10"/>
        <v>0.73342188280044252</v>
      </c>
      <c r="F705" s="50">
        <v>10.9</v>
      </c>
    </row>
    <row r="706" spans="1:6" x14ac:dyDescent="0.3">
      <c r="A706" s="42">
        <v>451844</v>
      </c>
      <c r="B706" s="43">
        <v>282</v>
      </c>
      <c r="C706" s="43">
        <v>3500</v>
      </c>
      <c r="D706" s="51">
        <f t="shared" ref="D706:D769" si="11">VLOOKUP(B706,E:F,2,0)</f>
        <v>0.75434788947886156</v>
      </c>
      <c r="F706" s="50">
        <v>10.9</v>
      </c>
    </row>
    <row r="707" spans="1:6" x14ac:dyDescent="0.3">
      <c r="A707" s="42" t="s">
        <v>215</v>
      </c>
      <c r="B707" s="43">
        <v>509</v>
      </c>
      <c r="C707" s="43">
        <v>8000</v>
      </c>
      <c r="D707" s="51">
        <f t="shared" si="11"/>
        <v>0.79687787344213523</v>
      </c>
      <c r="F707" s="50">
        <v>10.9</v>
      </c>
    </row>
    <row r="708" spans="1:6" x14ac:dyDescent="0.3">
      <c r="A708" s="42" t="s">
        <v>215</v>
      </c>
      <c r="B708" s="43">
        <v>910</v>
      </c>
      <c r="C708" s="43">
        <v>8000</v>
      </c>
      <c r="D708" s="51">
        <f t="shared" si="11"/>
        <v>0.98980878134129691</v>
      </c>
      <c r="F708" s="50">
        <v>10.9</v>
      </c>
    </row>
    <row r="709" spans="1:6" x14ac:dyDescent="0.3">
      <c r="A709" s="42" t="s">
        <v>215</v>
      </c>
      <c r="B709" s="43">
        <v>798</v>
      </c>
      <c r="C709" s="43">
        <v>8000</v>
      </c>
      <c r="D709" s="51">
        <f t="shared" si="11"/>
        <v>0.98201053946219186</v>
      </c>
      <c r="F709" s="50">
        <v>10.9</v>
      </c>
    </row>
    <row r="710" spans="1:6" x14ac:dyDescent="0.3">
      <c r="A710" s="42" t="s">
        <v>215</v>
      </c>
      <c r="B710" s="43">
        <v>910</v>
      </c>
      <c r="C710" s="43">
        <v>8000</v>
      </c>
      <c r="D710" s="51">
        <f t="shared" si="11"/>
        <v>0.98980878134129691</v>
      </c>
      <c r="F710" s="50">
        <v>10.9</v>
      </c>
    </row>
    <row r="711" spans="1:6" x14ac:dyDescent="0.3">
      <c r="A711" s="42" t="s">
        <v>475</v>
      </c>
      <c r="B711" s="43">
        <v>122</v>
      </c>
      <c r="C711" s="43">
        <v>3000</v>
      </c>
      <c r="D711" s="51">
        <f t="shared" si="11"/>
        <v>0.72509988568394079</v>
      </c>
      <c r="F711" s="50">
        <v>10.9</v>
      </c>
    </row>
    <row r="712" spans="1:6" x14ac:dyDescent="0.3">
      <c r="A712" s="42" t="s">
        <v>475</v>
      </c>
      <c r="B712" s="43">
        <v>910</v>
      </c>
      <c r="C712" s="43">
        <v>3000</v>
      </c>
      <c r="D712" s="51">
        <f t="shared" si="11"/>
        <v>0.98980878134129691</v>
      </c>
      <c r="F712" s="50">
        <v>10.9</v>
      </c>
    </row>
    <row r="713" spans="1:6" x14ac:dyDescent="0.3">
      <c r="A713" s="42" t="s">
        <v>475</v>
      </c>
      <c r="B713" s="43">
        <v>799</v>
      </c>
      <c r="C713" s="43">
        <v>10000</v>
      </c>
      <c r="D713" s="51">
        <f t="shared" si="11"/>
        <v>0.94657286846895594</v>
      </c>
      <c r="F713" s="50">
        <v>10.9</v>
      </c>
    </row>
    <row r="714" spans="1:6" x14ac:dyDescent="0.3">
      <c r="A714" s="42">
        <v>451906</v>
      </c>
      <c r="B714" s="43">
        <v>216</v>
      </c>
      <c r="C714" s="43">
        <v>1000</v>
      </c>
      <c r="D714" s="51">
        <f t="shared" si="11"/>
        <v>0.89206001750765074</v>
      </c>
      <c r="F714" s="50">
        <v>10.9</v>
      </c>
    </row>
    <row r="715" spans="1:6" x14ac:dyDescent="0.3">
      <c r="A715" s="42">
        <v>451906</v>
      </c>
      <c r="B715" s="43">
        <v>916</v>
      </c>
      <c r="C715" s="43">
        <v>100000</v>
      </c>
      <c r="D715" s="51">
        <f t="shared" si="11"/>
        <v>0.79896960148178731</v>
      </c>
      <c r="F715" s="50">
        <v>10.9</v>
      </c>
    </row>
    <row r="716" spans="1:6" x14ac:dyDescent="0.3">
      <c r="A716" s="42">
        <v>451906</v>
      </c>
      <c r="B716" s="43">
        <v>270</v>
      </c>
      <c r="C716" s="43">
        <v>1500</v>
      </c>
      <c r="D716" s="51">
        <f t="shared" si="11"/>
        <v>0.5994991091348586</v>
      </c>
      <c r="F716" s="50">
        <v>10.9</v>
      </c>
    </row>
    <row r="717" spans="1:6" x14ac:dyDescent="0.3">
      <c r="A717" s="42">
        <v>451906</v>
      </c>
      <c r="B717" s="43">
        <v>780</v>
      </c>
      <c r="C717" s="43">
        <v>3000</v>
      </c>
      <c r="D717" s="51">
        <f t="shared" si="11"/>
        <v>0.84056678392667161</v>
      </c>
      <c r="F717" s="50">
        <v>10.9</v>
      </c>
    </row>
    <row r="718" spans="1:6" x14ac:dyDescent="0.3">
      <c r="A718" s="42" t="s">
        <v>219</v>
      </c>
      <c r="B718" s="43">
        <v>417</v>
      </c>
      <c r="C718" s="43">
        <v>2500</v>
      </c>
      <c r="D718" s="51">
        <f t="shared" si="11"/>
        <v>0.58636197761627973</v>
      </c>
      <c r="F718" s="50">
        <v>10.9</v>
      </c>
    </row>
    <row r="719" spans="1:6" x14ac:dyDescent="0.3">
      <c r="A719" s="42" t="s">
        <v>220</v>
      </c>
      <c r="B719" s="43">
        <v>142</v>
      </c>
      <c r="C719" s="43">
        <v>9000</v>
      </c>
      <c r="D719" s="51">
        <f t="shared" si="11"/>
        <v>0.73372191503301964</v>
      </c>
      <c r="F719" s="50">
        <v>10.9</v>
      </c>
    </row>
    <row r="720" spans="1:6" x14ac:dyDescent="0.3">
      <c r="A720" s="42" t="s">
        <v>220</v>
      </c>
      <c r="B720" s="43">
        <v>798</v>
      </c>
      <c r="C720" s="43">
        <v>9000</v>
      </c>
      <c r="D720" s="51">
        <f t="shared" si="11"/>
        <v>0.98201053946219186</v>
      </c>
      <c r="F720" s="50">
        <v>10.9</v>
      </c>
    </row>
    <row r="721" spans="1:6" x14ac:dyDescent="0.3">
      <c r="A721" s="42" t="s">
        <v>220</v>
      </c>
      <c r="B721" s="43">
        <v>910</v>
      </c>
      <c r="C721" s="43">
        <v>9000</v>
      </c>
      <c r="D721" s="51">
        <f t="shared" si="11"/>
        <v>0.98980878134129691</v>
      </c>
      <c r="F721" s="50">
        <v>10.9</v>
      </c>
    </row>
    <row r="722" spans="1:6" x14ac:dyDescent="0.3">
      <c r="A722" s="42" t="s">
        <v>220</v>
      </c>
      <c r="B722" s="43">
        <v>2000</v>
      </c>
      <c r="C722" s="43">
        <v>277000</v>
      </c>
      <c r="D722" s="51">
        <f t="shared" si="11"/>
        <v>0.93535875888817066</v>
      </c>
      <c r="F722" s="50">
        <v>10.9</v>
      </c>
    </row>
    <row r="723" spans="1:6" x14ac:dyDescent="0.3">
      <c r="A723" s="42" t="s">
        <v>220</v>
      </c>
      <c r="B723" s="43">
        <v>750</v>
      </c>
      <c r="C723" s="43">
        <v>6000</v>
      </c>
      <c r="D723" s="51">
        <f t="shared" si="11"/>
        <v>0.82058595435750881</v>
      </c>
      <c r="F723" s="50">
        <v>10.9</v>
      </c>
    </row>
    <row r="724" spans="1:6" x14ac:dyDescent="0.3">
      <c r="A724" s="42">
        <v>452017</v>
      </c>
      <c r="B724" s="43">
        <v>215</v>
      </c>
      <c r="C724" s="43">
        <v>2000</v>
      </c>
      <c r="D724" s="51">
        <f t="shared" si="11"/>
        <v>0.81343416045002803</v>
      </c>
      <c r="F724" s="50">
        <v>10.9</v>
      </c>
    </row>
    <row r="725" spans="1:6" x14ac:dyDescent="0.3">
      <c r="A725" s="42">
        <v>452017</v>
      </c>
      <c r="B725" s="43">
        <v>916</v>
      </c>
      <c r="C725" s="43">
        <v>100000</v>
      </c>
      <c r="D725" s="51">
        <f t="shared" si="11"/>
        <v>0.79896960148178731</v>
      </c>
      <c r="F725" s="50">
        <v>10.9</v>
      </c>
    </row>
    <row r="726" spans="1:6" x14ac:dyDescent="0.3">
      <c r="A726" s="42">
        <v>452017</v>
      </c>
      <c r="B726" s="43">
        <v>262</v>
      </c>
      <c r="C726" s="43">
        <v>3500</v>
      </c>
      <c r="D726" s="51">
        <f t="shared" si="11"/>
        <v>0.84105582227237186</v>
      </c>
      <c r="F726" s="50">
        <v>10.9</v>
      </c>
    </row>
    <row r="727" spans="1:6" x14ac:dyDescent="0.3">
      <c r="A727" s="42">
        <v>452017</v>
      </c>
      <c r="B727" s="43">
        <v>280</v>
      </c>
      <c r="C727" s="43">
        <v>3000</v>
      </c>
      <c r="D727" s="51">
        <f t="shared" si="11"/>
        <v>0.78667931488415466</v>
      </c>
      <c r="F727" s="50">
        <v>10.9</v>
      </c>
    </row>
    <row r="728" spans="1:6" x14ac:dyDescent="0.3">
      <c r="A728" s="42">
        <v>452017</v>
      </c>
      <c r="B728" s="43">
        <v>724</v>
      </c>
      <c r="C728" s="43">
        <v>100000</v>
      </c>
      <c r="D728" s="51">
        <f t="shared" si="11"/>
        <v>0.96268545084111112</v>
      </c>
      <c r="F728" s="50">
        <v>10.9</v>
      </c>
    </row>
    <row r="729" spans="1:6" x14ac:dyDescent="0.3">
      <c r="A729" s="42">
        <v>452065</v>
      </c>
      <c r="B729" s="43">
        <v>207</v>
      </c>
      <c r="C729" s="43">
        <v>2400</v>
      </c>
      <c r="D729" s="51">
        <f t="shared" si="11"/>
        <v>0.90565335550442194</v>
      </c>
      <c r="F729" s="50">
        <v>10.9</v>
      </c>
    </row>
    <row r="730" spans="1:6" x14ac:dyDescent="0.3">
      <c r="A730" s="42">
        <v>452065</v>
      </c>
      <c r="B730" s="43">
        <v>916</v>
      </c>
      <c r="C730" s="43">
        <v>100000</v>
      </c>
      <c r="D730" s="51">
        <f t="shared" si="11"/>
        <v>0.79896960148178731</v>
      </c>
      <c r="F730" s="50">
        <v>10.9</v>
      </c>
    </row>
    <row r="731" spans="1:6" x14ac:dyDescent="0.3">
      <c r="A731" s="42">
        <v>452065</v>
      </c>
      <c r="B731" s="43">
        <v>262</v>
      </c>
      <c r="C731" s="43">
        <v>3000</v>
      </c>
      <c r="D731" s="51">
        <f t="shared" si="11"/>
        <v>0.84105582227237186</v>
      </c>
      <c r="F731" s="50">
        <v>10.9</v>
      </c>
    </row>
    <row r="732" spans="1:6" x14ac:dyDescent="0.3">
      <c r="A732" s="42">
        <v>452065</v>
      </c>
      <c r="B732" s="43">
        <v>282</v>
      </c>
      <c r="C732" s="43">
        <v>3000</v>
      </c>
      <c r="D732" s="51">
        <f t="shared" si="11"/>
        <v>0.75434788947886156</v>
      </c>
      <c r="F732" s="50">
        <v>10.9</v>
      </c>
    </row>
    <row r="733" spans="1:6" x14ac:dyDescent="0.3">
      <c r="A733" s="42">
        <v>452083</v>
      </c>
      <c r="B733" s="43">
        <v>216</v>
      </c>
      <c r="C733" s="43">
        <v>2300</v>
      </c>
      <c r="D733" s="51">
        <f t="shared" si="11"/>
        <v>0.89206001750765074</v>
      </c>
      <c r="F733" s="50">
        <v>10.9</v>
      </c>
    </row>
    <row r="734" spans="1:6" x14ac:dyDescent="0.3">
      <c r="A734" s="42">
        <v>452083</v>
      </c>
      <c r="B734" s="43">
        <v>916</v>
      </c>
      <c r="C734" s="43">
        <v>100000</v>
      </c>
      <c r="D734" s="51">
        <f t="shared" si="11"/>
        <v>0.79896960148178731</v>
      </c>
      <c r="F734" s="50">
        <v>10.9</v>
      </c>
    </row>
    <row r="735" spans="1:6" x14ac:dyDescent="0.3">
      <c r="A735" s="42">
        <v>452083</v>
      </c>
      <c r="B735" s="43">
        <v>261</v>
      </c>
      <c r="C735" s="43">
        <v>3000</v>
      </c>
      <c r="D735" s="51">
        <f t="shared" si="11"/>
        <v>0.86363448374932017</v>
      </c>
      <c r="F735" s="50">
        <v>10.9</v>
      </c>
    </row>
    <row r="736" spans="1:6" x14ac:dyDescent="0.3">
      <c r="A736" s="42">
        <v>452083</v>
      </c>
      <c r="B736" s="43">
        <v>282</v>
      </c>
      <c r="C736" s="43">
        <v>3000</v>
      </c>
      <c r="D736" s="51">
        <f t="shared" si="11"/>
        <v>0.75434788947886156</v>
      </c>
      <c r="F736" s="50">
        <v>10.9</v>
      </c>
    </row>
    <row r="737" spans="1:6" x14ac:dyDescent="0.3">
      <c r="A737" s="42">
        <v>452085</v>
      </c>
      <c r="B737" s="43">
        <v>221</v>
      </c>
      <c r="C737" s="43">
        <v>4000</v>
      </c>
      <c r="D737" s="51">
        <f t="shared" si="11"/>
        <v>0.86451773785099451</v>
      </c>
      <c r="F737" s="50">
        <v>10.9</v>
      </c>
    </row>
    <row r="738" spans="1:6" x14ac:dyDescent="0.3">
      <c r="A738" s="42">
        <v>452085</v>
      </c>
      <c r="B738" s="43">
        <v>916</v>
      </c>
      <c r="C738" s="43">
        <v>100000</v>
      </c>
      <c r="D738" s="51">
        <f t="shared" si="11"/>
        <v>0.79896960148178731</v>
      </c>
      <c r="F738" s="50">
        <v>10.9</v>
      </c>
    </row>
    <row r="739" spans="1:6" x14ac:dyDescent="0.3">
      <c r="A739" s="42">
        <v>452085</v>
      </c>
      <c r="B739" s="43">
        <v>258</v>
      </c>
      <c r="C739" s="43">
        <v>4000</v>
      </c>
      <c r="D739" s="51">
        <f t="shared" si="11"/>
        <v>0.73342188280044252</v>
      </c>
      <c r="F739" s="50">
        <v>10.9</v>
      </c>
    </row>
    <row r="740" spans="1:6" x14ac:dyDescent="0.3">
      <c r="A740" s="42">
        <v>452085</v>
      </c>
      <c r="B740" s="43">
        <v>282</v>
      </c>
      <c r="C740" s="43">
        <v>3500</v>
      </c>
      <c r="D740" s="51">
        <f t="shared" si="11"/>
        <v>0.75434788947886156</v>
      </c>
      <c r="F740" s="50">
        <v>10.9</v>
      </c>
    </row>
    <row r="741" spans="1:6" x14ac:dyDescent="0.3">
      <c r="A741" s="42">
        <v>452085</v>
      </c>
      <c r="B741" s="43">
        <v>724</v>
      </c>
      <c r="C741" s="43">
        <v>100000</v>
      </c>
      <c r="D741" s="51">
        <f t="shared" si="11"/>
        <v>0.96268545084111112</v>
      </c>
      <c r="F741" s="50">
        <v>10.9</v>
      </c>
    </row>
    <row r="742" spans="1:6" x14ac:dyDescent="0.3">
      <c r="A742" s="42">
        <v>452089</v>
      </c>
      <c r="B742" s="43">
        <v>211</v>
      </c>
      <c r="C742" s="43">
        <v>1500</v>
      </c>
      <c r="D742" s="51">
        <f t="shared" si="11"/>
        <v>0.7340150113753876</v>
      </c>
      <c r="F742" s="50">
        <v>10.9</v>
      </c>
    </row>
    <row r="743" spans="1:6" x14ac:dyDescent="0.3">
      <c r="A743" s="42">
        <v>452089</v>
      </c>
      <c r="B743" s="43">
        <v>916</v>
      </c>
      <c r="C743" s="43">
        <v>100000</v>
      </c>
      <c r="D743" s="51">
        <f t="shared" si="11"/>
        <v>0.79896960148178731</v>
      </c>
      <c r="F743" s="50">
        <v>10.9</v>
      </c>
    </row>
    <row r="744" spans="1:6" x14ac:dyDescent="0.3">
      <c r="A744" s="42">
        <v>452089</v>
      </c>
      <c r="B744" s="43">
        <v>265</v>
      </c>
      <c r="C744" s="43">
        <v>2000</v>
      </c>
      <c r="D744" s="51">
        <f t="shared" si="11"/>
        <v>0.77814176591921203</v>
      </c>
      <c r="F744" s="50">
        <v>10.9</v>
      </c>
    </row>
    <row r="745" spans="1:6" x14ac:dyDescent="0.3">
      <c r="A745" s="42">
        <v>452089</v>
      </c>
      <c r="B745" s="43">
        <v>780</v>
      </c>
      <c r="C745" s="43">
        <v>3000</v>
      </c>
      <c r="D745" s="51">
        <f t="shared" si="11"/>
        <v>0.84056678392667161</v>
      </c>
      <c r="F745" s="50">
        <v>10.9</v>
      </c>
    </row>
    <row r="746" spans="1:6" x14ac:dyDescent="0.3">
      <c r="A746" s="42">
        <v>452089</v>
      </c>
      <c r="B746" s="43">
        <v>724</v>
      </c>
      <c r="C746" s="43">
        <v>100000</v>
      </c>
      <c r="D746" s="51">
        <f t="shared" si="11"/>
        <v>0.96268545084111112</v>
      </c>
      <c r="F746" s="50">
        <v>10.9</v>
      </c>
    </row>
    <row r="747" spans="1:6" x14ac:dyDescent="0.3">
      <c r="A747" s="42">
        <v>452106</v>
      </c>
      <c r="B747" s="43">
        <v>221</v>
      </c>
      <c r="C747" s="43">
        <v>2000</v>
      </c>
      <c r="D747" s="51">
        <f t="shared" si="11"/>
        <v>0.86451773785099451</v>
      </c>
      <c r="F747" s="50">
        <v>10.9</v>
      </c>
    </row>
    <row r="748" spans="1:6" x14ac:dyDescent="0.3">
      <c r="A748" s="42">
        <v>452106</v>
      </c>
      <c r="B748" s="43">
        <v>916</v>
      </c>
      <c r="C748" s="43">
        <v>100000</v>
      </c>
      <c r="D748" s="51">
        <f t="shared" si="11"/>
        <v>0.79896960148178731</v>
      </c>
      <c r="F748" s="50">
        <v>10.9</v>
      </c>
    </row>
    <row r="749" spans="1:6" x14ac:dyDescent="0.3">
      <c r="A749" s="42">
        <v>452106</v>
      </c>
      <c r="B749" s="43">
        <v>257</v>
      </c>
      <c r="C749" s="43">
        <v>3000</v>
      </c>
      <c r="D749" s="51">
        <f t="shared" si="11"/>
        <v>0.82485582393453927</v>
      </c>
      <c r="F749" s="50">
        <v>10.9</v>
      </c>
    </row>
    <row r="750" spans="1:6" x14ac:dyDescent="0.3">
      <c r="A750" s="42">
        <v>452106</v>
      </c>
      <c r="B750" s="43">
        <v>281</v>
      </c>
      <c r="C750" s="43">
        <v>3500</v>
      </c>
      <c r="D750" s="51">
        <f t="shared" si="11"/>
        <v>0.33334796183684462</v>
      </c>
      <c r="F750" s="50">
        <v>10.9</v>
      </c>
    </row>
    <row r="751" spans="1:6" x14ac:dyDescent="0.3">
      <c r="A751" s="42">
        <v>452108</v>
      </c>
      <c r="B751" s="43">
        <v>217</v>
      </c>
      <c r="C751" s="43">
        <v>1800</v>
      </c>
      <c r="D751" s="51">
        <f t="shared" si="11"/>
        <v>0.86370034656778971</v>
      </c>
      <c r="F751" s="50">
        <v>10.9</v>
      </c>
    </row>
    <row r="752" spans="1:6" x14ac:dyDescent="0.3">
      <c r="A752" s="42">
        <v>452108</v>
      </c>
      <c r="B752" s="43">
        <v>916</v>
      </c>
      <c r="C752" s="43">
        <v>100000</v>
      </c>
      <c r="D752" s="51">
        <f t="shared" si="11"/>
        <v>0.79896960148178731</v>
      </c>
      <c r="F752" s="50">
        <v>10.9</v>
      </c>
    </row>
    <row r="753" spans="1:6" x14ac:dyDescent="0.3">
      <c r="A753" s="42">
        <v>452108</v>
      </c>
      <c r="B753" s="43">
        <v>256</v>
      </c>
      <c r="C753" s="43">
        <v>3000</v>
      </c>
      <c r="D753" s="51">
        <f t="shared" si="11"/>
        <v>0.69647682713923009</v>
      </c>
      <c r="F753" s="50">
        <v>10.9</v>
      </c>
    </row>
    <row r="754" spans="1:6" x14ac:dyDescent="0.3">
      <c r="A754" s="42">
        <v>452108</v>
      </c>
      <c r="B754" s="43">
        <v>280</v>
      </c>
      <c r="C754" s="43">
        <v>2500</v>
      </c>
      <c r="D754" s="51">
        <f t="shared" si="11"/>
        <v>0.78667931488415466</v>
      </c>
      <c r="F754" s="50">
        <v>10.9</v>
      </c>
    </row>
    <row r="755" spans="1:6" x14ac:dyDescent="0.3">
      <c r="A755" s="42">
        <v>452128</v>
      </c>
      <c r="B755" s="43">
        <v>215</v>
      </c>
      <c r="C755" s="43">
        <v>1600</v>
      </c>
      <c r="D755" s="51">
        <f t="shared" si="11"/>
        <v>0.81343416045002803</v>
      </c>
      <c r="F755" s="50">
        <v>10.9</v>
      </c>
    </row>
    <row r="756" spans="1:6" x14ac:dyDescent="0.3">
      <c r="A756" s="42">
        <v>452128</v>
      </c>
      <c r="B756" s="43">
        <v>916</v>
      </c>
      <c r="C756" s="43">
        <v>100000</v>
      </c>
      <c r="D756" s="51">
        <f t="shared" si="11"/>
        <v>0.79896960148178731</v>
      </c>
      <c r="F756" s="50">
        <v>10.9</v>
      </c>
    </row>
    <row r="757" spans="1:6" x14ac:dyDescent="0.3">
      <c r="A757" s="42">
        <v>452128</v>
      </c>
      <c r="B757" s="43">
        <v>262</v>
      </c>
      <c r="C757" s="43">
        <v>3000</v>
      </c>
      <c r="D757" s="51">
        <f t="shared" si="11"/>
        <v>0.84105582227237186</v>
      </c>
      <c r="F757" s="50">
        <v>10.9</v>
      </c>
    </row>
    <row r="758" spans="1:6" x14ac:dyDescent="0.3">
      <c r="A758" s="42">
        <v>452128</v>
      </c>
      <c r="B758" s="43">
        <v>282</v>
      </c>
      <c r="C758" s="43">
        <v>3000</v>
      </c>
      <c r="D758" s="51">
        <f t="shared" si="11"/>
        <v>0.75434788947886156</v>
      </c>
      <c r="F758" s="50">
        <v>10.9</v>
      </c>
    </row>
    <row r="759" spans="1:6" x14ac:dyDescent="0.3">
      <c r="A759" s="42">
        <v>452196</v>
      </c>
      <c r="B759" s="43">
        <v>215</v>
      </c>
      <c r="C759" s="43">
        <v>400</v>
      </c>
      <c r="D759" s="51">
        <f t="shared" si="11"/>
        <v>0.81343416045002803</v>
      </c>
      <c r="F759" s="50">
        <v>10.9</v>
      </c>
    </row>
    <row r="760" spans="1:6" x14ac:dyDescent="0.3">
      <c r="A760" s="42">
        <v>452196</v>
      </c>
      <c r="B760" s="43">
        <v>916</v>
      </c>
      <c r="C760" s="43">
        <v>100000</v>
      </c>
      <c r="D760" s="51">
        <f t="shared" si="11"/>
        <v>0.79896960148178731</v>
      </c>
      <c r="F760" s="50">
        <v>10.9</v>
      </c>
    </row>
    <row r="761" spans="1:6" x14ac:dyDescent="0.3">
      <c r="A761" s="42">
        <v>452196</v>
      </c>
      <c r="B761" s="43">
        <v>779</v>
      </c>
      <c r="C761" s="43">
        <v>400</v>
      </c>
      <c r="D761" s="51">
        <f t="shared" si="11"/>
        <v>0.87596263474538438</v>
      </c>
      <c r="F761" s="50">
        <v>10.9</v>
      </c>
    </row>
    <row r="762" spans="1:6" x14ac:dyDescent="0.3">
      <c r="A762" s="42" t="s">
        <v>233</v>
      </c>
      <c r="B762" s="43">
        <v>406</v>
      </c>
      <c r="C762" s="43">
        <v>3500</v>
      </c>
      <c r="D762" s="51">
        <f t="shared" si="11"/>
        <v>0.53768896517227793</v>
      </c>
      <c r="F762" s="50">
        <v>10.9</v>
      </c>
    </row>
    <row r="763" spans="1:6" x14ac:dyDescent="0.3">
      <c r="A763" s="42" t="s">
        <v>233</v>
      </c>
      <c r="B763" s="43">
        <v>798</v>
      </c>
      <c r="C763" s="43">
        <v>3500</v>
      </c>
      <c r="D763" s="51">
        <f t="shared" si="11"/>
        <v>0.98201053946219186</v>
      </c>
      <c r="F763" s="50">
        <v>10.9</v>
      </c>
    </row>
    <row r="764" spans="1:6" x14ac:dyDescent="0.3">
      <c r="A764" s="42" t="s">
        <v>233</v>
      </c>
      <c r="B764" s="43">
        <v>910</v>
      </c>
      <c r="C764" s="43">
        <v>3500</v>
      </c>
      <c r="D764" s="51">
        <f t="shared" si="11"/>
        <v>0.98980878134129691</v>
      </c>
      <c r="F764" s="50">
        <v>10.9</v>
      </c>
    </row>
    <row r="765" spans="1:6" x14ac:dyDescent="0.3">
      <c r="A765" s="42" t="s">
        <v>233</v>
      </c>
      <c r="B765" s="43">
        <v>2000</v>
      </c>
      <c r="C765" s="43">
        <v>296000</v>
      </c>
      <c r="D765" s="51">
        <f t="shared" si="11"/>
        <v>0.93535875888817066</v>
      </c>
      <c r="F765" s="50">
        <v>10.9</v>
      </c>
    </row>
    <row r="766" spans="1:6" x14ac:dyDescent="0.3">
      <c r="A766" s="42" t="s">
        <v>233</v>
      </c>
      <c r="B766" s="43">
        <v>750</v>
      </c>
      <c r="C766" s="43">
        <v>5000</v>
      </c>
      <c r="D766" s="51">
        <f t="shared" si="11"/>
        <v>0.82058595435750881</v>
      </c>
      <c r="F766" s="50">
        <v>10.9</v>
      </c>
    </row>
    <row r="767" spans="1:6" x14ac:dyDescent="0.3">
      <c r="A767" s="42" t="s">
        <v>352</v>
      </c>
      <c r="B767" s="43">
        <v>407</v>
      </c>
      <c r="C767" s="43">
        <v>3000</v>
      </c>
      <c r="D767" s="51">
        <f t="shared" si="11"/>
        <v>0.58662294120052372</v>
      </c>
      <c r="F767" s="50">
        <v>10.9</v>
      </c>
    </row>
    <row r="768" spans="1:6" x14ac:dyDescent="0.3">
      <c r="A768" s="42" t="s">
        <v>352</v>
      </c>
      <c r="B768" s="43">
        <v>798</v>
      </c>
      <c r="C768" s="43">
        <v>3000</v>
      </c>
      <c r="D768" s="51">
        <f t="shared" si="11"/>
        <v>0.98201053946219186</v>
      </c>
      <c r="F768" s="50">
        <v>10.9</v>
      </c>
    </row>
    <row r="769" spans="1:6" x14ac:dyDescent="0.3">
      <c r="A769" s="42" t="s">
        <v>352</v>
      </c>
      <c r="B769" s="43">
        <v>910</v>
      </c>
      <c r="C769" s="43">
        <v>3000</v>
      </c>
      <c r="D769" s="51">
        <f t="shared" si="11"/>
        <v>0.98980878134129691</v>
      </c>
      <c r="F769" s="50">
        <v>10.9</v>
      </c>
    </row>
    <row r="770" spans="1:6" x14ac:dyDescent="0.3">
      <c r="A770" s="42" t="s">
        <v>352</v>
      </c>
      <c r="B770" s="43">
        <v>799</v>
      </c>
      <c r="C770" s="43"/>
      <c r="D770" s="51">
        <f t="shared" ref="D770:D833" si="12">VLOOKUP(B770,E:F,2,0)</f>
        <v>0.94657286846895594</v>
      </c>
      <c r="F770" s="50">
        <v>10.9</v>
      </c>
    </row>
    <row r="771" spans="1:6" x14ac:dyDescent="0.3">
      <c r="A771" s="42" t="s">
        <v>352</v>
      </c>
      <c r="B771" s="43">
        <v>750</v>
      </c>
      <c r="C771" s="43">
        <v>5000</v>
      </c>
      <c r="D771" s="51">
        <f t="shared" si="12"/>
        <v>0.82058595435750881</v>
      </c>
      <c r="F771" s="50">
        <v>10.9</v>
      </c>
    </row>
    <row r="772" spans="1:6" x14ac:dyDescent="0.3">
      <c r="A772" s="42">
        <v>452366</v>
      </c>
      <c r="B772" s="43">
        <v>210</v>
      </c>
      <c r="C772" s="43">
        <v>1600</v>
      </c>
      <c r="D772" s="51">
        <f t="shared" si="12"/>
        <v>0.88209415934394453</v>
      </c>
      <c r="F772" s="50">
        <v>10.9</v>
      </c>
    </row>
    <row r="773" spans="1:6" x14ac:dyDescent="0.3">
      <c r="A773" s="42">
        <v>452366</v>
      </c>
      <c r="B773" s="43">
        <v>916</v>
      </c>
      <c r="C773" s="43">
        <v>100000</v>
      </c>
      <c r="D773" s="51">
        <f t="shared" si="12"/>
        <v>0.79896960148178731</v>
      </c>
      <c r="F773" s="50">
        <v>10.9</v>
      </c>
    </row>
    <row r="774" spans="1:6" x14ac:dyDescent="0.3">
      <c r="A774" s="42">
        <v>452366</v>
      </c>
      <c r="B774" s="43">
        <v>260</v>
      </c>
      <c r="C774" s="43">
        <v>3000</v>
      </c>
      <c r="D774" s="51">
        <f t="shared" si="12"/>
        <v>0.84463020674510114</v>
      </c>
      <c r="F774" s="50">
        <v>10.9</v>
      </c>
    </row>
    <row r="775" spans="1:6" x14ac:dyDescent="0.3">
      <c r="A775" s="42">
        <v>452366</v>
      </c>
      <c r="B775" s="43">
        <v>724</v>
      </c>
      <c r="C775" s="43">
        <v>100000</v>
      </c>
      <c r="D775" s="51">
        <f t="shared" si="12"/>
        <v>0.96268545084111112</v>
      </c>
      <c r="F775" s="50">
        <v>10.9</v>
      </c>
    </row>
    <row r="776" spans="1:6" x14ac:dyDescent="0.3">
      <c r="A776" s="42">
        <v>452367</v>
      </c>
      <c r="B776" s="43">
        <v>216</v>
      </c>
      <c r="C776" s="43">
        <v>1200</v>
      </c>
      <c r="D776" s="51">
        <f t="shared" si="12"/>
        <v>0.89206001750765074</v>
      </c>
      <c r="F776" s="50">
        <v>10.9</v>
      </c>
    </row>
    <row r="777" spans="1:6" x14ac:dyDescent="0.3">
      <c r="A777" s="42">
        <v>452367</v>
      </c>
      <c r="B777" s="43">
        <v>916</v>
      </c>
      <c r="C777" s="43">
        <v>100000</v>
      </c>
      <c r="D777" s="51">
        <f t="shared" si="12"/>
        <v>0.79896960148178731</v>
      </c>
      <c r="F777" s="50">
        <v>10.9</v>
      </c>
    </row>
    <row r="778" spans="1:6" x14ac:dyDescent="0.3">
      <c r="A778" s="42">
        <v>452367</v>
      </c>
      <c r="B778" s="43">
        <v>260</v>
      </c>
      <c r="C778" s="43">
        <v>3000</v>
      </c>
      <c r="D778" s="51">
        <f t="shared" si="12"/>
        <v>0.84463020674510114</v>
      </c>
      <c r="F778" s="50">
        <v>10.9</v>
      </c>
    </row>
    <row r="779" spans="1:6" x14ac:dyDescent="0.3">
      <c r="A779" s="42">
        <v>452367</v>
      </c>
      <c r="B779" s="43">
        <v>724</v>
      </c>
      <c r="C779" s="43">
        <v>100000</v>
      </c>
      <c r="D779" s="51">
        <f t="shared" si="12"/>
        <v>0.96268545084111112</v>
      </c>
      <c r="F779" s="50">
        <v>10.9</v>
      </c>
    </row>
    <row r="780" spans="1:6" x14ac:dyDescent="0.3">
      <c r="A780" s="42">
        <v>452368</v>
      </c>
      <c r="B780" s="43">
        <v>213</v>
      </c>
      <c r="C780" s="43">
        <v>1200</v>
      </c>
      <c r="D780" s="51">
        <f t="shared" si="12"/>
        <v>0.89211414217378293</v>
      </c>
      <c r="F780" s="50">
        <v>10.9</v>
      </c>
    </row>
    <row r="781" spans="1:6" x14ac:dyDescent="0.3">
      <c r="A781" s="42">
        <v>452368</v>
      </c>
      <c r="B781" s="43">
        <v>915</v>
      </c>
      <c r="C781" s="43">
        <v>35000</v>
      </c>
      <c r="D781" s="51">
        <f t="shared" si="12"/>
        <v>0.88966598861199153</v>
      </c>
      <c r="F781" s="50">
        <v>10.9</v>
      </c>
    </row>
    <row r="782" spans="1:6" x14ac:dyDescent="0.3">
      <c r="A782" s="42">
        <v>452368</v>
      </c>
      <c r="B782" s="43">
        <v>265</v>
      </c>
      <c r="C782" s="43">
        <v>2200</v>
      </c>
      <c r="D782" s="51">
        <f t="shared" si="12"/>
        <v>0.77814176591921203</v>
      </c>
      <c r="F782" s="50">
        <v>10.9</v>
      </c>
    </row>
    <row r="783" spans="1:6" x14ac:dyDescent="0.3">
      <c r="A783" s="42">
        <v>452466</v>
      </c>
      <c r="B783" s="43">
        <v>406</v>
      </c>
      <c r="C783" s="43">
        <v>4000</v>
      </c>
      <c r="D783" s="51">
        <f t="shared" si="12"/>
        <v>0.53768896517227793</v>
      </c>
      <c r="F783" s="50">
        <v>10.9</v>
      </c>
    </row>
    <row r="784" spans="1:6" x14ac:dyDescent="0.3">
      <c r="A784" s="42">
        <v>452466</v>
      </c>
      <c r="B784" s="43">
        <v>798</v>
      </c>
      <c r="C784" s="43">
        <v>4000</v>
      </c>
      <c r="D784" s="51">
        <f t="shared" si="12"/>
        <v>0.98201053946219186</v>
      </c>
      <c r="F784" s="50">
        <v>10.9</v>
      </c>
    </row>
    <row r="785" spans="1:6" x14ac:dyDescent="0.3">
      <c r="A785" s="42">
        <v>452466</v>
      </c>
      <c r="B785" s="43">
        <v>910</v>
      </c>
      <c r="C785" s="43">
        <v>4000</v>
      </c>
      <c r="D785" s="51">
        <f t="shared" si="12"/>
        <v>0.98980878134129691</v>
      </c>
      <c r="F785" s="50">
        <v>10.9</v>
      </c>
    </row>
    <row r="786" spans="1:6" x14ac:dyDescent="0.3">
      <c r="A786" s="42">
        <v>452466</v>
      </c>
      <c r="B786" s="43">
        <v>2000</v>
      </c>
      <c r="C786" s="43">
        <v>222000</v>
      </c>
      <c r="D786" s="51">
        <f t="shared" si="12"/>
        <v>0.93535875888817066</v>
      </c>
      <c r="F786" s="50">
        <v>10.9</v>
      </c>
    </row>
    <row r="787" spans="1:6" x14ac:dyDescent="0.3">
      <c r="A787" s="42">
        <v>452466</v>
      </c>
      <c r="B787" s="43">
        <v>750</v>
      </c>
      <c r="C787" s="43">
        <v>5000</v>
      </c>
      <c r="D787" s="51">
        <f t="shared" si="12"/>
        <v>0.82058595435750881</v>
      </c>
      <c r="F787" s="50">
        <v>10.9</v>
      </c>
    </row>
    <row r="788" spans="1:6" x14ac:dyDescent="0.3">
      <c r="A788" s="42">
        <v>452526</v>
      </c>
      <c r="B788" s="43">
        <v>142</v>
      </c>
      <c r="C788" s="43">
        <v>8000</v>
      </c>
      <c r="D788" s="51">
        <f t="shared" si="12"/>
        <v>0.73372191503301964</v>
      </c>
      <c r="F788" s="50">
        <v>10.9</v>
      </c>
    </row>
    <row r="789" spans="1:6" x14ac:dyDescent="0.3">
      <c r="A789" s="42">
        <v>452526</v>
      </c>
      <c r="B789" s="43">
        <v>798</v>
      </c>
      <c r="C789" s="43">
        <v>8000</v>
      </c>
      <c r="D789" s="51">
        <f t="shared" si="12"/>
        <v>0.98201053946219186</v>
      </c>
      <c r="F789" s="50">
        <v>10.9</v>
      </c>
    </row>
    <row r="790" spans="1:6" x14ac:dyDescent="0.3">
      <c r="A790" s="42">
        <v>452526</v>
      </c>
      <c r="B790" s="43">
        <v>910</v>
      </c>
      <c r="C790" s="43">
        <v>8000</v>
      </c>
      <c r="D790" s="51">
        <f t="shared" si="12"/>
        <v>0.98980878134129691</v>
      </c>
      <c r="F790" s="50">
        <v>10.9</v>
      </c>
    </row>
    <row r="791" spans="1:6" x14ac:dyDescent="0.3">
      <c r="A791" s="42">
        <v>452526</v>
      </c>
      <c r="B791" s="43">
        <v>2000</v>
      </c>
      <c r="C791" s="43">
        <v>193000</v>
      </c>
      <c r="D791" s="51">
        <f t="shared" si="12"/>
        <v>0.93535875888817066</v>
      </c>
      <c r="F791" s="50">
        <v>10.9</v>
      </c>
    </row>
    <row r="792" spans="1:6" x14ac:dyDescent="0.3">
      <c r="A792" s="42">
        <v>452526</v>
      </c>
      <c r="B792" s="43">
        <v>750</v>
      </c>
      <c r="C792" s="43">
        <v>5000</v>
      </c>
      <c r="D792" s="51">
        <f t="shared" si="12"/>
        <v>0.82058595435750881</v>
      </c>
      <c r="F792" s="50">
        <v>10.9</v>
      </c>
    </row>
    <row r="793" spans="1:6" x14ac:dyDescent="0.3">
      <c r="A793" s="42">
        <v>452551</v>
      </c>
      <c r="B793" s="43">
        <v>215</v>
      </c>
      <c r="C793" s="43">
        <v>1200</v>
      </c>
      <c r="D793" s="51">
        <f t="shared" si="12"/>
        <v>0.81343416045002803</v>
      </c>
      <c r="F793" s="50">
        <v>10.9</v>
      </c>
    </row>
    <row r="794" spans="1:6" x14ac:dyDescent="0.3">
      <c r="A794" s="42">
        <v>452551</v>
      </c>
      <c r="B794" s="43">
        <v>916</v>
      </c>
      <c r="C794" s="43">
        <v>100000</v>
      </c>
      <c r="D794" s="51">
        <f t="shared" si="12"/>
        <v>0.79896960148178731</v>
      </c>
      <c r="F794" s="50">
        <v>10.9</v>
      </c>
    </row>
    <row r="795" spans="1:6" x14ac:dyDescent="0.3">
      <c r="A795" s="42">
        <v>452551</v>
      </c>
      <c r="B795" s="43">
        <v>262</v>
      </c>
      <c r="C795" s="43">
        <v>2500</v>
      </c>
      <c r="D795" s="51">
        <f t="shared" si="12"/>
        <v>0.84105582227237186</v>
      </c>
      <c r="F795" s="50">
        <v>10.9</v>
      </c>
    </row>
    <row r="796" spans="1:6" x14ac:dyDescent="0.3">
      <c r="A796" s="42">
        <v>452551</v>
      </c>
      <c r="B796" s="43">
        <v>724</v>
      </c>
      <c r="C796" s="43">
        <v>100000</v>
      </c>
      <c r="D796" s="51">
        <f t="shared" si="12"/>
        <v>0.96268545084111112</v>
      </c>
      <c r="F796" s="50">
        <v>10.9</v>
      </c>
    </row>
    <row r="797" spans="1:6" x14ac:dyDescent="0.3">
      <c r="A797" s="42">
        <v>452579</v>
      </c>
      <c r="B797" s="43">
        <v>136</v>
      </c>
      <c r="C797" s="43">
        <v>5000</v>
      </c>
      <c r="D797" s="51">
        <f t="shared" si="12"/>
        <v>0.73107264335751254</v>
      </c>
      <c r="F797" s="50">
        <v>10.9</v>
      </c>
    </row>
    <row r="798" spans="1:6" x14ac:dyDescent="0.3">
      <c r="A798" s="42">
        <v>452579</v>
      </c>
      <c r="B798" s="43">
        <v>912</v>
      </c>
      <c r="C798" s="43">
        <v>5000</v>
      </c>
      <c r="D798" s="51">
        <f t="shared" si="12"/>
        <v>0.96217424475646141</v>
      </c>
      <c r="F798" s="50">
        <v>10.9</v>
      </c>
    </row>
    <row r="799" spans="1:6" x14ac:dyDescent="0.3">
      <c r="A799" s="42">
        <v>452590</v>
      </c>
      <c r="B799" s="43">
        <v>142</v>
      </c>
      <c r="C799" s="43">
        <v>7000</v>
      </c>
      <c r="D799" s="51">
        <f t="shared" si="12"/>
        <v>0.73372191503301964</v>
      </c>
      <c r="F799" s="50">
        <v>10.9</v>
      </c>
    </row>
    <row r="800" spans="1:6" x14ac:dyDescent="0.3">
      <c r="A800" s="42">
        <v>452590</v>
      </c>
      <c r="B800" s="43">
        <v>798</v>
      </c>
      <c r="C800" s="43">
        <v>7000</v>
      </c>
      <c r="D800" s="51">
        <f t="shared" si="12"/>
        <v>0.98201053946219186</v>
      </c>
      <c r="F800" s="50">
        <v>10.9</v>
      </c>
    </row>
    <row r="801" spans="1:6" x14ac:dyDescent="0.3">
      <c r="A801" s="42">
        <v>452590</v>
      </c>
      <c r="B801" s="43">
        <v>910</v>
      </c>
      <c r="C801" s="43">
        <v>7000</v>
      </c>
      <c r="D801" s="51">
        <f t="shared" si="12"/>
        <v>0.98980878134129691</v>
      </c>
      <c r="F801" s="50">
        <v>10.9</v>
      </c>
    </row>
    <row r="802" spans="1:6" x14ac:dyDescent="0.3">
      <c r="A802" s="42">
        <v>452590</v>
      </c>
      <c r="B802" s="43">
        <v>2000</v>
      </c>
      <c r="C802" s="43">
        <v>170000</v>
      </c>
      <c r="D802" s="51">
        <f t="shared" si="12"/>
        <v>0.93535875888817066</v>
      </c>
      <c r="F802" s="50">
        <v>10.9</v>
      </c>
    </row>
    <row r="803" spans="1:6" x14ac:dyDescent="0.3">
      <c r="A803" s="42">
        <v>452590</v>
      </c>
      <c r="B803" s="43">
        <v>750</v>
      </c>
      <c r="C803" s="43">
        <v>5000</v>
      </c>
      <c r="D803" s="51">
        <f t="shared" si="12"/>
        <v>0.82058595435750881</v>
      </c>
      <c r="F803" s="50">
        <v>10.9</v>
      </c>
    </row>
    <row r="804" spans="1:6" x14ac:dyDescent="0.3">
      <c r="A804" s="42">
        <v>452629</v>
      </c>
      <c r="B804" s="43">
        <v>142</v>
      </c>
      <c r="C804" s="43">
        <v>8000</v>
      </c>
      <c r="D804" s="51">
        <f t="shared" si="12"/>
        <v>0.73372191503301964</v>
      </c>
      <c r="F804" s="50">
        <v>10.9</v>
      </c>
    </row>
    <row r="805" spans="1:6" x14ac:dyDescent="0.3">
      <c r="A805" s="42">
        <v>452629</v>
      </c>
      <c r="B805" s="43">
        <v>798</v>
      </c>
      <c r="C805" s="43">
        <v>8000</v>
      </c>
      <c r="D805" s="51">
        <f t="shared" si="12"/>
        <v>0.98201053946219186</v>
      </c>
      <c r="F805" s="50">
        <v>10.9</v>
      </c>
    </row>
    <row r="806" spans="1:6" x14ac:dyDescent="0.3">
      <c r="A806" s="42">
        <v>452629</v>
      </c>
      <c r="B806" s="43">
        <v>910</v>
      </c>
      <c r="C806" s="43">
        <v>8000</v>
      </c>
      <c r="D806" s="51">
        <f t="shared" si="12"/>
        <v>0.98980878134129691</v>
      </c>
      <c r="F806" s="50">
        <v>10.9</v>
      </c>
    </row>
    <row r="807" spans="1:6" x14ac:dyDescent="0.3">
      <c r="A807" s="42">
        <v>452629</v>
      </c>
      <c r="B807" s="43">
        <v>2000</v>
      </c>
      <c r="C807" s="43">
        <v>201000</v>
      </c>
      <c r="D807" s="51">
        <f t="shared" si="12"/>
        <v>0.93535875888817066</v>
      </c>
      <c r="F807" s="50">
        <v>10.9</v>
      </c>
    </row>
    <row r="808" spans="1:6" x14ac:dyDescent="0.3">
      <c r="A808" s="42">
        <v>452629</v>
      </c>
      <c r="B808" s="43">
        <v>750</v>
      </c>
      <c r="C808" s="43">
        <v>5000</v>
      </c>
      <c r="D808" s="51">
        <f t="shared" si="12"/>
        <v>0.82058595435750881</v>
      </c>
      <c r="F808" s="50">
        <v>10.9</v>
      </c>
    </row>
    <row r="809" spans="1:6" x14ac:dyDescent="0.3">
      <c r="A809" s="42">
        <v>452761</v>
      </c>
      <c r="B809" s="43">
        <v>214</v>
      </c>
      <c r="C809" s="43">
        <v>1000</v>
      </c>
      <c r="D809" s="51">
        <f t="shared" si="12"/>
        <v>0.91778021233859708</v>
      </c>
      <c r="F809" s="50">
        <v>10.9</v>
      </c>
    </row>
    <row r="810" spans="1:6" x14ac:dyDescent="0.3">
      <c r="A810" s="42">
        <v>452761</v>
      </c>
      <c r="B810" s="43">
        <v>915</v>
      </c>
      <c r="C810" s="43">
        <v>25000</v>
      </c>
      <c r="D810" s="51">
        <f t="shared" si="12"/>
        <v>0.88966598861199153</v>
      </c>
      <c r="F810" s="50">
        <v>10.9</v>
      </c>
    </row>
    <row r="811" spans="1:6" x14ac:dyDescent="0.3">
      <c r="A811" s="42">
        <v>452761</v>
      </c>
      <c r="B811" s="43">
        <v>266</v>
      </c>
      <c r="C811" s="43">
        <v>2000</v>
      </c>
      <c r="D811" s="51">
        <f t="shared" si="12"/>
        <v>0.84702959767415587</v>
      </c>
      <c r="F811" s="50">
        <v>10.9</v>
      </c>
    </row>
    <row r="812" spans="1:6" x14ac:dyDescent="0.3">
      <c r="A812" s="42">
        <v>452761</v>
      </c>
      <c r="B812" s="43">
        <v>724</v>
      </c>
      <c r="C812" s="43">
        <v>100000</v>
      </c>
      <c r="D812" s="51">
        <f t="shared" si="12"/>
        <v>0.96268545084111112</v>
      </c>
      <c r="F812" s="50">
        <v>10.9</v>
      </c>
    </row>
    <row r="813" spans="1:6" x14ac:dyDescent="0.3">
      <c r="A813" s="42">
        <v>452761</v>
      </c>
      <c r="B813" s="43">
        <v>799</v>
      </c>
      <c r="C813" s="43">
        <v>2000</v>
      </c>
      <c r="D813" s="51">
        <f t="shared" si="12"/>
        <v>0.94657286846895594</v>
      </c>
      <c r="F813" s="50">
        <v>10.9</v>
      </c>
    </row>
    <row r="814" spans="1:6" x14ac:dyDescent="0.3">
      <c r="A814" s="42">
        <v>452761</v>
      </c>
      <c r="B814" s="43">
        <v>799</v>
      </c>
      <c r="C814" s="43">
        <v>100000</v>
      </c>
      <c r="D814" s="51">
        <f t="shared" si="12"/>
        <v>0.94657286846895594</v>
      </c>
      <c r="F814" s="50">
        <v>10.9</v>
      </c>
    </row>
    <row r="815" spans="1:6" x14ac:dyDescent="0.3">
      <c r="A815" s="42">
        <v>452777</v>
      </c>
      <c r="B815" s="43">
        <v>215</v>
      </c>
      <c r="C815" s="43">
        <v>500</v>
      </c>
      <c r="D815" s="51">
        <f t="shared" si="12"/>
        <v>0.81343416045002803</v>
      </c>
      <c r="F815" s="50">
        <v>10.9</v>
      </c>
    </row>
    <row r="816" spans="1:6" x14ac:dyDescent="0.3">
      <c r="A816" s="42">
        <v>452777</v>
      </c>
      <c r="B816" s="43">
        <v>916</v>
      </c>
      <c r="C816" s="43">
        <v>100000</v>
      </c>
      <c r="D816" s="51">
        <f t="shared" si="12"/>
        <v>0.79896960148178731</v>
      </c>
      <c r="F816" s="50">
        <v>10.9</v>
      </c>
    </row>
    <row r="817" spans="1:6" x14ac:dyDescent="0.3">
      <c r="A817" s="42">
        <v>452777</v>
      </c>
      <c r="B817" s="43">
        <v>779</v>
      </c>
      <c r="C817" s="43">
        <v>500</v>
      </c>
      <c r="D817" s="51">
        <f t="shared" si="12"/>
        <v>0.87596263474538438</v>
      </c>
      <c r="F817" s="50">
        <v>10.9</v>
      </c>
    </row>
    <row r="818" spans="1:6" x14ac:dyDescent="0.3">
      <c r="A818" s="42">
        <v>452778</v>
      </c>
      <c r="B818" s="43">
        <v>217</v>
      </c>
      <c r="C818" s="43">
        <v>3000</v>
      </c>
      <c r="D818" s="51">
        <f t="shared" si="12"/>
        <v>0.86370034656778971</v>
      </c>
      <c r="F818" s="50">
        <v>10.9</v>
      </c>
    </row>
    <row r="819" spans="1:6" x14ac:dyDescent="0.3">
      <c r="A819" s="42">
        <v>452778</v>
      </c>
      <c r="B819" s="43">
        <v>916</v>
      </c>
      <c r="C819" s="43">
        <v>100000</v>
      </c>
      <c r="D819" s="51">
        <f t="shared" si="12"/>
        <v>0.79896960148178731</v>
      </c>
      <c r="F819" s="50">
        <v>10.9</v>
      </c>
    </row>
    <row r="820" spans="1:6" x14ac:dyDescent="0.3">
      <c r="A820" s="42">
        <v>452778</v>
      </c>
      <c r="B820" s="43">
        <v>256</v>
      </c>
      <c r="C820" s="43">
        <v>3000</v>
      </c>
      <c r="D820" s="51">
        <f t="shared" si="12"/>
        <v>0.69647682713923009</v>
      </c>
      <c r="F820" s="50">
        <v>10.9</v>
      </c>
    </row>
    <row r="821" spans="1:6" x14ac:dyDescent="0.3">
      <c r="A821" s="42">
        <v>452778</v>
      </c>
      <c r="B821" s="43">
        <v>280</v>
      </c>
      <c r="C821" s="43">
        <v>3000</v>
      </c>
      <c r="D821" s="51">
        <f t="shared" si="12"/>
        <v>0.78667931488415466</v>
      </c>
      <c r="F821" s="50">
        <v>10.9</v>
      </c>
    </row>
    <row r="822" spans="1:6" x14ac:dyDescent="0.3">
      <c r="A822" s="42">
        <v>452802</v>
      </c>
      <c r="B822" s="43">
        <v>799</v>
      </c>
      <c r="C822" s="43">
        <v>100000</v>
      </c>
      <c r="D822" s="51">
        <f t="shared" si="12"/>
        <v>0.94657286846895594</v>
      </c>
      <c r="F822" s="50">
        <v>10.9</v>
      </c>
    </row>
    <row r="823" spans="1:6" x14ac:dyDescent="0.3">
      <c r="A823" s="42">
        <v>452802</v>
      </c>
      <c r="B823" s="43">
        <v>777</v>
      </c>
      <c r="C823" s="43">
        <v>100000</v>
      </c>
      <c r="D823" s="51">
        <f t="shared" si="12"/>
        <v>0.97115107221848251</v>
      </c>
      <c r="F823" s="50">
        <v>10.9</v>
      </c>
    </row>
    <row r="824" spans="1:6" x14ac:dyDescent="0.3">
      <c r="A824" s="42">
        <v>452819</v>
      </c>
      <c r="B824" s="43">
        <v>212</v>
      </c>
      <c r="C824" s="43">
        <v>500</v>
      </c>
      <c r="D824" s="51">
        <f t="shared" si="12"/>
        <v>0.91115887131188655</v>
      </c>
      <c r="F824" s="50">
        <v>10.9</v>
      </c>
    </row>
    <row r="825" spans="1:6" x14ac:dyDescent="0.3">
      <c r="A825" s="42">
        <v>452819</v>
      </c>
      <c r="B825" s="43">
        <v>916</v>
      </c>
      <c r="C825" s="43">
        <v>100000</v>
      </c>
      <c r="D825" s="51">
        <f t="shared" si="12"/>
        <v>0.79896960148178731</v>
      </c>
      <c r="F825" s="50">
        <v>10.9</v>
      </c>
    </row>
    <row r="826" spans="1:6" x14ac:dyDescent="0.3">
      <c r="A826" s="42">
        <v>452819</v>
      </c>
      <c r="B826" s="43">
        <v>270</v>
      </c>
      <c r="C826" s="43">
        <v>1000</v>
      </c>
      <c r="D826" s="51">
        <f t="shared" si="12"/>
        <v>0.5994991091348586</v>
      </c>
      <c r="F826" s="50">
        <v>10.9</v>
      </c>
    </row>
    <row r="827" spans="1:6" x14ac:dyDescent="0.3">
      <c r="A827" s="42">
        <v>452819</v>
      </c>
      <c r="B827" s="43">
        <v>780</v>
      </c>
      <c r="C827" s="43">
        <v>3000</v>
      </c>
      <c r="D827" s="51">
        <f t="shared" si="12"/>
        <v>0.84056678392667161</v>
      </c>
      <c r="F827" s="50">
        <v>10.9</v>
      </c>
    </row>
    <row r="828" spans="1:6" x14ac:dyDescent="0.3">
      <c r="A828" s="42">
        <v>452820</v>
      </c>
      <c r="B828" s="43">
        <v>210</v>
      </c>
      <c r="C828" s="43">
        <v>600</v>
      </c>
      <c r="D828" s="51">
        <f t="shared" si="12"/>
        <v>0.88209415934394453</v>
      </c>
      <c r="F828" s="50">
        <v>10.9</v>
      </c>
    </row>
    <row r="829" spans="1:6" x14ac:dyDescent="0.3">
      <c r="A829" s="42">
        <v>452820</v>
      </c>
      <c r="B829" s="43">
        <v>916</v>
      </c>
      <c r="C829" s="43">
        <v>100000</v>
      </c>
      <c r="D829" s="51">
        <f t="shared" si="12"/>
        <v>0.79896960148178731</v>
      </c>
      <c r="F829" s="50">
        <v>10.9</v>
      </c>
    </row>
    <row r="830" spans="1:6" x14ac:dyDescent="0.3">
      <c r="A830" s="42">
        <v>452820</v>
      </c>
      <c r="B830" s="43">
        <v>265</v>
      </c>
      <c r="C830" s="43">
        <v>1000</v>
      </c>
      <c r="D830" s="51">
        <f t="shared" si="12"/>
        <v>0.77814176591921203</v>
      </c>
      <c r="F830" s="50">
        <v>10.9</v>
      </c>
    </row>
    <row r="831" spans="1:6" x14ac:dyDescent="0.3">
      <c r="A831" s="42">
        <v>452820</v>
      </c>
      <c r="B831" s="43">
        <v>724</v>
      </c>
      <c r="C831" s="43">
        <v>100000</v>
      </c>
      <c r="D831" s="51">
        <f t="shared" si="12"/>
        <v>0.96268545084111112</v>
      </c>
      <c r="F831" s="50">
        <v>10.9</v>
      </c>
    </row>
    <row r="832" spans="1:6" x14ac:dyDescent="0.3">
      <c r="A832" s="42" t="s">
        <v>245</v>
      </c>
      <c r="B832" s="43">
        <v>406</v>
      </c>
      <c r="C832" s="43">
        <v>3501</v>
      </c>
      <c r="D832" s="51">
        <f t="shared" si="12"/>
        <v>0.53768896517227793</v>
      </c>
      <c r="F832" s="50">
        <v>10.9</v>
      </c>
    </row>
    <row r="833" spans="1:6" x14ac:dyDescent="0.3">
      <c r="A833" s="42" t="s">
        <v>245</v>
      </c>
      <c r="B833" s="43">
        <v>910</v>
      </c>
      <c r="C833" s="43">
        <v>3501</v>
      </c>
      <c r="D833" s="51">
        <f t="shared" si="12"/>
        <v>0.98980878134129691</v>
      </c>
      <c r="F833" s="50">
        <v>10.9</v>
      </c>
    </row>
    <row r="834" spans="1:6" x14ac:dyDescent="0.3">
      <c r="A834" s="42" t="s">
        <v>246</v>
      </c>
      <c r="B834" s="43">
        <v>406</v>
      </c>
      <c r="C834" s="43">
        <v>2400</v>
      </c>
      <c r="D834" s="51">
        <f t="shared" ref="D834:D897" si="13">VLOOKUP(B834,E:F,2,0)</f>
        <v>0.53768896517227793</v>
      </c>
      <c r="F834" s="50">
        <v>10.9</v>
      </c>
    </row>
    <row r="835" spans="1:6" x14ac:dyDescent="0.3">
      <c r="A835" s="42" t="s">
        <v>246</v>
      </c>
      <c r="B835" s="43">
        <v>910</v>
      </c>
      <c r="C835" s="43">
        <v>2400</v>
      </c>
      <c r="D835" s="51">
        <f t="shared" si="13"/>
        <v>0.98980878134129691</v>
      </c>
      <c r="F835" s="50">
        <v>10.9</v>
      </c>
    </row>
    <row r="836" spans="1:6" x14ac:dyDescent="0.3">
      <c r="A836" s="42" t="s">
        <v>246</v>
      </c>
      <c r="B836" s="43">
        <v>799</v>
      </c>
      <c r="C836" s="43">
        <v>10000</v>
      </c>
      <c r="D836" s="51">
        <f t="shared" si="13"/>
        <v>0.94657286846895594</v>
      </c>
      <c r="F836" s="50">
        <v>10.9</v>
      </c>
    </row>
    <row r="837" spans="1:6" x14ac:dyDescent="0.3">
      <c r="A837" s="42">
        <v>452941</v>
      </c>
      <c r="B837" s="43">
        <v>215</v>
      </c>
      <c r="C837" s="43">
        <v>1500</v>
      </c>
      <c r="D837" s="51">
        <f t="shared" si="13"/>
        <v>0.81343416045002803</v>
      </c>
      <c r="F837" s="50">
        <v>10.9</v>
      </c>
    </row>
    <row r="838" spans="1:6" x14ac:dyDescent="0.3">
      <c r="A838" s="42">
        <v>452941</v>
      </c>
      <c r="B838" s="43">
        <v>915</v>
      </c>
      <c r="C838" s="43">
        <v>65000</v>
      </c>
      <c r="D838" s="51">
        <f t="shared" si="13"/>
        <v>0.88966598861199153</v>
      </c>
      <c r="F838" s="50">
        <v>10.9</v>
      </c>
    </row>
    <row r="839" spans="1:6" x14ac:dyDescent="0.3">
      <c r="A839" s="47">
        <v>452941</v>
      </c>
      <c r="B839" s="43">
        <v>262</v>
      </c>
      <c r="C839" s="45">
        <v>2500</v>
      </c>
      <c r="D839" s="51">
        <f t="shared" si="13"/>
        <v>0.84105582227237186</v>
      </c>
      <c r="F839" s="50">
        <v>10.9</v>
      </c>
    </row>
    <row r="840" spans="1:6" x14ac:dyDescent="0.3">
      <c r="A840" s="42">
        <v>452941</v>
      </c>
      <c r="B840" s="43">
        <v>799</v>
      </c>
      <c r="C840" s="43">
        <v>150000</v>
      </c>
      <c r="D840" s="51">
        <f t="shared" si="13"/>
        <v>0.94657286846895594</v>
      </c>
      <c r="F840" s="50">
        <v>10.9</v>
      </c>
    </row>
    <row r="841" spans="1:6" x14ac:dyDescent="0.3">
      <c r="A841" s="42">
        <v>452952</v>
      </c>
      <c r="B841" s="43">
        <v>215</v>
      </c>
      <c r="C841" s="43">
        <v>2200</v>
      </c>
      <c r="D841" s="51">
        <f t="shared" si="13"/>
        <v>0.81343416045002803</v>
      </c>
      <c r="F841" s="50">
        <v>10.9</v>
      </c>
    </row>
    <row r="842" spans="1:6" x14ac:dyDescent="0.3">
      <c r="A842" s="42">
        <v>452952</v>
      </c>
      <c r="B842" s="43">
        <v>916</v>
      </c>
      <c r="C842" s="43">
        <v>100000</v>
      </c>
      <c r="D842" s="51">
        <f t="shared" si="13"/>
        <v>0.79896960148178731</v>
      </c>
      <c r="F842" s="50">
        <v>10.9</v>
      </c>
    </row>
    <row r="843" spans="1:6" x14ac:dyDescent="0.3">
      <c r="A843" s="42">
        <v>452952</v>
      </c>
      <c r="B843" s="43">
        <v>258</v>
      </c>
      <c r="C843" s="43">
        <v>3000</v>
      </c>
      <c r="D843" s="51">
        <f t="shared" si="13"/>
        <v>0.73342188280044252</v>
      </c>
      <c r="F843" s="50">
        <v>10.9</v>
      </c>
    </row>
    <row r="844" spans="1:6" x14ac:dyDescent="0.3">
      <c r="A844" s="42">
        <v>452952</v>
      </c>
      <c r="B844" s="43">
        <v>282</v>
      </c>
      <c r="C844" s="43">
        <v>3500</v>
      </c>
      <c r="D844" s="51">
        <f t="shared" si="13"/>
        <v>0.75434788947886156</v>
      </c>
      <c r="F844" s="50">
        <v>10.9</v>
      </c>
    </row>
    <row r="845" spans="1:6" x14ac:dyDescent="0.3">
      <c r="A845" s="42">
        <v>452965</v>
      </c>
      <c r="B845" s="43">
        <v>212</v>
      </c>
      <c r="C845" s="43">
        <v>800</v>
      </c>
      <c r="D845" s="51">
        <f t="shared" si="13"/>
        <v>0.91115887131188655</v>
      </c>
      <c r="F845" s="50">
        <v>10.9</v>
      </c>
    </row>
    <row r="846" spans="1:6" x14ac:dyDescent="0.3">
      <c r="A846" s="42">
        <v>452965</v>
      </c>
      <c r="B846" s="43">
        <v>916</v>
      </c>
      <c r="C846" s="43">
        <v>100000</v>
      </c>
      <c r="D846" s="51">
        <f t="shared" si="13"/>
        <v>0.79896960148178731</v>
      </c>
      <c r="F846" s="50">
        <v>10.9</v>
      </c>
    </row>
    <row r="847" spans="1:6" x14ac:dyDescent="0.3">
      <c r="A847" s="42">
        <v>452965</v>
      </c>
      <c r="B847" s="43">
        <v>270</v>
      </c>
      <c r="C847" s="43">
        <v>1000</v>
      </c>
      <c r="D847" s="51">
        <f t="shared" si="13"/>
        <v>0.5994991091348586</v>
      </c>
      <c r="F847" s="50">
        <v>10.9</v>
      </c>
    </row>
    <row r="848" spans="1:6" x14ac:dyDescent="0.3">
      <c r="A848" s="42">
        <v>452965</v>
      </c>
      <c r="B848" s="43">
        <v>780</v>
      </c>
      <c r="C848" s="43">
        <v>3000</v>
      </c>
      <c r="D848" s="51">
        <f t="shared" si="13"/>
        <v>0.84056678392667161</v>
      </c>
      <c r="F848" s="50">
        <v>10.9</v>
      </c>
    </row>
    <row r="849" spans="1:6" x14ac:dyDescent="0.3">
      <c r="A849" s="42">
        <v>452965</v>
      </c>
      <c r="B849" s="43">
        <v>724</v>
      </c>
      <c r="C849" s="43">
        <v>100000</v>
      </c>
      <c r="D849" s="51">
        <f t="shared" si="13"/>
        <v>0.96268545084111112</v>
      </c>
      <c r="F849" s="50">
        <v>10.9</v>
      </c>
    </row>
    <row r="850" spans="1:6" x14ac:dyDescent="0.3">
      <c r="A850" s="42">
        <v>452971</v>
      </c>
      <c r="B850" s="43">
        <v>216</v>
      </c>
      <c r="C850" s="43">
        <v>1800</v>
      </c>
      <c r="D850" s="51">
        <f t="shared" si="13"/>
        <v>0.89206001750765074</v>
      </c>
      <c r="F850" s="50">
        <v>10.9</v>
      </c>
    </row>
    <row r="851" spans="1:6" x14ac:dyDescent="0.3">
      <c r="A851" s="42">
        <v>452971</v>
      </c>
      <c r="B851" s="43">
        <v>916</v>
      </c>
      <c r="C851" s="43">
        <v>100000</v>
      </c>
      <c r="D851" s="51">
        <f t="shared" si="13"/>
        <v>0.79896960148178731</v>
      </c>
      <c r="F851" s="50">
        <v>10.9</v>
      </c>
    </row>
    <row r="852" spans="1:6" x14ac:dyDescent="0.3">
      <c r="A852" s="42">
        <v>452971</v>
      </c>
      <c r="B852" s="43">
        <v>261</v>
      </c>
      <c r="C852" s="43">
        <v>2400</v>
      </c>
      <c r="D852" s="51">
        <f t="shared" si="13"/>
        <v>0.86363448374932017</v>
      </c>
      <c r="F852" s="50">
        <v>10.9</v>
      </c>
    </row>
    <row r="853" spans="1:6" x14ac:dyDescent="0.3">
      <c r="A853" s="42">
        <v>452971</v>
      </c>
      <c r="B853" s="43">
        <v>724</v>
      </c>
      <c r="C853" s="43">
        <v>100000</v>
      </c>
      <c r="D853" s="51">
        <f t="shared" si="13"/>
        <v>0.96268545084111112</v>
      </c>
      <c r="F853" s="50">
        <v>10.9</v>
      </c>
    </row>
    <row r="854" spans="1:6" x14ac:dyDescent="0.3">
      <c r="A854" s="42">
        <v>452973</v>
      </c>
      <c r="B854" s="43">
        <v>216</v>
      </c>
      <c r="C854" s="43">
        <v>1500</v>
      </c>
      <c r="D854" s="51">
        <f t="shared" si="13"/>
        <v>0.89206001750765074</v>
      </c>
      <c r="F854" s="50">
        <v>10.9</v>
      </c>
    </row>
    <row r="855" spans="1:6" x14ac:dyDescent="0.3">
      <c r="A855" s="42">
        <v>452973</v>
      </c>
      <c r="B855" s="43">
        <v>916</v>
      </c>
      <c r="C855" s="43">
        <v>100000</v>
      </c>
      <c r="D855" s="51">
        <f t="shared" si="13"/>
        <v>0.79896960148178731</v>
      </c>
      <c r="F855" s="50">
        <v>10.9</v>
      </c>
    </row>
    <row r="856" spans="1:6" x14ac:dyDescent="0.3">
      <c r="A856" s="42">
        <v>452973</v>
      </c>
      <c r="B856" s="43">
        <v>260</v>
      </c>
      <c r="C856" s="43">
        <v>2500</v>
      </c>
      <c r="D856" s="51">
        <f t="shared" si="13"/>
        <v>0.84463020674510114</v>
      </c>
      <c r="F856" s="50">
        <v>10.9</v>
      </c>
    </row>
    <row r="857" spans="1:6" x14ac:dyDescent="0.3">
      <c r="A857" s="42">
        <v>452973</v>
      </c>
      <c r="B857" s="43">
        <v>724</v>
      </c>
      <c r="C857" s="43">
        <v>100000</v>
      </c>
      <c r="D857" s="51">
        <f t="shared" si="13"/>
        <v>0.96268545084111112</v>
      </c>
      <c r="F857" s="50">
        <v>10.9</v>
      </c>
    </row>
    <row r="858" spans="1:6" x14ac:dyDescent="0.3">
      <c r="A858" s="42" t="s">
        <v>252</v>
      </c>
      <c r="B858" s="43">
        <v>142</v>
      </c>
      <c r="C858" s="43">
        <v>10000</v>
      </c>
      <c r="D858" s="51">
        <f t="shared" si="13"/>
        <v>0.73372191503301964</v>
      </c>
      <c r="F858" s="50">
        <v>10.9</v>
      </c>
    </row>
    <row r="859" spans="1:6" x14ac:dyDescent="0.3">
      <c r="A859" s="42" t="s">
        <v>252</v>
      </c>
      <c r="B859" s="43">
        <v>798</v>
      </c>
      <c r="C859" s="43">
        <v>10000</v>
      </c>
      <c r="D859" s="51">
        <f t="shared" si="13"/>
        <v>0.98201053946219186</v>
      </c>
      <c r="F859" s="50">
        <v>10.9</v>
      </c>
    </row>
    <row r="860" spans="1:6" x14ac:dyDescent="0.3">
      <c r="A860" s="42" t="s">
        <v>252</v>
      </c>
      <c r="B860" s="43">
        <v>910</v>
      </c>
      <c r="C860" s="43">
        <v>10000</v>
      </c>
      <c r="D860" s="51">
        <f t="shared" si="13"/>
        <v>0.98980878134129691</v>
      </c>
      <c r="F860" s="50">
        <v>10.9</v>
      </c>
    </row>
    <row r="861" spans="1:6" x14ac:dyDescent="0.3">
      <c r="A861" s="42" t="s">
        <v>252</v>
      </c>
      <c r="B861" s="43">
        <v>2000</v>
      </c>
      <c r="C861" s="43">
        <v>222000</v>
      </c>
      <c r="D861" s="51">
        <f t="shared" si="13"/>
        <v>0.93535875888817066</v>
      </c>
      <c r="F861" s="50">
        <v>10.9</v>
      </c>
    </row>
    <row r="862" spans="1:6" x14ac:dyDescent="0.3">
      <c r="A862" s="42" t="s">
        <v>252</v>
      </c>
      <c r="B862" s="43">
        <v>750</v>
      </c>
      <c r="C862" s="43">
        <v>5000</v>
      </c>
      <c r="D862" s="51">
        <f t="shared" si="13"/>
        <v>0.82058595435750881</v>
      </c>
      <c r="F862" s="50">
        <v>10.9</v>
      </c>
    </row>
    <row r="863" spans="1:6" x14ac:dyDescent="0.3">
      <c r="A863" s="42">
        <v>452996</v>
      </c>
      <c r="B863" s="43">
        <v>216</v>
      </c>
      <c r="C863" s="43">
        <v>1400</v>
      </c>
      <c r="D863" s="51">
        <f t="shared" si="13"/>
        <v>0.89206001750765074</v>
      </c>
      <c r="F863" s="50">
        <v>10.9</v>
      </c>
    </row>
    <row r="864" spans="1:6" x14ac:dyDescent="0.3">
      <c r="A864" s="42">
        <v>452996</v>
      </c>
      <c r="B864" s="43">
        <v>916</v>
      </c>
      <c r="C864" s="43">
        <v>100000</v>
      </c>
      <c r="D864" s="51">
        <f t="shared" si="13"/>
        <v>0.79896960148178731</v>
      </c>
      <c r="F864" s="50">
        <v>10.9</v>
      </c>
    </row>
    <row r="865" spans="1:6" x14ac:dyDescent="0.3">
      <c r="A865" s="42">
        <v>452996</v>
      </c>
      <c r="B865" s="43">
        <v>265</v>
      </c>
      <c r="C865" s="43">
        <v>2400</v>
      </c>
      <c r="D865" s="51">
        <f t="shared" si="13"/>
        <v>0.77814176591921203</v>
      </c>
      <c r="F865" s="50">
        <v>10.9</v>
      </c>
    </row>
    <row r="866" spans="1:6" x14ac:dyDescent="0.3">
      <c r="A866" s="42">
        <v>452996</v>
      </c>
      <c r="B866" s="43">
        <v>724</v>
      </c>
      <c r="C866" s="43">
        <v>100000</v>
      </c>
      <c r="D866" s="51">
        <f t="shared" si="13"/>
        <v>0.96268545084111112</v>
      </c>
      <c r="F866" s="50">
        <v>10.9</v>
      </c>
    </row>
    <row r="867" spans="1:6" x14ac:dyDescent="0.3">
      <c r="A867" s="42">
        <v>453010</v>
      </c>
      <c r="B867" s="43">
        <v>215</v>
      </c>
      <c r="C867" s="43">
        <v>1500</v>
      </c>
      <c r="D867" s="51">
        <f t="shared" si="13"/>
        <v>0.81343416045002803</v>
      </c>
      <c r="F867" s="50">
        <v>10.9</v>
      </c>
    </row>
    <row r="868" spans="1:6" x14ac:dyDescent="0.3">
      <c r="A868" s="42">
        <v>453010</v>
      </c>
      <c r="B868" s="43">
        <v>916</v>
      </c>
      <c r="C868" s="43">
        <v>100000</v>
      </c>
      <c r="D868" s="51">
        <f t="shared" si="13"/>
        <v>0.79896960148178731</v>
      </c>
      <c r="F868" s="50">
        <v>10.9</v>
      </c>
    </row>
    <row r="869" spans="1:6" x14ac:dyDescent="0.3">
      <c r="A869" s="42">
        <v>453010</v>
      </c>
      <c r="B869" s="43">
        <v>262</v>
      </c>
      <c r="C869" s="43">
        <v>3000</v>
      </c>
      <c r="D869" s="51">
        <f t="shared" si="13"/>
        <v>0.84105582227237186</v>
      </c>
      <c r="F869" s="50">
        <v>10.9</v>
      </c>
    </row>
    <row r="870" spans="1:6" x14ac:dyDescent="0.3">
      <c r="A870" s="42">
        <v>453010</v>
      </c>
      <c r="B870" s="43">
        <v>282</v>
      </c>
      <c r="C870" s="43">
        <v>2800</v>
      </c>
      <c r="D870" s="51">
        <f t="shared" si="13"/>
        <v>0.75434788947886156</v>
      </c>
      <c r="F870" s="50">
        <v>10.9</v>
      </c>
    </row>
    <row r="871" spans="1:6" x14ac:dyDescent="0.3">
      <c r="A871" s="42">
        <v>453037</v>
      </c>
      <c r="B871" s="43">
        <v>216</v>
      </c>
      <c r="C871" s="43">
        <v>1000</v>
      </c>
      <c r="D871" s="51">
        <f t="shared" si="13"/>
        <v>0.89206001750765074</v>
      </c>
      <c r="F871" s="50">
        <v>10.9</v>
      </c>
    </row>
    <row r="872" spans="1:6" x14ac:dyDescent="0.3">
      <c r="A872" s="42">
        <v>453037</v>
      </c>
      <c r="B872" s="43">
        <v>916</v>
      </c>
      <c r="C872" s="43">
        <v>100000</v>
      </c>
      <c r="D872" s="51">
        <f t="shared" si="13"/>
        <v>0.79896960148178731</v>
      </c>
      <c r="F872" s="50">
        <v>10.9</v>
      </c>
    </row>
    <row r="873" spans="1:6" x14ac:dyDescent="0.3">
      <c r="A873" s="42">
        <v>453037</v>
      </c>
      <c r="B873" s="43">
        <v>270</v>
      </c>
      <c r="C873" s="43">
        <v>1500</v>
      </c>
      <c r="D873" s="51">
        <f t="shared" si="13"/>
        <v>0.5994991091348586</v>
      </c>
      <c r="F873" s="50">
        <v>10.9</v>
      </c>
    </row>
    <row r="874" spans="1:6" x14ac:dyDescent="0.3">
      <c r="A874" s="42">
        <v>453037</v>
      </c>
      <c r="B874" s="43">
        <v>780</v>
      </c>
      <c r="C874" s="43">
        <v>3000</v>
      </c>
      <c r="D874" s="51">
        <f t="shared" si="13"/>
        <v>0.84056678392667161</v>
      </c>
      <c r="F874" s="50">
        <v>10.9</v>
      </c>
    </row>
    <row r="875" spans="1:6" x14ac:dyDescent="0.3">
      <c r="A875" s="42">
        <v>453037</v>
      </c>
      <c r="B875" s="43">
        <v>724</v>
      </c>
      <c r="C875" s="43">
        <v>100000</v>
      </c>
      <c r="D875" s="51">
        <f t="shared" si="13"/>
        <v>0.96268545084111112</v>
      </c>
      <c r="F875" s="50">
        <v>10.9</v>
      </c>
    </row>
    <row r="876" spans="1:6" x14ac:dyDescent="0.3">
      <c r="A876" s="42">
        <v>453055</v>
      </c>
      <c r="B876" s="43">
        <v>406</v>
      </c>
      <c r="C876" s="43">
        <v>4000</v>
      </c>
      <c r="D876" s="51">
        <f t="shared" si="13"/>
        <v>0.53768896517227793</v>
      </c>
      <c r="F876" s="50">
        <v>10.9</v>
      </c>
    </row>
    <row r="877" spans="1:6" x14ac:dyDescent="0.3">
      <c r="A877" s="42">
        <v>453055</v>
      </c>
      <c r="B877" s="43">
        <v>798</v>
      </c>
      <c r="C877" s="43">
        <v>4000</v>
      </c>
      <c r="D877" s="51">
        <f t="shared" si="13"/>
        <v>0.98201053946219186</v>
      </c>
      <c r="F877" s="50">
        <v>10.9</v>
      </c>
    </row>
    <row r="878" spans="1:6" x14ac:dyDescent="0.3">
      <c r="A878" s="42">
        <v>453055</v>
      </c>
      <c r="B878" s="43">
        <v>910</v>
      </c>
      <c r="C878" s="43">
        <v>4000</v>
      </c>
      <c r="D878" s="51">
        <f t="shared" si="13"/>
        <v>0.98980878134129691</v>
      </c>
      <c r="F878" s="50">
        <v>10.9</v>
      </c>
    </row>
    <row r="879" spans="1:6" x14ac:dyDescent="0.3">
      <c r="A879" s="42">
        <v>453055</v>
      </c>
      <c r="B879" s="43">
        <v>2000</v>
      </c>
      <c r="C879" s="43">
        <v>222000</v>
      </c>
      <c r="D879" s="51">
        <f t="shared" si="13"/>
        <v>0.93535875888817066</v>
      </c>
      <c r="F879" s="50">
        <v>10.9</v>
      </c>
    </row>
    <row r="880" spans="1:6" x14ac:dyDescent="0.3">
      <c r="A880" s="42">
        <v>453055</v>
      </c>
      <c r="B880" s="43">
        <v>750</v>
      </c>
      <c r="C880" s="43">
        <v>5000</v>
      </c>
      <c r="D880" s="51">
        <f t="shared" si="13"/>
        <v>0.82058595435750881</v>
      </c>
      <c r="F880" s="50">
        <v>10.9</v>
      </c>
    </row>
    <row r="881" spans="1:6" x14ac:dyDescent="0.3">
      <c r="A881" s="42">
        <v>453074</v>
      </c>
      <c r="B881" s="43">
        <v>457</v>
      </c>
      <c r="C881" s="43">
        <v>500</v>
      </c>
      <c r="D881" s="51">
        <f t="shared" si="13"/>
        <v>0.75743338468817811</v>
      </c>
      <c r="F881" s="50">
        <v>10.9</v>
      </c>
    </row>
    <row r="882" spans="1:6" x14ac:dyDescent="0.3">
      <c r="A882" s="42">
        <v>453074</v>
      </c>
      <c r="B882" s="43">
        <v>910</v>
      </c>
      <c r="C882" s="43">
        <v>500</v>
      </c>
      <c r="D882" s="51">
        <f t="shared" si="13"/>
        <v>0.98980878134129691</v>
      </c>
      <c r="F882" s="50">
        <v>10.9</v>
      </c>
    </row>
    <row r="883" spans="1:6" x14ac:dyDescent="0.3">
      <c r="A883" s="42">
        <v>453074</v>
      </c>
      <c r="B883" s="43">
        <v>776</v>
      </c>
      <c r="C883" s="43">
        <v>1000</v>
      </c>
      <c r="D883" s="51">
        <f t="shared" si="13"/>
        <v>0.81520632683423377</v>
      </c>
      <c r="F883" s="50">
        <v>10.9</v>
      </c>
    </row>
    <row r="884" spans="1:6" x14ac:dyDescent="0.3">
      <c r="A884" s="42" t="s">
        <v>355</v>
      </c>
      <c r="B884" s="43">
        <v>136</v>
      </c>
      <c r="C884" s="43">
        <v>5000</v>
      </c>
      <c r="D884" s="51">
        <f t="shared" si="13"/>
        <v>0.73107264335751254</v>
      </c>
      <c r="F884" s="50">
        <v>10.9</v>
      </c>
    </row>
    <row r="885" spans="1:6" x14ac:dyDescent="0.3">
      <c r="A885" s="42" t="s">
        <v>355</v>
      </c>
      <c r="B885" s="43">
        <v>798</v>
      </c>
      <c r="C885" s="43">
        <v>5000</v>
      </c>
      <c r="D885" s="51">
        <f t="shared" si="13"/>
        <v>0.98201053946219186</v>
      </c>
      <c r="F885" s="50">
        <v>10.9</v>
      </c>
    </row>
    <row r="886" spans="1:6" x14ac:dyDescent="0.3">
      <c r="A886" s="42" t="s">
        <v>355</v>
      </c>
      <c r="B886" s="43">
        <v>910</v>
      </c>
      <c r="C886" s="43">
        <v>5000</v>
      </c>
      <c r="D886" s="51">
        <f t="shared" si="13"/>
        <v>0.98980878134129691</v>
      </c>
      <c r="F886" s="50">
        <v>10.9</v>
      </c>
    </row>
    <row r="887" spans="1:6" x14ac:dyDescent="0.3">
      <c r="A887" s="44" t="s">
        <v>355</v>
      </c>
      <c r="B887" s="43">
        <v>2700</v>
      </c>
      <c r="C887" s="43">
        <v>15000</v>
      </c>
      <c r="D887" s="51">
        <f t="shared" si="13"/>
        <v>0.95856377880310994</v>
      </c>
      <c r="F887" s="50">
        <v>10.9</v>
      </c>
    </row>
    <row r="888" spans="1:6" x14ac:dyDescent="0.3">
      <c r="A888" s="42" t="s">
        <v>355</v>
      </c>
      <c r="B888" s="43">
        <v>750</v>
      </c>
      <c r="C888" s="43">
        <v>5000</v>
      </c>
      <c r="D888" s="51">
        <f t="shared" si="13"/>
        <v>0.82058595435750881</v>
      </c>
      <c r="F888" s="50">
        <v>10.9</v>
      </c>
    </row>
    <row r="889" spans="1:6" x14ac:dyDescent="0.3">
      <c r="A889" s="42" t="s">
        <v>355</v>
      </c>
      <c r="B889" s="43">
        <v>799</v>
      </c>
      <c r="C889" s="43">
        <v>50000</v>
      </c>
      <c r="D889" s="51">
        <f t="shared" si="13"/>
        <v>0.94657286846895594</v>
      </c>
      <c r="F889" s="50">
        <v>10.9</v>
      </c>
    </row>
    <row r="890" spans="1:6" x14ac:dyDescent="0.3">
      <c r="A890" s="42">
        <v>453195</v>
      </c>
      <c r="B890" s="43">
        <v>522</v>
      </c>
      <c r="C890" s="43">
        <v>1000</v>
      </c>
      <c r="D890" s="51">
        <f t="shared" si="13"/>
        <v>0.48</v>
      </c>
      <c r="F890" s="50">
        <v>10.9</v>
      </c>
    </row>
    <row r="891" spans="1:6" x14ac:dyDescent="0.3">
      <c r="A891" s="42">
        <v>453195</v>
      </c>
      <c r="B891" s="43">
        <v>910</v>
      </c>
      <c r="C891" s="43">
        <v>1000</v>
      </c>
      <c r="D891" s="51">
        <f t="shared" si="13"/>
        <v>0.98980878134129691</v>
      </c>
      <c r="F891" s="50">
        <v>10.9</v>
      </c>
    </row>
    <row r="892" spans="1:6" x14ac:dyDescent="0.3">
      <c r="A892" s="42">
        <v>453195</v>
      </c>
      <c r="B892" s="43">
        <v>91170</v>
      </c>
      <c r="C892" s="43"/>
      <c r="D892" s="51" t="e">
        <f t="shared" si="13"/>
        <v>#N/A</v>
      </c>
      <c r="F892" s="50">
        <v>10.9</v>
      </c>
    </row>
    <row r="893" spans="1:6" x14ac:dyDescent="0.3">
      <c r="A893" s="42">
        <v>453195</v>
      </c>
      <c r="B893" s="43">
        <v>799</v>
      </c>
      <c r="C893" s="43">
        <v>100000</v>
      </c>
      <c r="D893" s="51">
        <f t="shared" si="13"/>
        <v>0.94657286846895594</v>
      </c>
      <c r="F893" s="50">
        <v>10.9</v>
      </c>
    </row>
    <row r="894" spans="1:6" x14ac:dyDescent="0.3">
      <c r="A894" s="42">
        <v>453215</v>
      </c>
      <c r="B894" s="43">
        <v>406</v>
      </c>
      <c r="C894" s="43">
        <v>3000</v>
      </c>
      <c r="D894" s="51">
        <f t="shared" si="13"/>
        <v>0.53768896517227793</v>
      </c>
      <c r="F894" s="50">
        <v>10.9</v>
      </c>
    </row>
    <row r="895" spans="1:6" x14ac:dyDescent="0.3">
      <c r="A895" s="42">
        <v>453215</v>
      </c>
      <c r="B895" s="43">
        <v>798</v>
      </c>
      <c r="C895" s="43">
        <v>3000</v>
      </c>
      <c r="D895" s="51">
        <f t="shared" si="13"/>
        <v>0.98201053946219186</v>
      </c>
      <c r="F895" s="50">
        <v>10.9</v>
      </c>
    </row>
    <row r="896" spans="1:6" x14ac:dyDescent="0.3">
      <c r="A896" s="42">
        <v>453215</v>
      </c>
      <c r="B896" s="43">
        <v>910</v>
      </c>
      <c r="C896" s="43">
        <v>3000</v>
      </c>
      <c r="D896" s="51">
        <f t="shared" si="13"/>
        <v>0.98980878134129691</v>
      </c>
      <c r="F896" s="50">
        <v>10.9</v>
      </c>
    </row>
    <row r="897" spans="1:6" x14ac:dyDescent="0.3">
      <c r="A897" s="42">
        <v>453215</v>
      </c>
      <c r="B897" s="43">
        <v>2000</v>
      </c>
      <c r="C897" s="43">
        <v>201000</v>
      </c>
      <c r="D897" s="51">
        <f t="shared" si="13"/>
        <v>0.93535875888817066</v>
      </c>
      <c r="F897" s="50">
        <v>10.9</v>
      </c>
    </row>
    <row r="898" spans="1:6" x14ac:dyDescent="0.3">
      <c r="A898" s="42">
        <v>453215</v>
      </c>
      <c r="B898" s="43">
        <v>750</v>
      </c>
      <c r="C898" s="43">
        <v>5000</v>
      </c>
      <c r="D898" s="51">
        <f t="shared" ref="D898:D961" si="14">VLOOKUP(B898,E:F,2,0)</f>
        <v>0.82058595435750881</v>
      </c>
      <c r="F898" s="50">
        <v>10.9</v>
      </c>
    </row>
    <row r="899" spans="1:6" x14ac:dyDescent="0.3">
      <c r="A899" s="42">
        <v>453257</v>
      </c>
      <c r="B899" s="43">
        <v>458</v>
      </c>
      <c r="C899" s="43">
        <v>600</v>
      </c>
      <c r="D899" s="51">
        <f t="shared" si="14"/>
        <v>0.59985775838557109</v>
      </c>
      <c r="F899" s="50">
        <v>10.9</v>
      </c>
    </row>
    <row r="900" spans="1:6" x14ac:dyDescent="0.3">
      <c r="A900" s="42">
        <v>453257</v>
      </c>
      <c r="B900" s="43">
        <v>910</v>
      </c>
      <c r="C900" s="43">
        <v>600</v>
      </c>
      <c r="D900" s="51">
        <f t="shared" si="14"/>
        <v>0.98980878134129691</v>
      </c>
      <c r="F900" s="50">
        <v>10.9</v>
      </c>
    </row>
    <row r="901" spans="1:6" x14ac:dyDescent="0.3">
      <c r="A901" s="42">
        <v>453257</v>
      </c>
      <c r="B901" s="43">
        <v>776</v>
      </c>
      <c r="C901" s="43">
        <v>1000</v>
      </c>
      <c r="D901" s="51">
        <f t="shared" si="14"/>
        <v>0.81520632683423377</v>
      </c>
      <c r="F901" s="50">
        <v>10.9</v>
      </c>
    </row>
    <row r="902" spans="1:6" x14ac:dyDescent="0.3">
      <c r="A902" s="42" t="s">
        <v>261</v>
      </c>
      <c r="B902" s="43">
        <v>216</v>
      </c>
      <c r="C902" s="43">
        <v>1500</v>
      </c>
      <c r="D902" s="51">
        <f t="shared" si="14"/>
        <v>0.89206001750765074</v>
      </c>
      <c r="F902" s="50">
        <v>10.9</v>
      </c>
    </row>
    <row r="903" spans="1:6" x14ac:dyDescent="0.3">
      <c r="A903" s="42" t="s">
        <v>261</v>
      </c>
      <c r="B903" s="43">
        <v>916</v>
      </c>
      <c r="C903" s="43">
        <v>100000</v>
      </c>
      <c r="D903" s="51">
        <f t="shared" si="14"/>
        <v>0.79896960148178731</v>
      </c>
      <c r="F903" s="50">
        <v>10.9</v>
      </c>
    </row>
    <row r="904" spans="1:6" x14ac:dyDescent="0.3">
      <c r="A904" s="42" t="s">
        <v>261</v>
      </c>
      <c r="B904" s="43">
        <v>265</v>
      </c>
      <c r="C904" s="43">
        <v>2200</v>
      </c>
      <c r="D904" s="51">
        <f t="shared" si="14"/>
        <v>0.77814176591921203</v>
      </c>
      <c r="F904" s="50">
        <v>10.9</v>
      </c>
    </row>
    <row r="905" spans="1:6" x14ac:dyDescent="0.3">
      <c r="A905" s="42" t="s">
        <v>261</v>
      </c>
      <c r="B905" s="43">
        <v>724</v>
      </c>
      <c r="C905" s="43">
        <v>100000</v>
      </c>
      <c r="D905" s="51">
        <f t="shared" si="14"/>
        <v>0.96268545084111112</v>
      </c>
      <c r="F905" s="50">
        <v>10.9</v>
      </c>
    </row>
    <row r="906" spans="1:6" x14ac:dyDescent="0.3">
      <c r="A906" s="42">
        <v>453288</v>
      </c>
      <c r="B906" s="43">
        <v>214</v>
      </c>
      <c r="C906" s="43">
        <v>2000</v>
      </c>
      <c r="D906" s="51">
        <f t="shared" si="14"/>
        <v>0.91778021233859708</v>
      </c>
      <c r="F906" s="50">
        <v>10.9</v>
      </c>
    </row>
    <row r="907" spans="1:6" x14ac:dyDescent="0.3">
      <c r="A907" s="42">
        <v>453288</v>
      </c>
      <c r="B907" s="43">
        <v>916</v>
      </c>
      <c r="C907" s="43">
        <v>100000</v>
      </c>
      <c r="D907" s="51">
        <f t="shared" si="14"/>
        <v>0.79896960148178731</v>
      </c>
      <c r="F907" s="50">
        <v>10.9</v>
      </c>
    </row>
    <row r="908" spans="1:6" x14ac:dyDescent="0.3">
      <c r="A908" s="42">
        <v>453288</v>
      </c>
      <c r="B908" s="43">
        <v>260</v>
      </c>
      <c r="C908" s="43">
        <v>3000</v>
      </c>
      <c r="D908" s="51">
        <f t="shared" si="14"/>
        <v>0.84463020674510114</v>
      </c>
      <c r="F908" s="50">
        <v>10.9</v>
      </c>
    </row>
    <row r="909" spans="1:6" x14ac:dyDescent="0.3">
      <c r="A909" s="42">
        <v>453288</v>
      </c>
      <c r="B909" s="43">
        <v>724</v>
      </c>
      <c r="C909" s="43">
        <v>100000</v>
      </c>
      <c r="D909" s="51">
        <f t="shared" si="14"/>
        <v>0.96268545084111112</v>
      </c>
      <c r="F909" s="50">
        <v>10.9</v>
      </c>
    </row>
    <row r="910" spans="1:6" x14ac:dyDescent="0.3">
      <c r="A910" s="42">
        <v>453298</v>
      </c>
      <c r="B910" s="43">
        <v>405</v>
      </c>
      <c r="C910" s="43">
        <v>3000</v>
      </c>
      <c r="D910" s="51">
        <f t="shared" si="14"/>
        <v>0.67723488591146541</v>
      </c>
      <c r="F910" s="50">
        <v>10.9</v>
      </c>
    </row>
    <row r="911" spans="1:6" x14ac:dyDescent="0.3">
      <c r="A911" s="42">
        <v>453298</v>
      </c>
      <c r="B911" s="43">
        <v>910</v>
      </c>
      <c r="C911" s="43">
        <v>3000</v>
      </c>
      <c r="D911" s="51">
        <f t="shared" si="14"/>
        <v>0.98980878134129691</v>
      </c>
      <c r="F911" s="50">
        <v>10.9</v>
      </c>
    </row>
    <row r="912" spans="1:6" x14ac:dyDescent="0.3">
      <c r="A912" s="42">
        <v>453298</v>
      </c>
      <c r="B912" s="43">
        <v>3600</v>
      </c>
      <c r="C912" s="43">
        <v>60000</v>
      </c>
      <c r="D912" s="51">
        <f t="shared" si="14"/>
        <v>0.87527907802245908</v>
      </c>
      <c r="F912" s="50">
        <v>10.9</v>
      </c>
    </row>
    <row r="913" spans="1:6" x14ac:dyDescent="0.3">
      <c r="A913" s="42">
        <v>453298</v>
      </c>
      <c r="B913" s="43">
        <v>799</v>
      </c>
      <c r="C913" s="43"/>
      <c r="D913" s="51">
        <f t="shared" si="14"/>
        <v>0.94657286846895594</v>
      </c>
      <c r="F913" s="50">
        <v>10.9</v>
      </c>
    </row>
    <row r="914" spans="1:6" x14ac:dyDescent="0.3">
      <c r="A914" s="42">
        <v>453298</v>
      </c>
      <c r="B914" s="43">
        <v>774</v>
      </c>
      <c r="C914" s="43">
        <v>50000</v>
      </c>
      <c r="D914" s="51">
        <f t="shared" si="14"/>
        <v>1</v>
      </c>
      <c r="F914" s="50">
        <v>10.9</v>
      </c>
    </row>
    <row r="915" spans="1:6" x14ac:dyDescent="0.3">
      <c r="A915" s="42" t="s">
        <v>439</v>
      </c>
      <c r="B915" s="45">
        <v>407</v>
      </c>
      <c r="C915" s="43">
        <v>3600</v>
      </c>
      <c r="D915" s="51">
        <f t="shared" si="14"/>
        <v>0.58662294120052372</v>
      </c>
      <c r="F915" s="50">
        <v>10.9</v>
      </c>
    </row>
    <row r="916" spans="1:6" x14ac:dyDescent="0.3">
      <c r="A916" s="42" t="s">
        <v>439</v>
      </c>
      <c r="B916" s="43">
        <v>910</v>
      </c>
      <c r="C916" s="43">
        <v>3600</v>
      </c>
      <c r="D916" s="51">
        <f t="shared" si="14"/>
        <v>0.98980878134129691</v>
      </c>
      <c r="F916" s="50">
        <v>10.9</v>
      </c>
    </row>
    <row r="917" spans="1:6" x14ac:dyDescent="0.3">
      <c r="A917" s="42">
        <v>453333</v>
      </c>
      <c r="B917" s="43">
        <v>406</v>
      </c>
      <c r="C917" s="43">
        <v>3000</v>
      </c>
      <c r="D917" s="51">
        <f t="shared" si="14"/>
        <v>0.53768896517227793</v>
      </c>
      <c r="F917" s="50">
        <v>10.9</v>
      </c>
    </row>
    <row r="918" spans="1:6" x14ac:dyDescent="0.3">
      <c r="A918" s="42">
        <v>453333</v>
      </c>
      <c r="B918" s="43">
        <v>798</v>
      </c>
      <c r="C918" s="43">
        <v>3000</v>
      </c>
      <c r="D918" s="51">
        <f t="shared" si="14"/>
        <v>0.98201053946219186</v>
      </c>
      <c r="F918" s="50">
        <v>10.9</v>
      </c>
    </row>
    <row r="919" spans="1:6" x14ac:dyDescent="0.3">
      <c r="A919" s="42">
        <v>453333</v>
      </c>
      <c r="B919" s="43">
        <v>910</v>
      </c>
      <c r="C919" s="43">
        <v>3000</v>
      </c>
      <c r="D919" s="51">
        <f t="shared" si="14"/>
        <v>0.98980878134129691</v>
      </c>
      <c r="F919" s="50">
        <v>10.9</v>
      </c>
    </row>
    <row r="920" spans="1:6" x14ac:dyDescent="0.3">
      <c r="A920" s="42">
        <v>453333</v>
      </c>
      <c r="B920" s="43">
        <v>798</v>
      </c>
      <c r="C920" s="43"/>
      <c r="D920" s="51">
        <f t="shared" si="14"/>
        <v>0.98201053946219186</v>
      </c>
      <c r="F920" s="50">
        <v>10.9</v>
      </c>
    </row>
    <row r="921" spans="1:6" x14ac:dyDescent="0.3">
      <c r="A921" s="42">
        <v>453333</v>
      </c>
      <c r="B921" s="43">
        <v>2000</v>
      </c>
      <c r="C921" s="43">
        <v>246000</v>
      </c>
      <c r="D921" s="51">
        <f t="shared" si="14"/>
        <v>0.93535875888817066</v>
      </c>
      <c r="F921" s="50">
        <v>10.9</v>
      </c>
    </row>
    <row r="922" spans="1:6" x14ac:dyDescent="0.3">
      <c r="A922" s="42">
        <v>453333</v>
      </c>
      <c r="B922" s="43">
        <v>750</v>
      </c>
      <c r="C922" s="43">
        <v>4500</v>
      </c>
      <c r="D922" s="51">
        <f t="shared" si="14"/>
        <v>0.82058595435750881</v>
      </c>
      <c r="F922" s="50">
        <v>10.9</v>
      </c>
    </row>
    <row r="923" spans="1:6" x14ac:dyDescent="0.3">
      <c r="A923" s="42">
        <v>453363</v>
      </c>
      <c r="B923" s="43">
        <v>407</v>
      </c>
      <c r="C923" s="43">
        <v>3000</v>
      </c>
      <c r="D923" s="51">
        <f t="shared" si="14"/>
        <v>0.58662294120052372</v>
      </c>
      <c r="F923" s="50">
        <v>10.9</v>
      </c>
    </row>
    <row r="924" spans="1:6" x14ac:dyDescent="0.3">
      <c r="A924" s="42">
        <v>453363</v>
      </c>
      <c r="B924" s="43">
        <v>798</v>
      </c>
      <c r="C924" s="43">
        <v>3000</v>
      </c>
      <c r="D924" s="51">
        <f t="shared" si="14"/>
        <v>0.98201053946219186</v>
      </c>
      <c r="F924" s="50">
        <v>10.9</v>
      </c>
    </row>
    <row r="925" spans="1:6" x14ac:dyDescent="0.3">
      <c r="A925" s="42">
        <v>453363</v>
      </c>
      <c r="B925" s="43">
        <v>910</v>
      </c>
      <c r="C925" s="43">
        <v>3000</v>
      </c>
      <c r="D925" s="51">
        <f t="shared" si="14"/>
        <v>0.98980878134129691</v>
      </c>
      <c r="F925" s="50">
        <v>10.9</v>
      </c>
    </row>
    <row r="926" spans="1:6" x14ac:dyDescent="0.3">
      <c r="A926" s="42">
        <v>453363</v>
      </c>
      <c r="B926" s="43">
        <v>798</v>
      </c>
      <c r="C926" s="43"/>
      <c r="D926" s="51">
        <f t="shared" si="14"/>
        <v>0.98201053946219186</v>
      </c>
      <c r="F926" s="50">
        <v>10.9</v>
      </c>
    </row>
    <row r="927" spans="1:6" x14ac:dyDescent="0.3">
      <c r="A927" s="42">
        <v>453363</v>
      </c>
      <c r="B927" s="43">
        <v>2000</v>
      </c>
      <c r="C927" s="43">
        <v>222000</v>
      </c>
      <c r="D927" s="51">
        <f t="shared" si="14"/>
        <v>0.93535875888817066</v>
      </c>
      <c r="F927" s="50">
        <v>10.9</v>
      </c>
    </row>
    <row r="928" spans="1:6" x14ac:dyDescent="0.3">
      <c r="A928" s="42">
        <v>453363</v>
      </c>
      <c r="B928" s="43">
        <v>750</v>
      </c>
      <c r="C928" s="43">
        <v>5000</v>
      </c>
      <c r="D928" s="51">
        <f t="shared" si="14"/>
        <v>0.82058595435750881</v>
      </c>
      <c r="F928" s="50">
        <v>10.9</v>
      </c>
    </row>
    <row r="929" spans="1:6" x14ac:dyDescent="0.3">
      <c r="A929" s="42">
        <v>453367</v>
      </c>
      <c r="B929" s="43">
        <v>213</v>
      </c>
      <c r="C929" s="43">
        <v>1400</v>
      </c>
      <c r="D929" s="51">
        <f t="shared" si="14"/>
        <v>0.89211414217378293</v>
      </c>
      <c r="F929" s="50">
        <v>10.9</v>
      </c>
    </row>
    <row r="930" spans="1:6" x14ac:dyDescent="0.3">
      <c r="A930" s="42">
        <v>453367</v>
      </c>
      <c r="B930" s="43">
        <v>916</v>
      </c>
      <c r="C930" s="43">
        <v>100000</v>
      </c>
      <c r="D930" s="51">
        <f t="shared" si="14"/>
        <v>0.79896960148178731</v>
      </c>
      <c r="F930" s="50">
        <v>10.9</v>
      </c>
    </row>
    <row r="931" spans="1:6" x14ac:dyDescent="0.3">
      <c r="A931" s="42">
        <v>453367</v>
      </c>
      <c r="B931" s="43">
        <v>261</v>
      </c>
      <c r="C931" s="43">
        <v>2500</v>
      </c>
      <c r="D931" s="51">
        <f t="shared" si="14"/>
        <v>0.86363448374932017</v>
      </c>
      <c r="F931" s="50">
        <v>10.9</v>
      </c>
    </row>
    <row r="932" spans="1:6" x14ac:dyDescent="0.3">
      <c r="A932" s="42">
        <v>453367</v>
      </c>
      <c r="B932" s="43">
        <v>724</v>
      </c>
      <c r="C932" s="43">
        <v>100000</v>
      </c>
      <c r="D932" s="51">
        <f t="shared" si="14"/>
        <v>0.96268545084111112</v>
      </c>
      <c r="F932" s="50">
        <v>10.9</v>
      </c>
    </row>
    <row r="933" spans="1:6" x14ac:dyDescent="0.3">
      <c r="A933" s="42">
        <v>453368</v>
      </c>
      <c r="B933" s="43">
        <v>213</v>
      </c>
      <c r="C933" s="43">
        <v>1200</v>
      </c>
      <c r="D933" s="51">
        <f t="shared" si="14"/>
        <v>0.89211414217378293</v>
      </c>
      <c r="F933" s="50">
        <v>10.9</v>
      </c>
    </row>
    <row r="934" spans="1:6" x14ac:dyDescent="0.3">
      <c r="A934" s="42">
        <v>453368</v>
      </c>
      <c r="B934" s="43">
        <v>916</v>
      </c>
      <c r="C934" s="43">
        <v>100000</v>
      </c>
      <c r="D934" s="51">
        <f t="shared" si="14"/>
        <v>0.79896960148178731</v>
      </c>
      <c r="F934" s="50">
        <v>10.9</v>
      </c>
    </row>
    <row r="935" spans="1:6" x14ac:dyDescent="0.3">
      <c r="A935" s="42">
        <v>453368</v>
      </c>
      <c r="B935" s="43">
        <v>261</v>
      </c>
      <c r="C935" s="43">
        <v>2500</v>
      </c>
      <c r="D935" s="51">
        <f t="shared" si="14"/>
        <v>0.86363448374932017</v>
      </c>
      <c r="F935" s="50">
        <v>10.9</v>
      </c>
    </row>
    <row r="936" spans="1:6" x14ac:dyDescent="0.3">
      <c r="A936" s="42">
        <v>453368</v>
      </c>
      <c r="B936" s="43">
        <v>724</v>
      </c>
      <c r="C936" s="43">
        <v>100000</v>
      </c>
      <c r="D936" s="51">
        <f t="shared" si="14"/>
        <v>0.96268545084111112</v>
      </c>
      <c r="F936" s="50">
        <v>10.9</v>
      </c>
    </row>
    <row r="937" spans="1:6" x14ac:dyDescent="0.3">
      <c r="A937" s="42">
        <v>453378</v>
      </c>
      <c r="B937" s="43">
        <v>407</v>
      </c>
      <c r="C937" s="43">
        <v>4000</v>
      </c>
      <c r="D937" s="51">
        <f t="shared" si="14"/>
        <v>0.58662294120052372</v>
      </c>
      <c r="F937" s="50">
        <v>10.9</v>
      </c>
    </row>
    <row r="938" spans="1:6" x14ac:dyDescent="0.3">
      <c r="A938" s="42">
        <v>453378</v>
      </c>
      <c r="B938" s="43">
        <v>798</v>
      </c>
      <c r="C938" s="43">
        <v>4000</v>
      </c>
      <c r="D938" s="51">
        <f t="shared" si="14"/>
        <v>0.98201053946219186</v>
      </c>
      <c r="F938" s="50">
        <v>10.9</v>
      </c>
    </row>
    <row r="939" spans="1:6" x14ac:dyDescent="0.3">
      <c r="A939" s="42">
        <v>453378</v>
      </c>
      <c r="B939" s="43">
        <v>910</v>
      </c>
      <c r="C939" s="43">
        <v>4000</v>
      </c>
      <c r="D939" s="51">
        <f t="shared" si="14"/>
        <v>0.98980878134129691</v>
      </c>
      <c r="F939" s="50">
        <v>10.9</v>
      </c>
    </row>
    <row r="940" spans="1:6" x14ac:dyDescent="0.3">
      <c r="A940" s="42">
        <v>453378</v>
      </c>
      <c r="B940" s="43">
        <v>2000</v>
      </c>
      <c r="C940" s="43">
        <v>222000</v>
      </c>
      <c r="D940" s="51">
        <f t="shared" si="14"/>
        <v>0.93535875888817066</v>
      </c>
      <c r="F940" s="50">
        <v>10.9</v>
      </c>
    </row>
    <row r="941" spans="1:6" x14ac:dyDescent="0.3">
      <c r="A941" s="42">
        <v>453378</v>
      </c>
      <c r="B941" s="43">
        <v>750</v>
      </c>
      <c r="C941" s="43">
        <v>5000</v>
      </c>
      <c r="D941" s="51">
        <f t="shared" si="14"/>
        <v>0.82058595435750881</v>
      </c>
      <c r="F941" s="50">
        <v>10.9</v>
      </c>
    </row>
    <row r="942" spans="1:6" x14ac:dyDescent="0.3">
      <c r="A942" s="42" t="s">
        <v>356</v>
      </c>
      <c r="B942" s="43">
        <v>407</v>
      </c>
      <c r="C942" s="43">
        <v>4000</v>
      </c>
      <c r="D942" s="51">
        <f t="shared" si="14"/>
        <v>0.58662294120052372</v>
      </c>
      <c r="F942" s="50">
        <v>10.9</v>
      </c>
    </row>
    <row r="943" spans="1:6" x14ac:dyDescent="0.3">
      <c r="A943" s="42" t="s">
        <v>356</v>
      </c>
      <c r="B943" s="43">
        <v>798</v>
      </c>
      <c r="C943" s="43">
        <v>4000</v>
      </c>
      <c r="D943" s="51">
        <f t="shared" si="14"/>
        <v>0.98201053946219186</v>
      </c>
      <c r="F943" s="50">
        <v>10.9</v>
      </c>
    </row>
    <row r="944" spans="1:6" x14ac:dyDescent="0.3">
      <c r="A944" s="42" t="s">
        <v>356</v>
      </c>
      <c r="B944" s="43">
        <v>910</v>
      </c>
      <c r="C944" s="43">
        <v>4000</v>
      </c>
      <c r="D944" s="51">
        <f t="shared" si="14"/>
        <v>0.98980878134129691</v>
      </c>
      <c r="F944" s="50">
        <v>10.9</v>
      </c>
    </row>
    <row r="945" spans="1:6" x14ac:dyDescent="0.3">
      <c r="A945" s="42" t="s">
        <v>356</v>
      </c>
      <c r="B945" s="43">
        <v>798</v>
      </c>
      <c r="C945" s="43"/>
      <c r="D945" s="51">
        <f t="shared" si="14"/>
        <v>0.98201053946219186</v>
      </c>
      <c r="F945" s="50">
        <v>10.9</v>
      </c>
    </row>
    <row r="946" spans="1:6" x14ac:dyDescent="0.3">
      <c r="A946" s="42" t="s">
        <v>356</v>
      </c>
      <c r="B946" s="43">
        <v>2000</v>
      </c>
      <c r="C946" s="43">
        <v>222000</v>
      </c>
      <c r="D946" s="51">
        <f t="shared" si="14"/>
        <v>0.93535875888817066</v>
      </c>
      <c r="F946" s="50">
        <v>10.9</v>
      </c>
    </row>
    <row r="947" spans="1:6" x14ac:dyDescent="0.3">
      <c r="A947" s="42" t="s">
        <v>356</v>
      </c>
      <c r="B947" s="43">
        <v>750</v>
      </c>
      <c r="C947" s="43">
        <v>3000</v>
      </c>
      <c r="D947" s="51">
        <f t="shared" si="14"/>
        <v>0.82058595435750881</v>
      </c>
      <c r="F947" s="50">
        <v>10.9</v>
      </c>
    </row>
    <row r="948" spans="1:6" x14ac:dyDescent="0.3">
      <c r="A948" s="42" t="s">
        <v>422</v>
      </c>
      <c r="B948" s="43">
        <v>406</v>
      </c>
      <c r="C948" s="43">
        <v>4500</v>
      </c>
      <c r="D948" s="51">
        <f t="shared" si="14"/>
        <v>0.53768896517227793</v>
      </c>
      <c r="F948" s="50">
        <v>10.9</v>
      </c>
    </row>
    <row r="949" spans="1:6" x14ac:dyDescent="0.3">
      <c r="A949" s="42" t="s">
        <v>422</v>
      </c>
      <c r="B949" s="43">
        <v>798</v>
      </c>
      <c r="C949" s="43">
        <v>4500</v>
      </c>
      <c r="D949" s="51">
        <f t="shared" si="14"/>
        <v>0.98201053946219186</v>
      </c>
      <c r="F949" s="50">
        <v>10.9</v>
      </c>
    </row>
    <row r="950" spans="1:6" x14ac:dyDescent="0.3">
      <c r="A950" s="42" t="s">
        <v>422</v>
      </c>
      <c r="B950" s="43">
        <v>910</v>
      </c>
      <c r="C950" s="43">
        <v>4500</v>
      </c>
      <c r="D950" s="51">
        <f t="shared" si="14"/>
        <v>0.98980878134129691</v>
      </c>
      <c r="F950" s="50">
        <v>10.9</v>
      </c>
    </row>
    <row r="951" spans="1:6" x14ac:dyDescent="0.3">
      <c r="A951" s="42" t="s">
        <v>422</v>
      </c>
      <c r="B951" s="43">
        <v>2000</v>
      </c>
      <c r="C951" s="43">
        <v>246000</v>
      </c>
      <c r="D951" s="51">
        <f t="shared" si="14"/>
        <v>0.93535875888817066</v>
      </c>
      <c r="F951" s="50">
        <v>10.9</v>
      </c>
    </row>
    <row r="952" spans="1:6" x14ac:dyDescent="0.3">
      <c r="A952" s="42" t="s">
        <v>422</v>
      </c>
      <c r="B952" s="43">
        <v>750</v>
      </c>
      <c r="C952" s="43">
        <v>5000</v>
      </c>
      <c r="D952" s="51">
        <f t="shared" si="14"/>
        <v>0.82058595435750881</v>
      </c>
      <c r="F952" s="50">
        <v>10.9</v>
      </c>
    </row>
    <row r="953" spans="1:6" x14ac:dyDescent="0.3">
      <c r="A953" s="42">
        <v>453389</v>
      </c>
      <c r="B953" s="43">
        <v>122</v>
      </c>
      <c r="C953" s="43">
        <v>15000</v>
      </c>
      <c r="D953" s="51">
        <f t="shared" si="14"/>
        <v>0.72509988568394079</v>
      </c>
      <c r="F953" s="50">
        <v>10.9</v>
      </c>
    </row>
    <row r="954" spans="1:6" x14ac:dyDescent="0.3">
      <c r="A954" s="42">
        <v>453389</v>
      </c>
      <c r="B954" s="43">
        <v>910</v>
      </c>
      <c r="C954" s="43">
        <v>15000</v>
      </c>
      <c r="D954" s="51">
        <f t="shared" si="14"/>
        <v>0.98980878134129691</v>
      </c>
      <c r="F954" s="50">
        <v>10.9</v>
      </c>
    </row>
    <row r="955" spans="1:6" x14ac:dyDescent="0.3">
      <c r="A955" s="42">
        <v>453389</v>
      </c>
      <c r="B955" s="43">
        <v>2700</v>
      </c>
      <c r="C955" s="43">
        <v>40000</v>
      </c>
      <c r="D955" s="51">
        <f t="shared" si="14"/>
        <v>0.95856377880310994</v>
      </c>
      <c r="F955" s="50">
        <v>10.9</v>
      </c>
    </row>
    <row r="956" spans="1:6" x14ac:dyDescent="0.3">
      <c r="A956" s="42">
        <v>453389</v>
      </c>
      <c r="B956" s="43">
        <v>777</v>
      </c>
      <c r="C956" s="43">
        <v>100000</v>
      </c>
      <c r="D956" s="51">
        <f t="shared" si="14"/>
        <v>0.97115107221848251</v>
      </c>
      <c r="F956" s="50">
        <v>10.9</v>
      </c>
    </row>
    <row r="957" spans="1:6" x14ac:dyDescent="0.3">
      <c r="A957" s="42" t="s">
        <v>272</v>
      </c>
      <c r="B957" s="43">
        <v>213</v>
      </c>
      <c r="C957" s="43">
        <v>1500</v>
      </c>
      <c r="D957" s="51">
        <f t="shared" si="14"/>
        <v>0.89211414217378293</v>
      </c>
      <c r="F957" s="50">
        <v>10.9</v>
      </c>
    </row>
    <row r="958" spans="1:6" x14ac:dyDescent="0.3">
      <c r="A958" s="42" t="s">
        <v>272</v>
      </c>
      <c r="B958" s="43">
        <v>916</v>
      </c>
      <c r="C958" s="43">
        <v>100000</v>
      </c>
      <c r="D958" s="51">
        <f t="shared" si="14"/>
        <v>0.79896960148178731</v>
      </c>
      <c r="F958" s="50">
        <v>10.9</v>
      </c>
    </row>
    <row r="959" spans="1:6" x14ac:dyDescent="0.3">
      <c r="A959" s="42" t="s">
        <v>272</v>
      </c>
      <c r="B959" s="43">
        <v>261</v>
      </c>
      <c r="C959" s="43">
        <v>3000</v>
      </c>
      <c r="D959" s="51">
        <f t="shared" si="14"/>
        <v>0.86363448374932017</v>
      </c>
      <c r="F959" s="50">
        <v>10.9</v>
      </c>
    </row>
    <row r="960" spans="1:6" x14ac:dyDescent="0.3">
      <c r="A960" s="42" t="s">
        <v>272</v>
      </c>
      <c r="B960" s="43">
        <v>724</v>
      </c>
      <c r="C960" s="43">
        <v>100000</v>
      </c>
      <c r="D960" s="51">
        <f t="shared" si="14"/>
        <v>0.96268545084111112</v>
      </c>
      <c r="F960" s="50">
        <v>10.9</v>
      </c>
    </row>
    <row r="961" spans="1:6" x14ac:dyDescent="0.3">
      <c r="A961" s="42">
        <v>453396</v>
      </c>
      <c r="B961" s="43">
        <v>142</v>
      </c>
      <c r="C961" s="43">
        <v>8000</v>
      </c>
      <c r="D961" s="51">
        <f t="shared" si="14"/>
        <v>0.73372191503301964</v>
      </c>
      <c r="F961" s="50">
        <v>10.9</v>
      </c>
    </row>
    <row r="962" spans="1:6" x14ac:dyDescent="0.3">
      <c r="A962" s="42">
        <v>453396</v>
      </c>
      <c r="B962" s="43">
        <v>798</v>
      </c>
      <c r="C962" s="43">
        <v>8000</v>
      </c>
      <c r="D962" s="51">
        <f t="shared" ref="D962:D1025" si="15">VLOOKUP(B962,E:F,2,0)</f>
        <v>0.98201053946219186</v>
      </c>
      <c r="F962" s="50">
        <v>10.9</v>
      </c>
    </row>
    <row r="963" spans="1:6" x14ac:dyDescent="0.3">
      <c r="A963" s="42">
        <v>453396</v>
      </c>
      <c r="B963" s="43">
        <v>910</v>
      </c>
      <c r="C963" s="43">
        <v>8000</v>
      </c>
      <c r="D963" s="51">
        <f t="shared" si="15"/>
        <v>0.98980878134129691</v>
      </c>
      <c r="F963" s="50">
        <v>10.9</v>
      </c>
    </row>
    <row r="964" spans="1:6" x14ac:dyDescent="0.3">
      <c r="A964" s="42">
        <v>453396</v>
      </c>
      <c r="B964" s="43">
        <v>2000</v>
      </c>
      <c r="C964" s="43">
        <v>222000</v>
      </c>
      <c r="D964" s="51">
        <f t="shared" si="15"/>
        <v>0.93535875888817066</v>
      </c>
      <c r="F964" s="50">
        <v>10.9</v>
      </c>
    </row>
    <row r="965" spans="1:6" x14ac:dyDescent="0.3">
      <c r="A965" s="42">
        <v>453396</v>
      </c>
      <c r="B965" s="43">
        <v>750</v>
      </c>
      <c r="C965" s="43">
        <v>5000</v>
      </c>
      <c r="D965" s="51">
        <f t="shared" si="15"/>
        <v>0.82058595435750881</v>
      </c>
      <c r="F965" s="50">
        <v>10.9</v>
      </c>
    </row>
    <row r="966" spans="1:6" x14ac:dyDescent="0.3">
      <c r="A966" s="42">
        <v>453409</v>
      </c>
      <c r="B966" s="43">
        <v>216</v>
      </c>
      <c r="C966" s="43">
        <v>1200</v>
      </c>
      <c r="D966" s="51">
        <f t="shared" si="15"/>
        <v>0.89206001750765074</v>
      </c>
      <c r="F966" s="50">
        <v>10.9</v>
      </c>
    </row>
    <row r="967" spans="1:6" x14ac:dyDescent="0.3">
      <c r="A967" s="42">
        <v>453409</v>
      </c>
      <c r="B967" s="43">
        <v>916</v>
      </c>
      <c r="C967" s="43">
        <v>100000</v>
      </c>
      <c r="D967" s="51">
        <f t="shared" si="15"/>
        <v>0.79896960148178731</v>
      </c>
      <c r="F967" s="50">
        <v>10.9</v>
      </c>
    </row>
    <row r="968" spans="1:6" x14ac:dyDescent="0.3">
      <c r="A968" s="42">
        <v>453409</v>
      </c>
      <c r="B968" s="43">
        <v>266</v>
      </c>
      <c r="C968" s="43">
        <v>2000</v>
      </c>
      <c r="D968" s="51">
        <f t="shared" si="15"/>
        <v>0.84702959767415587</v>
      </c>
      <c r="F968" s="50">
        <v>10.9</v>
      </c>
    </row>
    <row r="969" spans="1:6" x14ac:dyDescent="0.3">
      <c r="A969" s="42">
        <v>453409</v>
      </c>
      <c r="B969" s="43">
        <v>724</v>
      </c>
      <c r="C969" s="43">
        <v>100000</v>
      </c>
      <c r="D969" s="51">
        <f t="shared" si="15"/>
        <v>0.96268545084111112</v>
      </c>
      <c r="F969" s="50">
        <v>10.9</v>
      </c>
    </row>
    <row r="970" spans="1:6" x14ac:dyDescent="0.3">
      <c r="A970" s="42">
        <v>453410</v>
      </c>
      <c r="B970" s="43">
        <v>142</v>
      </c>
      <c r="C970" s="43">
        <v>15000</v>
      </c>
      <c r="D970" s="51">
        <f t="shared" si="15"/>
        <v>0.73372191503301964</v>
      </c>
      <c r="F970" s="50">
        <v>10.9</v>
      </c>
    </row>
    <row r="971" spans="1:6" x14ac:dyDescent="0.3">
      <c r="A971" s="42">
        <v>453410</v>
      </c>
      <c r="B971" s="43">
        <v>910</v>
      </c>
      <c r="C971" s="43">
        <v>15000</v>
      </c>
      <c r="D971" s="51">
        <f t="shared" si="15"/>
        <v>0.98980878134129691</v>
      </c>
      <c r="F971" s="50">
        <v>10.9</v>
      </c>
    </row>
    <row r="972" spans="1:6" x14ac:dyDescent="0.3">
      <c r="A972" s="44">
        <v>453410</v>
      </c>
      <c r="B972" s="43">
        <v>2700</v>
      </c>
      <c r="C972" s="43">
        <v>20000</v>
      </c>
      <c r="D972" s="51">
        <f t="shared" si="15"/>
        <v>0.95856377880310994</v>
      </c>
      <c r="F972" s="50">
        <v>10.9</v>
      </c>
    </row>
    <row r="973" spans="1:6" x14ac:dyDescent="0.3">
      <c r="A973" s="42">
        <v>453410</v>
      </c>
      <c r="B973" s="43">
        <v>777</v>
      </c>
      <c r="C973" s="43">
        <v>100000</v>
      </c>
      <c r="D973" s="51">
        <f t="shared" si="15"/>
        <v>0.97115107221848251</v>
      </c>
      <c r="F973" s="50">
        <v>10.9</v>
      </c>
    </row>
    <row r="974" spans="1:6" x14ac:dyDescent="0.3">
      <c r="A974" s="42">
        <v>453414</v>
      </c>
      <c r="B974" s="43">
        <v>142</v>
      </c>
      <c r="C974" s="43">
        <v>6000</v>
      </c>
      <c r="D974" s="51">
        <f t="shared" si="15"/>
        <v>0.73372191503301964</v>
      </c>
      <c r="F974" s="50">
        <v>10.9</v>
      </c>
    </row>
    <row r="975" spans="1:6" x14ac:dyDescent="0.3">
      <c r="A975" s="42">
        <v>453414</v>
      </c>
      <c r="B975" s="43">
        <v>798</v>
      </c>
      <c r="C975" s="43">
        <v>6000</v>
      </c>
      <c r="D975" s="51">
        <f t="shared" si="15"/>
        <v>0.98201053946219186</v>
      </c>
      <c r="F975" s="50">
        <v>10.9</v>
      </c>
    </row>
    <row r="976" spans="1:6" x14ac:dyDescent="0.3">
      <c r="A976" s="42">
        <v>453414</v>
      </c>
      <c r="B976" s="43">
        <v>910</v>
      </c>
      <c r="C976" s="43">
        <v>6000</v>
      </c>
      <c r="D976" s="51">
        <f t="shared" si="15"/>
        <v>0.98980878134129691</v>
      </c>
      <c r="F976" s="50">
        <v>10.9</v>
      </c>
    </row>
    <row r="977" spans="1:6" x14ac:dyDescent="0.3">
      <c r="A977" s="42">
        <v>453414</v>
      </c>
      <c r="B977" s="43">
        <v>2000</v>
      </c>
      <c r="C977" s="43">
        <v>177000</v>
      </c>
      <c r="D977" s="51">
        <f t="shared" si="15"/>
        <v>0.93535875888817066</v>
      </c>
      <c r="F977" s="50">
        <v>10.9</v>
      </c>
    </row>
    <row r="978" spans="1:6" x14ac:dyDescent="0.3">
      <c r="A978" s="42">
        <v>453414</v>
      </c>
      <c r="B978" s="43">
        <v>750</v>
      </c>
      <c r="C978" s="43">
        <v>5000</v>
      </c>
      <c r="D978" s="51">
        <f t="shared" si="15"/>
        <v>0.82058595435750881</v>
      </c>
      <c r="F978" s="50">
        <v>10.9</v>
      </c>
    </row>
    <row r="979" spans="1:6" x14ac:dyDescent="0.3">
      <c r="A979" s="42">
        <v>453418</v>
      </c>
      <c r="B979" s="43">
        <v>212</v>
      </c>
      <c r="C979" s="43">
        <v>1700</v>
      </c>
      <c r="D979" s="51">
        <f t="shared" si="15"/>
        <v>0.91115887131188655</v>
      </c>
      <c r="F979" s="50">
        <v>10.9</v>
      </c>
    </row>
    <row r="980" spans="1:6" x14ac:dyDescent="0.3">
      <c r="A980" s="42">
        <v>453418</v>
      </c>
      <c r="B980" s="43">
        <v>916</v>
      </c>
      <c r="C980" s="43">
        <v>100000</v>
      </c>
      <c r="D980" s="51">
        <f t="shared" si="15"/>
        <v>0.79896960148178731</v>
      </c>
      <c r="F980" s="50">
        <v>10.9</v>
      </c>
    </row>
    <row r="981" spans="1:6" x14ac:dyDescent="0.3">
      <c r="A981" s="42">
        <v>453418</v>
      </c>
      <c r="B981" s="43">
        <v>265</v>
      </c>
      <c r="C981" s="43">
        <v>2400</v>
      </c>
      <c r="D981" s="51">
        <f t="shared" si="15"/>
        <v>0.77814176591921203</v>
      </c>
      <c r="F981" s="50">
        <v>10.9</v>
      </c>
    </row>
    <row r="982" spans="1:6" x14ac:dyDescent="0.3">
      <c r="A982" s="42">
        <v>453418</v>
      </c>
      <c r="B982" s="43">
        <v>724</v>
      </c>
      <c r="C982" s="43">
        <v>100000</v>
      </c>
      <c r="D982" s="51">
        <f t="shared" si="15"/>
        <v>0.96268545084111112</v>
      </c>
      <c r="F982" s="50">
        <v>10.9</v>
      </c>
    </row>
    <row r="983" spans="1:6" x14ac:dyDescent="0.3">
      <c r="A983" s="42">
        <v>453419</v>
      </c>
      <c r="B983" s="43">
        <v>136</v>
      </c>
      <c r="C983" s="43">
        <v>4000</v>
      </c>
      <c r="D983" s="51">
        <f t="shared" si="15"/>
        <v>0.73107264335751254</v>
      </c>
      <c r="F983" s="50">
        <v>10.9</v>
      </c>
    </row>
    <row r="984" spans="1:6" x14ac:dyDescent="0.3">
      <c r="A984" s="42">
        <v>453419</v>
      </c>
      <c r="B984" s="43">
        <v>912</v>
      </c>
      <c r="C984" s="43">
        <v>4000</v>
      </c>
      <c r="D984" s="51">
        <f t="shared" si="15"/>
        <v>0.96217424475646141</v>
      </c>
      <c r="F984" s="50">
        <v>10.9</v>
      </c>
    </row>
    <row r="985" spans="1:6" x14ac:dyDescent="0.3">
      <c r="A985" s="42">
        <v>453419</v>
      </c>
      <c r="B985" s="43">
        <v>2700</v>
      </c>
      <c r="C985" s="43">
        <v>3000</v>
      </c>
      <c r="D985" s="51">
        <f t="shared" si="15"/>
        <v>0.95856377880310994</v>
      </c>
      <c r="F985" s="50">
        <v>10.9</v>
      </c>
    </row>
    <row r="986" spans="1:6" x14ac:dyDescent="0.3">
      <c r="A986" s="42">
        <v>453419</v>
      </c>
      <c r="B986" s="43">
        <v>777</v>
      </c>
      <c r="C986" s="43">
        <v>100000</v>
      </c>
      <c r="D986" s="51">
        <f t="shared" si="15"/>
        <v>0.97115107221848251</v>
      </c>
      <c r="F986" s="50">
        <v>10.9</v>
      </c>
    </row>
    <row r="987" spans="1:6" x14ac:dyDescent="0.3">
      <c r="A987" s="48">
        <v>453423</v>
      </c>
      <c r="B987" s="43">
        <v>406</v>
      </c>
      <c r="C987" s="45">
        <v>3700</v>
      </c>
      <c r="D987" s="51">
        <f t="shared" si="15"/>
        <v>0.53768896517227793</v>
      </c>
      <c r="F987" s="50">
        <v>10.9</v>
      </c>
    </row>
    <row r="988" spans="1:6" x14ac:dyDescent="0.3">
      <c r="A988" s="42">
        <v>453423</v>
      </c>
      <c r="B988" s="43">
        <v>798</v>
      </c>
      <c r="C988" s="43">
        <v>3700</v>
      </c>
      <c r="D988" s="51">
        <f t="shared" si="15"/>
        <v>0.98201053946219186</v>
      </c>
      <c r="F988" s="50">
        <v>10.9</v>
      </c>
    </row>
    <row r="989" spans="1:6" x14ac:dyDescent="0.3">
      <c r="A989" s="42">
        <v>453423</v>
      </c>
      <c r="B989" s="43">
        <v>910</v>
      </c>
      <c r="C989" s="43">
        <v>3700</v>
      </c>
      <c r="D989" s="51">
        <f t="shared" si="15"/>
        <v>0.98980878134129691</v>
      </c>
      <c r="F989" s="50">
        <v>10.9</v>
      </c>
    </row>
    <row r="990" spans="1:6" x14ac:dyDescent="0.3">
      <c r="A990" s="42">
        <v>453423</v>
      </c>
      <c r="B990" s="43">
        <v>2000</v>
      </c>
      <c r="C990" s="43">
        <v>222000</v>
      </c>
      <c r="D990" s="51">
        <f t="shared" si="15"/>
        <v>0.93535875888817066</v>
      </c>
      <c r="F990" s="50">
        <v>10.9</v>
      </c>
    </row>
    <row r="991" spans="1:6" x14ac:dyDescent="0.3">
      <c r="A991" s="42">
        <v>453423</v>
      </c>
      <c r="B991" s="43">
        <v>750</v>
      </c>
      <c r="C991" s="43">
        <v>5000</v>
      </c>
      <c r="D991" s="51">
        <f t="shared" si="15"/>
        <v>0.82058595435750881</v>
      </c>
      <c r="F991" s="50">
        <v>10.9</v>
      </c>
    </row>
    <row r="992" spans="1:6" x14ac:dyDescent="0.3">
      <c r="A992" s="42">
        <v>453449</v>
      </c>
      <c r="B992" s="43">
        <v>406</v>
      </c>
      <c r="C992" s="43">
        <v>3000</v>
      </c>
      <c r="D992" s="51">
        <f t="shared" si="15"/>
        <v>0.53768896517227793</v>
      </c>
      <c r="F992" s="50">
        <v>10.9</v>
      </c>
    </row>
    <row r="993" spans="1:6" x14ac:dyDescent="0.3">
      <c r="A993" s="42">
        <v>453449</v>
      </c>
      <c r="B993" s="43">
        <v>798</v>
      </c>
      <c r="C993" s="43">
        <v>3000</v>
      </c>
      <c r="D993" s="51">
        <f t="shared" si="15"/>
        <v>0.98201053946219186</v>
      </c>
      <c r="F993" s="50">
        <v>10.9</v>
      </c>
    </row>
    <row r="994" spans="1:6" x14ac:dyDescent="0.3">
      <c r="A994" s="42">
        <v>453449</v>
      </c>
      <c r="B994" s="43">
        <v>910</v>
      </c>
      <c r="C994" s="43">
        <v>3000</v>
      </c>
      <c r="D994" s="51">
        <f t="shared" si="15"/>
        <v>0.98980878134129691</v>
      </c>
      <c r="F994" s="50">
        <v>10.9</v>
      </c>
    </row>
    <row r="995" spans="1:6" x14ac:dyDescent="0.3">
      <c r="A995" s="42">
        <v>453449</v>
      </c>
      <c r="B995" s="45">
        <v>798</v>
      </c>
      <c r="C995" s="43"/>
      <c r="D995" s="51">
        <f t="shared" si="15"/>
        <v>0.98201053946219186</v>
      </c>
      <c r="F995" s="50">
        <v>10.9</v>
      </c>
    </row>
    <row r="996" spans="1:6" x14ac:dyDescent="0.3">
      <c r="A996" s="42">
        <v>453449</v>
      </c>
      <c r="B996" s="43">
        <v>2000</v>
      </c>
      <c r="C996" s="43">
        <v>246000</v>
      </c>
      <c r="D996" s="51">
        <f t="shared" si="15"/>
        <v>0.93535875888817066</v>
      </c>
      <c r="F996" s="50">
        <v>10.9</v>
      </c>
    </row>
    <row r="997" spans="1:6" x14ac:dyDescent="0.3">
      <c r="A997" s="42">
        <v>453449</v>
      </c>
      <c r="B997" s="43">
        <v>750</v>
      </c>
      <c r="C997" s="43">
        <v>3500</v>
      </c>
      <c r="D997" s="51">
        <f t="shared" si="15"/>
        <v>0.82058595435750881</v>
      </c>
      <c r="F997" s="50">
        <v>10.9</v>
      </c>
    </row>
    <row r="998" spans="1:6" x14ac:dyDescent="0.3">
      <c r="A998" s="42">
        <v>453451</v>
      </c>
      <c r="B998" s="45">
        <v>142</v>
      </c>
      <c r="C998" s="43">
        <v>8000</v>
      </c>
      <c r="D998" s="51">
        <f t="shared" si="15"/>
        <v>0.73372191503301964</v>
      </c>
      <c r="F998" s="50">
        <v>10.9</v>
      </c>
    </row>
    <row r="999" spans="1:6" x14ac:dyDescent="0.3">
      <c r="A999" s="42">
        <v>453451</v>
      </c>
      <c r="B999" s="43">
        <v>798</v>
      </c>
      <c r="C999" s="43">
        <v>8000</v>
      </c>
      <c r="D999" s="51">
        <f t="shared" si="15"/>
        <v>0.98201053946219186</v>
      </c>
      <c r="F999" s="50">
        <v>10.9</v>
      </c>
    </row>
    <row r="1000" spans="1:6" x14ac:dyDescent="0.3">
      <c r="A1000" s="42">
        <v>453451</v>
      </c>
      <c r="B1000" s="43">
        <v>910</v>
      </c>
      <c r="C1000" s="43">
        <v>8000</v>
      </c>
      <c r="D1000" s="51">
        <f t="shared" si="15"/>
        <v>0.98980878134129691</v>
      </c>
      <c r="F1000" s="50">
        <v>10.9</v>
      </c>
    </row>
    <row r="1001" spans="1:6" x14ac:dyDescent="0.3">
      <c r="A1001" s="42">
        <v>453451</v>
      </c>
      <c r="B1001" s="43">
        <v>2000</v>
      </c>
      <c r="C1001" s="43">
        <v>185000</v>
      </c>
      <c r="D1001" s="51">
        <f t="shared" si="15"/>
        <v>0.93535875888817066</v>
      </c>
      <c r="F1001" s="50">
        <v>10.9</v>
      </c>
    </row>
    <row r="1002" spans="1:6" x14ac:dyDescent="0.3">
      <c r="A1002" s="42">
        <v>453451</v>
      </c>
      <c r="B1002" s="43">
        <v>750</v>
      </c>
      <c r="C1002" s="43">
        <v>5000</v>
      </c>
      <c r="D1002" s="51">
        <f t="shared" si="15"/>
        <v>0.82058595435750881</v>
      </c>
      <c r="F1002" s="50">
        <v>10.9</v>
      </c>
    </row>
    <row r="1003" spans="1:6" x14ac:dyDescent="0.3">
      <c r="A1003" s="42">
        <v>453462</v>
      </c>
      <c r="B1003" s="43">
        <v>122</v>
      </c>
      <c r="C1003" s="43">
        <v>6000</v>
      </c>
      <c r="D1003" s="51">
        <f t="shared" si="15"/>
        <v>0.72509988568394079</v>
      </c>
      <c r="F1003" s="50">
        <v>10.9</v>
      </c>
    </row>
    <row r="1004" spans="1:6" x14ac:dyDescent="0.3">
      <c r="A1004" s="42">
        <v>453462</v>
      </c>
      <c r="B1004" s="43">
        <v>917</v>
      </c>
      <c r="C1004" s="43">
        <v>6000</v>
      </c>
      <c r="D1004" s="51">
        <f t="shared" si="15"/>
        <v>0.98064988733083158</v>
      </c>
      <c r="F1004" s="50">
        <v>10.9</v>
      </c>
    </row>
    <row r="1005" spans="1:6" x14ac:dyDescent="0.3">
      <c r="A1005" s="44">
        <v>453462</v>
      </c>
      <c r="B1005" s="43">
        <v>2700</v>
      </c>
      <c r="C1005" s="43">
        <v>30000</v>
      </c>
      <c r="D1005" s="51">
        <f t="shared" si="15"/>
        <v>0.95856377880310994</v>
      </c>
      <c r="F1005" s="50">
        <v>10.9</v>
      </c>
    </row>
    <row r="1006" spans="1:6" x14ac:dyDescent="0.3">
      <c r="A1006" s="42">
        <v>453462</v>
      </c>
      <c r="B1006" s="43">
        <v>777</v>
      </c>
      <c r="C1006" s="43">
        <v>50000</v>
      </c>
      <c r="D1006" s="51">
        <f t="shared" si="15"/>
        <v>0.97115107221848251</v>
      </c>
      <c r="F1006" s="50">
        <v>10.9</v>
      </c>
    </row>
    <row r="1007" spans="1:6" x14ac:dyDescent="0.3">
      <c r="A1007" s="42">
        <v>453479</v>
      </c>
      <c r="B1007" s="43">
        <v>407</v>
      </c>
      <c r="C1007" s="43">
        <v>3000</v>
      </c>
      <c r="D1007" s="51">
        <f t="shared" si="15"/>
        <v>0.58662294120052372</v>
      </c>
      <c r="F1007" s="50">
        <v>10.9</v>
      </c>
    </row>
    <row r="1008" spans="1:6" x14ac:dyDescent="0.3">
      <c r="A1008" s="42">
        <v>453479</v>
      </c>
      <c r="B1008" s="43">
        <v>798</v>
      </c>
      <c r="C1008" s="43">
        <v>3000</v>
      </c>
      <c r="D1008" s="51">
        <f t="shared" si="15"/>
        <v>0.98201053946219186</v>
      </c>
      <c r="F1008" s="50">
        <v>10.9</v>
      </c>
    </row>
    <row r="1009" spans="1:6" x14ac:dyDescent="0.3">
      <c r="A1009" s="42">
        <v>453479</v>
      </c>
      <c r="B1009" s="43">
        <v>910</v>
      </c>
      <c r="C1009" s="43">
        <v>3000</v>
      </c>
      <c r="D1009" s="51">
        <f t="shared" si="15"/>
        <v>0.98980878134129691</v>
      </c>
      <c r="F1009" s="50">
        <v>10.9</v>
      </c>
    </row>
    <row r="1010" spans="1:6" x14ac:dyDescent="0.3">
      <c r="A1010" s="42">
        <v>453479</v>
      </c>
      <c r="B1010" s="43">
        <v>798</v>
      </c>
      <c r="C1010" s="43"/>
      <c r="D1010" s="51">
        <f t="shared" si="15"/>
        <v>0.98201053946219186</v>
      </c>
      <c r="F1010" s="50">
        <v>10.9</v>
      </c>
    </row>
    <row r="1011" spans="1:6" x14ac:dyDescent="0.3">
      <c r="A1011" s="42">
        <v>453479</v>
      </c>
      <c r="B1011" s="43">
        <v>2000</v>
      </c>
      <c r="C1011" s="43">
        <v>222000</v>
      </c>
      <c r="D1011" s="51">
        <f t="shared" si="15"/>
        <v>0.93535875888817066</v>
      </c>
      <c r="F1011" s="50">
        <v>10.9</v>
      </c>
    </row>
    <row r="1012" spans="1:6" x14ac:dyDescent="0.3">
      <c r="A1012" s="42">
        <v>453479</v>
      </c>
      <c r="B1012" s="43">
        <v>750</v>
      </c>
      <c r="C1012" s="43">
        <v>5000</v>
      </c>
      <c r="D1012" s="51">
        <f t="shared" si="15"/>
        <v>0.82058595435750881</v>
      </c>
      <c r="F1012" s="50">
        <v>10.9</v>
      </c>
    </row>
    <row r="1013" spans="1:6" x14ac:dyDescent="0.3">
      <c r="A1013" s="42" t="s">
        <v>285</v>
      </c>
      <c r="B1013" s="43">
        <v>406</v>
      </c>
      <c r="C1013" s="43">
        <v>3000</v>
      </c>
      <c r="D1013" s="51">
        <f t="shared" si="15"/>
        <v>0.53768896517227793</v>
      </c>
      <c r="F1013" s="50">
        <v>10.9</v>
      </c>
    </row>
    <row r="1014" spans="1:6" x14ac:dyDescent="0.3">
      <c r="A1014" s="42" t="s">
        <v>285</v>
      </c>
      <c r="B1014" s="43">
        <v>798</v>
      </c>
      <c r="C1014" s="43">
        <v>3000</v>
      </c>
      <c r="D1014" s="51">
        <f t="shared" si="15"/>
        <v>0.98201053946219186</v>
      </c>
      <c r="F1014" s="50">
        <v>10.9</v>
      </c>
    </row>
    <row r="1015" spans="1:6" x14ac:dyDescent="0.3">
      <c r="A1015" s="42" t="s">
        <v>285</v>
      </c>
      <c r="B1015" s="43">
        <v>910</v>
      </c>
      <c r="C1015" s="43">
        <v>3000</v>
      </c>
      <c r="D1015" s="51">
        <f t="shared" si="15"/>
        <v>0.98980878134129691</v>
      </c>
      <c r="F1015" s="50">
        <v>10.9</v>
      </c>
    </row>
    <row r="1016" spans="1:6" x14ac:dyDescent="0.3">
      <c r="A1016" s="42" t="s">
        <v>285</v>
      </c>
      <c r="B1016" s="43">
        <v>2000</v>
      </c>
      <c r="C1016" s="43">
        <v>201000</v>
      </c>
      <c r="D1016" s="51">
        <f t="shared" si="15"/>
        <v>0.93535875888817066</v>
      </c>
      <c r="F1016" s="50">
        <v>10.9</v>
      </c>
    </row>
    <row r="1017" spans="1:6" x14ac:dyDescent="0.3">
      <c r="A1017" s="42" t="s">
        <v>285</v>
      </c>
      <c r="B1017" s="43">
        <v>750</v>
      </c>
      <c r="C1017" s="43">
        <v>5000</v>
      </c>
      <c r="D1017" s="51">
        <f t="shared" si="15"/>
        <v>0.82058595435750881</v>
      </c>
      <c r="F1017" s="50">
        <v>10.9</v>
      </c>
    </row>
    <row r="1018" spans="1:6" x14ac:dyDescent="0.3">
      <c r="A1018" s="42" t="s">
        <v>358</v>
      </c>
      <c r="B1018" s="43">
        <v>406</v>
      </c>
      <c r="C1018" s="43">
        <v>3000</v>
      </c>
      <c r="D1018" s="51">
        <f t="shared" si="15"/>
        <v>0.53768896517227793</v>
      </c>
      <c r="F1018" s="50">
        <v>10.9</v>
      </c>
    </row>
    <row r="1019" spans="1:6" x14ac:dyDescent="0.3">
      <c r="A1019" s="42" t="s">
        <v>358</v>
      </c>
      <c r="B1019" s="43">
        <v>798</v>
      </c>
      <c r="C1019" s="43">
        <v>3000</v>
      </c>
      <c r="D1019" s="51">
        <f t="shared" si="15"/>
        <v>0.98201053946219186</v>
      </c>
      <c r="F1019" s="50">
        <v>10.9</v>
      </c>
    </row>
    <row r="1020" spans="1:6" x14ac:dyDescent="0.3">
      <c r="A1020" s="42" t="s">
        <v>358</v>
      </c>
      <c r="B1020" s="43">
        <v>910</v>
      </c>
      <c r="C1020" s="43">
        <v>3000</v>
      </c>
      <c r="D1020" s="51">
        <f t="shared" si="15"/>
        <v>0.98980878134129691</v>
      </c>
      <c r="F1020" s="50">
        <v>10.9</v>
      </c>
    </row>
    <row r="1021" spans="1:6" x14ac:dyDescent="0.3">
      <c r="A1021" s="42" t="s">
        <v>358</v>
      </c>
      <c r="B1021" s="43">
        <v>2000</v>
      </c>
      <c r="C1021" s="43">
        <v>201000</v>
      </c>
      <c r="D1021" s="51">
        <f t="shared" si="15"/>
        <v>0.93535875888817066</v>
      </c>
      <c r="F1021" s="50">
        <v>10.9</v>
      </c>
    </row>
    <row r="1022" spans="1:6" x14ac:dyDescent="0.3">
      <c r="A1022" s="42" t="s">
        <v>358</v>
      </c>
      <c r="B1022" s="43">
        <v>750</v>
      </c>
      <c r="C1022" s="43">
        <v>5000</v>
      </c>
      <c r="D1022" s="51">
        <f t="shared" si="15"/>
        <v>0.82058595435750881</v>
      </c>
      <c r="F1022" s="50">
        <v>10.9</v>
      </c>
    </row>
    <row r="1023" spans="1:6" x14ac:dyDescent="0.3">
      <c r="A1023" s="42">
        <v>453516</v>
      </c>
      <c r="B1023" s="43">
        <v>142</v>
      </c>
      <c r="C1023" s="43">
        <v>6000</v>
      </c>
      <c r="D1023" s="51">
        <f t="shared" si="15"/>
        <v>0.73372191503301964</v>
      </c>
      <c r="F1023" s="50">
        <v>10.9</v>
      </c>
    </row>
    <row r="1024" spans="1:6" x14ac:dyDescent="0.3">
      <c r="A1024" s="42">
        <v>453516</v>
      </c>
      <c r="B1024" s="43">
        <v>798</v>
      </c>
      <c r="C1024" s="43">
        <v>6000</v>
      </c>
      <c r="D1024" s="51">
        <f t="shared" si="15"/>
        <v>0.98201053946219186</v>
      </c>
      <c r="F1024" s="50">
        <v>10.9</v>
      </c>
    </row>
    <row r="1025" spans="1:6" x14ac:dyDescent="0.3">
      <c r="A1025" s="42">
        <v>453516</v>
      </c>
      <c r="B1025" s="43">
        <v>910</v>
      </c>
      <c r="C1025" s="43">
        <v>6000</v>
      </c>
      <c r="D1025" s="51">
        <f t="shared" si="15"/>
        <v>0.98980878134129691</v>
      </c>
      <c r="F1025" s="50">
        <v>10.9</v>
      </c>
    </row>
    <row r="1026" spans="1:6" x14ac:dyDescent="0.3">
      <c r="A1026" s="42">
        <v>453516</v>
      </c>
      <c r="B1026" s="43">
        <v>2000</v>
      </c>
      <c r="C1026" s="43">
        <v>222000</v>
      </c>
      <c r="D1026" s="51">
        <f t="shared" ref="D1026:D1089" si="16">VLOOKUP(B1026,E:F,2,0)</f>
        <v>0.93535875888817066</v>
      </c>
      <c r="F1026" s="50">
        <v>10.9</v>
      </c>
    </row>
    <row r="1027" spans="1:6" x14ac:dyDescent="0.3">
      <c r="A1027" s="42">
        <v>453516</v>
      </c>
      <c r="B1027" s="43">
        <v>750</v>
      </c>
      <c r="C1027" s="43">
        <v>5000</v>
      </c>
      <c r="D1027" s="51">
        <f t="shared" si="16"/>
        <v>0.82058595435750881</v>
      </c>
      <c r="F1027" s="50">
        <v>10.9</v>
      </c>
    </row>
    <row r="1028" spans="1:6" x14ac:dyDescent="0.3">
      <c r="A1028" s="42">
        <v>453526</v>
      </c>
      <c r="B1028" s="43">
        <v>409</v>
      </c>
      <c r="C1028" s="43">
        <v>2500</v>
      </c>
      <c r="D1028" s="51">
        <f t="shared" si="16"/>
        <v>0.50230256748551327</v>
      </c>
      <c r="F1028" s="50">
        <v>10.9</v>
      </c>
    </row>
    <row r="1029" spans="1:6" x14ac:dyDescent="0.3">
      <c r="A1029" s="42">
        <v>453526</v>
      </c>
      <c r="B1029" s="45">
        <v>910</v>
      </c>
      <c r="C1029" s="43">
        <v>2500</v>
      </c>
      <c r="D1029" s="51">
        <f t="shared" si="16"/>
        <v>0.98980878134129691</v>
      </c>
      <c r="F1029" s="50">
        <v>10.9</v>
      </c>
    </row>
    <row r="1030" spans="1:6" x14ac:dyDescent="0.3">
      <c r="A1030" s="42">
        <v>453526</v>
      </c>
      <c r="B1030" s="43">
        <v>2700</v>
      </c>
      <c r="C1030" s="43">
        <v>5000</v>
      </c>
      <c r="D1030" s="51">
        <f t="shared" si="16"/>
        <v>0.95856377880310994</v>
      </c>
      <c r="F1030" s="50">
        <v>10.9</v>
      </c>
    </row>
    <row r="1031" spans="1:6" x14ac:dyDescent="0.3">
      <c r="A1031" s="42">
        <v>453526</v>
      </c>
      <c r="B1031" s="43">
        <v>777</v>
      </c>
      <c r="C1031" s="43">
        <v>15000</v>
      </c>
      <c r="D1031" s="51">
        <f t="shared" si="16"/>
        <v>0.97115107221848251</v>
      </c>
      <c r="F1031" s="50">
        <v>10.9</v>
      </c>
    </row>
    <row r="1032" spans="1:6" x14ac:dyDescent="0.3">
      <c r="A1032" s="42">
        <v>453584</v>
      </c>
      <c r="B1032" s="43">
        <v>212</v>
      </c>
      <c r="C1032" s="43">
        <v>1200</v>
      </c>
      <c r="D1032" s="51">
        <f t="shared" si="16"/>
        <v>0.91115887131188655</v>
      </c>
      <c r="F1032" s="50">
        <v>10.9</v>
      </c>
    </row>
    <row r="1033" spans="1:6" x14ac:dyDescent="0.3">
      <c r="A1033" s="42">
        <v>453584</v>
      </c>
      <c r="B1033" s="43">
        <v>916</v>
      </c>
      <c r="C1033" s="43">
        <v>100000</v>
      </c>
      <c r="D1033" s="51">
        <f t="shared" si="16"/>
        <v>0.79896960148178731</v>
      </c>
      <c r="F1033" s="50">
        <v>10.9</v>
      </c>
    </row>
    <row r="1034" spans="1:6" x14ac:dyDescent="0.3">
      <c r="A1034" s="42">
        <v>453584</v>
      </c>
      <c r="B1034" s="43">
        <v>266</v>
      </c>
      <c r="C1034" s="43">
        <v>2000</v>
      </c>
      <c r="D1034" s="51">
        <f t="shared" si="16"/>
        <v>0.84702959767415587</v>
      </c>
      <c r="F1034" s="50">
        <v>10.9</v>
      </c>
    </row>
    <row r="1035" spans="1:6" x14ac:dyDescent="0.3">
      <c r="A1035" s="42">
        <v>453584</v>
      </c>
      <c r="B1035" s="43">
        <v>780</v>
      </c>
      <c r="C1035" s="43">
        <v>3000</v>
      </c>
      <c r="D1035" s="51">
        <f t="shared" si="16"/>
        <v>0.84056678392667161</v>
      </c>
      <c r="F1035" s="50">
        <v>10.9</v>
      </c>
    </row>
    <row r="1036" spans="1:6" x14ac:dyDescent="0.3">
      <c r="A1036" s="42">
        <v>453584</v>
      </c>
      <c r="B1036" s="43">
        <v>724</v>
      </c>
      <c r="C1036" s="43">
        <v>100000</v>
      </c>
      <c r="D1036" s="51">
        <f t="shared" si="16"/>
        <v>0.96268545084111112</v>
      </c>
      <c r="F1036" s="50">
        <v>10.9</v>
      </c>
    </row>
    <row r="1037" spans="1:6" x14ac:dyDescent="0.3">
      <c r="A1037" s="42">
        <v>453590</v>
      </c>
      <c r="B1037" s="43">
        <v>212</v>
      </c>
      <c r="C1037" s="43">
        <v>1500</v>
      </c>
      <c r="D1037" s="51">
        <f t="shared" si="16"/>
        <v>0.91115887131188655</v>
      </c>
      <c r="F1037" s="50">
        <v>10.9</v>
      </c>
    </row>
    <row r="1038" spans="1:6" x14ac:dyDescent="0.3">
      <c r="A1038" s="42">
        <v>453590</v>
      </c>
      <c r="B1038" s="43">
        <v>916</v>
      </c>
      <c r="C1038" s="43">
        <v>100000</v>
      </c>
      <c r="D1038" s="51">
        <f t="shared" si="16"/>
        <v>0.79896960148178731</v>
      </c>
      <c r="F1038" s="50">
        <v>10.9</v>
      </c>
    </row>
    <row r="1039" spans="1:6" x14ac:dyDescent="0.3">
      <c r="A1039" s="42">
        <v>453590</v>
      </c>
      <c r="B1039" s="43">
        <v>266</v>
      </c>
      <c r="C1039" s="43">
        <v>2100</v>
      </c>
      <c r="D1039" s="51">
        <f t="shared" si="16"/>
        <v>0.84702959767415587</v>
      </c>
      <c r="F1039" s="50">
        <v>10.9</v>
      </c>
    </row>
    <row r="1040" spans="1:6" x14ac:dyDescent="0.3">
      <c r="A1040" s="42">
        <v>453590</v>
      </c>
      <c r="B1040" s="43">
        <v>724</v>
      </c>
      <c r="C1040" s="43">
        <v>100000</v>
      </c>
      <c r="D1040" s="51">
        <f t="shared" si="16"/>
        <v>0.96268545084111112</v>
      </c>
      <c r="F1040" s="50">
        <v>10.9</v>
      </c>
    </row>
    <row r="1041" spans="1:6" x14ac:dyDescent="0.3">
      <c r="A1041" s="42">
        <v>453591</v>
      </c>
      <c r="B1041" s="43">
        <v>212</v>
      </c>
      <c r="C1041" s="43">
        <v>1200</v>
      </c>
      <c r="D1041" s="51">
        <f t="shared" si="16"/>
        <v>0.91115887131188655</v>
      </c>
      <c r="F1041" s="50">
        <v>10.9</v>
      </c>
    </row>
    <row r="1042" spans="1:6" x14ac:dyDescent="0.3">
      <c r="A1042" s="42">
        <v>453591</v>
      </c>
      <c r="B1042" s="43">
        <v>916</v>
      </c>
      <c r="C1042" s="43">
        <v>100000</v>
      </c>
      <c r="D1042" s="51">
        <f t="shared" si="16"/>
        <v>0.79896960148178731</v>
      </c>
      <c r="F1042" s="50">
        <v>10.9</v>
      </c>
    </row>
    <row r="1043" spans="1:6" x14ac:dyDescent="0.3">
      <c r="A1043" s="42">
        <v>453591</v>
      </c>
      <c r="B1043" s="43">
        <v>266</v>
      </c>
      <c r="C1043" s="43">
        <v>2200</v>
      </c>
      <c r="D1043" s="51">
        <f t="shared" si="16"/>
        <v>0.84702959767415587</v>
      </c>
      <c r="F1043" s="50">
        <v>10.9</v>
      </c>
    </row>
    <row r="1044" spans="1:6" x14ac:dyDescent="0.3">
      <c r="A1044" s="42">
        <v>453591</v>
      </c>
      <c r="B1044" s="43">
        <v>724</v>
      </c>
      <c r="C1044" s="43">
        <v>100000</v>
      </c>
      <c r="D1044" s="51">
        <f t="shared" si="16"/>
        <v>0.96268545084111112</v>
      </c>
      <c r="F1044" s="50">
        <v>10.9</v>
      </c>
    </row>
    <row r="1045" spans="1:6" x14ac:dyDescent="0.3">
      <c r="A1045" s="42">
        <v>453601</v>
      </c>
      <c r="B1045" s="43">
        <v>142</v>
      </c>
      <c r="C1045" s="43">
        <v>6000</v>
      </c>
      <c r="D1045" s="51">
        <f t="shared" si="16"/>
        <v>0.73372191503301964</v>
      </c>
      <c r="F1045" s="50">
        <v>10.9</v>
      </c>
    </row>
    <row r="1046" spans="1:6" x14ac:dyDescent="0.3">
      <c r="A1046" s="42">
        <v>453601</v>
      </c>
      <c r="B1046" s="43">
        <v>798</v>
      </c>
      <c r="C1046" s="43">
        <v>6000</v>
      </c>
      <c r="D1046" s="51">
        <f t="shared" si="16"/>
        <v>0.98201053946219186</v>
      </c>
      <c r="F1046" s="50">
        <v>10.9</v>
      </c>
    </row>
    <row r="1047" spans="1:6" x14ac:dyDescent="0.3">
      <c r="A1047" s="42">
        <v>453601</v>
      </c>
      <c r="B1047" s="43">
        <v>910</v>
      </c>
      <c r="C1047" s="43">
        <v>6000</v>
      </c>
      <c r="D1047" s="51">
        <f t="shared" si="16"/>
        <v>0.98980878134129691</v>
      </c>
      <c r="F1047" s="50">
        <v>10.9</v>
      </c>
    </row>
    <row r="1048" spans="1:6" x14ac:dyDescent="0.3">
      <c r="A1048" s="44">
        <v>453601</v>
      </c>
      <c r="B1048" s="43">
        <v>2700</v>
      </c>
      <c r="C1048" s="43">
        <v>10000</v>
      </c>
      <c r="D1048" s="51">
        <f t="shared" si="16"/>
        <v>0.95856377880310994</v>
      </c>
      <c r="F1048" s="50">
        <v>10.9</v>
      </c>
    </row>
    <row r="1049" spans="1:6" x14ac:dyDescent="0.3">
      <c r="A1049" s="42">
        <v>453601</v>
      </c>
      <c r="B1049" s="43">
        <v>750</v>
      </c>
      <c r="C1049" s="43">
        <v>5000</v>
      </c>
      <c r="D1049" s="51">
        <f t="shared" si="16"/>
        <v>0.82058595435750881</v>
      </c>
      <c r="F1049" s="50">
        <v>10.9</v>
      </c>
    </row>
    <row r="1050" spans="1:6" x14ac:dyDescent="0.3">
      <c r="A1050" s="42">
        <v>453640</v>
      </c>
      <c r="B1050" s="43">
        <v>407</v>
      </c>
      <c r="C1050" s="43">
        <v>4000</v>
      </c>
      <c r="D1050" s="51">
        <f t="shared" si="16"/>
        <v>0.58662294120052372</v>
      </c>
      <c r="F1050" s="50">
        <v>10.9</v>
      </c>
    </row>
    <row r="1051" spans="1:6" x14ac:dyDescent="0.3">
      <c r="A1051" s="42">
        <v>453640</v>
      </c>
      <c r="B1051" s="43">
        <v>798</v>
      </c>
      <c r="C1051" s="43">
        <v>4000</v>
      </c>
      <c r="D1051" s="51">
        <f t="shared" si="16"/>
        <v>0.98201053946219186</v>
      </c>
      <c r="F1051" s="50">
        <v>10.9</v>
      </c>
    </row>
    <row r="1052" spans="1:6" x14ac:dyDescent="0.3">
      <c r="A1052" s="42">
        <v>453640</v>
      </c>
      <c r="B1052" s="43">
        <v>910</v>
      </c>
      <c r="C1052" s="43">
        <v>4000</v>
      </c>
      <c r="D1052" s="51">
        <f t="shared" si="16"/>
        <v>0.98980878134129691</v>
      </c>
      <c r="F1052" s="50">
        <v>10.9</v>
      </c>
    </row>
    <row r="1053" spans="1:6" x14ac:dyDescent="0.3">
      <c r="A1053" s="42">
        <v>453640</v>
      </c>
      <c r="B1053" s="43">
        <v>798</v>
      </c>
      <c r="C1053" s="43"/>
      <c r="D1053" s="51">
        <f t="shared" si="16"/>
        <v>0.98201053946219186</v>
      </c>
      <c r="F1053" s="50">
        <v>10.9</v>
      </c>
    </row>
    <row r="1054" spans="1:6" x14ac:dyDescent="0.3">
      <c r="A1054" s="42">
        <v>453640</v>
      </c>
      <c r="B1054" s="43">
        <v>2000</v>
      </c>
      <c r="C1054" s="43">
        <v>222000</v>
      </c>
      <c r="D1054" s="51">
        <f t="shared" si="16"/>
        <v>0.93535875888817066</v>
      </c>
      <c r="F1054" s="50">
        <v>10.9</v>
      </c>
    </row>
    <row r="1055" spans="1:6" x14ac:dyDescent="0.3">
      <c r="A1055" s="42">
        <v>453640</v>
      </c>
      <c r="B1055" s="43">
        <v>750</v>
      </c>
      <c r="C1055" s="43">
        <v>5000</v>
      </c>
      <c r="D1055" s="51">
        <f t="shared" si="16"/>
        <v>0.82058595435750881</v>
      </c>
      <c r="F1055" s="50">
        <v>10.9</v>
      </c>
    </row>
    <row r="1056" spans="1:6" x14ac:dyDescent="0.3">
      <c r="A1056" s="42">
        <v>453641</v>
      </c>
      <c r="B1056" s="43">
        <v>142</v>
      </c>
      <c r="C1056" s="43">
        <v>6000</v>
      </c>
      <c r="D1056" s="51">
        <f t="shared" si="16"/>
        <v>0.73372191503301964</v>
      </c>
      <c r="F1056" s="50">
        <v>10.9</v>
      </c>
    </row>
    <row r="1057" spans="1:6" x14ac:dyDescent="0.3">
      <c r="A1057" s="42">
        <v>453641</v>
      </c>
      <c r="B1057" s="43">
        <v>798</v>
      </c>
      <c r="C1057" s="43">
        <v>6000</v>
      </c>
      <c r="D1057" s="51">
        <f t="shared" si="16"/>
        <v>0.98201053946219186</v>
      </c>
      <c r="F1057" s="50">
        <v>10.9</v>
      </c>
    </row>
    <row r="1058" spans="1:6" x14ac:dyDescent="0.3">
      <c r="A1058" s="42">
        <v>453641</v>
      </c>
      <c r="B1058" s="43">
        <v>910</v>
      </c>
      <c r="C1058" s="43">
        <v>6000</v>
      </c>
      <c r="D1058" s="51">
        <f t="shared" si="16"/>
        <v>0.98980878134129691</v>
      </c>
      <c r="F1058" s="50">
        <v>10.9</v>
      </c>
    </row>
    <row r="1059" spans="1:6" x14ac:dyDescent="0.3">
      <c r="A1059" s="42">
        <v>453641</v>
      </c>
      <c r="B1059" s="43">
        <v>2000</v>
      </c>
      <c r="C1059" s="43">
        <v>177000</v>
      </c>
      <c r="D1059" s="51">
        <f t="shared" si="16"/>
        <v>0.93535875888817066</v>
      </c>
      <c r="F1059" s="50">
        <v>10.9</v>
      </c>
    </row>
    <row r="1060" spans="1:6" x14ac:dyDescent="0.3">
      <c r="A1060" s="42">
        <v>453641</v>
      </c>
      <c r="B1060" s="43">
        <v>750</v>
      </c>
      <c r="C1060" s="43">
        <v>5000</v>
      </c>
      <c r="D1060" s="51">
        <f t="shared" si="16"/>
        <v>0.82058595435750881</v>
      </c>
      <c r="F1060" s="50">
        <v>10.9</v>
      </c>
    </row>
    <row r="1061" spans="1:6" x14ac:dyDescent="0.3">
      <c r="A1061" s="42">
        <v>453645</v>
      </c>
      <c r="B1061" s="43">
        <v>407</v>
      </c>
      <c r="C1061" s="43">
        <v>3000</v>
      </c>
      <c r="D1061" s="51">
        <f t="shared" si="16"/>
        <v>0.58662294120052372</v>
      </c>
      <c r="F1061" s="50">
        <v>10.9</v>
      </c>
    </row>
    <row r="1062" spans="1:6" x14ac:dyDescent="0.3">
      <c r="A1062" s="42">
        <v>453645</v>
      </c>
      <c r="B1062" s="43">
        <v>798</v>
      </c>
      <c r="C1062" s="43">
        <v>3000</v>
      </c>
      <c r="D1062" s="51">
        <f t="shared" si="16"/>
        <v>0.98201053946219186</v>
      </c>
      <c r="F1062" s="50">
        <v>10.9</v>
      </c>
    </row>
    <row r="1063" spans="1:6" x14ac:dyDescent="0.3">
      <c r="A1063" s="42">
        <v>453645</v>
      </c>
      <c r="B1063" s="43">
        <v>910</v>
      </c>
      <c r="C1063" s="43">
        <v>3000</v>
      </c>
      <c r="D1063" s="51">
        <f t="shared" si="16"/>
        <v>0.98980878134129691</v>
      </c>
      <c r="F1063" s="50">
        <v>10.9</v>
      </c>
    </row>
    <row r="1064" spans="1:6" x14ac:dyDescent="0.3">
      <c r="A1064" s="42">
        <v>453645</v>
      </c>
      <c r="B1064" s="43">
        <v>2000</v>
      </c>
      <c r="C1064" s="43">
        <v>222000</v>
      </c>
      <c r="D1064" s="51">
        <f t="shared" si="16"/>
        <v>0.93535875888817066</v>
      </c>
      <c r="F1064" s="50">
        <v>10.9</v>
      </c>
    </row>
    <row r="1065" spans="1:6" x14ac:dyDescent="0.3">
      <c r="A1065" s="42">
        <v>453645</v>
      </c>
      <c r="B1065" s="43">
        <v>750</v>
      </c>
      <c r="C1065" s="43">
        <v>4000</v>
      </c>
      <c r="D1065" s="51">
        <f t="shared" si="16"/>
        <v>0.82058595435750881</v>
      </c>
      <c r="F1065" s="50">
        <v>10.9</v>
      </c>
    </row>
    <row r="1066" spans="1:6" x14ac:dyDescent="0.3">
      <c r="A1066" s="42" t="s">
        <v>301</v>
      </c>
      <c r="B1066" s="43">
        <v>406</v>
      </c>
      <c r="C1066" s="43">
        <v>3600</v>
      </c>
      <c r="D1066" s="51">
        <f t="shared" si="16"/>
        <v>0.53768896517227793</v>
      </c>
      <c r="F1066" s="50">
        <v>10.9</v>
      </c>
    </row>
    <row r="1067" spans="1:6" x14ac:dyDescent="0.3">
      <c r="A1067" s="42" t="s">
        <v>301</v>
      </c>
      <c r="B1067" s="43">
        <v>798</v>
      </c>
      <c r="C1067" s="43">
        <v>3600</v>
      </c>
      <c r="D1067" s="51">
        <f t="shared" si="16"/>
        <v>0.98201053946219186</v>
      </c>
      <c r="F1067" s="50">
        <v>10.9</v>
      </c>
    </row>
    <row r="1068" spans="1:6" x14ac:dyDescent="0.3">
      <c r="A1068" s="42" t="s">
        <v>301</v>
      </c>
      <c r="B1068" s="43">
        <v>910</v>
      </c>
      <c r="C1068" s="43">
        <v>3600</v>
      </c>
      <c r="D1068" s="51">
        <f t="shared" si="16"/>
        <v>0.98980878134129691</v>
      </c>
      <c r="F1068" s="50">
        <v>10.9</v>
      </c>
    </row>
    <row r="1069" spans="1:6" x14ac:dyDescent="0.3">
      <c r="A1069" s="42" t="s">
        <v>301</v>
      </c>
      <c r="B1069" s="43">
        <v>798</v>
      </c>
      <c r="C1069" s="43"/>
      <c r="D1069" s="51">
        <f t="shared" si="16"/>
        <v>0.98201053946219186</v>
      </c>
      <c r="F1069" s="50">
        <v>10.9</v>
      </c>
    </row>
    <row r="1070" spans="1:6" x14ac:dyDescent="0.3">
      <c r="A1070" s="42" t="s">
        <v>301</v>
      </c>
      <c r="B1070" s="43">
        <v>2000</v>
      </c>
      <c r="C1070" s="43">
        <v>179000</v>
      </c>
      <c r="D1070" s="51">
        <f t="shared" si="16"/>
        <v>0.93535875888817066</v>
      </c>
      <c r="F1070" s="50">
        <v>10.9</v>
      </c>
    </row>
    <row r="1071" spans="1:6" x14ac:dyDescent="0.3">
      <c r="A1071" s="42" t="s">
        <v>301</v>
      </c>
      <c r="B1071" s="43">
        <v>750</v>
      </c>
      <c r="C1071" s="43">
        <v>4000</v>
      </c>
      <c r="D1071" s="51">
        <f t="shared" si="16"/>
        <v>0.82058595435750881</v>
      </c>
      <c r="F1071" s="50">
        <v>10.9</v>
      </c>
    </row>
    <row r="1072" spans="1:6" x14ac:dyDescent="0.3">
      <c r="A1072" s="42">
        <v>453657</v>
      </c>
      <c r="B1072" s="43">
        <v>216</v>
      </c>
      <c r="C1072" s="43">
        <v>1500</v>
      </c>
      <c r="D1072" s="51">
        <f t="shared" si="16"/>
        <v>0.89206001750765074</v>
      </c>
      <c r="F1072" s="50">
        <v>10.9</v>
      </c>
    </row>
    <row r="1073" spans="1:6" x14ac:dyDescent="0.3">
      <c r="A1073" s="42">
        <v>453657</v>
      </c>
      <c r="B1073" s="43">
        <v>916</v>
      </c>
      <c r="C1073" s="43">
        <v>100000</v>
      </c>
      <c r="D1073" s="51">
        <f t="shared" si="16"/>
        <v>0.79896960148178731</v>
      </c>
      <c r="F1073" s="50">
        <v>10.9</v>
      </c>
    </row>
    <row r="1074" spans="1:6" x14ac:dyDescent="0.3">
      <c r="A1074" s="42">
        <v>453657</v>
      </c>
      <c r="B1074" s="43">
        <v>265</v>
      </c>
      <c r="C1074" s="43">
        <v>2500</v>
      </c>
      <c r="D1074" s="51">
        <f t="shared" si="16"/>
        <v>0.77814176591921203</v>
      </c>
      <c r="F1074" s="50">
        <v>10.9</v>
      </c>
    </row>
    <row r="1075" spans="1:6" x14ac:dyDescent="0.3">
      <c r="A1075" s="42">
        <v>453657</v>
      </c>
      <c r="B1075" s="43">
        <v>724</v>
      </c>
      <c r="C1075" s="43">
        <v>100000</v>
      </c>
      <c r="D1075" s="51">
        <f t="shared" si="16"/>
        <v>0.96268545084111112</v>
      </c>
      <c r="F1075" s="50">
        <v>10.9</v>
      </c>
    </row>
    <row r="1076" spans="1:6" x14ac:dyDescent="0.3">
      <c r="A1076" s="42">
        <v>453659</v>
      </c>
      <c r="B1076" s="43">
        <v>210</v>
      </c>
      <c r="C1076" s="43">
        <v>1000</v>
      </c>
      <c r="D1076" s="51">
        <f t="shared" si="16"/>
        <v>0.88209415934394453</v>
      </c>
      <c r="F1076" s="50">
        <v>10.9</v>
      </c>
    </row>
    <row r="1077" spans="1:6" x14ac:dyDescent="0.3">
      <c r="A1077" s="42">
        <v>453659</v>
      </c>
      <c r="B1077" s="43">
        <v>916</v>
      </c>
      <c r="C1077" s="43">
        <v>100000</v>
      </c>
      <c r="D1077" s="51">
        <f t="shared" si="16"/>
        <v>0.79896960148178731</v>
      </c>
      <c r="F1077" s="50">
        <v>10.9</v>
      </c>
    </row>
    <row r="1078" spans="1:6" x14ac:dyDescent="0.3">
      <c r="A1078" s="42">
        <v>453659</v>
      </c>
      <c r="B1078" s="43">
        <v>266</v>
      </c>
      <c r="C1078" s="43">
        <v>2300</v>
      </c>
      <c r="D1078" s="51">
        <f t="shared" si="16"/>
        <v>0.84702959767415587</v>
      </c>
      <c r="F1078" s="50">
        <v>10.9</v>
      </c>
    </row>
    <row r="1079" spans="1:6" x14ac:dyDescent="0.3">
      <c r="A1079" s="42">
        <v>453659</v>
      </c>
      <c r="B1079" s="43">
        <v>724</v>
      </c>
      <c r="C1079" s="43">
        <v>100000</v>
      </c>
      <c r="D1079" s="51">
        <f t="shared" si="16"/>
        <v>0.96268545084111112</v>
      </c>
      <c r="F1079" s="50">
        <v>10.9</v>
      </c>
    </row>
    <row r="1080" spans="1:6" x14ac:dyDescent="0.3">
      <c r="A1080" s="42">
        <v>453666</v>
      </c>
      <c r="B1080" s="43">
        <v>407</v>
      </c>
      <c r="C1080" s="43">
        <v>4000</v>
      </c>
      <c r="D1080" s="51">
        <f t="shared" si="16"/>
        <v>0.58662294120052372</v>
      </c>
      <c r="F1080" s="50">
        <v>10.9</v>
      </c>
    </row>
    <row r="1081" spans="1:6" x14ac:dyDescent="0.3">
      <c r="A1081" s="42">
        <v>453666</v>
      </c>
      <c r="B1081" s="43">
        <v>910</v>
      </c>
      <c r="C1081" s="43">
        <v>4000</v>
      </c>
      <c r="D1081" s="51">
        <f t="shared" si="16"/>
        <v>0.98980878134129691</v>
      </c>
      <c r="F1081" s="50">
        <v>10.9</v>
      </c>
    </row>
    <row r="1082" spans="1:6" x14ac:dyDescent="0.3">
      <c r="A1082" s="42">
        <v>453666</v>
      </c>
      <c r="B1082" s="43">
        <v>782</v>
      </c>
      <c r="C1082" s="43">
        <v>1000</v>
      </c>
      <c r="D1082" s="51">
        <f t="shared" si="16"/>
        <v>0.9528158796643651</v>
      </c>
      <c r="F1082" s="50">
        <v>10.9</v>
      </c>
    </row>
    <row r="1083" spans="1:6" x14ac:dyDescent="0.3">
      <c r="A1083" s="42">
        <v>453686</v>
      </c>
      <c r="B1083" s="43">
        <v>406</v>
      </c>
      <c r="C1083" s="43">
        <v>4000</v>
      </c>
      <c r="D1083" s="51">
        <f t="shared" si="16"/>
        <v>0.53768896517227793</v>
      </c>
      <c r="F1083" s="50">
        <v>10.9</v>
      </c>
    </row>
    <row r="1084" spans="1:6" x14ac:dyDescent="0.3">
      <c r="A1084" s="42">
        <v>453686</v>
      </c>
      <c r="B1084" s="43">
        <v>798</v>
      </c>
      <c r="C1084" s="43">
        <v>4000</v>
      </c>
      <c r="D1084" s="51">
        <f t="shared" si="16"/>
        <v>0.98201053946219186</v>
      </c>
      <c r="F1084" s="50">
        <v>10.9</v>
      </c>
    </row>
    <row r="1085" spans="1:6" x14ac:dyDescent="0.3">
      <c r="A1085" s="42">
        <v>453686</v>
      </c>
      <c r="B1085" s="43">
        <v>910</v>
      </c>
      <c r="C1085" s="43">
        <v>4000</v>
      </c>
      <c r="D1085" s="51">
        <f t="shared" si="16"/>
        <v>0.98980878134129691</v>
      </c>
      <c r="F1085" s="50">
        <v>10.9</v>
      </c>
    </row>
    <row r="1086" spans="1:6" x14ac:dyDescent="0.3">
      <c r="A1086" s="42">
        <v>453686</v>
      </c>
      <c r="B1086" s="43">
        <v>798</v>
      </c>
      <c r="C1086" s="43"/>
      <c r="D1086" s="51">
        <f t="shared" si="16"/>
        <v>0.98201053946219186</v>
      </c>
      <c r="F1086" s="50">
        <v>10.9</v>
      </c>
    </row>
    <row r="1087" spans="1:6" x14ac:dyDescent="0.3">
      <c r="A1087" s="42">
        <v>453686</v>
      </c>
      <c r="B1087" s="43">
        <v>2000</v>
      </c>
      <c r="C1087" s="43">
        <v>222000</v>
      </c>
      <c r="D1087" s="51">
        <f t="shared" si="16"/>
        <v>0.93535875888817066</v>
      </c>
      <c r="F1087" s="50">
        <v>10.9</v>
      </c>
    </row>
    <row r="1088" spans="1:6" x14ac:dyDescent="0.3">
      <c r="A1088" s="48">
        <v>453686</v>
      </c>
      <c r="B1088" s="43">
        <v>750</v>
      </c>
      <c r="C1088" s="43">
        <v>5000</v>
      </c>
      <c r="D1088" s="51">
        <f t="shared" si="16"/>
        <v>0.82058595435750881</v>
      </c>
      <c r="F1088" s="50">
        <v>10.9</v>
      </c>
    </row>
    <row r="1089" spans="1:6" x14ac:dyDescent="0.3">
      <c r="A1089" s="42">
        <v>453690</v>
      </c>
      <c r="B1089" s="43">
        <v>212</v>
      </c>
      <c r="C1089" s="43">
        <v>1500</v>
      </c>
      <c r="D1089" s="51">
        <f t="shared" si="16"/>
        <v>0.91115887131188655</v>
      </c>
      <c r="F1089" s="50">
        <v>10.9</v>
      </c>
    </row>
    <row r="1090" spans="1:6" x14ac:dyDescent="0.3">
      <c r="A1090" s="42">
        <v>453690</v>
      </c>
      <c r="B1090" s="43">
        <v>916</v>
      </c>
      <c r="C1090" s="43">
        <v>100000</v>
      </c>
      <c r="D1090" s="51">
        <f t="shared" ref="D1090:D1148" si="17">VLOOKUP(B1090,E:F,2,0)</f>
        <v>0.79896960148178731</v>
      </c>
      <c r="F1090" s="50">
        <v>10.9</v>
      </c>
    </row>
    <row r="1091" spans="1:6" x14ac:dyDescent="0.3">
      <c r="A1091" s="42">
        <v>453690</v>
      </c>
      <c r="B1091" s="43">
        <v>266</v>
      </c>
      <c r="C1091" s="43">
        <v>2300</v>
      </c>
      <c r="D1091" s="51">
        <f t="shared" si="17"/>
        <v>0.84702959767415587</v>
      </c>
      <c r="F1091" s="50">
        <v>10.9</v>
      </c>
    </row>
    <row r="1092" spans="1:6" x14ac:dyDescent="0.3">
      <c r="A1092" s="42">
        <v>453690</v>
      </c>
      <c r="B1092" s="43">
        <v>724</v>
      </c>
      <c r="C1092" s="43">
        <v>100000</v>
      </c>
      <c r="D1092" s="51">
        <f t="shared" si="17"/>
        <v>0.96268545084111112</v>
      </c>
      <c r="F1092" s="50">
        <v>10.9</v>
      </c>
    </row>
    <row r="1093" spans="1:6" x14ac:dyDescent="0.3">
      <c r="A1093" s="42">
        <v>453713</v>
      </c>
      <c r="B1093" s="43">
        <v>122</v>
      </c>
      <c r="C1093" s="43">
        <v>2000</v>
      </c>
      <c r="D1093" s="51">
        <f t="shared" si="17"/>
        <v>0.72509988568394079</v>
      </c>
      <c r="F1093" s="50">
        <v>10.9</v>
      </c>
    </row>
    <row r="1094" spans="1:6" x14ac:dyDescent="0.3">
      <c r="A1094" s="42">
        <v>453713</v>
      </c>
      <c r="B1094" s="45">
        <v>910</v>
      </c>
      <c r="C1094" s="43">
        <v>2000</v>
      </c>
      <c r="D1094" s="51">
        <f t="shared" si="17"/>
        <v>0.98980878134129691</v>
      </c>
      <c r="F1094" s="50">
        <v>10.9</v>
      </c>
    </row>
    <row r="1095" spans="1:6" x14ac:dyDescent="0.3">
      <c r="A1095" s="42">
        <v>453713</v>
      </c>
      <c r="B1095" s="43">
        <v>700</v>
      </c>
      <c r="C1095" s="43">
        <v>500</v>
      </c>
      <c r="D1095" s="51">
        <f t="shared" si="17"/>
        <v>0.84270403007072903</v>
      </c>
      <c r="F1095" s="50">
        <v>10.9</v>
      </c>
    </row>
    <row r="1096" spans="1:6" x14ac:dyDescent="0.3">
      <c r="A1096" s="42">
        <v>453713</v>
      </c>
      <c r="B1096" s="43">
        <v>799</v>
      </c>
      <c r="C1096" s="43">
        <v>6000</v>
      </c>
      <c r="D1096" s="51">
        <f t="shared" si="17"/>
        <v>0.94657286846895594</v>
      </c>
      <c r="F1096" s="50">
        <v>10.9</v>
      </c>
    </row>
    <row r="1097" spans="1:6" x14ac:dyDescent="0.3">
      <c r="A1097" s="42">
        <v>453719</v>
      </c>
      <c r="B1097" s="43">
        <v>406</v>
      </c>
      <c r="C1097" s="43">
        <v>3000</v>
      </c>
      <c r="D1097" s="51">
        <f t="shared" si="17"/>
        <v>0.53768896517227793</v>
      </c>
      <c r="F1097" s="50">
        <v>10.9</v>
      </c>
    </row>
    <row r="1098" spans="1:6" x14ac:dyDescent="0.3">
      <c r="A1098" s="42">
        <v>453719</v>
      </c>
      <c r="B1098" s="43">
        <v>798</v>
      </c>
      <c r="C1098" s="43">
        <v>3000</v>
      </c>
      <c r="D1098" s="51">
        <f t="shared" si="17"/>
        <v>0.98201053946219186</v>
      </c>
      <c r="F1098" s="50">
        <v>10.9</v>
      </c>
    </row>
    <row r="1099" spans="1:6" x14ac:dyDescent="0.3">
      <c r="A1099" s="42">
        <v>453719</v>
      </c>
      <c r="B1099" s="43">
        <v>910</v>
      </c>
      <c r="C1099" s="43">
        <v>3000</v>
      </c>
      <c r="D1099" s="51">
        <f t="shared" si="17"/>
        <v>0.98980878134129691</v>
      </c>
      <c r="F1099" s="50">
        <v>10.9</v>
      </c>
    </row>
    <row r="1100" spans="1:6" x14ac:dyDescent="0.3">
      <c r="A1100" s="42">
        <v>453719</v>
      </c>
      <c r="B1100" s="43">
        <v>798</v>
      </c>
      <c r="C1100" s="43"/>
      <c r="D1100" s="51">
        <f t="shared" si="17"/>
        <v>0.98201053946219186</v>
      </c>
      <c r="F1100" s="50">
        <v>10.9</v>
      </c>
    </row>
    <row r="1101" spans="1:6" x14ac:dyDescent="0.3">
      <c r="A1101" s="42">
        <v>453719</v>
      </c>
      <c r="B1101" s="43">
        <v>2000</v>
      </c>
      <c r="C1101" s="43">
        <v>222000</v>
      </c>
      <c r="D1101" s="51">
        <f t="shared" si="17"/>
        <v>0.93535875888817066</v>
      </c>
      <c r="F1101" s="50">
        <v>10.9</v>
      </c>
    </row>
    <row r="1102" spans="1:6" x14ac:dyDescent="0.3">
      <c r="A1102" s="42">
        <v>453719</v>
      </c>
      <c r="B1102" s="43">
        <v>750</v>
      </c>
      <c r="C1102" s="43">
        <v>5000</v>
      </c>
      <c r="D1102" s="51">
        <f t="shared" si="17"/>
        <v>0.82058595435750881</v>
      </c>
      <c r="F1102" s="50">
        <v>10.9</v>
      </c>
    </row>
    <row r="1103" spans="1:6" x14ac:dyDescent="0.3">
      <c r="A1103" s="42">
        <v>453738</v>
      </c>
      <c r="B1103" s="43">
        <v>136</v>
      </c>
      <c r="C1103" s="43">
        <v>2000</v>
      </c>
      <c r="D1103" s="51">
        <f t="shared" si="17"/>
        <v>0.73107264335751254</v>
      </c>
      <c r="F1103" s="50">
        <v>10.9</v>
      </c>
    </row>
    <row r="1104" spans="1:6" x14ac:dyDescent="0.3">
      <c r="A1104" s="42">
        <v>453738</v>
      </c>
      <c r="B1104" s="43">
        <v>910</v>
      </c>
      <c r="C1104" s="43">
        <v>2000</v>
      </c>
      <c r="D1104" s="51">
        <f t="shared" si="17"/>
        <v>0.98980878134129691</v>
      </c>
      <c r="F1104" s="50">
        <v>10.9</v>
      </c>
    </row>
    <row r="1105" spans="1:6" x14ac:dyDescent="0.3">
      <c r="A1105" s="42">
        <v>453738</v>
      </c>
      <c r="B1105" s="43">
        <v>655</v>
      </c>
      <c r="C1105" s="43">
        <v>6000</v>
      </c>
      <c r="D1105" s="51">
        <f t="shared" si="17"/>
        <v>0.40703314625541681</v>
      </c>
      <c r="F1105" s="50">
        <v>10.9</v>
      </c>
    </row>
    <row r="1106" spans="1:6" x14ac:dyDescent="0.3">
      <c r="A1106" s="42">
        <v>453738</v>
      </c>
      <c r="B1106" s="43">
        <v>960</v>
      </c>
      <c r="C1106" s="43">
        <v>6000</v>
      </c>
      <c r="D1106" s="51">
        <f t="shared" si="17"/>
        <v>0.91819105691056901</v>
      </c>
      <c r="F1106" s="50">
        <v>10.9</v>
      </c>
    </row>
    <row r="1107" spans="1:6" x14ac:dyDescent="0.3">
      <c r="A1107" s="44">
        <v>453738</v>
      </c>
      <c r="B1107" s="43">
        <v>2700</v>
      </c>
      <c r="C1107" s="43">
        <v>2700</v>
      </c>
      <c r="D1107" s="51">
        <f t="shared" si="17"/>
        <v>0.95856377880310994</v>
      </c>
      <c r="F1107" s="50">
        <v>10.9</v>
      </c>
    </row>
    <row r="1108" spans="1:6" x14ac:dyDescent="0.3">
      <c r="A1108" s="42">
        <v>453738</v>
      </c>
      <c r="B1108" s="43">
        <v>799</v>
      </c>
      <c r="C1108" s="43">
        <v>9000</v>
      </c>
      <c r="D1108" s="51">
        <f t="shared" si="17"/>
        <v>0.94657286846895594</v>
      </c>
      <c r="F1108" s="50">
        <v>10.9</v>
      </c>
    </row>
    <row r="1109" spans="1:6" x14ac:dyDescent="0.3">
      <c r="A1109" s="42" t="s">
        <v>428</v>
      </c>
      <c r="B1109" s="43">
        <v>406</v>
      </c>
      <c r="C1109" s="43">
        <v>4000</v>
      </c>
      <c r="D1109" s="51">
        <f t="shared" si="17"/>
        <v>0.53768896517227793</v>
      </c>
      <c r="F1109" s="50">
        <v>10.9</v>
      </c>
    </row>
    <row r="1110" spans="1:6" x14ac:dyDescent="0.3">
      <c r="A1110" s="42" t="s">
        <v>428</v>
      </c>
      <c r="B1110" s="43">
        <v>798</v>
      </c>
      <c r="C1110" s="43">
        <v>4000</v>
      </c>
      <c r="D1110" s="51">
        <f t="shared" si="17"/>
        <v>0.98201053946219186</v>
      </c>
      <c r="F1110" s="50">
        <v>10.9</v>
      </c>
    </row>
    <row r="1111" spans="1:6" x14ac:dyDescent="0.3">
      <c r="A1111" s="42" t="s">
        <v>428</v>
      </c>
      <c r="B1111" s="43">
        <v>910</v>
      </c>
      <c r="C1111" s="43">
        <v>4000</v>
      </c>
      <c r="D1111" s="51">
        <f t="shared" si="17"/>
        <v>0.98980878134129691</v>
      </c>
      <c r="F1111" s="50">
        <v>10.9</v>
      </c>
    </row>
    <row r="1112" spans="1:6" x14ac:dyDescent="0.3">
      <c r="A1112" s="44" t="s">
        <v>428</v>
      </c>
      <c r="B1112" s="43">
        <v>2700</v>
      </c>
      <c r="C1112" s="43">
        <v>15000</v>
      </c>
      <c r="D1112" s="51">
        <f t="shared" si="17"/>
        <v>0.95856377880310994</v>
      </c>
      <c r="F1112" s="50">
        <v>10.9</v>
      </c>
    </row>
    <row r="1113" spans="1:6" x14ac:dyDescent="0.3">
      <c r="A1113" s="42" t="s">
        <v>428</v>
      </c>
      <c r="B1113" s="43">
        <v>750</v>
      </c>
      <c r="C1113" s="43">
        <v>5000</v>
      </c>
      <c r="D1113" s="51">
        <f t="shared" si="17"/>
        <v>0.82058595435750881</v>
      </c>
      <c r="F1113" s="50">
        <v>10.9</v>
      </c>
    </row>
    <row r="1114" spans="1:6" x14ac:dyDescent="0.3">
      <c r="A1114" s="42" t="s">
        <v>397</v>
      </c>
      <c r="B1114" s="43">
        <v>213</v>
      </c>
      <c r="C1114" s="43">
        <v>2000</v>
      </c>
      <c r="D1114" s="51">
        <f t="shared" si="17"/>
        <v>0.89211414217378293</v>
      </c>
      <c r="F1114" s="50">
        <v>10.9</v>
      </c>
    </row>
    <row r="1115" spans="1:6" x14ac:dyDescent="0.3">
      <c r="A1115" s="42" t="s">
        <v>397</v>
      </c>
      <c r="B1115" s="43">
        <v>916</v>
      </c>
      <c r="C1115" s="43">
        <v>100000</v>
      </c>
      <c r="D1115" s="51">
        <f t="shared" si="17"/>
        <v>0.79896960148178731</v>
      </c>
      <c r="F1115" s="50">
        <v>10.9</v>
      </c>
    </row>
    <row r="1116" spans="1:6" x14ac:dyDescent="0.3">
      <c r="A1116" s="42" t="s">
        <v>397</v>
      </c>
      <c r="B1116" s="43">
        <v>261</v>
      </c>
      <c r="C1116" s="43">
        <v>2400</v>
      </c>
      <c r="D1116" s="51">
        <f t="shared" si="17"/>
        <v>0.86363448374932017</v>
      </c>
      <c r="F1116" s="50">
        <v>10.9</v>
      </c>
    </row>
    <row r="1117" spans="1:6" x14ac:dyDescent="0.3">
      <c r="A1117" s="42" t="s">
        <v>397</v>
      </c>
      <c r="B1117" s="43">
        <v>724</v>
      </c>
      <c r="C1117" s="43">
        <v>100000</v>
      </c>
      <c r="D1117" s="51">
        <f t="shared" si="17"/>
        <v>0.96268545084111112</v>
      </c>
      <c r="F1117" s="50">
        <v>10.9</v>
      </c>
    </row>
    <row r="1118" spans="1:6" x14ac:dyDescent="0.3">
      <c r="A1118" s="42">
        <v>453773</v>
      </c>
      <c r="B1118" s="43">
        <v>221</v>
      </c>
      <c r="C1118" s="43">
        <v>4000</v>
      </c>
      <c r="D1118" s="51">
        <f t="shared" si="17"/>
        <v>0.86451773785099451</v>
      </c>
      <c r="F1118" s="50">
        <v>10.9</v>
      </c>
    </row>
    <row r="1119" spans="1:6" x14ac:dyDescent="0.3">
      <c r="A1119" s="42">
        <v>453773</v>
      </c>
      <c r="B1119" s="43">
        <v>916</v>
      </c>
      <c r="C1119" s="43">
        <v>100000</v>
      </c>
      <c r="D1119" s="51">
        <f t="shared" si="17"/>
        <v>0.79896960148178731</v>
      </c>
      <c r="F1119" s="50">
        <v>10.9</v>
      </c>
    </row>
    <row r="1120" spans="1:6" x14ac:dyDescent="0.3">
      <c r="A1120" s="42">
        <v>453773</v>
      </c>
      <c r="B1120" s="43">
        <v>257</v>
      </c>
      <c r="C1120" s="43">
        <v>3000</v>
      </c>
      <c r="D1120" s="51">
        <f t="shared" si="17"/>
        <v>0.82485582393453927</v>
      </c>
      <c r="F1120" s="50">
        <v>10.9</v>
      </c>
    </row>
    <row r="1121" spans="1:6" x14ac:dyDescent="0.3">
      <c r="A1121" s="42">
        <v>453773</v>
      </c>
      <c r="B1121" s="43">
        <v>280</v>
      </c>
      <c r="C1121" s="43">
        <v>3000</v>
      </c>
      <c r="D1121" s="51">
        <f t="shared" si="17"/>
        <v>0.78667931488415466</v>
      </c>
      <c r="F1121" s="50">
        <v>10.9</v>
      </c>
    </row>
    <row r="1122" spans="1:6" x14ac:dyDescent="0.3">
      <c r="A1122" s="42">
        <v>453773</v>
      </c>
      <c r="B1122" s="43">
        <v>724</v>
      </c>
      <c r="C1122" s="43">
        <v>100000</v>
      </c>
      <c r="D1122" s="51">
        <f t="shared" si="17"/>
        <v>0.96268545084111112</v>
      </c>
      <c r="F1122" s="50">
        <v>10.9</v>
      </c>
    </row>
    <row r="1123" spans="1:6" x14ac:dyDescent="0.3">
      <c r="A1123" s="48">
        <v>453805</v>
      </c>
      <c r="B1123" s="43">
        <v>142</v>
      </c>
      <c r="C1123" s="43">
        <v>6000</v>
      </c>
      <c r="D1123" s="51">
        <f t="shared" si="17"/>
        <v>0.73372191503301964</v>
      </c>
      <c r="F1123" s="50">
        <v>10.9</v>
      </c>
    </row>
    <row r="1124" spans="1:6" x14ac:dyDescent="0.3">
      <c r="A1124" s="42">
        <v>453805</v>
      </c>
      <c r="B1124" s="43">
        <v>798</v>
      </c>
      <c r="C1124" s="43">
        <v>6000</v>
      </c>
      <c r="D1124" s="51">
        <f t="shared" si="17"/>
        <v>0.98201053946219186</v>
      </c>
      <c r="F1124" s="50">
        <v>10.9</v>
      </c>
    </row>
    <row r="1125" spans="1:6" x14ac:dyDescent="0.3">
      <c r="A1125" s="42">
        <v>453805</v>
      </c>
      <c r="B1125" s="43">
        <v>910</v>
      </c>
      <c r="C1125" s="43">
        <v>6000</v>
      </c>
      <c r="D1125" s="51">
        <f t="shared" si="17"/>
        <v>0.98980878134129691</v>
      </c>
      <c r="F1125" s="50">
        <v>10.9</v>
      </c>
    </row>
    <row r="1126" spans="1:6" x14ac:dyDescent="0.3">
      <c r="A1126" s="42">
        <v>453805</v>
      </c>
      <c r="B1126" s="43">
        <v>2700</v>
      </c>
      <c r="C1126" s="43">
        <v>10000</v>
      </c>
      <c r="D1126" s="51">
        <f t="shared" si="17"/>
        <v>0.95856377880310994</v>
      </c>
      <c r="F1126" s="50">
        <v>10.9</v>
      </c>
    </row>
    <row r="1127" spans="1:6" x14ac:dyDescent="0.3">
      <c r="A1127" s="42">
        <v>453805</v>
      </c>
      <c r="B1127" s="43">
        <v>750</v>
      </c>
      <c r="C1127" s="43">
        <v>5000</v>
      </c>
      <c r="D1127" s="51">
        <f t="shared" si="17"/>
        <v>0.82058595435750881</v>
      </c>
      <c r="F1127" s="50">
        <v>10.9</v>
      </c>
    </row>
    <row r="1128" spans="1:6" x14ac:dyDescent="0.3">
      <c r="A1128" s="42">
        <v>453836</v>
      </c>
      <c r="B1128" s="43">
        <v>213</v>
      </c>
      <c r="C1128" s="43">
        <v>1200</v>
      </c>
      <c r="D1128" s="51">
        <f t="shared" si="17"/>
        <v>0.89211414217378293</v>
      </c>
      <c r="F1128" s="50">
        <v>10.9</v>
      </c>
    </row>
    <row r="1129" spans="1:6" x14ac:dyDescent="0.3">
      <c r="A1129" s="42">
        <v>453836</v>
      </c>
      <c r="B1129" s="43">
        <v>916</v>
      </c>
      <c r="C1129" s="43">
        <v>100000</v>
      </c>
      <c r="D1129" s="51">
        <f t="shared" si="17"/>
        <v>0.79896960148178731</v>
      </c>
      <c r="F1129" s="50">
        <v>10.9</v>
      </c>
    </row>
    <row r="1130" spans="1:6" x14ac:dyDescent="0.3">
      <c r="A1130" s="42">
        <v>453836</v>
      </c>
      <c r="B1130" s="43">
        <v>265</v>
      </c>
      <c r="C1130" s="43">
        <v>2200</v>
      </c>
      <c r="D1130" s="51">
        <f t="shared" si="17"/>
        <v>0.77814176591921203</v>
      </c>
      <c r="F1130" s="50">
        <v>10.9</v>
      </c>
    </row>
    <row r="1131" spans="1:6" x14ac:dyDescent="0.3">
      <c r="A1131" s="42">
        <v>453836</v>
      </c>
      <c r="B1131" s="43">
        <v>724</v>
      </c>
      <c r="C1131" s="43">
        <v>100000</v>
      </c>
      <c r="D1131" s="51">
        <f t="shared" si="17"/>
        <v>0.96268545084111112</v>
      </c>
      <c r="F1131" s="50">
        <v>10.9</v>
      </c>
    </row>
    <row r="1132" spans="1:6" x14ac:dyDescent="0.3">
      <c r="A1132" s="42" t="s">
        <v>388</v>
      </c>
      <c r="B1132" s="43">
        <v>221</v>
      </c>
      <c r="C1132" s="43">
        <v>1500</v>
      </c>
      <c r="D1132" s="51">
        <f t="shared" si="17"/>
        <v>0.86451773785099451</v>
      </c>
      <c r="F1132" s="50">
        <v>10.9</v>
      </c>
    </row>
    <row r="1133" spans="1:6" x14ac:dyDescent="0.3">
      <c r="A1133" s="42" t="s">
        <v>388</v>
      </c>
      <c r="B1133" s="43">
        <v>916</v>
      </c>
      <c r="C1133" s="43">
        <v>100000</v>
      </c>
      <c r="D1133" s="51">
        <f t="shared" si="17"/>
        <v>0.79896960148178731</v>
      </c>
      <c r="F1133" s="50">
        <v>10.9</v>
      </c>
    </row>
    <row r="1134" spans="1:6" x14ac:dyDescent="0.3">
      <c r="A1134" s="42" t="s">
        <v>388</v>
      </c>
      <c r="B1134" s="43">
        <v>265</v>
      </c>
      <c r="C1134" s="43">
        <v>2100</v>
      </c>
      <c r="D1134" s="51">
        <f t="shared" si="17"/>
        <v>0.77814176591921203</v>
      </c>
      <c r="F1134" s="50">
        <v>10.9</v>
      </c>
    </row>
    <row r="1135" spans="1:6" x14ac:dyDescent="0.3">
      <c r="A1135" s="42" t="s">
        <v>388</v>
      </c>
      <c r="B1135" s="43">
        <v>724</v>
      </c>
      <c r="C1135" s="43">
        <v>100000</v>
      </c>
      <c r="D1135" s="51">
        <f t="shared" si="17"/>
        <v>0.96268545084111112</v>
      </c>
      <c r="F1135" s="50">
        <v>10.9</v>
      </c>
    </row>
    <row r="1136" spans="1:6" x14ac:dyDescent="0.3">
      <c r="A1136" s="42">
        <v>453914</v>
      </c>
      <c r="B1136" s="43">
        <v>221</v>
      </c>
      <c r="C1136" s="43">
        <v>2000</v>
      </c>
      <c r="D1136" s="51">
        <f t="shared" si="17"/>
        <v>0.86451773785099451</v>
      </c>
      <c r="F1136" s="50">
        <v>10.9</v>
      </c>
    </row>
    <row r="1137" spans="1:6" x14ac:dyDescent="0.3">
      <c r="A1137" s="42">
        <v>453914</v>
      </c>
      <c r="B1137" s="43">
        <v>916</v>
      </c>
      <c r="C1137" s="43">
        <v>100000</v>
      </c>
      <c r="D1137" s="51">
        <f t="shared" si="17"/>
        <v>0.79896960148178731</v>
      </c>
      <c r="F1137" s="50">
        <v>10.9</v>
      </c>
    </row>
    <row r="1138" spans="1:6" x14ac:dyDescent="0.3">
      <c r="A1138" s="42">
        <v>453914</v>
      </c>
      <c r="B1138" s="43">
        <v>265</v>
      </c>
      <c r="C1138" s="43">
        <v>2200</v>
      </c>
      <c r="D1138" s="51">
        <f t="shared" si="17"/>
        <v>0.77814176591921203</v>
      </c>
      <c r="F1138" s="50">
        <v>10.9</v>
      </c>
    </row>
    <row r="1139" spans="1:6" x14ac:dyDescent="0.3">
      <c r="A1139" s="42">
        <v>453914</v>
      </c>
      <c r="B1139" s="43">
        <v>724</v>
      </c>
      <c r="C1139" s="43">
        <v>100000</v>
      </c>
      <c r="D1139" s="51">
        <f t="shared" si="17"/>
        <v>0.96268545084111112</v>
      </c>
      <c r="F1139" s="50">
        <v>10.9</v>
      </c>
    </row>
    <row r="1140" spans="1:6" x14ac:dyDescent="0.3">
      <c r="A1140" s="42">
        <v>453917</v>
      </c>
      <c r="B1140" s="43">
        <v>221</v>
      </c>
      <c r="C1140" s="43">
        <v>1000</v>
      </c>
      <c r="D1140" s="51">
        <f t="shared" si="17"/>
        <v>0.86451773785099451</v>
      </c>
      <c r="F1140" s="50">
        <v>10.9</v>
      </c>
    </row>
    <row r="1141" spans="1:6" x14ac:dyDescent="0.3">
      <c r="A1141" s="42">
        <v>453917</v>
      </c>
      <c r="B1141" s="43">
        <v>916</v>
      </c>
      <c r="C1141" s="43">
        <v>100000</v>
      </c>
      <c r="D1141" s="51">
        <f t="shared" si="17"/>
        <v>0.79896960148178731</v>
      </c>
      <c r="F1141" s="50">
        <v>10.9</v>
      </c>
    </row>
    <row r="1142" spans="1:6" x14ac:dyDescent="0.3">
      <c r="A1142" s="42">
        <v>453917</v>
      </c>
      <c r="B1142" s="43">
        <v>266</v>
      </c>
      <c r="C1142" s="43">
        <v>1000</v>
      </c>
      <c r="D1142" s="51">
        <f t="shared" si="17"/>
        <v>0.84702959767415587</v>
      </c>
      <c r="F1142" s="50">
        <v>10.9</v>
      </c>
    </row>
    <row r="1143" spans="1:6" x14ac:dyDescent="0.3">
      <c r="A1143" s="42">
        <v>453917</v>
      </c>
      <c r="B1143" s="43">
        <v>780</v>
      </c>
      <c r="C1143" s="43">
        <v>3000</v>
      </c>
      <c r="D1143" s="51">
        <f t="shared" si="17"/>
        <v>0.84056678392667161</v>
      </c>
      <c r="F1143" s="50">
        <v>10.9</v>
      </c>
    </row>
    <row r="1144" spans="1:6" x14ac:dyDescent="0.3">
      <c r="A1144" s="42">
        <v>453949</v>
      </c>
      <c r="B1144" s="43">
        <v>142</v>
      </c>
      <c r="C1144" s="43">
        <v>8000</v>
      </c>
      <c r="D1144" s="51">
        <f t="shared" si="17"/>
        <v>0.73372191503301964</v>
      </c>
      <c r="F1144" s="50">
        <v>10.9</v>
      </c>
    </row>
    <row r="1145" spans="1:6" x14ac:dyDescent="0.3">
      <c r="A1145" s="42">
        <v>453949</v>
      </c>
      <c r="B1145" s="43">
        <v>798</v>
      </c>
      <c r="C1145" s="43">
        <v>8000</v>
      </c>
      <c r="D1145" s="51">
        <f t="shared" si="17"/>
        <v>0.98201053946219186</v>
      </c>
      <c r="F1145" s="50">
        <v>10.9</v>
      </c>
    </row>
    <row r="1146" spans="1:6" x14ac:dyDescent="0.3">
      <c r="A1146" s="42">
        <v>453949</v>
      </c>
      <c r="B1146" s="43">
        <v>910</v>
      </c>
      <c r="C1146" s="43">
        <v>8000</v>
      </c>
      <c r="D1146" s="51">
        <f t="shared" si="17"/>
        <v>0.98980878134129691</v>
      </c>
      <c r="F1146" s="50">
        <v>10.9</v>
      </c>
    </row>
    <row r="1147" spans="1:6" x14ac:dyDescent="0.3">
      <c r="A1147" s="42">
        <v>453949</v>
      </c>
      <c r="B1147" s="43">
        <v>2000</v>
      </c>
      <c r="C1147" s="43">
        <v>222000</v>
      </c>
      <c r="D1147" s="51">
        <f t="shared" si="17"/>
        <v>0.93535875888817066</v>
      </c>
      <c r="F1147" s="50">
        <v>10.9</v>
      </c>
    </row>
    <row r="1148" spans="1:6" x14ac:dyDescent="0.3">
      <c r="A1148" s="42">
        <v>453949</v>
      </c>
      <c r="B1148" s="43">
        <v>750</v>
      </c>
      <c r="C1148" s="43">
        <v>6000</v>
      </c>
      <c r="D1148" s="51">
        <f t="shared" si="17"/>
        <v>0.82058595435750881</v>
      </c>
      <c r="F1148" s="50">
        <v>10.9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1768C-EB8A-4DFC-A13F-3C8FB132CE50}">
  <sheetPr codeName="Hoja5"/>
  <dimension ref="A1:E65388"/>
  <sheetViews>
    <sheetView workbookViewId="0">
      <selection activeCell="C9" sqref="C9"/>
    </sheetView>
  </sheetViews>
  <sheetFormatPr baseColWidth="10" defaultRowHeight="14.4" x14ac:dyDescent="0.3"/>
  <cols>
    <col min="1" max="1" width="17.6640625" style="31" bestFit="1" customWidth="1"/>
    <col min="2" max="3" width="11.5546875" style="32"/>
    <col min="4" max="4" width="11.5546875" style="33"/>
    <col min="5" max="5" width="11.5546875" style="34"/>
  </cols>
  <sheetData>
    <row r="1" spans="1:5" x14ac:dyDescent="0.3">
      <c r="A1" s="11" t="s">
        <v>0</v>
      </c>
      <c r="B1" s="12" t="s">
        <v>362</v>
      </c>
      <c r="C1" s="13" t="s">
        <v>363</v>
      </c>
      <c r="D1" s="14" t="s">
        <v>364</v>
      </c>
      <c r="E1" s="15" t="s">
        <v>365</v>
      </c>
    </row>
    <row r="2" spans="1:5" x14ac:dyDescent="0.3">
      <c r="A2" s="16" t="s">
        <v>195</v>
      </c>
      <c r="B2" s="16" t="s">
        <v>366</v>
      </c>
      <c r="C2" s="17">
        <v>76000</v>
      </c>
      <c r="D2" s="18">
        <v>100000</v>
      </c>
      <c r="E2" s="19">
        <v>0</v>
      </c>
    </row>
    <row r="3" spans="1:5" x14ac:dyDescent="0.3">
      <c r="A3" s="20" t="s">
        <v>195</v>
      </c>
      <c r="B3" s="21" t="s">
        <v>367</v>
      </c>
      <c r="C3" s="22">
        <v>76000</v>
      </c>
      <c r="D3" s="23">
        <v>0</v>
      </c>
      <c r="E3" s="24">
        <v>0</v>
      </c>
    </row>
    <row r="4" spans="1:5" x14ac:dyDescent="0.3">
      <c r="A4" s="20" t="s">
        <v>195</v>
      </c>
      <c r="B4" s="21" t="s">
        <v>368</v>
      </c>
      <c r="C4" s="22">
        <v>76000</v>
      </c>
      <c r="D4" s="23">
        <v>100000</v>
      </c>
      <c r="E4" s="24">
        <v>0</v>
      </c>
    </row>
    <row r="5" spans="1:5" x14ac:dyDescent="0.3">
      <c r="A5" s="20" t="s">
        <v>195</v>
      </c>
      <c r="B5" s="21" t="s">
        <v>369</v>
      </c>
      <c r="C5" s="22">
        <v>76000</v>
      </c>
      <c r="D5" s="23">
        <v>100000</v>
      </c>
      <c r="E5" s="24">
        <v>0</v>
      </c>
    </row>
    <row r="6" spans="1:5" x14ac:dyDescent="0.3">
      <c r="A6" s="20" t="s">
        <v>195</v>
      </c>
      <c r="B6" s="21" t="s">
        <v>370</v>
      </c>
      <c r="C6" s="22">
        <v>76000</v>
      </c>
      <c r="D6" s="23">
        <v>0</v>
      </c>
      <c r="E6" s="24">
        <v>0</v>
      </c>
    </row>
    <row r="7" spans="1:5" x14ac:dyDescent="0.3">
      <c r="A7" s="20" t="s">
        <v>195</v>
      </c>
      <c r="B7" s="21" t="s">
        <v>371</v>
      </c>
      <c r="C7" s="22">
        <v>76000</v>
      </c>
      <c r="D7" s="23">
        <v>0</v>
      </c>
      <c r="E7" s="24">
        <v>0</v>
      </c>
    </row>
    <row r="8" spans="1:5" x14ac:dyDescent="0.3">
      <c r="A8" s="20" t="s">
        <v>195</v>
      </c>
      <c r="B8" s="21" t="s">
        <v>372</v>
      </c>
      <c r="C8" s="22">
        <v>76000</v>
      </c>
      <c r="D8" s="23">
        <v>0</v>
      </c>
      <c r="E8" s="24">
        <v>0</v>
      </c>
    </row>
    <row r="9" spans="1:5" x14ac:dyDescent="0.3">
      <c r="A9" s="20" t="s">
        <v>195</v>
      </c>
      <c r="B9" s="21" t="s">
        <v>373</v>
      </c>
      <c r="C9" s="22">
        <v>38000</v>
      </c>
      <c r="D9" s="23">
        <v>0</v>
      </c>
      <c r="E9" s="24">
        <v>0</v>
      </c>
    </row>
    <row r="10" spans="1:5" x14ac:dyDescent="0.3">
      <c r="A10" s="20" t="s">
        <v>195</v>
      </c>
      <c r="B10" s="21" t="s">
        <v>374</v>
      </c>
      <c r="C10" s="22">
        <v>76000</v>
      </c>
      <c r="D10" s="23">
        <v>0</v>
      </c>
      <c r="E10" s="24">
        <v>0</v>
      </c>
    </row>
    <row r="11" spans="1:5" x14ac:dyDescent="0.3">
      <c r="A11" s="20" t="s">
        <v>195</v>
      </c>
      <c r="B11" s="21" t="s">
        <v>375</v>
      </c>
      <c r="C11" s="22">
        <v>76000</v>
      </c>
      <c r="D11" s="23">
        <v>0</v>
      </c>
      <c r="E11" s="24">
        <v>0</v>
      </c>
    </row>
    <row r="12" spans="1:5" x14ac:dyDescent="0.3">
      <c r="A12" s="20" t="s">
        <v>195</v>
      </c>
      <c r="B12" s="21" t="s">
        <v>376</v>
      </c>
      <c r="C12" s="22">
        <v>76000</v>
      </c>
      <c r="D12" s="23">
        <v>0</v>
      </c>
      <c r="E12" s="24">
        <v>0</v>
      </c>
    </row>
    <row r="13" spans="1:5" x14ac:dyDescent="0.3">
      <c r="A13" s="20" t="s">
        <v>195</v>
      </c>
      <c r="B13" s="21" t="s">
        <v>377</v>
      </c>
      <c r="C13" s="22">
        <v>38000</v>
      </c>
      <c r="D13" s="23">
        <v>0</v>
      </c>
      <c r="E13" s="24">
        <v>0</v>
      </c>
    </row>
    <row r="14" spans="1:5" x14ac:dyDescent="0.3">
      <c r="A14" s="16" t="s">
        <v>378</v>
      </c>
      <c r="B14" s="16" t="s">
        <v>367</v>
      </c>
      <c r="C14" s="17">
        <v>0</v>
      </c>
      <c r="D14" s="18">
        <v>0</v>
      </c>
      <c r="E14" s="19">
        <v>0</v>
      </c>
    </row>
    <row r="15" spans="1:5" x14ac:dyDescent="0.3">
      <c r="A15" s="16" t="s">
        <v>177</v>
      </c>
      <c r="B15" s="16" t="s">
        <v>367</v>
      </c>
      <c r="C15" s="17">
        <v>0</v>
      </c>
      <c r="D15" s="18">
        <v>0</v>
      </c>
      <c r="E15" s="19">
        <v>0</v>
      </c>
    </row>
    <row r="16" spans="1:5" x14ac:dyDescent="0.3">
      <c r="A16" s="16" t="s">
        <v>178</v>
      </c>
      <c r="B16" s="16" t="s">
        <v>366</v>
      </c>
      <c r="C16" s="17">
        <v>0</v>
      </c>
      <c r="D16" s="18">
        <v>0</v>
      </c>
      <c r="E16" s="19">
        <v>0</v>
      </c>
    </row>
    <row r="17" spans="1:5" x14ac:dyDescent="0.3">
      <c r="A17" s="20" t="s">
        <v>178</v>
      </c>
      <c r="B17" s="21" t="s">
        <v>368</v>
      </c>
      <c r="C17" s="22">
        <v>0</v>
      </c>
      <c r="D17" s="23">
        <v>0</v>
      </c>
      <c r="E17" s="24">
        <v>0</v>
      </c>
    </row>
    <row r="18" spans="1:5" x14ac:dyDescent="0.3">
      <c r="A18" s="16" t="s">
        <v>350</v>
      </c>
      <c r="B18" s="16" t="s">
        <v>367</v>
      </c>
      <c r="C18" s="17">
        <v>0</v>
      </c>
      <c r="D18" s="18">
        <v>0</v>
      </c>
      <c r="E18" s="19">
        <v>0</v>
      </c>
    </row>
    <row r="19" spans="1:5" x14ac:dyDescent="0.3">
      <c r="A19" s="16" t="s">
        <v>264</v>
      </c>
      <c r="B19" s="16" t="s">
        <v>366</v>
      </c>
      <c r="C19" s="17">
        <v>0</v>
      </c>
      <c r="D19" s="18">
        <v>0</v>
      </c>
      <c r="E19" s="19">
        <v>0</v>
      </c>
    </row>
    <row r="20" spans="1:5" x14ac:dyDescent="0.3">
      <c r="A20" s="20" t="s">
        <v>264</v>
      </c>
      <c r="B20" s="21" t="s">
        <v>367</v>
      </c>
      <c r="C20" s="22">
        <v>0</v>
      </c>
      <c r="D20" s="23">
        <v>0</v>
      </c>
      <c r="E20" s="24">
        <v>0</v>
      </c>
    </row>
    <row r="21" spans="1:5" x14ac:dyDescent="0.3">
      <c r="A21" s="20" t="s">
        <v>264</v>
      </c>
      <c r="B21" s="21" t="s">
        <v>368</v>
      </c>
      <c r="C21" s="22">
        <v>0</v>
      </c>
      <c r="D21" s="23">
        <v>0</v>
      </c>
      <c r="E21" s="24">
        <v>0</v>
      </c>
    </row>
    <row r="22" spans="1:5" x14ac:dyDescent="0.3">
      <c r="A22" s="16" t="s">
        <v>57</v>
      </c>
      <c r="B22" s="16" t="s">
        <v>366</v>
      </c>
      <c r="C22" s="17">
        <v>0</v>
      </c>
      <c r="D22" s="18">
        <v>0</v>
      </c>
      <c r="E22" s="19">
        <v>0</v>
      </c>
    </row>
    <row r="23" spans="1:5" x14ac:dyDescent="0.3">
      <c r="A23" s="16" t="s">
        <v>58</v>
      </c>
      <c r="B23" s="16" t="s">
        <v>366</v>
      </c>
      <c r="C23" s="17">
        <v>0</v>
      </c>
      <c r="D23" s="18">
        <v>0</v>
      </c>
      <c r="E23" s="19">
        <v>0</v>
      </c>
    </row>
    <row r="24" spans="1:5" x14ac:dyDescent="0.3">
      <c r="A24" s="16" t="s">
        <v>335</v>
      </c>
      <c r="B24" s="16" t="s">
        <v>374</v>
      </c>
      <c r="C24" s="17">
        <v>0</v>
      </c>
      <c r="D24" s="18">
        <v>0</v>
      </c>
      <c r="E24" s="19">
        <v>0</v>
      </c>
    </row>
    <row r="25" spans="1:5" x14ac:dyDescent="0.3">
      <c r="A25" s="20" t="s">
        <v>335</v>
      </c>
      <c r="B25" s="21" t="s">
        <v>377</v>
      </c>
      <c r="C25" s="22">
        <v>1000</v>
      </c>
      <c r="D25" s="23">
        <v>0</v>
      </c>
      <c r="E25" s="24">
        <v>0</v>
      </c>
    </row>
    <row r="26" spans="1:5" x14ac:dyDescent="0.3">
      <c r="A26" s="16" t="s">
        <v>180</v>
      </c>
      <c r="B26" s="16" t="s">
        <v>366</v>
      </c>
      <c r="C26" s="17">
        <v>7200</v>
      </c>
      <c r="D26" s="18">
        <v>2400</v>
      </c>
      <c r="E26" s="19">
        <v>0</v>
      </c>
    </row>
    <row r="27" spans="1:5" x14ac:dyDescent="0.3">
      <c r="A27" s="20" t="s">
        <v>180</v>
      </c>
      <c r="B27" s="21" t="s">
        <v>367</v>
      </c>
      <c r="C27" s="22">
        <v>6000</v>
      </c>
      <c r="D27" s="23">
        <v>0</v>
      </c>
      <c r="E27" s="24">
        <v>0</v>
      </c>
    </row>
    <row r="28" spans="1:5" x14ac:dyDescent="0.3">
      <c r="A28" s="20" t="s">
        <v>180</v>
      </c>
      <c r="B28" s="21" t="s">
        <v>368</v>
      </c>
      <c r="C28" s="22">
        <v>4800</v>
      </c>
      <c r="D28" s="23">
        <v>1200</v>
      </c>
      <c r="E28" s="24">
        <v>0</v>
      </c>
    </row>
    <row r="29" spans="1:5" x14ac:dyDescent="0.3">
      <c r="A29" s="20" t="s">
        <v>180</v>
      </c>
      <c r="B29" s="21" t="s">
        <v>369</v>
      </c>
      <c r="C29" s="22">
        <v>4200</v>
      </c>
      <c r="D29" s="23">
        <v>1800</v>
      </c>
      <c r="E29" s="24">
        <v>0</v>
      </c>
    </row>
    <row r="30" spans="1:5" x14ac:dyDescent="0.3">
      <c r="A30" s="20" t="s">
        <v>180</v>
      </c>
      <c r="B30" s="21" t="s">
        <v>370</v>
      </c>
      <c r="C30" s="22">
        <v>6000</v>
      </c>
      <c r="D30" s="23">
        <v>600</v>
      </c>
      <c r="E30" s="24">
        <v>0</v>
      </c>
    </row>
    <row r="31" spans="1:5" x14ac:dyDescent="0.3">
      <c r="A31" s="20" t="s">
        <v>180</v>
      </c>
      <c r="B31" s="21" t="s">
        <v>371</v>
      </c>
      <c r="C31" s="22">
        <v>6000</v>
      </c>
      <c r="D31" s="23">
        <v>0</v>
      </c>
      <c r="E31" s="24">
        <v>0</v>
      </c>
    </row>
    <row r="32" spans="1:5" x14ac:dyDescent="0.3">
      <c r="A32" s="20" t="s">
        <v>180</v>
      </c>
      <c r="B32" s="21" t="s">
        <v>372</v>
      </c>
      <c r="C32" s="22">
        <v>4200</v>
      </c>
      <c r="D32" s="23">
        <v>0</v>
      </c>
      <c r="E32" s="24">
        <v>0</v>
      </c>
    </row>
    <row r="33" spans="1:5" x14ac:dyDescent="0.3">
      <c r="A33" s="20" t="s">
        <v>180</v>
      </c>
      <c r="B33" s="21" t="s">
        <v>373</v>
      </c>
      <c r="C33" s="22">
        <v>2400</v>
      </c>
      <c r="D33" s="23">
        <v>0</v>
      </c>
      <c r="E33" s="24">
        <v>0</v>
      </c>
    </row>
    <row r="34" spans="1:5" x14ac:dyDescent="0.3">
      <c r="A34" s="20" t="s">
        <v>180</v>
      </c>
      <c r="B34" s="21" t="s">
        <v>374</v>
      </c>
      <c r="C34" s="22">
        <v>6000</v>
      </c>
      <c r="D34" s="23">
        <v>0</v>
      </c>
      <c r="E34" s="24">
        <v>0</v>
      </c>
    </row>
    <row r="35" spans="1:5" x14ac:dyDescent="0.3">
      <c r="A35" s="20" t="s">
        <v>180</v>
      </c>
      <c r="B35" s="21" t="s">
        <v>375</v>
      </c>
      <c r="C35" s="22">
        <v>2400</v>
      </c>
      <c r="D35" s="23">
        <v>0</v>
      </c>
      <c r="E35" s="24">
        <v>0</v>
      </c>
    </row>
    <row r="36" spans="1:5" x14ac:dyDescent="0.3">
      <c r="A36" s="20" t="s">
        <v>180</v>
      </c>
      <c r="B36" s="21" t="s">
        <v>376</v>
      </c>
      <c r="C36" s="22">
        <v>2400</v>
      </c>
      <c r="D36" s="23">
        <v>0</v>
      </c>
      <c r="E36" s="24">
        <v>0</v>
      </c>
    </row>
    <row r="37" spans="1:5" x14ac:dyDescent="0.3">
      <c r="A37" s="20" t="s">
        <v>180</v>
      </c>
      <c r="B37" s="21" t="s">
        <v>377</v>
      </c>
      <c r="C37" s="22">
        <v>2400</v>
      </c>
      <c r="D37" s="23">
        <v>2400</v>
      </c>
      <c r="E37" s="24">
        <v>0</v>
      </c>
    </row>
    <row r="38" spans="1:5" x14ac:dyDescent="0.3">
      <c r="A38" s="16" t="s">
        <v>189</v>
      </c>
      <c r="B38" s="16" t="s">
        <v>366</v>
      </c>
      <c r="C38" s="17">
        <v>57000</v>
      </c>
      <c r="D38" s="18">
        <v>51000</v>
      </c>
      <c r="E38" s="19">
        <v>0</v>
      </c>
    </row>
    <row r="39" spans="1:5" x14ac:dyDescent="0.3">
      <c r="A39" s="20" t="s">
        <v>189</v>
      </c>
      <c r="B39" s="21" t="s">
        <v>367</v>
      </c>
      <c r="C39" s="22">
        <v>66000</v>
      </c>
      <c r="D39" s="23">
        <v>45000</v>
      </c>
      <c r="E39" s="24">
        <v>0</v>
      </c>
    </row>
    <row r="40" spans="1:5" x14ac:dyDescent="0.3">
      <c r="A40" s="20" t="s">
        <v>189</v>
      </c>
      <c r="B40" s="21" t="s">
        <v>368</v>
      </c>
      <c r="C40" s="22">
        <v>66000</v>
      </c>
      <c r="D40" s="23">
        <v>57000</v>
      </c>
      <c r="E40" s="24">
        <v>0</v>
      </c>
    </row>
    <row r="41" spans="1:5" x14ac:dyDescent="0.3">
      <c r="A41" s="20" t="s">
        <v>189</v>
      </c>
      <c r="B41" s="21" t="s">
        <v>369</v>
      </c>
      <c r="C41" s="22">
        <v>57000</v>
      </c>
      <c r="D41" s="23">
        <v>45000</v>
      </c>
      <c r="E41" s="24">
        <v>0</v>
      </c>
    </row>
    <row r="42" spans="1:5" x14ac:dyDescent="0.3">
      <c r="A42" s="20" t="s">
        <v>189</v>
      </c>
      <c r="B42" s="21" t="s">
        <v>370</v>
      </c>
      <c r="C42" s="22">
        <v>66000</v>
      </c>
      <c r="D42" s="23">
        <v>54000</v>
      </c>
      <c r="E42" s="24">
        <v>0</v>
      </c>
    </row>
    <row r="43" spans="1:5" x14ac:dyDescent="0.3">
      <c r="A43" s="20" t="s">
        <v>189</v>
      </c>
      <c r="B43" s="21" t="s">
        <v>371</v>
      </c>
      <c r="C43" s="22">
        <v>57000</v>
      </c>
      <c r="D43" s="23">
        <v>42000</v>
      </c>
      <c r="E43" s="24">
        <v>0</v>
      </c>
    </row>
    <row r="44" spans="1:5" x14ac:dyDescent="0.3">
      <c r="A44" s="20" t="s">
        <v>189</v>
      </c>
      <c r="B44" s="21" t="s">
        <v>372</v>
      </c>
      <c r="C44" s="22">
        <v>69000</v>
      </c>
      <c r="D44" s="23">
        <v>24000</v>
      </c>
      <c r="E44" s="24">
        <v>0</v>
      </c>
    </row>
    <row r="45" spans="1:5" x14ac:dyDescent="0.3">
      <c r="A45" s="20" t="s">
        <v>189</v>
      </c>
      <c r="B45" s="21" t="s">
        <v>373</v>
      </c>
      <c r="C45" s="22">
        <v>36000</v>
      </c>
      <c r="D45" s="23">
        <v>66000</v>
      </c>
      <c r="E45" s="24">
        <v>0</v>
      </c>
    </row>
    <row r="46" spans="1:5" x14ac:dyDescent="0.3">
      <c r="A46" s="20" t="s">
        <v>189</v>
      </c>
      <c r="B46" s="21" t="s">
        <v>374</v>
      </c>
      <c r="C46" s="22">
        <v>36000</v>
      </c>
      <c r="D46" s="23">
        <v>42000</v>
      </c>
      <c r="E46" s="24">
        <v>0</v>
      </c>
    </row>
    <row r="47" spans="1:5" x14ac:dyDescent="0.3">
      <c r="A47" s="20" t="s">
        <v>189</v>
      </c>
      <c r="B47" s="21" t="s">
        <v>375</v>
      </c>
      <c r="C47" s="22">
        <v>66000</v>
      </c>
      <c r="D47" s="23">
        <v>93000</v>
      </c>
      <c r="E47" s="24">
        <v>0</v>
      </c>
    </row>
    <row r="48" spans="1:5" x14ac:dyDescent="0.3">
      <c r="A48" s="20" t="s">
        <v>189</v>
      </c>
      <c r="B48" s="21" t="s">
        <v>376</v>
      </c>
      <c r="C48" s="22">
        <v>57000</v>
      </c>
      <c r="D48" s="23">
        <v>36000</v>
      </c>
      <c r="E48" s="24">
        <v>0</v>
      </c>
    </row>
    <row r="49" spans="1:5" x14ac:dyDescent="0.3">
      <c r="A49" s="20" t="s">
        <v>189</v>
      </c>
      <c r="B49" s="21" t="s">
        <v>377</v>
      </c>
      <c r="C49" s="22">
        <v>36000</v>
      </c>
      <c r="D49" s="23">
        <v>66000</v>
      </c>
      <c r="E49" s="24">
        <v>0</v>
      </c>
    </row>
    <row r="50" spans="1:5" x14ac:dyDescent="0.3">
      <c r="A50" s="16" t="s">
        <v>306</v>
      </c>
      <c r="B50" s="16" t="s">
        <v>366</v>
      </c>
      <c r="C50" s="17">
        <v>8400</v>
      </c>
      <c r="D50" s="18">
        <v>18000</v>
      </c>
      <c r="E50" s="19">
        <v>0</v>
      </c>
    </row>
    <row r="51" spans="1:5" x14ac:dyDescent="0.3">
      <c r="A51" s="20" t="s">
        <v>306</v>
      </c>
      <c r="B51" s="21" t="s">
        <v>367</v>
      </c>
      <c r="C51" s="22">
        <v>5775</v>
      </c>
      <c r="D51" s="23">
        <v>7800</v>
      </c>
      <c r="E51" s="24">
        <v>0</v>
      </c>
    </row>
    <row r="52" spans="1:5" x14ac:dyDescent="0.3">
      <c r="A52" s="20" t="s">
        <v>306</v>
      </c>
      <c r="B52" s="21" t="s">
        <v>368</v>
      </c>
      <c r="C52" s="22">
        <v>8400</v>
      </c>
      <c r="D52" s="23">
        <v>7800</v>
      </c>
      <c r="E52" s="24">
        <v>0</v>
      </c>
    </row>
    <row r="53" spans="1:5" x14ac:dyDescent="0.3">
      <c r="A53" s="20" t="s">
        <v>306</v>
      </c>
      <c r="B53" s="21" t="s">
        <v>369</v>
      </c>
      <c r="C53" s="22">
        <v>7200</v>
      </c>
      <c r="D53" s="23">
        <v>9600</v>
      </c>
      <c r="E53" s="24">
        <v>0</v>
      </c>
    </row>
    <row r="54" spans="1:5" x14ac:dyDescent="0.3">
      <c r="A54" s="20" t="s">
        <v>306</v>
      </c>
      <c r="B54" s="21" t="s">
        <v>370</v>
      </c>
      <c r="C54" s="22">
        <v>9000</v>
      </c>
      <c r="D54" s="23">
        <v>6600</v>
      </c>
      <c r="E54" s="24">
        <v>0</v>
      </c>
    </row>
    <row r="55" spans="1:5" x14ac:dyDescent="0.3">
      <c r="A55" s="20" t="s">
        <v>306</v>
      </c>
      <c r="B55" s="21" t="s">
        <v>371</v>
      </c>
      <c r="C55" s="22">
        <v>7200</v>
      </c>
      <c r="D55" s="23">
        <v>6600</v>
      </c>
      <c r="E55" s="24">
        <v>0</v>
      </c>
    </row>
    <row r="56" spans="1:5" x14ac:dyDescent="0.3">
      <c r="A56" s="20" t="s">
        <v>306</v>
      </c>
      <c r="B56" s="21" t="s">
        <v>372</v>
      </c>
      <c r="C56" s="22">
        <v>3000</v>
      </c>
      <c r="D56" s="23">
        <v>5400</v>
      </c>
      <c r="E56" s="24">
        <v>0</v>
      </c>
    </row>
    <row r="57" spans="1:5" x14ac:dyDescent="0.3">
      <c r="A57" s="20" t="s">
        <v>306</v>
      </c>
      <c r="B57" s="21" t="s">
        <v>373</v>
      </c>
      <c r="C57" s="22">
        <v>6000</v>
      </c>
      <c r="D57" s="23">
        <v>7800</v>
      </c>
      <c r="E57" s="24">
        <v>0</v>
      </c>
    </row>
    <row r="58" spans="1:5" x14ac:dyDescent="0.3">
      <c r="A58" s="20" t="s">
        <v>306</v>
      </c>
      <c r="B58" s="21" t="s">
        <v>374</v>
      </c>
      <c r="C58" s="22">
        <v>6600</v>
      </c>
      <c r="D58" s="23">
        <v>9600</v>
      </c>
      <c r="E58" s="24">
        <v>0</v>
      </c>
    </row>
    <row r="59" spans="1:5" x14ac:dyDescent="0.3">
      <c r="A59" s="20" t="s">
        <v>306</v>
      </c>
      <c r="B59" s="21" t="s">
        <v>375</v>
      </c>
      <c r="C59" s="22">
        <v>9600</v>
      </c>
      <c r="D59" s="23">
        <v>7200</v>
      </c>
      <c r="E59" s="24">
        <v>0</v>
      </c>
    </row>
    <row r="60" spans="1:5" x14ac:dyDescent="0.3">
      <c r="A60" s="20" t="s">
        <v>306</v>
      </c>
      <c r="B60" s="21" t="s">
        <v>376</v>
      </c>
      <c r="C60" s="22">
        <v>7800</v>
      </c>
      <c r="D60" s="23">
        <v>7800</v>
      </c>
      <c r="E60" s="24">
        <v>0</v>
      </c>
    </row>
    <row r="61" spans="1:5" x14ac:dyDescent="0.3">
      <c r="A61" s="20" t="s">
        <v>306</v>
      </c>
      <c r="B61" s="21" t="s">
        <v>377</v>
      </c>
      <c r="C61" s="22">
        <v>9600</v>
      </c>
      <c r="D61" s="23">
        <v>5400</v>
      </c>
      <c r="E61" s="24">
        <v>0</v>
      </c>
    </row>
    <row r="62" spans="1:5" x14ac:dyDescent="0.3">
      <c r="A62" s="16" t="s">
        <v>29</v>
      </c>
      <c r="B62" s="16" t="s">
        <v>366</v>
      </c>
      <c r="C62" s="17">
        <v>64000</v>
      </c>
      <c r="D62" s="18">
        <v>0</v>
      </c>
      <c r="E62" s="19">
        <v>0</v>
      </c>
    </row>
    <row r="63" spans="1:5" x14ac:dyDescent="0.3">
      <c r="A63" s="20" t="s">
        <v>29</v>
      </c>
      <c r="B63" s="21" t="s">
        <v>367</v>
      </c>
      <c r="C63" s="22">
        <v>128000</v>
      </c>
      <c r="D63" s="23">
        <v>64000</v>
      </c>
      <c r="E63" s="24">
        <v>0</v>
      </c>
    </row>
    <row r="64" spans="1:5" x14ac:dyDescent="0.3">
      <c r="A64" s="20" t="s">
        <v>29</v>
      </c>
      <c r="B64" s="21" t="s">
        <v>368</v>
      </c>
      <c r="C64" s="22">
        <v>64000</v>
      </c>
      <c r="D64" s="23">
        <v>0</v>
      </c>
      <c r="E64" s="24">
        <v>0</v>
      </c>
    </row>
    <row r="65" spans="1:5" x14ac:dyDescent="0.3">
      <c r="A65" s="20" t="s">
        <v>29</v>
      </c>
      <c r="B65" s="21" t="s">
        <v>369</v>
      </c>
      <c r="C65" s="22">
        <v>64000</v>
      </c>
      <c r="D65" s="23">
        <v>64000</v>
      </c>
      <c r="E65" s="24">
        <v>0</v>
      </c>
    </row>
    <row r="66" spans="1:5" x14ac:dyDescent="0.3">
      <c r="A66" s="20" t="s">
        <v>29</v>
      </c>
      <c r="B66" s="21" t="s">
        <v>370</v>
      </c>
      <c r="C66" s="22">
        <v>128000</v>
      </c>
      <c r="D66" s="23">
        <v>64000</v>
      </c>
      <c r="E66" s="24">
        <v>0</v>
      </c>
    </row>
    <row r="67" spans="1:5" x14ac:dyDescent="0.3">
      <c r="A67" s="20" t="s">
        <v>29</v>
      </c>
      <c r="B67" s="21" t="s">
        <v>371</v>
      </c>
      <c r="C67" s="22">
        <v>128000</v>
      </c>
      <c r="D67" s="23">
        <v>0</v>
      </c>
      <c r="E67" s="24">
        <v>0</v>
      </c>
    </row>
    <row r="68" spans="1:5" x14ac:dyDescent="0.3">
      <c r="A68" s="20" t="s">
        <v>29</v>
      </c>
      <c r="B68" s="21" t="s">
        <v>372</v>
      </c>
      <c r="C68" s="22">
        <v>128000</v>
      </c>
      <c r="D68" s="23">
        <v>64000</v>
      </c>
      <c r="E68" s="24">
        <v>0</v>
      </c>
    </row>
    <row r="69" spans="1:5" x14ac:dyDescent="0.3">
      <c r="A69" s="20" t="s">
        <v>29</v>
      </c>
      <c r="B69" s="21" t="s">
        <v>373</v>
      </c>
      <c r="C69" s="22">
        <v>64000</v>
      </c>
      <c r="D69" s="23">
        <v>0</v>
      </c>
      <c r="E69" s="24">
        <v>0</v>
      </c>
    </row>
    <row r="70" spans="1:5" x14ac:dyDescent="0.3">
      <c r="A70" s="20" t="s">
        <v>29</v>
      </c>
      <c r="B70" s="21" t="s">
        <v>374</v>
      </c>
      <c r="C70" s="22">
        <v>128000</v>
      </c>
      <c r="D70" s="23">
        <v>64000</v>
      </c>
      <c r="E70" s="24">
        <v>0</v>
      </c>
    </row>
    <row r="71" spans="1:5" x14ac:dyDescent="0.3">
      <c r="A71" s="20" t="s">
        <v>29</v>
      </c>
      <c r="B71" s="21" t="s">
        <v>375</v>
      </c>
      <c r="C71" s="22">
        <v>64000</v>
      </c>
      <c r="D71" s="23">
        <v>0</v>
      </c>
      <c r="E71" s="24">
        <v>0</v>
      </c>
    </row>
    <row r="72" spans="1:5" x14ac:dyDescent="0.3">
      <c r="A72" s="20" t="s">
        <v>29</v>
      </c>
      <c r="B72" s="21" t="s">
        <v>376</v>
      </c>
      <c r="C72" s="22">
        <v>128000</v>
      </c>
      <c r="D72" s="23">
        <v>0</v>
      </c>
      <c r="E72" s="24">
        <v>0</v>
      </c>
    </row>
    <row r="73" spans="1:5" x14ac:dyDescent="0.3">
      <c r="A73" s="20" t="s">
        <v>29</v>
      </c>
      <c r="B73" s="21" t="s">
        <v>377</v>
      </c>
      <c r="C73" s="22">
        <v>64000</v>
      </c>
      <c r="D73" s="23">
        <v>0</v>
      </c>
      <c r="E73" s="24">
        <v>0</v>
      </c>
    </row>
    <row r="74" spans="1:5" x14ac:dyDescent="0.3">
      <c r="A74" s="16" t="s">
        <v>29</v>
      </c>
      <c r="B74" s="16" t="s">
        <v>366</v>
      </c>
      <c r="C74" s="17">
        <v>160000</v>
      </c>
      <c r="D74" s="18">
        <v>0</v>
      </c>
      <c r="E74" s="19">
        <v>0</v>
      </c>
    </row>
    <row r="75" spans="1:5" x14ac:dyDescent="0.3">
      <c r="A75" s="20" t="s">
        <v>29</v>
      </c>
      <c r="B75" s="21" t="s">
        <v>367</v>
      </c>
      <c r="C75" s="22">
        <v>0</v>
      </c>
      <c r="D75" s="23">
        <v>160000</v>
      </c>
      <c r="E75" s="24">
        <v>0</v>
      </c>
    </row>
    <row r="76" spans="1:5" x14ac:dyDescent="0.3">
      <c r="A76" s="20" t="s">
        <v>29</v>
      </c>
      <c r="B76" s="21" t="s">
        <v>368</v>
      </c>
      <c r="C76" s="22">
        <v>160000</v>
      </c>
      <c r="D76" s="23">
        <v>0</v>
      </c>
      <c r="E76" s="24">
        <v>0</v>
      </c>
    </row>
    <row r="77" spans="1:5" x14ac:dyDescent="0.3">
      <c r="A77" s="20" t="s">
        <v>29</v>
      </c>
      <c r="B77" s="21" t="s">
        <v>369</v>
      </c>
      <c r="C77" s="22">
        <v>160000</v>
      </c>
      <c r="D77" s="23">
        <v>160000</v>
      </c>
      <c r="E77" s="24">
        <v>0</v>
      </c>
    </row>
    <row r="78" spans="1:5" x14ac:dyDescent="0.3">
      <c r="A78" s="20" t="s">
        <v>29</v>
      </c>
      <c r="B78" s="21" t="s">
        <v>370</v>
      </c>
      <c r="C78" s="22">
        <v>160000</v>
      </c>
      <c r="D78" s="23">
        <v>160000</v>
      </c>
      <c r="E78" s="24">
        <v>0</v>
      </c>
    </row>
    <row r="79" spans="1:5" x14ac:dyDescent="0.3">
      <c r="A79" s="20" t="s">
        <v>29</v>
      </c>
      <c r="B79" s="21" t="s">
        <v>372</v>
      </c>
      <c r="C79" s="22">
        <v>0</v>
      </c>
      <c r="D79" s="23">
        <v>160000</v>
      </c>
      <c r="E79" s="24">
        <v>0</v>
      </c>
    </row>
    <row r="80" spans="1:5" x14ac:dyDescent="0.3">
      <c r="A80" s="20" t="s">
        <v>29</v>
      </c>
      <c r="B80" s="21" t="s">
        <v>377</v>
      </c>
      <c r="C80" s="22">
        <v>160000</v>
      </c>
      <c r="D80" s="23">
        <v>0</v>
      </c>
      <c r="E80" s="24">
        <v>0</v>
      </c>
    </row>
    <row r="81" spans="1:5" x14ac:dyDescent="0.3">
      <c r="A81" s="16" t="s">
        <v>148</v>
      </c>
      <c r="B81" s="16" t="s">
        <v>366</v>
      </c>
      <c r="C81" s="17">
        <v>320000</v>
      </c>
      <c r="D81" s="18">
        <v>320000</v>
      </c>
      <c r="E81" s="19">
        <v>0</v>
      </c>
    </row>
    <row r="82" spans="1:5" x14ac:dyDescent="0.3">
      <c r="A82" s="20" t="s">
        <v>148</v>
      </c>
      <c r="B82" s="21" t="s">
        <v>367</v>
      </c>
      <c r="C82" s="22">
        <v>160000</v>
      </c>
      <c r="D82" s="23">
        <v>160000</v>
      </c>
      <c r="E82" s="24">
        <v>0</v>
      </c>
    </row>
    <row r="83" spans="1:5" x14ac:dyDescent="0.3">
      <c r="A83" s="20" t="s">
        <v>148</v>
      </c>
      <c r="B83" s="21" t="s">
        <v>368</v>
      </c>
      <c r="C83" s="22">
        <v>160000</v>
      </c>
      <c r="D83" s="23">
        <v>160000</v>
      </c>
      <c r="E83" s="24">
        <v>0</v>
      </c>
    </row>
    <row r="84" spans="1:5" x14ac:dyDescent="0.3">
      <c r="A84" s="20" t="s">
        <v>148</v>
      </c>
      <c r="B84" s="21" t="s">
        <v>369</v>
      </c>
      <c r="C84" s="22">
        <v>320000</v>
      </c>
      <c r="D84" s="23">
        <v>320000</v>
      </c>
      <c r="E84" s="24">
        <v>0</v>
      </c>
    </row>
    <row r="85" spans="1:5" x14ac:dyDescent="0.3">
      <c r="A85" s="20" t="s">
        <v>148</v>
      </c>
      <c r="B85" s="21" t="s">
        <v>370</v>
      </c>
      <c r="C85" s="22">
        <v>320000</v>
      </c>
      <c r="D85" s="23">
        <v>480000</v>
      </c>
      <c r="E85" s="24">
        <v>0</v>
      </c>
    </row>
    <row r="86" spans="1:5" x14ac:dyDescent="0.3">
      <c r="A86" s="20" t="s">
        <v>148</v>
      </c>
      <c r="B86" s="21" t="s">
        <v>371</v>
      </c>
      <c r="C86" s="22">
        <v>160000</v>
      </c>
      <c r="D86" s="23">
        <v>160000</v>
      </c>
      <c r="E86" s="24">
        <v>0</v>
      </c>
    </row>
    <row r="87" spans="1:5" x14ac:dyDescent="0.3">
      <c r="A87" s="20" t="s">
        <v>148</v>
      </c>
      <c r="B87" s="21" t="s">
        <v>372</v>
      </c>
      <c r="C87" s="22">
        <v>320000</v>
      </c>
      <c r="D87" s="23">
        <v>160000</v>
      </c>
      <c r="E87" s="24">
        <v>0</v>
      </c>
    </row>
    <row r="88" spans="1:5" x14ac:dyDescent="0.3">
      <c r="A88" s="20" t="s">
        <v>148</v>
      </c>
      <c r="B88" s="21" t="s">
        <v>373</v>
      </c>
      <c r="C88" s="22">
        <v>160000</v>
      </c>
      <c r="D88" s="23">
        <v>320000</v>
      </c>
      <c r="E88" s="24">
        <v>0</v>
      </c>
    </row>
    <row r="89" spans="1:5" x14ac:dyDescent="0.3">
      <c r="A89" s="20" t="s">
        <v>148</v>
      </c>
      <c r="B89" s="21" t="s">
        <v>374</v>
      </c>
      <c r="C89" s="22">
        <v>160000</v>
      </c>
      <c r="D89" s="23">
        <v>160000</v>
      </c>
      <c r="E89" s="24">
        <v>0</v>
      </c>
    </row>
    <row r="90" spans="1:5" x14ac:dyDescent="0.3">
      <c r="A90" s="20" t="s">
        <v>148</v>
      </c>
      <c r="B90" s="21" t="s">
        <v>375</v>
      </c>
      <c r="C90" s="22">
        <v>160000</v>
      </c>
      <c r="D90" s="23">
        <v>0</v>
      </c>
      <c r="E90" s="24">
        <v>0</v>
      </c>
    </row>
    <row r="91" spans="1:5" x14ac:dyDescent="0.3">
      <c r="A91" s="20" t="s">
        <v>148</v>
      </c>
      <c r="B91" s="21" t="s">
        <v>376</v>
      </c>
      <c r="C91" s="22">
        <v>320000</v>
      </c>
      <c r="D91" s="23">
        <v>0</v>
      </c>
      <c r="E91" s="24">
        <v>0</v>
      </c>
    </row>
    <row r="92" spans="1:5" x14ac:dyDescent="0.3">
      <c r="A92" s="20" t="s">
        <v>148</v>
      </c>
      <c r="B92" s="21" t="s">
        <v>377</v>
      </c>
      <c r="C92" s="22">
        <v>160000</v>
      </c>
      <c r="D92" s="23">
        <v>0</v>
      </c>
      <c r="E92" s="24">
        <v>0</v>
      </c>
    </row>
    <row r="93" spans="1:5" x14ac:dyDescent="0.3">
      <c r="A93" s="16" t="s">
        <v>29</v>
      </c>
      <c r="B93" s="16" t="s">
        <v>366</v>
      </c>
      <c r="C93" s="17">
        <v>256000</v>
      </c>
      <c r="D93" s="18">
        <v>384000</v>
      </c>
      <c r="E93" s="19">
        <v>0</v>
      </c>
    </row>
    <row r="94" spans="1:5" x14ac:dyDescent="0.3">
      <c r="A94" s="20" t="s">
        <v>29</v>
      </c>
      <c r="B94" s="21" t="s">
        <v>367</v>
      </c>
      <c r="C94" s="22">
        <v>384000</v>
      </c>
      <c r="D94" s="23">
        <v>384000</v>
      </c>
      <c r="E94" s="24">
        <v>0</v>
      </c>
    </row>
    <row r="95" spans="1:5" x14ac:dyDescent="0.3">
      <c r="A95" s="20" t="s">
        <v>29</v>
      </c>
      <c r="B95" s="21" t="s">
        <v>368</v>
      </c>
      <c r="C95" s="22">
        <v>256000</v>
      </c>
      <c r="D95" s="23">
        <v>512000</v>
      </c>
      <c r="E95" s="24">
        <v>0</v>
      </c>
    </row>
    <row r="96" spans="1:5" x14ac:dyDescent="0.3">
      <c r="A96" s="20" t="s">
        <v>29</v>
      </c>
      <c r="B96" s="21" t="s">
        <v>369</v>
      </c>
      <c r="C96" s="22">
        <v>256000</v>
      </c>
      <c r="D96" s="23">
        <v>384000</v>
      </c>
      <c r="E96" s="24">
        <v>0</v>
      </c>
    </row>
    <row r="97" spans="1:5" x14ac:dyDescent="0.3">
      <c r="A97" s="20" t="s">
        <v>29</v>
      </c>
      <c r="B97" s="21" t="s">
        <v>370</v>
      </c>
      <c r="C97" s="22">
        <v>256000</v>
      </c>
      <c r="D97" s="23">
        <v>384000</v>
      </c>
      <c r="E97" s="24">
        <v>0</v>
      </c>
    </row>
    <row r="98" spans="1:5" x14ac:dyDescent="0.3">
      <c r="A98" s="20" t="s">
        <v>29</v>
      </c>
      <c r="B98" s="21" t="s">
        <v>371</v>
      </c>
      <c r="C98" s="22">
        <v>384000</v>
      </c>
      <c r="D98" s="23">
        <v>512000</v>
      </c>
      <c r="E98" s="24">
        <v>0</v>
      </c>
    </row>
    <row r="99" spans="1:5" x14ac:dyDescent="0.3">
      <c r="A99" s="20" t="s">
        <v>29</v>
      </c>
      <c r="B99" s="21" t="s">
        <v>372</v>
      </c>
      <c r="C99" s="22">
        <v>256000</v>
      </c>
      <c r="D99" s="23">
        <v>128000</v>
      </c>
      <c r="E99" s="24">
        <v>0</v>
      </c>
    </row>
    <row r="100" spans="1:5" x14ac:dyDescent="0.3">
      <c r="A100" s="20" t="s">
        <v>29</v>
      </c>
      <c r="B100" s="21" t="s">
        <v>373</v>
      </c>
      <c r="C100" s="22">
        <v>128000</v>
      </c>
      <c r="D100" s="23">
        <v>640000</v>
      </c>
      <c r="E100" s="24">
        <v>0</v>
      </c>
    </row>
    <row r="101" spans="1:5" x14ac:dyDescent="0.3">
      <c r="A101" s="20" t="s">
        <v>29</v>
      </c>
      <c r="B101" s="21" t="s">
        <v>374</v>
      </c>
      <c r="C101" s="22">
        <v>384000</v>
      </c>
      <c r="D101" s="23">
        <v>256000</v>
      </c>
      <c r="E101" s="24">
        <v>0</v>
      </c>
    </row>
    <row r="102" spans="1:5" x14ac:dyDescent="0.3">
      <c r="A102" s="20" t="s">
        <v>29</v>
      </c>
      <c r="B102" s="21" t="s">
        <v>375</v>
      </c>
      <c r="C102" s="22">
        <v>256000</v>
      </c>
      <c r="D102" s="23">
        <v>384000</v>
      </c>
      <c r="E102" s="24">
        <v>0</v>
      </c>
    </row>
    <row r="103" spans="1:5" x14ac:dyDescent="0.3">
      <c r="A103" s="20" t="s">
        <v>29</v>
      </c>
      <c r="B103" s="21" t="s">
        <v>376</v>
      </c>
      <c r="C103" s="22">
        <v>384000</v>
      </c>
      <c r="D103" s="23">
        <v>1024000</v>
      </c>
      <c r="E103" s="24">
        <v>0</v>
      </c>
    </row>
    <row r="104" spans="1:5" x14ac:dyDescent="0.3">
      <c r="A104" s="20" t="s">
        <v>29</v>
      </c>
      <c r="B104" s="21" t="s">
        <v>377</v>
      </c>
      <c r="C104" s="22">
        <v>128000</v>
      </c>
      <c r="D104" s="23">
        <v>0</v>
      </c>
      <c r="E104" s="24">
        <v>0</v>
      </c>
    </row>
    <row r="105" spans="1:5" x14ac:dyDescent="0.3">
      <c r="A105" s="16" t="s">
        <v>148</v>
      </c>
      <c r="B105" s="16" t="s">
        <v>369</v>
      </c>
      <c r="C105" s="17">
        <v>0</v>
      </c>
      <c r="D105" s="18">
        <v>0</v>
      </c>
      <c r="E105" s="19">
        <v>0</v>
      </c>
    </row>
    <row r="106" spans="1:5" x14ac:dyDescent="0.3">
      <c r="A106" s="20" t="s">
        <v>148</v>
      </c>
      <c r="B106" s="21" t="s">
        <v>371</v>
      </c>
      <c r="C106" s="22">
        <v>0</v>
      </c>
      <c r="D106" s="23">
        <v>0</v>
      </c>
      <c r="E106" s="24">
        <v>0</v>
      </c>
    </row>
    <row r="107" spans="1:5" x14ac:dyDescent="0.3">
      <c r="A107" s="20" t="s">
        <v>148</v>
      </c>
      <c r="B107" s="21" t="s">
        <v>373</v>
      </c>
      <c r="C107" s="22">
        <v>0</v>
      </c>
      <c r="D107" s="23">
        <v>0</v>
      </c>
      <c r="E107" s="24">
        <v>0</v>
      </c>
    </row>
    <row r="108" spans="1:5" x14ac:dyDescent="0.3">
      <c r="A108" s="16" t="s">
        <v>29</v>
      </c>
      <c r="B108" s="16" t="s">
        <v>366</v>
      </c>
      <c r="C108" s="17">
        <v>384000</v>
      </c>
      <c r="D108" s="18">
        <v>512000</v>
      </c>
      <c r="E108" s="19">
        <v>0</v>
      </c>
    </row>
    <row r="109" spans="1:5" x14ac:dyDescent="0.3">
      <c r="A109" s="20" t="s">
        <v>29</v>
      </c>
      <c r="B109" s="21" t="s">
        <v>367</v>
      </c>
      <c r="C109" s="22">
        <v>256000</v>
      </c>
      <c r="D109" s="23">
        <v>384000</v>
      </c>
      <c r="E109" s="24">
        <v>0</v>
      </c>
    </row>
    <row r="110" spans="1:5" x14ac:dyDescent="0.3">
      <c r="A110" s="20" t="s">
        <v>29</v>
      </c>
      <c r="B110" s="21" t="s">
        <v>368</v>
      </c>
      <c r="C110" s="22">
        <v>384000</v>
      </c>
      <c r="D110" s="23">
        <v>384000</v>
      </c>
      <c r="E110" s="24">
        <v>0</v>
      </c>
    </row>
    <row r="111" spans="1:5" x14ac:dyDescent="0.3">
      <c r="A111" s="20" t="s">
        <v>29</v>
      </c>
      <c r="B111" s="21" t="s">
        <v>369</v>
      </c>
      <c r="C111" s="22">
        <v>256000</v>
      </c>
      <c r="D111" s="23">
        <v>384000</v>
      </c>
      <c r="E111" s="24">
        <v>0</v>
      </c>
    </row>
    <row r="112" spans="1:5" x14ac:dyDescent="0.3">
      <c r="A112" s="20" t="s">
        <v>29</v>
      </c>
      <c r="B112" s="21" t="s">
        <v>370</v>
      </c>
      <c r="C112" s="22">
        <v>384000</v>
      </c>
      <c r="D112" s="23">
        <v>384000</v>
      </c>
      <c r="E112" s="24">
        <v>0</v>
      </c>
    </row>
    <row r="113" spans="1:5" x14ac:dyDescent="0.3">
      <c r="A113" s="20" t="s">
        <v>29</v>
      </c>
      <c r="B113" s="21" t="s">
        <v>371</v>
      </c>
      <c r="C113" s="22">
        <v>256000</v>
      </c>
      <c r="D113" s="23">
        <v>256000</v>
      </c>
      <c r="E113" s="24">
        <v>0</v>
      </c>
    </row>
    <row r="114" spans="1:5" x14ac:dyDescent="0.3">
      <c r="A114" s="20" t="s">
        <v>29</v>
      </c>
      <c r="B114" s="21" t="s">
        <v>372</v>
      </c>
      <c r="C114" s="22">
        <v>256000</v>
      </c>
      <c r="D114" s="23">
        <v>256000</v>
      </c>
      <c r="E114" s="24">
        <v>0</v>
      </c>
    </row>
    <row r="115" spans="1:5" x14ac:dyDescent="0.3">
      <c r="A115" s="20" t="s">
        <v>29</v>
      </c>
      <c r="B115" s="21" t="s">
        <v>373</v>
      </c>
      <c r="C115" s="22">
        <v>384000</v>
      </c>
      <c r="D115" s="23">
        <v>768000</v>
      </c>
      <c r="E115" s="24">
        <v>0</v>
      </c>
    </row>
    <row r="116" spans="1:5" x14ac:dyDescent="0.3">
      <c r="A116" s="20" t="s">
        <v>29</v>
      </c>
      <c r="B116" s="21" t="s">
        <v>374</v>
      </c>
      <c r="C116" s="22">
        <v>256000</v>
      </c>
      <c r="D116" s="23">
        <v>256000</v>
      </c>
      <c r="E116" s="24">
        <v>0</v>
      </c>
    </row>
    <row r="117" spans="1:5" x14ac:dyDescent="0.3">
      <c r="A117" s="20" t="s">
        <v>29</v>
      </c>
      <c r="B117" s="21" t="s">
        <v>375</v>
      </c>
      <c r="C117" s="22">
        <v>384000</v>
      </c>
      <c r="D117" s="23">
        <v>384000</v>
      </c>
      <c r="E117" s="24">
        <v>0</v>
      </c>
    </row>
    <row r="118" spans="1:5" x14ac:dyDescent="0.3">
      <c r="A118" s="20" t="s">
        <v>29</v>
      </c>
      <c r="B118" s="21" t="s">
        <v>376</v>
      </c>
      <c r="C118" s="22">
        <v>384000</v>
      </c>
      <c r="D118" s="23">
        <v>256000</v>
      </c>
      <c r="E118" s="24">
        <v>0</v>
      </c>
    </row>
    <row r="119" spans="1:5" x14ac:dyDescent="0.3">
      <c r="A119" s="20" t="s">
        <v>29</v>
      </c>
      <c r="B119" s="21" t="s">
        <v>377</v>
      </c>
      <c r="C119" s="22">
        <v>128000</v>
      </c>
      <c r="D119" s="23">
        <v>384000</v>
      </c>
      <c r="E119" s="24">
        <v>0</v>
      </c>
    </row>
    <row r="120" spans="1:5" x14ac:dyDescent="0.3">
      <c r="A120" s="16" t="s">
        <v>148</v>
      </c>
      <c r="B120" s="16" t="s">
        <v>366</v>
      </c>
      <c r="C120" s="17">
        <v>384000</v>
      </c>
      <c r="D120" s="18">
        <v>512000</v>
      </c>
      <c r="E120" s="19">
        <v>0</v>
      </c>
    </row>
    <row r="121" spans="1:5" x14ac:dyDescent="0.3">
      <c r="A121" s="20" t="s">
        <v>148</v>
      </c>
      <c r="B121" s="21" t="s">
        <v>367</v>
      </c>
      <c r="C121" s="22">
        <v>256000</v>
      </c>
      <c r="D121" s="23">
        <v>384000</v>
      </c>
      <c r="E121" s="24">
        <v>0</v>
      </c>
    </row>
    <row r="122" spans="1:5" x14ac:dyDescent="0.3">
      <c r="A122" s="20" t="s">
        <v>148</v>
      </c>
      <c r="B122" s="21" t="s">
        <v>368</v>
      </c>
      <c r="C122" s="22">
        <v>384000</v>
      </c>
      <c r="D122" s="23">
        <v>384000</v>
      </c>
      <c r="E122" s="24">
        <v>0</v>
      </c>
    </row>
    <row r="123" spans="1:5" x14ac:dyDescent="0.3">
      <c r="A123" s="20" t="s">
        <v>148</v>
      </c>
      <c r="B123" s="21" t="s">
        <v>369</v>
      </c>
      <c r="C123" s="22">
        <v>384000</v>
      </c>
      <c r="D123" s="23">
        <v>384000</v>
      </c>
      <c r="E123" s="24">
        <v>0</v>
      </c>
    </row>
    <row r="124" spans="1:5" x14ac:dyDescent="0.3">
      <c r="A124" s="20" t="s">
        <v>148</v>
      </c>
      <c r="B124" s="21" t="s">
        <v>370</v>
      </c>
      <c r="C124" s="22">
        <v>384000</v>
      </c>
      <c r="D124" s="23">
        <v>384000</v>
      </c>
      <c r="E124" s="24">
        <v>0</v>
      </c>
    </row>
    <row r="125" spans="1:5" x14ac:dyDescent="0.3">
      <c r="A125" s="20" t="s">
        <v>148</v>
      </c>
      <c r="B125" s="21" t="s">
        <v>371</v>
      </c>
      <c r="C125" s="22">
        <v>512000</v>
      </c>
      <c r="D125" s="23">
        <v>384000</v>
      </c>
      <c r="E125" s="24">
        <v>0</v>
      </c>
    </row>
    <row r="126" spans="1:5" x14ac:dyDescent="0.3">
      <c r="A126" s="20" t="s">
        <v>148</v>
      </c>
      <c r="B126" s="21" t="s">
        <v>372</v>
      </c>
      <c r="C126" s="22">
        <v>512000</v>
      </c>
      <c r="D126" s="23">
        <v>384000</v>
      </c>
      <c r="E126" s="24">
        <v>0</v>
      </c>
    </row>
    <row r="127" spans="1:5" x14ac:dyDescent="0.3">
      <c r="A127" s="20" t="s">
        <v>148</v>
      </c>
      <c r="B127" s="21" t="s">
        <v>373</v>
      </c>
      <c r="C127" s="22">
        <v>512000</v>
      </c>
      <c r="D127" s="23">
        <v>896000</v>
      </c>
      <c r="E127" s="24">
        <v>0</v>
      </c>
    </row>
    <row r="128" spans="1:5" x14ac:dyDescent="0.3">
      <c r="A128" s="20" t="s">
        <v>148</v>
      </c>
      <c r="B128" s="21" t="s">
        <v>374</v>
      </c>
      <c r="C128" s="22">
        <v>256000</v>
      </c>
      <c r="D128" s="23">
        <v>384000</v>
      </c>
      <c r="E128" s="24">
        <v>0</v>
      </c>
    </row>
    <row r="129" spans="1:5" x14ac:dyDescent="0.3">
      <c r="A129" s="20" t="s">
        <v>148</v>
      </c>
      <c r="B129" s="21" t="s">
        <v>375</v>
      </c>
      <c r="C129" s="22">
        <v>384000</v>
      </c>
      <c r="D129" s="23">
        <v>384000</v>
      </c>
      <c r="E129" s="24">
        <v>0</v>
      </c>
    </row>
    <row r="130" spans="1:5" x14ac:dyDescent="0.3">
      <c r="A130" s="20" t="s">
        <v>148</v>
      </c>
      <c r="B130" s="21" t="s">
        <v>376</v>
      </c>
      <c r="C130" s="22">
        <v>384000</v>
      </c>
      <c r="D130" s="23">
        <v>384000</v>
      </c>
      <c r="E130" s="24">
        <v>0</v>
      </c>
    </row>
    <row r="131" spans="1:5" x14ac:dyDescent="0.3">
      <c r="A131" s="20" t="s">
        <v>148</v>
      </c>
      <c r="B131" s="21" t="s">
        <v>377</v>
      </c>
      <c r="C131" s="22">
        <v>256000</v>
      </c>
      <c r="D131" s="23">
        <v>384000</v>
      </c>
      <c r="E131" s="24">
        <v>0</v>
      </c>
    </row>
    <row r="132" spans="1:5" x14ac:dyDescent="0.3">
      <c r="A132" s="16" t="s">
        <v>335</v>
      </c>
      <c r="B132" s="16" t="s">
        <v>366</v>
      </c>
      <c r="C132" s="17">
        <v>5000</v>
      </c>
      <c r="D132" s="18">
        <v>8000</v>
      </c>
      <c r="E132" s="19">
        <v>0</v>
      </c>
    </row>
    <row r="133" spans="1:5" x14ac:dyDescent="0.3">
      <c r="A133" s="20" t="s">
        <v>335</v>
      </c>
      <c r="B133" s="21" t="s">
        <v>367</v>
      </c>
      <c r="C133" s="22">
        <v>5000</v>
      </c>
      <c r="D133" s="23">
        <v>8000</v>
      </c>
      <c r="E133" s="24">
        <v>0</v>
      </c>
    </row>
    <row r="134" spans="1:5" x14ac:dyDescent="0.3">
      <c r="A134" s="20" t="s">
        <v>335</v>
      </c>
      <c r="B134" s="21" t="s">
        <v>368</v>
      </c>
      <c r="C134" s="22">
        <v>5000</v>
      </c>
      <c r="D134" s="23">
        <v>8000</v>
      </c>
      <c r="E134" s="24">
        <v>0</v>
      </c>
    </row>
    <row r="135" spans="1:5" x14ac:dyDescent="0.3">
      <c r="A135" s="20" t="s">
        <v>335</v>
      </c>
      <c r="B135" s="21" t="s">
        <v>369</v>
      </c>
      <c r="C135" s="22">
        <v>5000</v>
      </c>
      <c r="D135" s="23">
        <v>8000</v>
      </c>
      <c r="E135" s="24">
        <v>0</v>
      </c>
    </row>
    <row r="136" spans="1:5" x14ac:dyDescent="0.3">
      <c r="A136" s="20" t="s">
        <v>335</v>
      </c>
      <c r="B136" s="21" t="s">
        <v>370</v>
      </c>
      <c r="C136" s="22">
        <v>5000</v>
      </c>
      <c r="D136" s="23">
        <v>5000</v>
      </c>
      <c r="E136" s="24">
        <v>0</v>
      </c>
    </row>
    <row r="137" spans="1:5" x14ac:dyDescent="0.3">
      <c r="A137" s="20" t="s">
        <v>335</v>
      </c>
      <c r="B137" s="21" t="s">
        <v>371</v>
      </c>
      <c r="C137" s="22">
        <v>5000</v>
      </c>
      <c r="D137" s="23">
        <v>5000</v>
      </c>
      <c r="E137" s="24">
        <v>0</v>
      </c>
    </row>
    <row r="138" spans="1:5" x14ac:dyDescent="0.3">
      <c r="A138" s="20" t="s">
        <v>335</v>
      </c>
      <c r="B138" s="21" t="s">
        <v>372</v>
      </c>
      <c r="C138" s="22">
        <v>5000</v>
      </c>
      <c r="D138" s="23">
        <v>5000</v>
      </c>
      <c r="E138" s="24">
        <v>0</v>
      </c>
    </row>
    <row r="139" spans="1:5" x14ac:dyDescent="0.3">
      <c r="A139" s="20" t="s">
        <v>335</v>
      </c>
      <c r="B139" s="21" t="s">
        <v>373</v>
      </c>
      <c r="C139" s="22">
        <v>5000</v>
      </c>
      <c r="D139" s="23">
        <v>5000</v>
      </c>
      <c r="E139" s="24">
        <v>0</v>
      </c>
    </row>
    <row r="140" spans="1:5" x14ac:dyDescent="0.3">
      <c r="A140" s="20" t="s">
        <v>335</v>
      </c>
      <c r="B140" s="21" t="s">
        <v>374</v>
      </c>
      <c r="C140" s="22">
        <v>5000</v>
      </c>
      <c r="D140" s="23">
        <v>5000</v>
      </c>
      <c r="E140" s="24">
        <v>0</v>
      </c>
    </row>
    <row r="141" spans="1:5" x14ac:dyDescent="0.3">
      <c r="A141" s="20" t="s">
        <v>335</v>
      </c>
      <c r="B141" s="21" t="s">
        <v>375</v>
      </c>
      <c r="C141" s="22">
        <v>5000</v>
      </c>
      <c r="D141" s="23">
        <v>5000</v>
      </c>
      <c r="E141" s="24">
        <v>0</v>
      </c>
    </row>
    <row r="142" spans="1:5" x14ac:dyDescent="0.3">
      <c r="A142" s="20" t="s">
        <v>335</v>
      </c>
      <c r="B142" s="21" t="s">
        <v>376</v>
      </c>
      <c r="C142" s="22">
        <v>0</v>
      </c>
      <c r="D142" s="23">
        <v>5000</v>
      </c>
      <c r="E142" s="24">
        <v>0</v>
      </c>
    </row>
    <row r="143" spans="1:5" x14ac:dyDescent="0.3">
      <c r="A143" s="20" t="s">
        <v>335</v>
      </c>
      <c r="B143" s="21" t="s">
        <v>377</v>
      </c>
      <c r="C143" s="22">
        <v>2000</v>
      </c>
      <c r="D143" s="23">
        <v>5000</v>
      </c>
      <c r="E143" s="24">
        <v>0</v>
      </c>
    </row>
    <row r="144" spans="1:5" x14ac:dyDescent="0.3">
      <c r="A144" s="16" t="s">
        <v>180</v>
      </c>
      <c r="B144" s="16" t="s">
        <v>366</v>
      </c>
      <c r="C144" s="17">
        <v>3600</v>
      </c>
      <c r="D144" s="18">
        <v>3000</v>
      </c>
      <c r="E144" s="19">
        <v>0</v>
      </c>
    </row>
    <row r="145" spans="1:5" x14ac:dyDescent="0.3">
      <c r="A145" s="20" t="s">
        <v>180</v>
      </c>
      <c r="B145" s="21" t="s">
        <v>367</v>
      </c>
      <c r="C145" s="22">
        <v>4800</v>
      </c>
      <c r="D145" s="23">
        <v>3000</v>
      </c>
      <c r="E145" s="24">
        <v>0</v>
      </c>
    </row>
    <row r="146" spans="1:5" x14ac:dyDescent="0.3">
      <c r="A146" s="20" t="s">
        <v>180</v>
      </c>
      <c r="B146" s="21" t="s">
        <v>368</v>
      </c>
      <c r="C146" s="22">
        <v>4800</v>
      </c>
      <c r="D146" s="23">
        <v>3000</v>
      </c>
      <c r="E146" s="24">
        <v>0</v>
      </c>
    </row>
    <row r="147" spans="1:5" x14ac:dyDescent="0.3">
      <c r="A147" s="20" t="s">
        <v>180</v>
      </c>
      <c r="B147" s="21" t="s">
        <v>369</v>
      </c>
      <c r="C147" s="22">
        <v>4800</v>
      </c>
      <c r="D147" s="23">
        <v>3000</v>
      </c>
      <c r="E147" s="24">
        <v>0</v>
      </c>
    </row>
    <row r="148" spans="1:5" x14ac:dyDescent="0.3">
      <c r="A148" s="20" t="s">
        <v>180</v>
      </c>
      <c r="B148" s="21" t="s">
        <v>370</v>
      </c>
      <c r="C148" s="22">
        <v>4800</v>
      </c>
      <c r="D148" s="23">
        <v>3000</v>
      </c>
      <c r="E148" s="24">
        <v>0</v>
      </c>
    </row>
    <row r="149" spans="1:5" x14ac:dyDescent="0.3">
      <c r="A149" s="20" t="s">
        <v>180</v>
      </c>
      <c r="B149" s="21" t="s">
        <v>371</v>
      </c>
      <c r="C149" s="22">
        <v>4800</v>
      </c>
      <c r="D149" s="23">
        <v>3000</v>
      </c>
      <c r="E149" s="24">
        <v>0</v>
      </c>
    </row>
    <row r="150" spans="1:5" x14ac:dyDescent="0.3">
      <c r="A150" s="20" t="s">
        <v>180</v>
      </c>
      <c r="B150" s="21" t="s">
        <v>372</v>
      </c>
      <c r="C150" s="22">
        <v>3600</v>
      </c>
      <c r="D150" s="23">
        <v>3000</v>
      </c>
      <c r="E150" s="24">
        <v>0</v>
      </c>
    </row>
    <row r="151" spans="1:5" x14ac:dyDescent="0.3">
      <c r="A151" s="20" t="s">
        <v>180</v>
      </c>
      <c r="B151" s="21" t="s">
        <v>374</v>
      </c>
      <c r="C151" s="22">
        <v>3600</v>
      </c>
      <c r="D151" s="23">
        <v>0</v>
      </c>
      <c r="E151" s="24">
        <v>0</v>
      </c>
    </row>
    <row r="152" spans="1:5" x14ac:dyDescent="0.3">
      <c r="A152" s="20" t="s">
        <v>180</v>
      </c>
      <c r="B152" s="21" t="s">
        <v>375</v>
      </c>
      <c r="C152" s="22">
        <v>3600</v>
      </c>
      <c r="D152" s="23">
        <v>0</v>
      </c>
      <c r="E152" s="24">
        <v>0</v>
      </c>
    </row>
    <row r="153" spans="1:5" x14ac:dyDescent="0.3">
      <c r="A153" s="20" t="s">
        <v>180</v>
      </c>
      <c r="B153" s="21" t="s">
        <v>376</v>
      </c>
      <c r="C153" s="22">
        <v>3600</v>
      </c>
      <c r="D153" s="23">
        <v>0</v>
      </c>
      <c r="E153" s="24">
        <v>0</v>
      </c>
    </row>
    <row r="154" spans="1:5" x14ac:dyDescent="0.3">
      <c r="A154" s="20" t="s">
        <v>180</v>
      </c>
      <c r="B154" s="21" t="s">
        <v>377</v>
      </c>
      <c r="C154" s="22">
        <v>3600</v>
      </c>
      <c r="D154" s="23">
        <v>0</v>
      </c>
      <c r="E154" s="24">
        <v>0</v>
      </c>
    </row>
    <row r="155" spans="1:5" x14ac:dyDescent="0.3">
      <c r="A155" s="16" t="s">
        <v>189</v>
      </c>
      <c r="B155" s="16" t="s">
        <v>366</v>
      </c>
      <c r="C155" s="17">
        <v>3750</v>
      </c>
      <c r="D155" s="18">
        <v>3000</v>
      </c>
      <c r="E155" s="19">
        <v>0</v>
      </c>
    </row>
    <row r="156" spans="1:5" x14ac:dyDescent="0.3">
      <c r="A156" s="20" t="s">
        <v>189</v>
      </c>
      <c r="B156" s="21" t="s">
        <v>367</v>
      </c>
      <c r="C156" s="22">
        <v>3750</v>
      </c>
      <c r="D156" s="23">
        <v>3000</v>
      </c>
      <c r="E156" s="24">
        <v>0</v>
      </c>
    </row>
    <row r="157" spans="1:5" x14ac:dyDescent="0.3">
      <c r="A157" s="20" t="s">
        <v>189</v>
      </c>
      <c r="B157" s="21" t="s">
        <v>368</v>
      </c>
      <c r="C157" s="22">
        <v>4500</v>
      </c>
      <c r="D157" s="23">
        <v>3000</v>
      </c>
      <c r="E157" s="24">
        <v>0</v>
      </c>
    </row>
    <row r="158" spans="1:5" x14ac:dyDescent="0.3">
      <c r="A158" s="20" t="s">
        <v>189</v>
      </c>
      <c r="B158" s="21" t="s">
        <v>369</v>
      </c>
      <c r="C158" s="22">
        <v>4500</v>
      </c>
      <c r="D158" s="23">
        <v>3000</v>
      </c>
      <c r="E158" s="24">
        <v>0</v>
      </c>
    </row>
    <row r="159" spans="1:5" x14ac:dyDescent="0.3">
      <c r="A159" s="20" t="s">
        <v>189</v>
      </c>
      <c r="B159" s="21" t="s">
        <v>370</v>
      </c>
      <c r="C159" s="22">
        <v>4500</v>
      </c>
      <c r="D159" s="23">
        <v>3000</v>
      </c>
      <c r="E159" s="24">
        <v>0</v>
      </c>
    </row>
    <row r="160" spans="1:5" x14ac:dyDescent="0.3">
      <c r="A160" s="20" t="s">
        <v>189</v>
      </c>
      <c r="B160" s="21" t="s">
        <v>371</v>
      </c>
      <c r="C160" s="22">
        <v>4500</v>
      </c>
      <c r="D160" s="23">
        <v>3000</v>
      </c>
      <c r="E160" s="24">
        <v>0</v>
      </c>
    </row>
    <row r="161" spans="1:5" x14ac:dyDescent="0.3">
      <c r="A161" s="20" t="s">
        <v>189</v>
      </c>
      <c r="B161" s="21" t="s">
        <v>372</v>
      </c>
      <c r="C161" s="22">
        <v>4500</v>
      </c>
      <c r="D161" s="23">
        <v>3000</v>
      </c>
      <c r="E161" s="24">
        <v>0</v>
      </c>
    </row>
    <row r="162" spans="1:5" x14ac:dyDescent="0.3">
      <c r="A162" s="20" t="s">
        <v>189</v>
      </c>
      <c r="B162" s="21" t="s">
        <v>374</v>
      </c>
      <c r="C162" s="22">
        <v>4500</v>
      </c>
      <c r="D162" s="23">
        <v>0</v>
      </c>
      <c r="E162" s="24">
        <v>0</v>
      </c>
    </row>
    <row r="163" spans="1:5" x14ac:dyDescent="0.3">
      <c r="A163" s="20" t="s">
        <v>189</v>
      </c>
      <c r="B163" s="21" t="s">
        <v>375</v>
      </c>
      <c r="C163" s="22">
        <v>3750</v>
      </c>
      <c r="D163" s="23">
        <v>0</v>
      </c>
      <c r="E163" s="24">
        <v>0</v>
      </c>
    </row>
    <row r="164" spans="1:5" x14ac:dyDescent="0.3">
      <c r="A164" s="20" t="s">
        <v>189</v>
      </c>
      <c r="B164" s="21" t="s">
        <v>376</v>
      </c>
      <c r="C164" s="22">
        <v>3750</v>
      </c>
      <c r="D164" s="23">
        <v>0</v>
      </c>
      <c r="E164" s="24">
        <v>0</v>
      </c>
    </row>
    <row r="165" spans="1:5" x14ac:dyDescent="0.3">
      <c r="A165" s="16" t="s">
        <v>29</v>
      </c>
      <c r="B165" s="16" t="s">
        <v>369</v>
      </c>
      <c r="C165" s="17">
        <v>32000</v>
      </c>
      <c r="D165" s="18">
        <v>0</v>
      </c>
      <c r="E165" s="19">
        <v>0</v>
      </c>
    </row>
    <row r="166" spans="1:5" x14ac:dyDescent="0.3">
      <c r="A166" s="20" t="s">
        <v>29</v>
      </c>
      <c r="B166" s="21" t="s">
        <v>370</v>
      </c>
      <c r="C166" s="22">
        <v>0</v>
      </c>
      <c r="D166" s="23">
        <v>0</v>
      </c>
      <c r="E166" s="24">
        <v>0</v>
      </c>
    </row>
    <row r="167" spans="1:5" x14ac:dyDescent="0.3">
      <c r="A167" s="20" t="s">
        <v>29</v>
      </c>
      <c r="B167" s="21" t="s">
        <v>371</v>
      </c>
      <c r="C167" s="22">
        <v>0</v>
      </c>
      <c r="D167" s="23">
        <v>0</v>
      </c>
      <c r="E167" s="24">
        <v>0</v>
      </c>
    </row>
    <row r="168" spans="1:5" x14ac:dyDescent="0.3">
      <c r="A168" s="20" t="s">
        <v>29</v>
      </c>
      <c r="B168" s="21" t="s">
        <v>374</v>
      </c>
      <c r="C168" s="22">
        <v>32000</v>
      </c>
      <c r="D168" s="23">
        <v>0</v>
      </c>
      <c r="E168" s="24">
        <v>0</v>
      </c>
    </row>
    <row r="169" spans="1:5" x14ac:dyDescent="0.3">
      <c r="A169" s="16" t="s">
        <v>148</v>
      </c>
      <c r="B169" s="16" t="s">
        <v>366</v>
      </c>
      <c r="C169" s="17">
        <v>0</v>
      </c>
      <c r="D169" s="18">
        <v>128000</v>
      </c>
      <c r="E169" s="19">
        <v>0</v>
      </c>
    </row>
    <row r="170" spans="1:5" x14ac:dyDescent="0.3">
      <c r="A170" s="20" t="s">
        <v>148</v>
      </c>
      <c r="B170" s="21" t="s">
        <v>367</v>
      </c>
      <c r="C170" s="22">
        <v>128000</v>
      </c>
      <c r="D170" s="23">
        <v>0</v>
      </c>
      <c r="E170" s="24">
        <v>0</v>
      </c>
    </row>
    <row r="171" spans="1:5" x14ac:dyDescent="0.3">
      <c r="A171" s="20" t="s">
        <v>148</v>
      </c>
      <c r="B171" s="21" t="s">
        <v>369</v>
      </c>
      <c r="C171" s="22">
        <v>128000</v>
      </c>
      <c r="D171" s="23">
        <v>0</v>
      </c>
      <c r="E171" s="24">
        <v>0</v>
      </c>
    </row>
    <row r="172" spans="1:5" x14ac:dyDescent="0.3">
      <c r="A172" s="20" t="s">
        <v>148</v>
      </c>
      <c r="B172" s="21" t="s">
        <v>370</v>
      </c>
      <c r="C172" s="22">
        <v>0</v>
      </c>
      <c r="D172" s="23">
        <v>0</v>
      </c>
      <c r="E172" s="24">
        <v>0</v>
      </c>
    </row>
    <row r="173" spans="1:5" x14ac:dyDescent="0.3">
      <c r="A173" s="20" t="s">
        <v>148</v>
      </c>
      <c r="B173" s="21" t="s">
        <v>371</v>
      </c>
      <c r="C173" s="22">
        <v>128000</v>
      </c>
      <c r="D173" s="23">
        <v>0</v>
      </c>
      <c r="E173" s="24">
        <v>0</v>
      </c>
    </row>
    <row r="174" spans="1:5" x14ac:dyDescent="0.3">
      <c r="A174" s="20" t="s">
        <v>148</v>
      </c>
      <c r="B174" s="21" t="s">
        <v>372</v>
      </c>
      <c r="C174" s="22">
        <v>0</v>
      </c>
      <c r="D174" s="23">
        <v>0</v>
      </c>
      <c r="E174" s="24">
        <v>0</v>
      </c>
    </row>
    <row r="175" spans="1:5" x14ac:dyDescent="0.3">
      <c r="A175" s="20" t="s">
        <v>148</v>
      </c>
      <c r="B175" s="21" t="s">
        <v>373</v>
      </c>
      <c r="C175" s="22">
        <v>128000</v>
      </c>
      <c r="D175" s="23">
        <v>0</v>
      </c>
      <c r="E175" s="24">
        <v>0</v>
      </c>
    </row>
    <row r="176" spans="1:5" x14ac:dyDescent="0.3">
      <c r="A176" s="20" t="s">
        <v>148</v>
      </c>
      <c r="B176" s="21" t="s">
        <v>374</v>
      </c>
      <c r="C176" s="22">
        <v>0</v>
      </c>
      <c r="D176" s="23">
        <v>0</v>
      </c>
      <c r="E176" s="24">
        <v>0</v>
      </c>
    </row>
    <row r="177" spans="1:5" x14ac:dyDescent="0.3">
      <c r="A177" s="20" t="s">
        <v>148</v>
      </c>
      <c r="B177" s="21" t="s">
        <v>375</v>
      </c>
      <c r="C177" s="22">
        <v>128000</v>
      </c>
      <c r="D177" s="23">
        <v>0</v>
      </c>
      <c r="E177" s="24">
        <v>0</v>
      </c>
    </row>
    <row r="178" spans="1:5" x14ac:dyDescent="0.3">
      <c r="A178" s="20" t="s">
        <v>148</v>
      </c>
      <c r="B178" s="21" t="s">
        <v>377</v>
      </c>
      <c r="C178" s="22">
        <v>128000</v>
      </c>
      <c r="D178" s="23">
        <v>0</v>
      </c>
      <c r="E178" s="24">
        <v>0</v>
      </c>
    </row>
    <row r="179" spans="1:5" x14ac:dyDescent="0.3">
      <c r="A179" s="16" t="s">
        <v>379</v>
      </c>
      <c r="B179" s="16" t="s">
        <v>370</v>
      </c>
      <c r="C179" s="17">
        <v>0</v>
      </c>
      <c r="D179" s="18">
        <v>0</v>
      </c>
      <c r="E179" s="19">
        <v>0</v>
      </c>
    </row>
    <row r="180" spans="1:5" x14ac:dyDescent="0.3">
      <c r="A180" s="20" t="s">
        <v>379</v>
      </c>
      <c r="B180" s="21" t="s">
        <v>371</v>
      </c>
      <c r="C180" s="22">
        <v>0</v>
      </c>
      <c r="D180" s="23">
        <v>0</v>
      </c>
      <c r="E180" s="24">
        <v>0</v>
      </c>
    </row>
    <row r="181" spans="1:5" x14ac:dyDescent="0.3">
      <c r="A181" s="20" t="s">
        <v>379</v>
      </c>
      <c r="B181" s="21" t="s">
        <v>372</v>
      </c>
      <c r="C181" s="22">
        <v>0</v>
      </c>
      <c r="D181" s="23">
        <v>0</v>
      </c>
      <c r="E181" s="24">
        <v>0</v>
      </c>
    </row>
    <row r="182" spans="1:5" x14ac:dyDescent="0.3">
      <c r="A182" s="16" t="s">
        <v>29</v>
      </c>
      <c r="B182" s="16" t="s">
        <v>366</v>
      </c>
      <c r="C182" s="17">
        <v>316000</v>
      </c>
      <c r="D182" s="18">
        <v>348000</v>
      </c>
      <c r="E182" s="19">
        <v>0</v>
      </c>
    </row>
    <row r="183" spans="1:5" x14ac:dyDescent="0.3">
      <c r="A183" s="20" t="s">
        <v>29</v>
      </c>
      <c r="B183" s="21" t="s">
        <v>367</v>
      </c>
      <c r="C183" s="22">
        <v>316000</v>
      </c>
      <c r="D183" s="23">
        <v>344000</v>
      </c>
      <c r="E183" s="24">
        <v>0</v>
      </c>
    </row>
    <row r="184" spans="1:5" x14ac:dyDescent="0.3">
      <c r="A184" s="20" t="s">
        <v>29</v>
      </c>
      <c r="B184" s="21" t="s">
        <v>368</v>
      </c>
      <c r="C184" s="22">
        <v>316000</v>
      </c>
      <c r="D184" s="23">
        <v>436000</v>
      </c>
      <c r="E184" s="24">
        <v>0</v>
      </c>
    </row>
    <row r="185" spans="1:5" x14ac:dyDescent="0.3">
      <c r="A185" s="20" t="s">
        <v>29</v>
      </c>
      <c r="B185" s="21" t="s">
        <v>369</v>
      </c>
      <c r="C185" s="22">
        <v>316000</v>
      </c>
      <c r="D185" s="23">
        <v>488000</v>
      </c>
      <c r="E185" s="24">
        <v>0</v>
      </c>
    </row>
    <row r="186" spans="1:5" x14ac:dyDescent="0.3">
      <c r="A186" s="20" t="s">
        <v>29</v>
      </c>
      <c r="B186" s="21" t="s">
        <v>370</v>
      </c>
      <c r="C186" s="22">
        <v>316000</v>
      </c>
      <c r="D186" s="23">
        <v>272000</v>
      </c>
      <c r="E186" s="24">
        <v>0</v>
      </c>
    </row>
    <row r="187" spans="1:5" x14ac:dyDescent="0.3">
      <c r="A187" s="20" t="s">
        <v>29</v>
      </c>
      <c r="B187" s="21" t="s">
        <v>371</v>
      </c>
      <c r="C187" s="22">
        <v>316000</v>
      </c>
      <c r="D187" s="23">
        <v>460000</v>
      </c>
      <c r="E187" s="24">
        <v>0</v>
      </c>
    </row>
    <row r="188" spans="1:5" x14ac:dyDescent="0.3">
      <c r="A188" s="20" t="s">
        <v>29</v>
      </c>
      <c r="B188" s="21" t="s">
        <v>372</v>
      </c>
      <c r="C188" s="22">
        <v>316000</v>
      </c>
      <c r="D188" s="23">
        <v>264000</v>
      </c>
      <c r="E188" s="24">
        <v>0</v>
      </c>
    </row>
    <row r="189" spans="1:5" x14ac:dyDescent="0.3">
      <c r="A189" s="20" t="s">
        <v>29</v>
      </c>
      <c r="B189" s="21" t="s">
        <v>373</v>
      </c>
      <c r="C189" s="22">
        <v>316000</v>
      </c>
      <c r="D189" s="23">
        <v>352000</v>
      </c>
      <c r="E189" s="24">
        <v>0</v>
      </c>
    </row>
    <row r="190" spans="1:5" x14ac:dyDescent="0.3">
      <c r="A190" s="20" t="s">
        <v>29</v>
      </c>
      <c r="B190" s="21" t="s">
        <v>374</v>
      </c>
      <c r="C190" s="22">
        <v>316000</v>
      </c>
      <c r="D190" s="23">
        <v>600000</v>
      </c>
      <c r="E190" s="24">
        <v>0</v>
      </c>
    </row>
    <row r="191" spans="1:5" x14ac:dyDescent="0.3">
      <c r="A191" s="20" t="s">
        <v>29</v>
      </c>
      <c r="B191" s="21" t="s">
        <v>375</v>
      </c>
      <c r="C191" s="22">
        <v>316000</v>
      </c>
      <c r="D191" s="23">
        <v>316000</v>
      </c>
      <c r="E191" s="24">
        <v>0</v>
      </c>
    </row>
    <row r="192" spans="1:5" x14ac:dyDescent="0.3">
      <c r="A192" s="20" t="s">
        <v>29</v>
      </c>
      <c r="B192" s="21" t="s">
        <v>376</v>
      </c>
      <c r="C192" s="22">
        <v>316000</v>
      </c>
      <c r="D192" s="23">
        <v>336000</v>
      </c>
      <c r="E192" s="24">
        <v>0</v>
      </c>
    </row>
    <row r="193" spans="1:5" x14ac:dyDescent="0.3">
      <c r="A193" s="20" t="s">
        <v>29</v>
      </c>
      <c r="B193" s="21" t="s">
        <v>377</v>
      </c>
      <c r="C193" s="22">
        <v>316000</v>
      </c>
      <c r="D193" s="23">
        <v>372000</v>
      </c>
      <c r="E193" s="24">
        <v>0</v>
      </c>
    </row>
    <row r="194" spans="1:5" x14ac:dyDescent="0.3">
      <c r="A194" s="16" t="s">
        <v>148</v>
      </c>
      <c r="B194" s="16" t="s">
        <v>366</v>
      </c>
      <c r="C194" s="17">
        <v>20000</v>
      </c>
      <c r="D194" s="18">
        <v>12000</v>
      </c>
      <c r="E194" s="19">
        <v>0</v>
      </c>
    </row>
    <row r="195" spans="1:5" x14ac:dyDescent="0.3">
      <c r="A195" s="20" t="s">
        <v>148</v>
      </c>
      <c r="B195" s="21" t="s">
        <v>367</v>
      </c>
      <c r="C195" s="22">
        <v>16000</v>
      </c>
      <c r="D195" s="23">
        <v>16000</v>
      </c>
      <c r="E195" s="24">
        <v>0</v>
      </c>
    </row>
    <row r="196" spans="1:5" x14ac:dyDescent="0.3">
      <c r="A196" s="20" t="s">
        <v>148</v>
      </c>
      <c r="B196" s="21" t="s">
        <v>368</v>
      </c>
      <c r="C196" s="22">
        <v>20000</v>
      </c>
      <c r="D196" s="23">
        <v>32000</v>
      </c>
      <c r="E196" s="24">
        <v>0</v>
      </c>
    </row>
    <row r="197" spans="1:5" x14ac:dyDescent="0.3">
      <c r="A197" s="20" t="s">
        <v>148</v>
      </c>
      <c r="B197" s="21" t="s">
        <v>369</v>
      </c>
      <c r="C197" s="22">
        <v>24000</v>
      </c>
      <c r="D197" s="23">
        <v>20000</v>
      </c>
      <c r="E197" s="24">
        <v>0</v>
      </c>
    </row>
    <row r="198" spans="1:5" x14ac:dyDescent="0.3">
      <c r="A198" s="20" t="s">
        <v>148</v>
      </c>
      <c r="B198" s="21" t="s">
        <v>370</v>
      </c>
      <c r="C198" s="22">
        <v>20000</v>
      </c>
      <c r="D198" s="23">
        <v>12000</v>
      </c>
      <c r="E198" s="24">
        <v>0</v>
      </c>
    </row>
    <row r="199" spans="1:5" x14ac:dyDescent="0.3">
      <c r="A199" s="20" t="s">
        <v>148</v>
      </c>
      <c r="B199" s="21" t="s">
        <v>371</v>
      </c>
      <c r="C199" s="22">
        <v>24000</v>
      </c>
      <c r="D199" s="23">
        <v>20000</v>
      </c>
      <c r="E199" s="24">
        <v>0</v>
      </c>
    </row>
    <row r="200" spans="1:5" x14ac:dyDescent="0.3">
      <c r="A200" s="20" t="s">
        <v>148</v>
      </c>
      <c r="B200" s="21" t="s">
        <v>372</v>
      </c>
      <c r="C200" s="22">
        <v>24000</v>
      </c>
      <c r="D200" s="23">
        <v>20000</v>
      </c>
      <c r="E200" s="24">
        <v>0</v>
      </c>
    </row>
    <row r="201" spans="1:5" x14ac:dyDescent="0.3">
      <c r="A201" s="20" t="s">
        <v>148</v>
      </c>
      <c r="B201" s="21" t="s">
        <v>373</v>
      </c>
      <c r="C201" s="22">
        <v>24000</v>
      </c>
      <c r="D201" s="23">
        <v>28000</v>
      </c>
      <c r="E201" s="24">
        <v>0</v>
      </c>
    </row>
    <row r="202" spans="1:5" x14ac:dyDescent="0.3">
      <c r="A202" s="20" t="s">
        <v>148</v>
      </c>
      <c r="B202" s="21" t="s">
        <v>374</v>
      </c>
      <c r="C202" s="22">
        <v>16000</v>
      </c>
      <c r="D202" s="23">
        <v>4000</v>
      </c>
      <c r="E202" s="24">
        <v>0</v>
      </c>
    </row>
    <row r="203" spans="1:5" x14ac:dyDescent="0.3">
      <c r="A203" s="20" t="s">
        <v>148</v>
      </c>
      <c r="B203" s="21" t="s">
        <v>375</v>
      </c>
      <c r="C203" s="22">
        <v>24000</v>
      </c>
      <c r="D203" s="23">
        <v>0</v>
      </c>
      <c r="E203" s="24">
        <v>0</v>
      </c>
    </row>
    <row r="204" spans="1:5" x14ac:dyDescent="0.3">
      <c r="A204" s="20" t="s">
        <v>148</v>
      </c>
      <c r="B204" s="21" t="s">
        <v>376</v>
      </c>
      <c r="C204" s="22">
        <v>12000</v>
      </c>
      <c r="D204" s="23">
        <v>0</v>
      </c>
      <c r="E204" s="24">
        <v>0</v>
      </c>
    </row>
    <row r="205" spans="1:5" x14ac:dyDescent="0.3">
      <c r="A205" s="20" t="s">
        <v>148</v>
      </c>
      <c r="B205" s="21" t="s">
        <v>377</v>
      </c>
      <c r="C205" s="22">
        <v>12000</v>
      </c>
      <c r="D205" s="23">
        <v>0</v>
      </c>
      <c r="E205" s="24">
        <v>0</v>
      </c>
    </row>
    <row r="206" spans="1:5" x14ac:dyDescent="0.3">
      <c r="A206" s="16" t="s">
        <v>189</v>
      </c>
      <c r="B206" s="16" t="s">
        <v>366</v>
      </c>
      <c r="C206" s="17">
        <v>6750</v>
      </c>
      <c r="D206" s="18">
        <v>3000</v>
      </c>
      <c r="E206" s="19">
        <v>0</v>
      </c>
    </row>
    <row r="207" spans="1:5" x14ac:dyDescent="0.3">
      <c r="A207" s="20" t="s">
        <v>189</v>
      </c>
      <c r="B207" s="21" t="s">
        <v>367</v>
      </c>
      <c r="C207" s="22">
        <v>4500</v>
      </c>
      <c r="D207" s="23">
        <v>1500</v>
      </c>
      <c r="E207" s="24">
        <v>0</v>
      </c>
    </row>
    <row r="208" spans="1:5" x14ac:dyDescent="0.3">
      <c r="A208" s="20" t="s">
        <v>189</v>
      </c>
      <c r="B208" s="21" t="s">
        <v>368</v>
      </c>
      <c r="C208" s="22">
        <v>4500</v>
      </c>
      <c r="D208" s="23">
        <v>1500</v>
      </c>
      <c r="E208" s="24">
        <v>0</v>
      </c>
    </row>
    <row r="209" spans="1:5" x14ac:dyDescent="0.3">
      <c r="A209" s="20" t="s">
        <v>189</v>
      </c>
      <c r="B209" s="21" t="s">
        <v>369</v>
      </c>
      <c r="C209" s="22">
        <v>4500</v>
      </c>
      <c r="D209" s="23">
        <v>2250</v>
      </c>
      <c r="E209" s="24">
        <v>0</v>
      </c>
    </row>
    <row r="210" spans="1:5" x14ac:dyDescent="0.3">
      <c r="A210" s="20" t="s">
        <v>189</v>
      </c>
      <c r="B210" s="21" t="s">
        <v>370</v>
      </c>
      <c r="C210" s="22">
        <v>5250</v>
      </c>
      <c r="D210" s="23">
        <v>2250</v>
      </c>
      <c r="E210" s="24">
        <v>0</v>
      </c>
    </row>
    <row r="211" spans="1:5" x14ac:dyDescent="0.3">
      <c r="A211" s="20" t="s">
        <v>189</v>
      </c>
      <c r="B211" s="21" t="s">
        <v>371</v>
      </c>
      <c r="C211" s="22">
        <v>4500</v>
      </c>
      <c r="D211" s="23">
        <v>3000</v>
      </c>
      <c r="E211" s="24">
        <v>0</v>
      </c>
    </row>
    <row r="212" spans="1:5" x14ac:dyDescent="0.3">
      <c r="A212" s="20" t="s">
        <v>189</v>
      </c>
      <c r="B212" s="21" t="s">
        <v>372</v>
      </c>
      <c r="C212" s="22">
        <v>4500</v>
      </c>
      <c r="D212" s="23">
        <v>1500</v>
      </c>
      <c r="E212" s="24">
        <v>0</v>
      </c>
    </row>
    <row r="213" spans="1:5" x14ac:dyDescent="0.3">
      <c r="A213" s="20" t="s">
        <v>189</v>
      </c>
      <c r="B213" s="21" t="s">
        <v>373</v>
      </c>
      <c r="C213" s="22">
        <v>4500</v>
      </c>
      <c r="D213" s="23">
        <v>750</v>
      </c>
      <c r="E213" s="24">
        <v>0</v>
      </c>
    </row>
    <row r="214" spans="1:5" x14ac:dyDescent="0.3">
      <c r="A214" s="20" t="s">
        <v>189</v>
      </c>
      <c r="B214" s="21" t="s">
        <v>374</v>
      </c>
      <c r="C214" s="22">
        <v>4500</v>
      </c>
      <c r="D214" s="23">
        <v>0</v>
      </c>
      <c r="E214" s="24">
        <v>0</v>
      </c>
    </row>
    <row r="215" spans="1:5" x14ac:dyDescent="0.3">
      <c r="A215" s="20" t="s">
        <v>189</v>
      </c>
      <c r="B215" s="21" t="s">
        <v>375</v>
      </c>
      <c r="C215" s="22">
        <v>4500</v>
      </c>
      <c r="D215" s="23">
        <v>0</v>
      </c>
      <c r="E215" s="24">
        <v>0</v>
      </c>
    </row>
    <row r="216" spans="1:5" x14ac:dyDescent="0.3">
      <c r="A216" s="20" t="s">
        <v>189</v>
      </c>
      <c r="B216" s="21" t="s">
        <v>376</v>
      </c>
      <c r="C216" s="22">
        <v>4500</v>
      </c>
      <c r="D216" s="23">
        <v>0</v>
      </c>
      <c r="E216" s="24">
        <v>0</v>
      </c>
    </row>
    <row r="217" spans="1:5" x14ac:dyDescent="0.3">
      <c r="A217" s="20" t="s">
        <v>189</v>
      </c>
      <c r="B217" s="21" t="s">
        <v>377</v>
      </c>
      <c r="C217" s="22">
        <v>4500</v>
      </c>
      <c r="D217" s="23">
        <v>0</v>
      </c>
      <c r="E217" s="24">
        <v>0</v>
      </c>
    </row>
    <row r="218" spans="1:5" x14ac:dyDescent="0.3">
      <c r="A218" s="16" t="s">
        <v>380</v>
      </c>
      <c r="B218" s="16" t="s">
        <v>367</v>
      </c>
      <c r="C218" s="17">
        <v>0</v>
      </c>
      <c r="D218" s="18">
        <v>0</v>
      </c>
      <c r="E218" s="19">
        <v>0</v>
      </c>
    </row>
    <row r="219" spans="1:5" x14ac:dyDescent="0.3">
      <c r="A219" s="20" t="s">
        <v>380</v>
      </c>
      <c r="B219" s="21" t="s">
        <v>370</v>
      </c>
      <c r="C219" s="22">
        <v>0</v>
      </c>
      <c r="D219" s="23">
        <v>0</v>
      </c>
      <c r="E219" s="24">
        <v>0</v>
      </c>
    </row>
    <row r="220" spans="1:5" x14ac:dyDescent="0.3">
      <c r="A220" s="16" t="s">
        <v>29</v>
      </c>
      <c r="B220" s="16" t="s">
        <v>366</v>
      </c>
      <c r="C220" s="17">
        <v>0</v>
      </c>
      <c r="D220" s="18">
        <v>0</v>
      </c>
      <c r="E220" s="19">
        <v>0</v>
      </c>
    </row>
    <row r="221" spans="1:5" x14ac:dyDescent="0.3">
      <c r="A221" s="20" t="s">
        <v>29</v>
      </c>
      <c r="B221" s="21" t="s">
        <v>369</v>
      </c>
      <c r="C221" s="22">
        <v>0</v>
      </c>
      <c r="D221" s="23">
        <v>0</v>
      </c>
      <c r="E221" s="24">
        <v>0</v>
      </c>
    </row>
    <row r="222" spans="1:5" x14ac:dyDescent="0.3">
      <c r="A222" s="20" t="s">
        <v>29</v>
      </c>
      <c r="B222" s="21" t="s">
        <v>370</v>
      </c>
      <c r="C222" s="22">
        <v>0</v>
      </c>
      <c r="D222" s="23">
        <v>0</v>
      </c>
      <c r="E222" s="24">
        <v>0</v>
      </c>
    </row>
    <row r="223" spans="1:5" x14ac:dyDescent="0.3">
      <c r="A223" s="20" t="s">
        <v>29</v>
      </c>
      <c r="B223" s="21" t="s">
        <v>371</v>
      </c>
      <c r="C223" s="22">
        <v>0</v>
      </c>
      <c r="D223" s="23">
        <v>0</v>
      </c>
      <c r="E223" s="24">
        <v>0</v>
      </c>
    </row>
    <row r="224" spans="1:5" x14ac:dyDescent="0.3">
      <c r="A224" s="16" t="s">
        <v>148</v>
      </c>
      <c r="B224" s="16" t="s">
        <v>366</v>
      </c>
      <c r="C224" s="17">
        <v>0</v>
      </c>
      <c r="D224" s="18">
        <v>0</v>
      </c>
      <c r="E224" s="19">
        <v>0</v>
      </c>
    </row>
    <row r="225" spans="1:5" x14ac:dyDescent="0.3">
      <c r="A225" s="20" t="s">
        <v>148</v>
      </c>
      <c r="B225" s="21" t="s">
        <v>369</v>
      </c>
      <c r="C225" s="22">
        <v>0</v>
      </c>
      <c r="D225" s="23">
        <v>0</v>
      </c>
      <c r="E225" s="24">
        <v>0</v>
      </c>
    </row>
    <row r="226" spans="1:5" x14ac:dyDescent="0.3">
      <c r="A226" s="20" t="s">
        <v>148</v>
      </c>
      <c r="B226" s="21" t="s">
        <v>370</v>
      </c>
      <c r="C226" s="22">
        <v>0</v>
      </c>
      <c r="D226" s="23">
        <v>0</v>
      </c>
      <c r="E226" s="24">
        <v>0</v>
      </c>
    </row>
    <row r="227" spans="1:5" x14ac:dyDescent="0.3">
      <c r="A227" s="20" t="s">
        <v>148</v>
      </c>
      <c r="B227" s="21" t="s">
        <v>371</v>
      </c>
      <c r="C227" s="22">
        <v>0</v>
      </c>
      <c r="D227" s="23">
        <v>0</v>
      </c>
      <c r="E227" s="24">
        <v>0</v>
      </c>
    </row>
    <row r="228" spans="1:5" x14ac:dyDescent="0.3">
      <c r="A228" s="16" t="s">
        <v>29</v>
      </c>
      <c r="B228" s="16" t="s">
        <v>366</v>
      </c>
      <c r="C228" s="17">
        <v>0</v>
      </c>
      <c r="D228" s="18">
        <v>256000</v>
      </c>
      <c r="E228" s="19">
        <v>0</v>
      </c>
    </row>
    <row r="229" spans="1:5" x14ac:dyDescent="0.3">
      <c r="A229" s="20" t="s">
        <v>29</v>
      </c>
      <c r="B229" s="21" t="s">
        <v>367</v>
      </c>
      <c r="C229" s="22">
        <v>256000</v>
      </c>
      <c r="D229" s="23">
        <v>0</v>
      </c>
      <c r="E229" s="24">
        <v>0</v>
      </c>
    </row>
    <row r="230" spans="1:5" x14ac:dyDescent="0.3">
      <c r="A230" s="20" t="s">
        <v>29</v>
      </c>
      <c r="B230" s="21" t="s">
        <v>368</v>
      </c>
      <c r="C230" s="22">
        <v>128000</v>
      </c>
      <c r="D230" s="23">
        <v>0</v>
      </c>
      <c r="E230" s="24">
        <v>0</v>
      </c>
    </row>
    <row r="231" spans="1:5" x14ac:dyDescent="0.3">
      <c r="A231" s="20" t="s">
        <v>29</v>
      </c>
      <c r="B231" s="21" t="s">
        <v>369</v>
      </c>
      <c r="C231" s="22">
        <v>256000</v>
      </c>
      <c r="D231" s="23">
        <v>0</v>
      </c>
      <c r="E231" s="24">
        <v>0</v>
      </c>
    </row>
    <row r="232" spans="1:5" x14ac:dyDescent="0.3">
      <c r="A232" s="20" t="s">
        <v>29</v>
      </c>
      <c r="B232" s="21" t="s">
        <v>370</v>
      </c>
      <c r="C232" s="22">
        <v>128000</v>
      </c>
      <c r="D232" s="23">
        <v>0</v>
      </c>
      <c r="E232" s="24">
        <v>0</v>
      </c>
    </row>
    <row r="233" spans="1:5" x14ac:dyDescent="0.3">
      <c r="A233" s="20" t="s">
        <v>29</v>
      </c>
      <c r="B233" s="21" t="s">
        <v>371</v>
      </c>
      <c r="C233" s="22">
        <v>256000</v>
      </c>
      <c r="D233" s="23">
        <v>0</v>
      </c>
      <c r="E233" s="24">
        <v>0</v>
      </c>
    </row>
    <row r="234" spans="1:5" x14ac:dyDescent="0.3">
      <c r="A234" s="20" t="s">
        <v>29</v>
      </c>
      <c r="B234" s="21" t="s">
        <v>372</v>
      </c>
      <c r="C234" s="22">
        <v>256000</v>
      </c>
      <c r="D234" s="23">
        <v>0</v>
      </c>
      <c r="E234" s="24">
        <v>0</v>
      </c>
    </row>
    <row r="235" spans="1:5" x14ac:dyDescent="0.3">
      <c r="A235" s="20" t="s">
        <v>29</v>
      </c>
      <c r="B235" s="21" t="s">
        <v>373</v>
      </c>
      <c r="C235" s="22">
        <v>128000</v>
      </c>
      <c r="D235" s="23">
        <v>0</v>
      </c>
      <c r="E235" s="24">
        <v>0</v>
      </c>
    </row>
    <row r="236" spans="1:5" x14ac:dyDescent="0.3">
      <c r="A236" s="20" t="s">
        <v>29</v>
      </c>
      <c r="B236" s="21" t="s">
        <v>374</v>
      </c>
      <c r="C236" s="22">
        <v>128000</v>
      </c>
      <c r="D236" s="23">
        <v>0</v>
      </c>
      <c r="E236" s="24">
        <v>0</v>
      </c>
    </row>
    <row r="237" spans="1:5" x14ac:dyDescent="0.3">
      <c r="A237" s="20" t="s">
        <v>29</v>
      </c>
      <c r="B237" s="21" t="s">
        <v>375</v>
      </c>
      <c r="C237" s="22">
        <v>256000</v>
      </c>
      <c r="D237" s="23">
        <v>0</v>
      </c>
      <c r="E237" s="24">
        <v>0</v>
      </c>
    </row>
    <row r="238" spans="1:5" x14ac:dyDescent="0.3">
      <c r="A238" s="20" t="s">
        <v>29</v>
      </c>
      <c r="B238" s="21" t="s">
        <v>376</v>
      </c>
      <c r="C238" s="22">
        <v>256000</v>
      </c>
      <c r="D238" s="23">
        <v>0</v>
      </c>
      <c r="E238" s="24">
        <v>0</v>
      </c>
    </row>
    <row r="239" spans="1:5" x14ac:dyDescent="0.3">
      <c r="A239" s="20" t="s">
        <v>29</v>
      </c>
      <c r="B239" s="21" t="s">
        <v>377</v>
      </c>
      <c r="C239" s="22">
        <v>128000</v>
      </c>
      <c r="D239" s="23">
        <v>0</v>
      </c>
      <c r="E239" s="24">
        <v>0</v>
      </c>
    </row>
    <row r="240" spans="1:5" x14ac:dyDescent="0.3">
      <c r="A240" s="16" t="s">
        <v>148</v>
      </c>
      <c r="B240" s="16" t="s">
        <v>366</v>
      </c>
      <c r="C240" s="17">
        <v>64000</v>
      </c>
      <c r="D240" s="18">
        <v>128000</v>
      </c>
      <c r="E240" s="19">
        <v>0</v>
      </c>
    </row>
    <row r="241" spans="1:5" x14ac:dyDescent="0.3">
      <c r="A241" s="20" t="s">
        <v>148</v>
      </c>
      <c r="B241" s="21" t="s">
        <v>367</v>
      </c>
      <c r="C241" s="22">
        <v>128000</v>
      </c>
      <c r="D241" s="23">
        <v>64000</v>
      </c>
      <c r="E241" s="24">
        <v>0</v>
      </c>
    </row>
    <row r="242" spans="1:5" x14ac:dyDescent="0.3">
      <c r="A242" s="20" t="s">
        <v>148</v>
      </c>
      <c r="B242" s="21" t="s">
        <v>368</v>
      </c>
      <c r="C242" s="22">
        <v>64000</v>
      </c>
      <c r="D242" s="23">
        <v>0</v>
      </c>
      <c r="E242" s="24">
        <v>0</v>
      </c>
    </row>
    <row r="243" spans="1:5" x14ac:dyDescent="0.3">
      <c r="A243" s="20" t="s">
        <v>148</v>
      </c>
      <c r="B243" s="21" t="s">
        <v>369</v>
      </c>
      <c r="C243" s="22">
        <v>64000</v>
      </c>
      <c r="D243" s="23">
        <v>0</v>
      </c>
      <c r="E243" s="24">
        <v>0</v>
      </c>
    </row>
    <row r="244" spans="1:5" x14ac:dyDescent="0.3">
      <c r="A244" s="20" t="s">
        <v>148</v>
      </c>
      <c r="B244" s="21" t="s">
        <v>370</v>
      </c>
      <c r="C244" s="22">
        <v>64000</v>
      </c>
      <c r="D244" s="23">
        <v>0</v>
      </c>
      <c r="E244" s="24">
        <v>0</v>
      </c>
    </row>
    <row r="245" spans="1:5" x14ac:dyDescent="0.3">
      <c r="A245" s="20" t="s">
        <v>148</v>
      </c>
      <c r="B245" s="21" t="s">
        <v>371</v>
      </c>
      <c r="C245" s="22">
        <v>128000</v>
      </c>
      <c r="D245" s="23">
        <v>0</v>
      </c>
      <c r="E245" s="24">
        <v>0</v>
      </c>
    </row>
    <row r="246" spans="1:5" x14ac:dyDescent="0.3">
      <c r="A246" s="20" t="s">
        <v>148</v>
      </c>
      <c r="B246" s="21" t="s">
        <v>372</v>
      </c>
      <c r="C246" s="22">
        <v>64000</v>
      </c>
      <c r="D246" s="23">
        <v>0</v>
      </c>
      <c r="E246" s="24">
        <v>0</v>
      </c>
    </row>
    <row r="247" spans="1:5" x14ac:dyDescent="0.3">
      <c r="A247" s="20" t="s">
        <v>148</v>
      </c>
      <c r="B247" s="21" t="s">
        <v>373</v>
      </c>
      <c r="C247" s="22">
        <v>64000</v>
      </c>
      <c r="D247" s="23">
        <v>0</v>
      </c>
      <c r="E247" s="24">
        <v>0</v>
      </c>
    </row>
    <row r="248" spans="1:5" x14ac:dyDescent="0.3">
      <c r="A248" s="20" t="s">
        <v>148</v>
      </c>
      <c r="B248" s="21" t="s">
        <v>374</v>
      </c>
      <c r="C248" s="22">
        <v>64000</v>
      </c>
      <c r="D248" s="23">
        <v>0</v>
      </c>
      <c r="E248" s="24">
        <v>0</v>
      </c>
    </row>
    <row r="249" spans="1:5" x14ac:dyDescent="0.3">
      <c r="A249" s="20" t="s">
        <v>148</v>
      </c>
      <c r="B249" s="21" t="s">
        <v>375</v>
      </c>
      <c r="C249" s="22">
        <v>64000</v>
      </c>
      <c r="D249" s="23">
        <v>0</v>
      </c>
      <c r="E249" s="24">
        <v>0</v>
      </c>
    </row>
    <row r="250" spans="1:5" x14ac:dyDescent="0.3">
      <c r="A250" s="20" t="s">
        <v>148</v>
      </c>
      <c r="B250" s="21" t="s">
        <v>376</v>
      </c>
      <c r="C250" s="22">
        <v>64000</v>
      </c>
      <c r="D250" s="23">
        <v>0</v>
      </c>
      <c r="E250" s="24">
        <v>0</v>
      </c>
    </row>
    <row r="251" spans="1:5" x14ac:dyDescent="0.3">
      <c r="A251" s="20" t="s">
        <v>148</v>
      </c>
      <c r="B251" s="21" t="s">
        <v>377</v>
      </c>
      <c r="C251" s="22">
        <v>64000</v>
      </c>
      <c r="D251" s="23">
        <v>0</v>
      </c>
      <c r="E251" s="24">
        <v>0</v>
      </c>
    </row>
    <row r="252" spans="1:5" x14ac:dyDescent="0.3">
      <c r="A252" s="16" t="s">
        <v>32</v>
      </c>
      <c r="B252" s="16" t="s">
        <v>366</v>
      </c>
      <c r="C252" s="17">
        <v>0</v>
      </c>
      <c r="D252" s="18">
        <v>0</v>
      </c>
      <c r="E252" s="19">
        <v>0</v>
      </c>
    </row>
    <row r="253" spans="1:5" x14ac:dyDescent="0.3">
      <c r="A253" s="16" t="s">
        <v>380</v>
      </c>
      <c r="B253" s="16" t="s">
        <v>369</v>
      </c>
      <c r="C253" s="17">
        <v>9220.26</v>
      </c>
      <c r="D253" s="18">
        <v>0</v>
      </c>
      <c r="E253" s="19">
        <v>0</v>
      </c>
    </row>
    <row r="254" spans="1:5" x14ac:dyDescent="0.3">
      <c r="A254" s="16" t="s">
        <v>29</v>
      </c>
      <c r="B254" s="16" t="s">
        <v>366</v>
      </c>
      <c r="C254" s="17">
        <v>536000</v>
      </c>
      <c r="D254" s="18">
        <v>772000</v>
      </c>
      <c r="E254" s="19">
        <v>0</v>
      </c>
    </row>
    <row r="255" spans="1:5" x14ac:dyDescent="0.3">
      <c r="A255" s="20" t="s">
        <v>29</v>
      </c>
      <c r="B255" s="21" t="s">
        <v>367</v>
      </c>
      <c r="C255" s="22">
        <v>572000</v>
      </c>
      <c r="D255" s="23">
        <v>764000</v>
      </c>
      <c r="E255" s="24">
        <v>0</v>
      </c>
    </row>
    <row r="256" spans="1:5" x14ac:dyDescent="0.3">
      <c r="A256" s="20" t="s">
        <v>29</v>
      </c>
      <c r="B256" s="21" t="s">
        <v>368</v>
      </c>
      <c r="C256" s="22">
        <v>560000</v>
      </c>
      <c r="D256" s="23">
        <v>800000</v>
      </c>
      <c r="E256" s="24">
        <v>0</v>
      </c>
    </row>
    <row r="257" spans="1:5" x14ac:dyDescent="0.3">
      <c r="A257" s="20" t="s">
        <v>29</v>
      </c>
      <c r="B257" s="21" t="s">
        <v>369</v>
      </c>
      <c r="C257" s="22">
        <v>560000</v>
      </c>
      <c r="D257" s="23">
        <v>560000</v>
      </c>
      <c r="E257" s="24">
        <v>0</v>
      </c>
    </row>
    <row r="258" spans="1:5" x14ac:dyDescent="0.3">
      <c r="A258" s="20" t="s">
        <v>29</v>
      </c>
      <c r="B258" s="21" t="s">
        <v>370</v>
      </c>
      <c r="C258" s="22">
        <v>648000</v>
      </c>
      <c r="D258" s="23">
        <v>840000</v>
      </c>
      <c r="E258" s="24">
        <v>0</v>
      </c>
    </row>
    <row r="259" spans="1:5" x14ac:dyDescent="0.3">
      <c r="A259" s="20" t="s">
        <v>29</v>
      </c>
      <c r="B259" s="21" t="s">
        <v>371</v>
      </c>
      <c r="C259" s="22">
        <v>560000</v>
      </c>
      <c r="D259" s="23">
        <v>560000</v>
      </c>
      <c r="E259" s="24">
        <v>0</v>
      </c>
    </row>
    <row r="260" spans="1:5" x14ac:dyDescent="0.3">
      <c r="A260" s="20" t="s">
        <v>29</v>
      </c>
      <c r="B260" s="21" t="s">
        <v>372</v>
      </c>
      <c r="C260" s="22">
        <v>424000</v>
      </c>
      <c r="D260" s="23">
        <v>652000</v>
      </c>
      <c r="E260" s="24">
        <v>0</v>
      </c>
    </row>
    <row r="261" spans="1:5" x14ac:dyDescent="0.3">
      <c r="A261" s="20" t="s">
        <v>29</v>
      </c>
      <c r="B261" s="21" t="s">
        <v>373</v>
      </c>
      <c r="C261" s="22">
        <v>624000</v>
      </c>
      <c r="D261" s="23">
        <v>624000</v>
      </c>
      <c r="E261" s="24">
        <v>0</v>
      </c>
    </row>
    <row r="262" spans="1:5" x14ac:dyDescent="0.3">
      <c r="A262" s="20" t="s">
        <v>29</v>
      </c>
      <c r="B262" s="21" t="s">
        <v>374</v>
      </c>
      <c r="C262" s="22">
        <v>560000</v>
      </c>
      <c r="D262" s="23">
        <v>656000</v>
      </c>
      <c r="E262" s="24">
        <v>0</v>
      </c>
    </row>
    <row r="263" spans="1:5" x14ac:dyDescent="0.3">
      <c r="A263" s="20" t="s">
        <v>29</v>
      </c>
      <c r="B263" s="21" t="s">
        <v>375</v>
      </c>
      <c r="C263" s="22">
        <v>560000</v>
      </c>
      <c r="D263" s="23">
        <v>1392000</v>
      </c>
      <c r="E263" s="24">
        <v>0</v>
      </c>
    </row>
    <row r="264" spans="1:5" x14ac:dyDescent="0.3">
      <c r="A264" s="20" t="s">
        <v>29</v>
      </c>
      <c r="B264" s="21" t="s">
        <v>376</v>
      </c>
      <c r="C264" s="22">
        <v>560000</v>
      </c>
      <c r="D264" s="23">
        <v>492000</v>
      </c>
      <c r="E264" s="24">
        <v>0</v>
      </c>
    </row>
    <row r="265" spans="1:5" x14ac:dyDescent="0.3">
      <c r="A265" s="20" t="s">
        <v>29</v>
      </c>
      <c r="B265" s="21" t="s">
        <v>377</v>
      </c>
      <c r="C265" s="22">
        <v>424000</v>
      </c>
      <c r="D265" s="23">
        <v>0</v>
      </c>
      <c r="E265" s="24">
        <v>0</v>
      </c>
    </row>
    <row r="266" spans="1:5" x14ac:dyDescent="0.3">
      <c r="A266" s="16" t="s">
        <v>148</v>
      </c>
      <c r="B266" s="16" t="s">
        <v>366</v>
      </c>
      <c r="C266" s="17">
        <v>208000</v>
      </c>
      <c r="D266" s="18">
        <v>340000</v>
      </c>
      <c r="E266" s="19">
        <v>0</v>
      </c>
    </row>
    <row r="267" spans="1:5" x14ac:dyDescent="0.3">
      <c r="A267" s="20" t="s">
        <v>148</v>
      </c>
      <c r="B267" s="21" t="s">
        <v>367</v>
      </c>
      <c r="C267" s="22">
        <v>208000</v>
      </c>
      <c r="D267" s="23">
        <v>288000</v>
      </c>
      <c r="E267" s="24">
        <v>0</v>
      </c>
    </row>
    <row r="268" spans="1:5" x14ac:dyDescent="0.3">
      <c r="A268" s="20" t="s">
        <v>148</v>
      </c>
      <c r="B268" s="21" t="s">
        <v>368</v>
      </c>
      <c r="C268" s="22">
        <v>208000</v>
      </c>
      <c r="D268" s="23">
        <v>320000</v>
      </c>
      <c r="E268" s="24">
        <v>0</v>
      </c>
    </row>
    <row r="269" spans="1:5" x14ac:dyDescent="0.3">
      <c r="A269" s="20" t="s">
        <v>148</v>
      </c>
      <c r="B269" s="21" t="s">
        <v>369</v>
      </c>
      <c r="C269" s="22">
        <v>208000</v>
      </c>
      <c r="D269" s="23">
        <v>236000</v>
      </c>
      <c r="E269" s="24">
        <v>0</v>
      </c>
    </row>
    <row r="270" spans="1:5" x14ac:dyDescent="0.3">
      <c r="A270" s="20" t="s">
        <v>148</v>
      </c>
      <c r="B270" s="21" t="s">
        <v>370</v>
      </c>
      <c r="C270" s="22">
        <v>208000</v>
      </c>
      <c r="D270" s="23">
        <v>364000</v>
      </c>
      <c r="E270" s="24">
        <v>0</v>
      </c>
    </row>
    <row r="271" spans="1:5" x14ac:dyDescent="0.3">
      <c r="A271" s="20" t="s">
        <v>148</v>
      </c>
      <c r="B271" s="21" t="s">
        <v>371</v>
      </c>
      <c r="C271" s="22">
        <v>208000</v>
      </c>
      <c r="D271" s="23">
        <v>280000</v>
      </c>
      <c r="E271" s="24">
        <v>0</v>
      </c>
    </row>
    <row r="272" spans="1:5" x14ac:dyDescent="0.3">
      <c r="A272" s="20" t="s">
        <v>148</v>
      </c>
      <c r="B272" s="21" t="s">
        <v>372</v>
      </c>
      <c r="C272" s="22">
        <v>208000</v>
      </c>
      <c r="D272" s="23">
        <v>308000</v>
      </c>
      <c r="E272" s="24">
        <v>0</v>
      </c>
    </row>
    <row r="273" spans="1:5" x14ac:dyDescent="0.3">
      <c r="A273" s="20" t="s">
        <v>148</v>
      </c>
      <c r="B273" s="21" t="s">
        <v>373</v>
      </c>
      <c r="C273" s="22">
        <v>208000</v>
      </c>
      <c r="D273" s="23">
        <v>240000</v>
      </c>
      <c r="E273" s="24">
        <v>0</v>
      </c>
    </row>
    <row r="274" spans="1:5" x14ac:dyDescent="0.3">
      <c r="A274" s="20" t="s">
        <v>148</v>
      </c>
      <c r="B274" s="21" t="s">
        <v>374</v>
      </c>
      <c r="C274" s="22">
        <v>208000</v>
      </c>
      <c r="D274" s="23">
        <v>312000</v>
      </c>
      <c r="E274" s="24">
        <v>0</v>
      </c>
    </row>
    <row r="275" spans="1:5" x14ac:dyDescent="0.3">
      <c r="A275" s="20" t="s">
        <v>148</v>
      </c>
      <c r="B275" s="21" t="s">
        <v>375</v>
      </c>
      <c r="C275" s="22">
        <v>208000</v>
      </c>
      <c r="D275" s="23">
        <v>700000</v>
      </c>
      <c r="E275" s="24">
        <v>0</v>
      </c>
    </row>
    <row r="276" spans="1:5" x14ac:dyDescent="0.3">
      <c r="A276" s="20" t="s">
        <v>148</v>
      </c>
      <c r="B276" s="21" t="s">
        <v>376</v>
      </c>
      <c r="C276" s="22">
        <v>208000</v>
      </c>
      <c r="D276" s="23">
        <v>276000</v>
      </c>
      <c r="E276" s="24">
        <v>0</v>
      </c>
    </row>
    <row r="277" spans="1:5" x14ac:dyDescent="0.3">
      <c r="A277" s="20" t="s">
        <v>148</v>
      </c>
      <c r="B277" s="21" t="s">
        <v>377</v>
      </c>
      <c r="C277" s="22">
        <v>208000</v>
      </c>
      <c r="D277" s="23">
        <v>0</v>
      </c>
      <c r="E277" s="24">
        <v>0</v>
      </c>
    </row>
    <row r="278" spans="1:5" x14ac:dyDescent="0.3">
      <c r="A278" s="16" t="s">
        <v>29</v>
      </c>
      <c r="B278" s="16" t="s">
        <v>366</v>
      </c>
      <c r="C278" s="17">
        <v>160000</v>
      </c>
      <c r="D278" s="18">
        <v>160000</v>
      </c>
      <c r="E278" s="19">
        <v>0</v>
      </c>
    </row>
    <row r="279" spans="1:5" x14ac:dyDescent="0.3">
      <c r="A279" s="20" t="s">
        <v>29</v>
      </c>
      <c r="B279" s="21" t="s">
        <v>367</v>
      </c>
      <c r="C279" s="22">
        <v>80000</v>
      </c>
      <c r="D279" s="23">
        <v>80000</v>
      </c>
      <c r="E279" s="24">
        <v>0</v>
      </c>
    </row>
    <row r="280" spans="1:5" x14ac:dyDescent="0.3">
      <c r="A280" s="20" t="s">
        <v>29</v>
      </c>
      <c r="B280" s="21" t="s">
        <v>368</v>
      </c>
      <c r="C280" s="22">
        <v>160000</v>
      </c>
      <c r="D280" s="23">
        <v>80000</v>
      </c>
      <c r="E280" s="24">
        <v>0</v>
      </c>
    </row>
    <row r="281" spans="1:5" x14ac:dyDescent="0.3">
      <c r="A281" s="20" t="s">
        <v>29</v>
      </c>
      <c r="B281" s="21" t="s">
        <v>369</v>
      </c>
      <c r="C281" s="22">
        <v>160000</v>
      </c>
      <c r="D281" s="23">
        <v>240000</v>
      </c>
      <c r="E281" s="24">
        <v>0</v>
      </c>
    </row>
    <row r="282" spans="1:5" x14ac:dyDescent="0.3">
      <c r="A282" s="20" t="s">
        <v>29</v>
      </c>
      <c r="B282" s="21" t="s">
        <v>370</v>
      </c>
      <c r="C282" s="22">
        <v>80000</v>
      </c>
      <c r="D282" s="23">
        <v>80000</v>
      </c>
      <c r="E282" s="24">
        <v>0</v>
      </c>
    </row>
    <row r="283" spans="1:5" x14ac:dyDescent="0.3">
      <c r="A283" s="20" t="s">
        <v>29</v>
      </c>
      <c r="B283" s="21" t="s">
        <v>371</v>
      </c>
      <c r="C283" s="22">
        <v>160000</v>
      </c>
      <c r="D283" s="23">
        <v>80000</v>
      </c>
      <c r="E283" s="24">
        <v>0</v>
      </c>
    </row>
    <row r="284" spans="1:5" x14ac:dyDescent="0.3">
      <c r="A284" s="20" t="s">
        <v>29</v>
      </c>
      <c r="B284" s="21" t="s">
        <v>372</v>
      </c>
      <c r="C284" s="22">
        <v>160000</v>
      </c>
      <c r="D284" s="23">
        <v>0</v>
      </c>
      <c r="E284" s="24">
        <v>0</v>
      </c>
    </row>
    <row r="285" spans="1:5" x14ac:dyDescent="0.3">
      <c r="A285" s="20" t="s">
        <v>29</v>
      </c>
      <c r="B285" s="21" t="s">
        <v>373</v>
      </c>
      <c r="C285" s="22">
        <v>160000</v>
      </c>
      <c r="D285" s="23">
        <v>0</v>
      </c>
      <c r="E285" s="24">
        <v>0</v>
      </c>
    </row>
    <row r="286" spans="1:5" x14ac:dyDescent="0.3">
      <c r="A286" s="20" t="s">
        <v>29</v>
      </c>
      <c r="B286" s="21" t="s">
        <v>374</v>
      </c>
      <c r="C286" s="22">
        <v>80000</v>
      </c>
      <c r="D286" s="23">
        <v>0</v>
      </c>
      <c r="E286" s="24">
        <v>0</v>
      </c>
    </row>
    <row r="287" spans="1:5" x14ac:dyDescent="0.3">
      <c r="A287" s="20" t="s">
        <v>29</v>
      </c>
      <c r="B287" s="21" t="s">
        <v>375</v>
      </c>
      <c r="C287" s="22">
        <v>80000</v>
      </c>
      <c r="D287" s="23">
        <v>0</v>
      </c>
      <c r="E287" s="24">
        <v>0</v>
      </c>
    </row>
    <row r="288" spans="1:5" x14ac:dyDescent="0.3">
      <c r="A288" s="20" t="s">
        <v>29</v>
      </c>
      <c r="B288" s="21" t="s">
        <v>376</v>
      </c>
      <c r="C288" s="22">
        <v>160000</v>
      </c>
      <c r="D288" s="23">
        <v>0</v>
      </c>
      <c r="E288" s="24">
        <v>0</v>
      </c>
    </row>
    <row r="289" spans="1:5" x14ac:dyDescent="0.3">
      <c r="A289" s="20" t="s">
        <v>29</v>
      </c>
      <c r="B289" s="21" t="s">
        <v>377</v>
      </c>
      <c r="C289" s="22">
        <v>80000</v>
      </c>
      <c r="D289" s="23">
        <v>0</v>
      </c>
      <c r="E289" s="24">
        <v>0</v>
      </c>
    </row>
    <row r="290" spans="1:5" x14ac:dyDescent="0.3">
      <c r="A290" s="16" t="s">
        <v>258</v>
      </c>
      <c r="B290" s="16" t="s">
        <v>366</v>
      </c>
      <c r="C290" s="17">
        <v>12000</v>
      </c>
      <c r="D290" s="18">
        <v>36000</v>
      </c>
      <c r="E290" s="19">
        <v>0</v>
      </c>
    </row>
    <row r="291" spans="1:5" x14ac:dyDescent="0.3">
      <c r="A291" s="20" t="s">
        <v>258</v>
      </c>
      <c r="B291" s="21" t="s">
        <v>367</v>
      </c>
      <c r="C291" s="22">
        <v>12000</v>
      </c>
      <c r="D291" s="23">
        <v>12000</v>
      </c>
      <c r="E291" s="24">
        <v>0</v>
      </c>
    </row>
    <row r="292" spans="1:5" x14ac:dyDescent="0.3">
      <c r="A292" s="20" t="s">
        <v>258</v>
      </c>
      <c r="B292" s="21" t="s">
        <v>368</v>
      </c>
      <c r="C292" s="22">
        <v>12000</v>
      </c>
      <c r="D292" s="23">
        <v>24000</v>
      </c>
      <c r="E292" s="24">
        <v>0</v>
      </c>
    </row>
    <row r="293" spans="1:5" x14ac:dyDescent="0.3">
      <c r="A293" s="20" t="s">
        <v>258</v>
      </c>
      <c r="B293" s="21" t="s">
        <v>369</v>
      </c>
      <c r="C293" s="22">
        <v>12000</v>
      </c>
      <c r="D293" s="23">
        <v>24000</v>
      </c>
      <c r="E293" s="24">
        <v>0</v>
      </c>
    </row>
    <row r="294" spans="1:5" x14ac:dyDescent="0.3">
      <c r="A294" s="20" t="s">
        <v>258</v>
      </c>
      <c r="B294" s="21" t="s">
        <v>370</v>
      </c>
      <c r="C294" s="22">
        <v>12000</v>
      </c>
      <c r="D294" s="23">
        <v>24000</v>
      </c>
      <c r="E294" s="24">
        <v>0</v>
      </c>
    </row>
    <row r="295" spans="1:5" x14ac:dyDescent="0.3">
      <c r="A295" s="20" t="s">
        <v>258</v>
      </c>
      <c r="B295" s="21" t="s">
        <v>371</v>
      </c>
      <c r="C295" s="22">
        <v>12000</v>
      </c>
      <c r="D295" s="23">
        <v>12000</v>
      </c>
      <c r="E295" s="24">
        <v>0</v>
      </c>
    </row>
    <row r="296" spans="1:5" x14ac:dyDescent="0.3">
      <c r="A296" s="20" t="s">
        <v>258</v>
      </c>
      <c r="B296" s="21" t="s">
        <v>372</v>
      </c>
      <c r="C296" s="22">
        <v>12000</v>
      </c>
      <c r="D296" s="23">
        <v>12000</v>
      </c>
      <c r="E296" s="24">
        <v>0</v>
      </c>
    </row>
    <row r="297" spans="1:5" x14ac:dyDescent="0.3">
      <c r="A297" s="20" t="s">
        <v>258</v>
      </c>
      <c r="B297" s="21" t="s">
        <v>373</v>
      </c>
      <c r="C297" s="22">
        <v>12000</v>
      </c>
      <c r="D297" s="23">
        <v>0</v>
      </c>
      <c r="E297" s="24">
        <v>0</v>
      </c>
    </row>
    <row r="298" spans="1:5" x14ac:dyDescent="0.3">
      <c r="A298" s="20" t="s">
        <v>258</v>
      </c>
      <c r="B298" s="21" t="s">
        <v>374</v>
      </c>
      <c r="C298" s="22">
        <v>12000</v>
      </c>
      <c r="D298" s="23">
        <v>0</v>
      </c>
      <c r="E298" s="24">
        <v>0</v>
      </c>
    </row>
    <row r="299" spans="1:5" x14ac:dyDescent="0.3">
      <c r="A299" s="20" t="s">
        <v>258</v>
      </c>
      <c r="B299" s="21" t="s">
        <v>375</v>
      </c>
      <c r="C299" s="22">
        <v>12000</v>
      </c>
      <c r="D299" s="23">
        <v>0</v>
      </c>
      <c r="E299" s="24">
        <v>0</v>
      </c>
    </row>
    <row r="300" spans="1:5" x14ac:dyDescent="0.3">
      <c r="A300" s="20" t="s">
        <v>258</v>
      </c>
      <c r="B300" s="21" t="s">
        <v>376</v>
      </c>
      <c r="C300" s="22">
        <v>12000</v>
      </c>
      <c r="D300" s="23">
        <v>0</v>
      </c>
      <c r="E300" s="24">
        <v>0</v>
      </c>
    </row>
    <row r="301" spans="1:5" x14ac:dyDescent="0.3">
      <c r="A301" s="20" t="s">
        <v>258</v>
      </c>
      <c r="B301" s="21" t="s">
        <v>377</v>
      </c>
      <c r="C301" s="22">
        <v>12000</v>
      </c>
      <c r="D301" s="23">
        <v>0</v>
      </c>
      <c r="E301" s="24">
        <v>0</v>
      </c>
    </row>
    <row r="302" spans="1:5" x14ac:dyDescent="0.3">
      <c r="A302" s="16" t="s">
        <v>6</v>
      </c>
      <c r="B302" s="16" t="s">
        <v>366</v>
      </c>
      <c r="C302" s="17">
        <v>18000</v>
      </c>
      <c r="D302" s="18">
        <v>21600</v>
      </c>
      <c r="E302" s="19">
        <v>0</v>
      </c>
    </row>
    <row r="303" spans="1:5" x14ac:dyDescent="0.3">
      <c r="A303" s="20" t="s">
        <v>6</v>
      </c>
      <c r="B303" s="21" t="s">
        <v>367</v>
      </c>
      <c r="C303" s="22">
        <v>21600</v>
      </c>
      <c r="D303" s="23">
        <v>21600</v>
      </c>
      <c r="E303" s="24">
        <v>0</v>
      </c>
    </row>
    <row r="304" spans="1:5" x14ac:dyDescent="0.3">
      <c r="A304" s="20" t="s">
        <v>6</v>
      </c>
      <c r="B304" s="21" t="s">
        <v>368</v>
      </c>
      <c r="C304" s="22">
        <v>18000</v>
      </c>
      <c r="D304" s="23">
        <v>21600</v>
      </c>
      <c r="E304" s="24">
        <v>0</v>
      </c>
    </row>
    <row r="305" spans="1:5" x14ac:dyDescent="0.3">
      <c r="A305" s="20" t="s">
        <v>6</v>
      </c>
      <c r="B305" s="21" t="s">
        <v>369</v>
      </c>
      <c r="C305" s="22">
        <v>21600</v>
      </c>
      <c r="D305" s="23">
        <v>25200</v>
      </c>
      <c r="E305" s="24">
        <v>0</v>
      </c>
    </row>
    <row r="306" spans="1:5" x14ac:dyDescent="0.3">
      <c r="A306" s="20" t="s">
        <v>6</v>
      </c>
      <c r="B306" s="21" t="s">
        <v>370</v>
      </c>
      <c r="C306" s="22">
        <v>21600</v>
      </c>
      <c r="D306" s="23">
        <v>21600</v>
      </c>
      <c r="E306" s="24">
        <v>0</v>
      </c>
    </row>
    <row r="307" spans="1:5" x14ac:dyDescent="0.3">
      <c r="A307" s="20" t="s">
        <v>6</v>
      </c>
      <c r="B307" s="21" t="s">
        <v>371</v>
      </c>
      <c r="C307" s="22">
        <v>18000</v>
      </c>
      <c r="D307" s="23">
        <v>18000</v>
      </c>
      <c r="E307" s="24">
        <v>0</v>
      </c>
    </row>
    <row r="308" spans="1:5" x14ac:dyDescent="0.3">
      <c r="A308" s="20" t="s">
        <v>6</v>
      </c>
      <c r="B308" s="21" t="s">
        <v>372</v>
      </c>
      <c r="C308" s="22">
        <v>18000</v>
      </c>
      <c r="D308" s="23">
        <v>28800</v>
      </c>
      <c r="E308" s="24">
        <v>0</v>
      </c>
    </row>
    <row r="309" spans="1:5" x14ac:dyDescent="0.3">
      <c r="A309" s="20" t="s">
        <v>6</v>
      </c>
      <c r="B309" s="21" t="s">
        <v>373</v>
      </c>
      <c r="C309" s="22">
        <v>21600</v>
      </c>
      <c r="D309" s="23">
        <v>25200</v>
      </c>
      <c r="E309" s="24">
        <v>0</v>
      </c>
    </row>
    <row r="310" spans="1:5" x14ac:dyDescent="0.3">
      <c r="A310" s="20" t="s">
        <v>6</v>
      </c>
      <c r="B310" s="21" t="s">
        <v>374</v>
      </c>
      <c r="C310" s="22">
        <v>18000</v>
      </c>
      <c r="D310" s="23">
        <v>28800</v>
      </c>
      <c r="E310" s="24">
        <v>0</v>
      </c>
    </row>
    <row r="311" spans="1:5" x14ac:dyDescent="0.3">
      <c r="A311" s="20" t="s">
        <v>6</v>
      </c>
      <c r="B311" s="21" t="s">
        <v>375</v>
      </c>
      <c r="C311" s="22">
        <v>21600</v>
      </c>
      <c r="D311" s="23">
        <v>28800</v>
      </c>
      <c r="E311" s="24">
        <v>0</v>
      </c>
    </row>
    <row r="312" spans="1:5" x14ac:dyDescent="0.3">
      <c r="A312" s="20" t="s">
        <v>6</v>
      </c>
      <c r="B312" s="21" t="s">
        <v>376</v>
      </c>
      <c r="C312" s="22">
        <v>18000</v>
      </c>
      <c r="D312" s="23">
        <v>21600</v>
      </c>
      <c r="E312" s="24">
        <v>0</v>
      </c>
    </row>
    <row r="313" spans="1:5" x14ac:dyDescent="0.3">
      <c r="A313" s="20" t="s">
        <v>6</v>
      </c>
      <c r="B313" s="21" t="s">
        <v>377</v>
      </c>
      <c r="C313" s="22">
        <v>18000</v>
      </c>
      <c r="D313" s="23">
        <v>18000</v>
      </c>
      <c r="E313" s="24">
        <v>0</v>
      </c>
    </row>
    <row r="314" spans="1:5" x14ac:dyDescent="0.3">
      <c r="A314" s="16" t="s">
        <v>315</v>
      </c>
      <c r="B314" s="16" t="s">
        <v>366</v>
      </c>
      <c r="C314" s="17">
        <v>4400</v>
      </c>
      <c r="D314" s="18">
        <v>0</v>
      </c>
      <c r="E314" s="19">
        <v>0</v>
      </c>
    </row>
    <row r="315" spans="1:5" x14ac:dyDescent="0.3">
      <c r="A315" s="20" t="s">
        <v>315</v>
      </c>
      <c r="B315" s="21" t="s">
        <v>367</v>
      </c>
      <c r="C315" s="22">
        <v>4400</v>
      </c>
      <c r="D315" s="23">
        <v>0</v>
      </c>
      <c r="E315" s="24">
        <v>0</v>
      </c>
    </row>
    <row r="316" spans="1:5" x14ac:dyDescent="0.3">
      <c r="A316" s="20" t="s">
        <v>315</v>
      </c>
      <c r="B316" s="21" t="s">
        <v>368</v>
      </c>
      <c r="C316" s="22">
        <v>4400</v>
      </c>
      <c r="D316" s="23">
        <v>0</v>
      </c>
      <c r="E316" s="24">
        <v>0</v>
      </c>
    </row>
    <row r="317" spans="1:5" x14ac:dyDescent="0.3">
      <c r="A317" s="20" t="s">
        <v>315</v>
      </c>
      <c r="B317" s="21" t="s">
        <v>369</v>
      </c>
      <c r="C317" s="22">
        <v>4400</v>
      </c>
      <c r="D317" s="23">
        <v>0</v>
      </c>
      <c r="E317" s="24">
        <v>0</v>
      </c>
    </row>
    <row r="318" spans="1:5" x14ac:dyDescent="0.3">
      <c r="A318" s="20" t="s">
        <v>315</v>
      </c>
      <c r="B318" s="21" t="s">
        <v>370</v>
      </c>
      <c r="C318" s="22">
        <v>4400</v>
      </c>
      <c r="D318" s="23">
        <v>0</v>
      </c>
      <c r="E318" s="24">
        <v>0</v>
      </c>
    </row>
    <row r="319" spans="1:5" x14ac:dyDescent="0.3">
      <c r="A319" s="20" t="s">
        <v>315</v>
      </c>
      <c r="B319" s="21" t="s">
        <v>371</v>
      </c>
      <c r="C319" s="22">
        <v>4400</v>
      </c>
      <c r="D319" s="23">
        <v>0</v>
      </c>
      <c r="E319" s="24">
        <v>0</v>
      </c>
    </row>
    <row r="320" spans="1:5" x14ac:dyDescent="0.3">
      <c r="A320" s="20" t="s">
        <v>315</v>
      </c>
      <c r="B320" s="21" t="s">
        <v>372</v>
      </c>
      <c r="C320" s="22">
        <v>4400</v>
      </c>
      <c r="D320" s="23">
        <v>0</v>
      </c>
      <c r="E320" s="24">
        <v>0</v>
      </c>
    </row>
    <row r="321" spans="1:5" x14ac:dyDescent="0.3">
      <c r="A321" s="20" t="s">
        <v>315</v>
      </c>
      <c r="B321" s="21" t="s">
        <v>373</v>
      </c>
      <c r="C321" s="22">
        <v>2200</v>
      </c>
      <c r="D321" s="23">
        <v>0</v>
      </c>
      <c r="E321" s="24">
        <v>0</v>
      </c>
    </row>
    <row r="322" spans="1:5" x14ac:dyDescent="0.3">
      <c r="A322" s="20" t="s">
        <v>315</v>
      </c>
      <c r="B322" s="21" t="s">
        <v>374</v>
      </c>
      <c r="C322" s="22">
        <v>4400</v>
      </c>
      <c r="D322" s="23">
        <v>0</v>
      </c>
      <c r="E322" s="24">
        <v>0</v>
      </c>
    </row>
    <row r="323" spans="1:5" x14ac:dyDescent="0.3">
      <c r="A323" s="20" t="s">
        <v>315</v>
      </c>
      <c r="B323" s="21" t="s">
        <v>375</v>
      </c>
      <c r="C323" s="22">
        <v>4400</v>
      </c>
      <c r="D323" s="23">
        <v>0</v>
      </c>
      <c r="E323" s="24">
        <v>0</v>
      </c>
    </row>
    <row r="324" spans="1:5" x14ac:dyDescent="0.3">
      <c r="A324" s="20" t="s">
        <v>315</v>
      </c>
      <c r="B324" s="21" t="s">
        <v>376</v>
      </c>
      <c r="C324" s="22">
        <v>4400</v>
      </c>
      <c r="D324" s="23">
        <v>0</v>
      </c>
      <c r="E324" s="24">
        <v>0</v>
      </c>
    </row>
    <row r="325" spans="1:5" x14ac:dyDescent="0.3">
      <c r="A325" s="20" t="s">
        <v>315</v>
      </c>
      <c r="B325" s="21" t="s">
        <v>377</v>
      </c>
      <c r="C325" s="22">
        <v>2200</v>
      </c>
      <c r="D325" s="23">
        <v>0</v>
      </c>
      <c r="E325" s="24">
        <v>0</v>
      </c>
    </row>
    <row r="326" spans="1:5" x14ac:dyDescent="0.3">
      <c r="A326" s="16" t="s">
        <v>82</v>
      </c>
      <c r="B326" s="16" t="s">
        <v>366</v>
      </c>
      <c r="C326" s="17">
        <v>7700</v>
      </c>
      <c r="D326" s="18">
        <v>0</v>
      </c>
      <c r="E326" s="19">
        <v>0</v>
      </c>
    </row>
    <row r="327" spans="1:5" x14ac:dyDescent="0.3">
      <c r="A327" s="20" t="s">
        <v>82</v>
      </c>
      <c r="B327" s="21" t="s">
        <v>367</v>
      </c>
      <c r="C327" s="22">
        <v>7700</v>
      </c>
      <c r="D327" s="23">
        <v>0</v>
      </c>
      <c r="E327" s="24">
        <v>0</v>
      </c>
    </row>
    <row r="328" spans="1:5" x14ac:dyDescent="0.3">
      <c r="A328" s="20" t="s">
        <v>82</v>
      </c>
      <c r="B328" s="21" t="s">
        <v>368</v>
      </c>
      <c r="C328" s="22">
        <v>7700</v>
      </c>
      <c r="D328" s="23">
        <v>0</v>
      </c>
      <c r="E328" s="24">
        <v>0</v>
      </c>
    </row>
    <row r="329" spans="1:5" x14ac:dyDescent="0.3">
      <c r="A329" s="20" t="s">
        <v>82</v>
      </c>
      <c r="B329" s="21" t="s">
        <v>369</v>
      </c>
      <c r="C329" s="22">
        <v>7700</v>
      </c>
      <c r="D329" s="23">
        <v>0</v>
      </c>
      <c r="E329" s="24">
        <v>0</v>
      </c>
    </row>
    <row r="330" spans="1:5" x14ac:dyDescent="0.3">
      <c r="A330" s="20" t="s">
        <v>82</v>
      </c>
      <c r="B330" s="21" t="s">
        <v>370</v>
      </c>
      <c r="C330" s="22">
        <v>7700</v>
      </c>
      <c r="D330" s="23">
        <v>0</v>
      </c>
      <c r="E330" s="24">
        <v>0</v>
      </c>
    </row>
    <row r="331" spans="1:5" x14ac:dyDescent="0.3">
      <c r="A331" s="20" t="s">
        <v>82</v>
      </c>
      <c r="B331" s="21" t="s">
        <v>371</v>
      </c>
      <c r="C331" s="22">
        <v>7700</v>
      </c>
      <c r="D331" s="23">
        <v>0</v>
      </c>
      <c r="E331" s="24">
        <v>0</v>
      </c>
    </row>
    <row r="332" spans="1:5" x14ac:dyDescent="0.3">
      <c r="A332" s="20" t="s">
        <v>82</v>
      </c>
      <c r="B332" s="21" t="s">
        <v>372</v>
      </c>
      <c r="C332" s="22">
        <v>7700</v>
      </c>
      <c r="D332" s="23">
        <v>0</v>
      </c>
      <c r="E332" s="24">
        <v>0</v>
      </c>
    </row>
    <row r="333" spans="1:5" x14ac:dyDescent="0.3">
      <c r="A333" s="20" t="s">
        <v>82</v>
      </c>
      <c r="B333" s="21" t="s">
        <v>373</v>
      </c>
      <c r="C333" s="22">
        <v>3300</v>
      </c>
      <c r="D333" s="23">
        <v>0</v>
      </c>
      <c r="E333" s="24">
        <v>0</v>
      </c>
    </row>
    <row r="334" spans="1:5" x14ac:dyDescent="0.3">
      <c r="A334" s="20" t="s">
        <v>82</v>
      </c>
      <c r="B334" s="21" t="s">
        <v>374</v>
      </c>
      <c r="C334" s="22">
        <v>7700</v>
      </c>
      <c r="D334" s="23">
        <v>0</v>
      </c>
      <c r="E334" s="24">
        <v>0</v>
      </c>
    </row>
    <row r="335" spans="1:5" x14ac:dyDescent="0.3">
      <c r="A335" s="20" t="s">
        <v>82</v>
      </c>
      <c r="B335" s="21" t="s">
        <v>375</v>
      </c>
      <c r="C335" s="22">
        <v>7700</v>
      </c>
      <c r="D335" s="23">
        <v>0</v>
      </c>
      <c r="E335" s="24">
        <v>0</v>
      </c>
    </row>
    <row r="336" spans="1:5" x14ac:dyDescent="0.3">
      <c r="A336" s="20" t="s">
        <v>82</v>
      </c>
      <c r="B336" s="21" t="s">
        <v>376</v>
      </c>
      <c r="C336" s="22">
        <v>7700</v>
      </c>
      <c r="D336" s="23">
        <v>0</v>
      </c>
      <c r="E336" s="24">
        <v>0</v>
      </c>
    </row>
    <row r="337" spans="1:5" x14ac:dyDescent="0.3">
      <c r="A337" s="20" t="s">
        <v>82</v>
      </c>
      <c r="B337" s="21" t="s">
        <v>377</v>
      </c>
      <c r="C337" s="22">
        <v>3300</v>
      </c>
      <c r="D337" s="23">
        <v>0</v>
      </c>
      <c r="E337" s="24">
        <v>0</v>
      </c>
    </row>
    <row r="338" spans="1:5" x14ac:dyDescent="0.3">
      <c r="A338" s="16" t="s">
        <v>268</v>
      </c>
      <c r="B338" s="16" t="s">
        <v>366</v>
      </c>
      <c r="C338" s="17">
        <v>94600</v>
      </c>
      <c r="D338" s="18">
        <v>0</v>
      </c>
      <c r="E338" s="19">
        <v>0</v>
      </c>
    </row>
    <row r="339" spans="1:5" x14ac:dyDescent="0.3">
      <c r="A339" s="20" t="s">
        <v>268</v>
      </c>
      <c r="B339" s="21" t="s">
        <v>367</v>
      </c>
      <c r="C339" s="22">
        <v>94600</v>
      </c>
      <c r="D339" s="23">
        <v>0</v>
      </c>
      <c r="E339" s="24">
        <v>0</v>
      </c>
    </row>
    <row r="340" spans="1:5" x14ac:dyDescent="0.3">
      <c r="A340" s="20" t="s">
        <v>268</v>
      </c>
      <c r="B340" s="21" t="s">
        <v>368</v>
      </c>
      <c r="C340" s="22">
        <v>94600</v>
      </c>
      <c r="D340" s="23">
        <v>0</v>
      </c>
      <c r="E340" s="24">
        <v>0</v>
      </c>
    </row>
    <row r="341" spans="1:5" x14ac:dyDescent="0.3">
      <c r="A341" s="20" t="s">
        <v>268</v>
      </c>
      <c r="B341" s="21" t="s">
        <v>369</v>
      </c>
      <c r="C341" s="22">
        <v>94600</v>
      </c>
      <c r="D341" s="23">
        <v>0</v>
      </c>
      <c r="E341" s="24">
        <v>0</v>
      </c>
    </row>
    <row r="342" spans="1:5" x14ac:dyDescent="0.3">
      <c r="A342" s="20" t="s">
        <v>268</v>
      </c>
      <c r="B342" s="21" t="s">
        <v>370</v>
      </c>
      <c r="C342" s="22">
        <v>94600</v>
      </c>
      <c r="D342" s="23">
        <v>0</v>
      </c>
      <c r="E342" s="24">
        <v>0</v>
      </c>
    </row>
    <row r="343" spans="1:5" x14ac:dyDescent="0.3">
      <c r="A343" s="20" t="s">
        <v>268</v>
      </c>
      <c r="B343" s="21" t="s">
        <v>371</v>
      </c>
      <c r="C343" s="22">
        <v>94600</v>
      </c>
      <c r="D343" s="23">
        <v>0</v>
      </c>
      <c r="E343" s="24">
        <v>0</v>
      </c>
    </row>
    <row r="344" spans="1:5" x14ac:dyDescent="0.3">
      <c r="A344" s="20" t="s">
        <v>268</v>
      </c>
      <c r="B344" s="21" t="s">
        <v>372</v>
      </c>
      <c r="C344" s="22">
        <v>94600</v>
      </c>
      <c r="D344" s="23">
        <v>0</v>
      </c>
      <c r="E344" s="24">
        <v>0</v>
      </c>
    </row>
    <row r="345" spans="1:5" x14ac:dyDescent="0.3">
      <c r="A345" s="20" t="s">
        <v>268</v>
      </c>
      <c r="B345" s="21" t="s">
        <v>373</v>
      </c>
      <c r="C345" s="22">
        <v>47300</v>
      </c>
      <c r="D345" s="23">
        <v>0</v>
      </c>
      <c r="E345" s="24">
        <v>0</v>
      </c>
    </row>
    <row r="346" spans="1:5" x14ac:dyDescent="0.3">
      <c r="A346" s="20" t="s">
        <v>268</v>
      </c>
      <c r="B346" s="21" t="s">
        <v>374</v>
      </c>
      <c r="C346" s="22">
        <v>94600</v>
      </c>
      <c r="D346" s="23">
        <v>0</v>
      </c>
      <c r="E346" s="24">
        <v>0</v>
      </c>
    </row>
    <row r="347" spans="1:5" x14ac:dyDescent="0.3">
      <c r="A347" s="20" t="s">
        <v>268</v>
      </c>
      <c r="B347" s="21" t="s">
        <v>375</v>
      </c>
      <c r="C347" s="22">
        <v>94600</v>
      </c>
      <c r="D347" s="23">
        <v>0</v>
      </c>
      <c r="E347" s="24">
        <v>0</v>
      </c>
    </row>
    <row r="348" spans="1:5" x14ac:dyDescent="0.3">
      <c r="A348" s="20" t="s">
        <v>268</v>
      </c>
      <c r="B348" s="21" t="s">
        <v>376</v>
      </c>
      <c r="C348" s="22">
        <v>94600</v>
      </c>
      <c r="D348" s="23">
        <v>0</v>
      </c>
      <c r="E348" s="24">
        <v>0</v>
      </c>
    </row>
    <row r="349" spans="1:5" x14ac:dyDescent="0.3">
      <c r="A349" s="20" t="s">
        <v>268</v>
      </c>
      <c r="B349" s="21" t="s">
        <v>377</v>
      </c>
      <c r="C349" s="22">
        <v>47300</v>
      </c>
      <c r="D349" s="23">
        <v>0</v>
      </c>
      <c r="E349" s="24">
        <v>0</v>
      </c>
    </row>
    <row r="350" spans="1:5" x14ac:dyDescent="0.3">
      <c r="A350" s="16" t="s">
        <v>293</v>
      </c>
      <c r="B350" s="16" t="s">
        <v>366</v>
      </c>
      <c r="C350" s="17">
        <v>14300</v>
      </c>
      <c r="D350" s="18">
        <v>0</v>
      </c>
      <c r="E350" s="19">
        <v>0</v>
      </c>
    </row>
    <row r="351" spans="1:5" x14ac:dyDescent="0.3">
      <c r="A351" s="20" t="s">
        <v>293</v>
      </c>
      <c r="B351" s="21" t="s">
        <v>367</v>
      </c>
      <c r="C351" s="22">
        <v>14300</v>
      </c>
      <c r="D351" s="23">
        <v>0</v>
      </c>
      <c r="E351" s="24">
        <v>0</v>
      </c>
    </row>
    <row r="352" spans="1:5" x14ac:dyDescent="0.3">
      <c r="A352" s="20" t="s">
        <v>293</v>
      </c>
      <c r="B352" s="21" t="s">
        <v>368</v>
      </c>
      <c r="C352" s="22">
        <v>14300</v>
      </c>
      <c r="D352" s="23">
        <v>0</v>
      </c>
      <c r="E352" s="24">
        <v>0</v>
      </c>
    </row>
    <row r="353" spans="1:5" x14ac:dyDescent="0.3">
      <c r="A353" s="20" t="s">
        <v>293</v>
      </c>
      <c r="B353" s="21" t="s">
        <v>369</v>
      </c>
      <c r="C353" s="22">
        <v>14300</v>
      </c>
      <c r="D353" s="23">
        <v>0</v>
      </c>
      <c r="E353" s="24">
        <v>0</v>
      </c>
    </row>
    <row r="354" spans="1:5" x14ac:dyDescent="0.3">
      <c r="A354" s="20" t="s">
        <v>293</v>
      </c>
      <c r="B354" s="21" t="s">
        <v>370</v>
      </c>
      <c r="C354" s="22">
        <v>14300</v>
      </c>
      <c r="D354" s="23">
        <v>0</v>
      </c>
      <c r="E354" s="24">
        <v>0</v>
      </c>
    </row>
    <row r="355" spans="1:5" x14ac:dyDescent="0.3">
      <c r="A355" s="20" t="s">
        <v>293</v>
      </c>
      <c r="B355" s="21" t="s">
        <v>371</v>
      </c>
      <c r="C355" s="22">
        <v>14300</v>
      </c>
      <c r="D355" s="23">
        <v>0</v>
      </c>
      <c r="E355" s="24">
        <v>0</v>
      </c>
    </row>
    <row r="356" spans="1:5" x14ac:dyDescent="0.3">
      <c r="A356" s="20" t="s">
        <v>293</v>
      </c>
      <c r="B356" s="21" t="s">
        <v>372</v>
      </c>
      <c r="C356" s="22">
        <v>14300</v>
      </c>
      <c r="D356" s="23">
        <v>0</v>
      </c>
      <c r="E356" s="24">
        <v>0</v>
      </c>
    </row>
    <row r="357" spans="1:5" x14ac:dyDescent="0.3">
      <c r="A357" s="20" t="s">
        <v>293</v>
      </c>
      <c r="B357" s="21" t="s">
        <v>373</v>
      </c>
      <c r="C357" s="22">
        <v>7700</v>
      </c>
      <c r="D357" s="23">
        <v>0</v>
      </c>
      <c r="E357" s="24">
        <v>0</v>
      </c>
    </row>
    <row r="358" spans="1:5" x14ac:dyDescent="0.3">
      <c r="A358" s="20" t="s">
        <v>293</v>
      </c>
      <c r="B358" s="21" t="s">
        <v>374</v>
      </c>
      <c r="C358" s="22">
        <v>14300</v>
      </c>
      <c r="D358" s="23">
        <v>0</v>
      </c>
      <c r="E358" s="24">
        <v>0</v>
      </c>
    </row>
    <row r="359" spans="1:5" x14ac:dyDescent="0.3">
      <c r="A359" s="20" t="s">
        <v>293</v>
      </c>
      <c r="B359" s="21" t="s">
        <v>375</v>
      </c>
      <c r="C359" s="22">
        <v>14300</v>
      </c>
      <c r="D359" s="23">
        <v>0</v>
      </c>
      <c r="E359" s="24">
        <v>0</v>
      </c>
    </row>
    <row r="360" spans="1:5" x14ac:dyDescent="0.3">
      <c r="A360" s="20" t="s">
        <v>293</v>
      </c>
      <c r="B360" s="21" t="s">
        <v>376</v>
      </c>
      <c r="C360" s="22">
        <v>14300</v>
      </c>
      <c r="D360" s="23">
        <v>0</v>
      </c>
      <c r="E360" s="24">
        <v>0</v>
      </c>
    </row>
    <row r="361" spans="1:5" x14ac:dyDescent="0.3">
      <c r="A361" s="20" t="s">
        <v>293</v>
      </c>
      <c r="B361" s="21" t="s">
        <v>377</v>
      </c>
      <c r="C361" s="22">
        <v>7700</v>
      </c>
      <c r="D361" s="23">
        <v>0</v>
      </c>
      <c r="E361" s="24">
        <v>0</v>
      </c>
    </row>
    <row r="362" spans="1:5" x14ac:dyDescent="0.3">
      <c r="A362" s="16" t="s">
        <v>294</v>
      </c>
      <c r="B362" s="16" t="s">
        <v>366</v>
      </c>
      <c r="C362" s="17">
        <v>44000</v>
      </c>
      <c r="D362" s="18">
        <v>0</v>
      </c>
      <c r="E362" s="19">
        <v>0</v>
      </c>
    </row>
    <row r="363" spans="1:5" x14ac:dyDescent="0.3">
      <c r="A363" s="20" t="s">
        <v>294</v>
      </c>
      <c r="B363" s="21" t="s">
        <v>367</v>
      </c>
      <c r="C363" s="22">
        <v>44000</v>
      </c>
      <c r="D363" s="23">
        <v>0</v>
      </c>
      <c r="E363" s="24">
        <v>0</v>
      </c>
    </row>
    <row r="364" spans="1:5" x14ac:dyDescent="0.3">
      <c r="A364" s="20" t="s">
        <v>294</v>
      </c>
      <c r="B364" s="21" t="s">
        <v>368</v>
      </c>
      <c r="C364" s="22">
        <v>44000</v>
      </c>
      <c r="D364" s="23">
        <v>0</v>
      </c>
      <c r="E364" s="24">
        <v>0</v>
      </c>
    </row>
    <row r="365" spans="1:5" x14ac:dyDescent="0.3">
      <c r="A365" s="20" t="s">
        <v>294</v>
      </c>
      <c r="B365" s="21" t="s">
        <v>369</v>
      </c>
      <c r="C365" s="22">
        <v>44000</v>
      </c>
      <c r="D365" s="23">
        <v>0</v>
      </c>
      <c r="E365" s="24">
        <v>0</v>
      </c>
    </row>
    <row r="366" spans="1:5" x14ac:dyDescent="0.3">
      <c r="A366" s="20" t="s">
        <v>294</v>
      </c>
      <c r="B366" s="21" t="s">
        <v>370</v>
      </c>
      <c r="C366" s="22">
        <v>44000</v>
      </c>
      <c r="D366" s="23">
        <v>0</v>
      </c>
      <c r="E366" s="24">
        <v>0</v>
      </c>
    </row>
    <row r="367" spans="1:5" x14ac:dyDescent="0.3">
      <c r="A367" s="20" t="s">
        <v>294</v>
      </c>
      <c r="B367" s="21" t="s">
        <v>371</v>
      </c>
      <c r="C367" s="22">
        <v>44000</v>
      </c>
      <c r="D367" s="23">
        <v>0</v>
      </c>
      <c r="E367" s="24">
        <v>0</v>
      </c>
    </row>
    <row r="368" spans="1:5" x14ac:dyDescent="0.3">
      <c r="A368" s="20" t="s">
        <v>294</v>
      </c>
      <c r="B368" s="21" t="s">
        <v>372</v>
      </c>
      <c r="C368" s="22">
        <v>44000</v>
      </c>
      <c r="D368" s="23">
        <v>0</v>
      </c>
      <c r="E368" s="24">
        <v>0</v>
      </c>
    </row>
    <row r="369" spans="1:5" x14ac:dyDescent="0.3">
      <c r="A369" s="20" t="s">
        <v>294</v>
      </c>
      <c r="B369" s="21" t="s">
        <v>373</v>
      </c>
      <c r="C369" s="22">
        <v>22000</v>
      </c>
      <c r="D369" s="23">
        <v>0</v>
      </c>
      <c r="E369" s="24">
        <v>0</v>
      </c>
    </row>
    <row r="370" spans="1:5" x14ac:dyDescent="0.3">
      <c r="A370" s="20" t="s">
        <v>294</v>
      </c>
      <c r="B370" s="21" t="s">
        <v>374</v>
      </c>
      <c r="C370" s="22">
        <v>44000</v>
      </c>
      <c r="D370" s="23">
        <v>0</v>
      </c>
      <c r="E370" s="24">
        <v>0</v>
      </c>
    </row>
    <row r="371" spans="1:5" x14ac:dyDescent="0.3">
      <c r="A371" s="20" t="s">
        <v>294</v>
      </c>
      <c r="B371" s="21" t="s">
        <v>375</v>
      </c>
      <c r="C371" s="22">
        <v>44000</v>
      </c>
      <c r="D371" s="23">
        <v>0</v>
      </c>
      <c r="E371" s="24">
        <v>0</v>
      </c>
    </row>
    <row r="372" spans="1:5" x14ac:dyDescent="0.3">
      <c r="A372" s="20" t="s">
        <v>294</v>
      </c>
      <c r="B372" s="21" t="s">
        <v>376</v>
      </c>
      <c r="C372" s="22">
        <v>44000</v>
      </c>
      <c r="D372" s="23">
        <v>0</v>
      </c>
      <c r="E372" s="24">
        <v>0</v>
      </c>
    </row>
    <row r="373" spans="1:5" x14ac:dyDescent="0.3">
      <c r="A373" s="20" t="s">
        <v>294</v>
      </c>
      <c r="B373" s="21" t="s">
        <v>377</v>
      </c>
      <c r="C373" s="22">
        <v>22000</v>
      </c>
      <c r="D373" s="23">
        <v>0</v>
      </c>
      <c r="E373" s="24">
        <v>0</v>
      </c>
    </row>
    <row r="374" spans="1:5" x14ac:dyDescent="0.3">
      <c r="A374" s="16" t="s">
        <v>381</v>
      </c>
      <c r="B374" s="16" t="s">
        <v>371</v>
      </c>
      <c r="C374" s="17">
        <v>0</v>
      </c>
      <c r="D374" s="18">
        <v>0</v>
      </c>
      <c r="E374" s="19">
        <v>0</v>
      </c>
    </row>
    <row r="375" spans="1:5" x14ac:dyDescent="0.3">
      <c r="A375" s="20" t="s">
        <v>381</v>
      </c>
      <c r="B375" s="21" t="s">
        <v>373</v>
      </c>
      <c r="C375" s="22">
        <v>0</v>
      </c>
      <c r="D375" s="23">
        <v>0</v>
      </c>
      <c r="E375" s="24">
        <v>0</v>
      </c>
    </row>
    <row r="376" spans="1:5" x14ac:dyDescent="0.3">
      <c r="A376" s="16" t="s">
        <v>59</v>
      </c>
      <c r="B376" s="16" t="s">
        <v>366</v>
      </c>
      <c r="C376" s="17">
        <v>100100</v>
      </c>
      <c r="D376" s="18">
        <v>0</v>
      </c>
      <c r="E376" s="19">
        <v>0</v>
      </c>
    </row>
    <row r="377" spans="1:5" x14ac:dyDescent="0.3">
      <c r="A377" s="20" t="s">
        <v>59</v>
      </c>
      <c r="B377" s="21" t="s">
        <v>367</v>
      </c>
      <c r="C377" s="22">
        <v>100100</v>
      </c>
      <c r="D377" s="23">
        <v>0</v>
      </c>
      <c r="E377" s="24">
        <v>0</v>
      </c>
    </row>
    <row r="378" spans="1:5" x14ac:dyDescent="0.3">
      <c r="A378" s="20" t="s">
        <v>59</v>
      </c>
      <c r="B378" s="21" t="s">
        <v>368</v>
      </c>
      <c r="C378" s="22">
        <v>100100</v>
      </c>
      <c r="D378" s="23">
        <v>0</v>
      </c>
      <c r="E378" s="24">
        <v>0</v>
      </c>
    </row>
    <row r="379" spans="1:5" x14ac:dyDescent="0.3">
      <c r="A379" s="20" t="s">
        <v>59</v>
      </c>
      <c r="B379" s="21" t="s">
        <v>369</v>
      </c>
      <c r="C379" s="22">
        <v>100100</v>
      </c>
      <c r="D379" s="23">
        <v>0</v>
      </c>
      <c r="E379" s="24">
        <v>0</v>
      </c>
    </row>
    <row r="380" spans="1:5" x14ac:dyDescent="0.3">
      <c r="A380" s="20" t="s">
        <v>59</v>
      </c>
      <c r="B380" s="21" t="s">
        <v>370</v>
      </c>
      <c r="C380" s="22">
        <v>100100</v>
      </c>
      <c r="D380" s="23">
        <v>0</v>
      </c>
      <c r="E380" s="24">
        <v>0</v>
      </c>
    </row>
    <row r="381" spans="1:5" x14ac:dyDescent="0.3">
      <c r="A381" s="20" t="s">
        <v>59</v>
      </c>
      <c r="B381" s="21" t="s">
        <v>371</v>
      </c>
      <c r="C381" s="22">
        <v>100100</v>
      </c>
      <c r="D381" s="23">
        <v>0</v>
      </c>
      <c r="E381" s="24">
        <v>0</v>
      </c>
    </row>
    <row r="382" spans="1:5" x14ac:dyDescent="0.3">
      <c r="A382" s="20" t="s">
        <v>59</v>
      </c>
      <c r="B382" s="21" t="s">
        <v>372</v>
      </c>
      <c r="C382" s="22">
        <v>100100</v>
      </c>
      <c r="D382" s="23">
        <v>0</v>
      </c>
      <c r="E382" s="24">
        <v>0</v>
      </c>
    </row>
    <row r="383" spans="1:5" x14ac:dyDescent="0.3">
      <c r="A383" s="20" t="s">
        <v>59</v>
      </c>
      <c r="B383" s="21" t="s">
        <v>373</v>
      </c>
      <c r="C383" s="22">
        <v>50600</v>
      </c>
      <c r="D383" s="23">
        <v>0</v>
      </c>
      <c r="E383" s="24">
        <v>0</v>
      </c>
    </row>
    <row r="384" spans="1:5" x14ac:dyDescent="0.3">
      <c r="A384" s="20" t="s">
        <v>59</v>
      </c>
      <c r="B384" s="21" t="s">
        <v>374</v>
      </c>
      <c r="C384" s="22">
        <v>100100</v>
      </c>
      <c r="D384" s="23">
        <v>0</v>
      </c>
      <c r="E384" s="24">
        <v>0</v>
      </c>
    </row>
    <row r="385" spans="1:5" x14ac:dyDescent="0.3">
      <c r="A385" s="20" t="s">
        <v>59</v>
      </c>
      <c r="B385" s="21" t="s">
        <v>375</v>
      </c>
      <c r="C385" s="22">
        <v>100100</v>
      </c>
      <c r="D385" s="23">
        <v>0</v>
      </c>
      <c r="E385" s="24">
        <v>0</v>
      </c>
    </row>
    <row r="386" spans="1:5" x14ac:dyDescent="0.3">
      <c r="A386" s="20" t="s">
        <v>59</v>
      </c>
      <c r="B386" s="21" t="s">
        <v>376</v>
      </c>
      <c r="C386" s="22">
        <v>100100</v>
      </c>
      <c r="D386" s="23">
        <v>0</v>
      </c>
      <c r="E386" s="24">
        <v>0</v>
      </c>
    </row>
    <row r="387" spans="1:5" x14ac:dyDescent="0.3">
      <c r="A387" s="20" t="s">
        <v>59</v>
      </c>
      <c r="B387" s="21" t="s">
        <v>377</v>
      </c>
      <c r="C387" s="22">
        <v>50600</v>
      </c>
      <c r="D387" s="23">
        <v>0</v>
      </c>
      <c r="E387" s="24">
        <v>0</v>
      </c>
    </row>
    <row r="388" spans="1:5" x14ac:dyDescent="0.3">
      <c r="A388" s="16" t="s">
        <v>60</v>
      </c>
      <c r="B388" s="16" t="s">
        <v>366</v>
      </c>
      <c r="C388" s="17">
        <v>24200</v>
      </c>
      <c r="D388" s="18">
        <v>0</v>
      </c>
      <c r="E388" s="19">
        <v>0</v>
      </c>
    </row>
    <row r="389" spans="1:5" x14ac:dyDescent="0.3">
      <c r="A389" s="20" t="s">
        <v>60</v>
      </c>
      <c r="B389" s="21" t="s">
        <v>367</v>
      </c>
      <c r="C389" s="22">
        <v>24200</v>
      </c>
      <c r="D389" s="23">
        <v>0</v>
      </c>
      <c r="E389" s="24">
        <v>20000</v>
      </c>
    </row>
    <row r="390" spans="1:5" x14ac:dyDescent="0.3">
      <c r="A390" s="20" t="s">
        <v>60</v>
      </c>
      <c r="B390" s="21" t="s">
        <v>368</v>
      </c>
      <c r="C390" s="22">
        <v>24200</v>
      </c>
      <c r="D390" s="23">
        <v>0</v>
      </c>
      <c r="E390" s="24">
        <v>20000</v>
      </c>
    </row>
    <row r="391" spans="1:5" x14ac:dyDescent="0.3">
      <c r="A391" s="20" t="s">
        <v>60</v>
      </c>
      <c r="B391" s="21" t="s">
        <v>369</v>
      </c>
      <c r="C391" s="22">
        <v>24200</v>
      </c>
      <c r="D391" s="23">
        <v>0</v>
      </c>
      <c r="E391" s="24">
        <v>20000</v>
      </c>
    </row>
    <row r="392" spans="1:5" x14ac:dyDescent="0.3">
      <c r="A392" s="20" t="s">
        <v>60</v>
      </c>
      <c r="B392" s="21" t="s">
        <v>370</v>
      </c>
      <c r="C392" s="22">
        <v>24200</v>
      </c>
      <c r="D392" s="23">
        <v>0</v>
      </c>
      <c r="E392" s="24">
        <v>20000</v>
      </c>
    </row>
    <row r="393" spans="1:5" x14ac:dyDescent="0.3">
      <c r="A393" s="20" t="s">
        <v>60</v>
      </c>
      <c r="B393" s="21" t="s">
        <v>371</v>
      </c>
      <c r="C393" s="22">
        <v>24200</v>
      </c>
      <c r="D393" s="23">
        <v>0</v>
      </c>
      <c r="E393" s="24">
        <v>20000</v>
      </c>
    </row>
    <row r="394" spans="1:5" x14ac:dyDescent="0.3">
      <c r="A394" s="20" t="s">
        <v>60</v>
      </c>
      <c r="B394" s="21" t="s">
        <v>372</v>
      </c>
      <c r="C394" s="22">
        <v>24200</v>
      </c>
      <c r="D394" s="23">
        <v>0</v>
      </c>
      <c r="E394" s="24">
        <v>20000</v>
      </c>
    </row>
    <row r="395" spans="1:5" x14ac:dyDescent="0.3">
      <c r="A395" s="20" t="s">
        <v>60</v>
      </c>
      <c r="B395" s="21" t="s">
        <v>373</v>
      </c>
      <c r="C395" s="22">
        <v>12100</v>
      </c>
      <c r="D395" s="23">
        <v>0</v>
      </c>
      <c r="E395" s="24">
        <v>0</v>
      </c>
    </row>
    <row r="396" spans="1:5" x14ac:dyDescent="0.3">
      <c r="A396" s="20" t="s">
        <v>60</v>
      </c>
      <c r="B396" s="21" t="s">
        <v>374</v>
      </c>
      <c r="C396" s="22">
        <v>24200</v>
      </c>
      <c r="D396" s="23">
        <v>0</v>
      </c>
      <c r="E396" s="24">
        <v>20000</v>
      </c>
    </row>
    <row r="397" spans="1:5" x14ac:dyDescent="0.3">
      <c r="A397" s="20" t="s">
        <v>60</v>
      </c>
      <c r="B397" s="21" t="s">
        <v>375</v>
      </c>
      <c r="C397" s="22">
        <v>24200</v>
      </c>
      <c r="D397" s="23">
        <v>0</v>
      </c>
      <c r="E397" s="24">
        <v>20000</v>
      </c>
    </row>
    <row r="398" spans="1:5" x14ac:dyDescent="0.3">
      <c r="A398" s="20" t="s">
        <v>60</v>
      </c>
      <c r="B398" s="21" t="s">
        <v>376</v>
      </c>
      <c r="C398" s="22">
        <v>24200</v>
      </c>
      <c r="D398" s="23">
        <v>0</v>
      </c>
      <c r="E398" s="24">
        <v>0</v>
      </c>
    </row>
    <row r="399" spans="1:5" x14ac:dyDescent="0.3">
      <c r="A399" s="20" t="s">
        <v>60</v>
      </c>
      <c r="B399" s="21" t="s">
        <v>377</v>
      </c>
      <c r="C399" s="22">
        <v>12100</v>
      </c>
      <c r="D399" s="23">
        <v>0</v>
      </c>
      <c r="E399" s="24">
        <v>0</v>
      </c>
    </row>
    <row r="400" spans="1:5" x14ac:dyDescent="0.3">
      <c r="A400" s="16" t="s">
        <v>61</v>
      </c>
      <c r="B400" s="16" t="s">
        <v>366</v>
      </c>
      <c r="C400" s="17">
        <v>0</v>
      </c>
      <c r="D400" s="18">
        <v>0</v>
      </c>
      <c r="E400" s="19">
        <v>15000</v>
      </c>
    </row>
    <row r="401" spans="1:5" x14ac:dyDescent="0.3">
      <c r="A401" s="20" t="s">
        <v>61</v>
      </c>
      <c r="B401" s="21" t="s">
        <v>367</v>
      </c>
      <c r="C401" s="22">
        <v>0</v>
      </c>
      <c r="D401" s="23">
        <v>0</v>
      </c>
      <c r="E401" s="24">
        <v>15000</v>
      </c>
    </row>
    <row r="402" spans="1:5" x14ac:dyDescent="0.3">
      <c r="A402" s="20" t="s">
        <v>61</v>
      </c>
      <c r="B402" s="21" t="s">
        <v>369</v>
      </c>
      <c r="C402" s="22">
        <v>0</v>
      </c>
      <c r="D402" s="23">
        <v>0</v>
      </c>
      <c r="E402" s="24">
        <v>15000</v>
      </c>
    </row>
    <row r="403" spans="1:5" x14ac:dyDescent="0.3">
      <c r="A403" s="16" t="s">
        <v>63</v>
      </c>
      <c r="B403" s="16" t="s">
        <v>366</v>
      </c>
      <c r="C403" s="17">
        <v>12100</v>
      </c>
      <c r="D403" s="18">
        <v>0</v>
      </c>
      <c r="E403" s="19">
        <v>10000</v>
      </c>
    </row>
    <row r="404" spans="1:5" x14ac:dyDescent="0.3">
      <c r="A404" s="20" t="s">
        <v>63</v>
      </c>
      <c r="B404" s="21" t="s">
        <v>367</v>
      </c>
      <c r="C404" s="22">
        <v>12100</v>
      </c>
      <c r="D404" s="23">
        <v>0</v>
      </c>
      <c r="E404" s="24">
        <v>15000</v>
      </c>
    </row>
    <row r="405" spans="1:5" x14ac:dyDescent="0.3">
      <c r="A405" s="20" t="s">
        <v>63</v>
      </c>
      <c r="B405" s="21" t="s">
        <v>368</v>
      </c>
      <c r="C405" s="22">
        <v>12100</v>
      </c>
      <c r="D405" s="23">
        <v>0</v>
      </c>
      <c r="E405" s="24">
        <v>15000</v>
      </c>
    </row>
    <row r="406" spans="1:5" x14ac:dyDescent="0.3">
      <c r="A406" s="20" t="s">
        <v>63</v>
      </c>
      <c r="B406" s="21" t="s">
        <v>369</v>
      </c>
      <c r="C406" s="22">
        <v>12100</v>
      </c>
      <c r="D406" s="23">
        <v>0</v>
      </c>
      <c r="E406" s="24">
        <v>15000</v>
      </c>
    </row>
    <row r="407" spans="1:5" x14ac:dyDescent="0.3">
      <c r="A407" s="20" t="s">
        <v>63</v>
      </c>
      <c r="B407" s="21" t="s">
        <v>370</v>
      </c>
      <c r="C407" s="22">
        <v>12100</v>
      </c>
      <c r="D407" s="23">
        <v>0</v>
      </c>
      <c r="E407" s="24">
        <v>15000</v>
      </c>
    </row>
    <row r="408" spans="1:5" x14ac:dyDescent="0.3">
      <c r="A408" s="20" t="s">
        <v>63</v>
      </c>
      <c r="B408" s="21" t="s">
        <v>371</v>
      </c>
      <c r="C408" s="22">
        <v>12100</v>
      </c>
      <c r="D408" s="23">
        <v>0</v>
      </c>
      <c r="E408" s="24">
        <v>15000</v>
      </c>
    </row>
    <row r="409" spans="1:5" x14ac:dyDescent="0.3">
      <c r="A409" s="20" t="s">
        <v>63</v>
      </c>
      <c r="B409" s="21" t="s">
        <v>372</v>
      </c>
      <c r="C409" s="22">
        <v>12100</v>
      </c>
      <c r="D409" s="23">
        <v>0</v>
      </c>
      <c r="E409" s="24">
        <v>15000</v>
      </c>
    </row>
    <row r="410" spans="1:5" x14ac:dyDescent="0.3">
      <c r="A410" s="20" t="s">
        <v>63</v>
      </c>
      <c r="B410" s="21" t="s">
        <v>373</v>
      </c>
      <c r="C410" s="22">
        <v>5500</v>
      </c>
      <c r="D410" s="23">
        <v>0</v>
      </c>
      <c r="E410" s="24">
        <v>15000</v>
      </c>
    </row>
    <row r="411" spans="1:5" x14ac:dyDescent="0.3">
      <c r="A411" s="20" t="s">
        <v>63</v>
      </c>
      <c r="B411" s="21" t="s">
        <v>374</v>
      </c>
      <c r="C411" s="22">
        <v>12100</v>
      </c>
      <c r="D411" s="23">
        <v>0</v>
      </c>
      <c r="E411" s="24">
        <v>5000</v>
      </c>
    </row>
    <row r="412" spans="1:5" x14ac:dyDescent="0.3">
      <c r="A412" s="20" t="s">
        <v>63</v>
      </c>
      <c r="B412" s="21" t="s">
        <v>375</v>
      </c>
      <c r="C412" s="22">
        <v>12100</v>
      </c>
      <c r="D412" s="23">
        <v>0</v>
      </c>
      <c r="E412" s="24">
        <v>5000</v>
      </c>
    </row>
    <row r="413" spans="1:5" x14ac:dyDescent="0.3">
      <c r="A413" s="20" t="s">
        <v>63</v>
      </c>
      <c r="B413" s="21" t="s">
        <v>376</v>
      </c>
      <c r="C413" s="22">
        <v>12100</v>
      </c>
      <c r="D413" s="23">
        <v>0</v>
      </c>
      <c r="E413" s="24">
        <v>0</v>
      </c>
    </row>
    <row r="414" spans="1:5" x14ac:dyDescent="0.3">
      <c r="A414" s="20" t="s">
        <v>63</v>
      </c>
      <c r="B414" s="21" t="s">
        <v>377</v>
      </c>
      <c r="C414" s="22">
        <v>5500</v>
      </c>
      <c r="D414" s="23">
        <v>0</v>
      </c>
      <c r="E414" s="24">
        <v>0</v>
      </c>
    </row>
    <row r="415" spans="1:5" x14ac:dyDescent="0.3">
      <c r="A415" s="16" t="s">
        <v>64</v>
      </c>
      <c r="B415" s="16" t="s">
        <v>366</v>
      </c>
      <c r="C415" s="17">
        <v>9900</v>
      </c>
      <c r="D415" s="18">
        <v>0</v>
      </c>
      <c r="E415" s="19">
        <v>5000</v>
      </c>
    </row>
    <row r="416" spans="1:5" x14ac:dyDescent="0.3">
      <c r="A416" s="20" t="s">
        <v>64</v>
      </c>
      <c r="B416" s="21" t="s">
        <v>367</v>
      </c>
      <c r="C416" s="22">
        <v>9900</v>
      </c>
      <c r="D416" s="23">
        <v>0</v>
      </c>
      <c r="E416" s="24">
        <v>10000</v>
      </c>
    </row>
    <row r="417" spans="1:5" x14ac:dyDescent="0.3">
      <c r="A417" s="20" t="s">
        <v>64</v>
      </c>
      <c r="B417" s="21" t="s">
        <v>368</v>
      </c>
      <c r="C417" s="22">
        <v>9900</v>
      </c>
      <c r="D417" s="23">
        <v>0</v>
      </c>
      <c r="E417" s="24">
        <v>15000</v>
      </c>
    </row>
    <row r="418" spans="1:5" x14ac:dyDescent="0.3">
      <c r="A418" s="20" t="s">
        <v>64</v>
      </c>
      <c r="B418" s="21" t="s">
        <v>369</v>
      </c>
      <c r="C418" s="22">
        <v>9900</v>
      </c>
      <c r="D418" s="23">
        <v>0</v>
      </c>
      <c r="E418" s="24">
        <v>10000</v>
      </c>
    </row>
    <row r="419" spans="1:5" x14ac:dyDescent="0.3">
      <c r="A419" s="20" t="s">
        <v>64</v>
      </c>
      <c r="B419" s="21" t="s">
        <v>370</v>
      </c>
      <c r="C419" s="22">
        <v>9900</v>
      </c>
      <c r="D419" s="23">
        <v>0</v>
      </c>
      <c r="E419" s="24">
        <v>10000</v>
      </c>
    </row>
    <row r="420" spans="1:5" x14ac:dyDescent="0.3">
      <c r="A420" s="20" t="s">
        <v>64</v>
      </c>
      <c r="B420" s="21" t="s">
        <v>371</v>
      </c>
      <c r="C420" s="22">
        <v>9900</v>
      </c>
      <c r="D420" s="23">
        <v>0</v>
      </c>
      <c r="E420" s="24">
        <v>10000</v>
      </c>
    </row>
    <row r="421" spans="1:5" x14ac:dyDescent="0.3">
      <c r="A421" s="20" t="s">
        <v>64</v>
      </c>
      <c r="B421" s="21" t="s">
        <v>372</v>
      </c>
      <c r="C421" s="22">
        <v>9900</v>
      </c>
      <c r="D421" s="23">
        <v>0</v>
      </c>
      <c r="E421" s="24">
        <v>10000</v>
      </c>
    </row>
    <row r="422" spans="1:5" x14ac:dyDescent="0.3">
      <c r="A422" s="20" t="s">
        <v>64</v>
      </c>
      <c r="B422" s="21" t="s">
        <v>373</v>
      </c>
      <c r="C422" s="22">
        <v>5500</v>
      </c>
      <c r="D422" s="23">
        <v>0</v>
      </c>
      <c r="E422" s="24">
        <v>10000</v>
      </c>
    </row>
    <row r="423" spans="1:5" x14ac:dyDescent="0.3">
      <c r="A423" s="20" t="s">
        <v>64</v>
      </c>
      <c r="B423" s="21" t="s">
        <v>374</v>
      </c>
      <c r="C423" s="22">
        <v>9900</v>
      </c>
      <c r="D423" s="23">
        <v>0</v>
      </c>
      <c r="E423" s="24">
        <v>10000</v>
      </c>
    </row>
    <row r="424" spans="1:5" x14ac:dyDescent="0.3">
      <c r="A424" s="20" t="s">
        <v>64</v>
      </c>
      <c r="B424" s="21" t="s">
        <v>375</v>
      </c>
      <c r="C424" s="22">
        <v>9900</v>
      </c>
      <c r="D424" s="23">
        <v>0</v>
      </c>
      <c r="E424" s="24">
        <v>5000</v>
      </c>
    </row>
    <row r="425" spans="1:5" x14ac:dyDescent="0.3">
      <c r="A425" s="20" t="s">
        <v>64</v>
      </c>
      <c r="B425" s="21" t="s">
        <v>376</v>
      </c>
      <c r="C425" s="22">
        <v>9900</v>
      </c>
      <c r="D425" s="23">
        <v>0</v>
      </c>
      <c r="E425" s="24">
        <v>0</v>
      </c>
    </row>
    <row r="426" spans="1:5" x14ac:dyDescent="0.3">
      <c r="A426" s="20" t="s">
        <v>64</v>
      </c>
      <c r="B426" s="21" t="s">
        <v>377</v>
      </c>
      <c r="C426" s="22">
        <v>5500</v>
      </c>
      <c r="D426" s="23">
        <v>0</v>
      </c>
      <c r="E426" s="24">
        <v>0</v>
      </c>
    </row>
    <row r="427" spans="1:5" x14ac:dyDescent="0.3">
      <c r="A427" s="16" t="s">
        <v>382</v>
      </c>
      <c r="B427" s="16" t="s">
        <v>375</v>
      </c>
      <c r="C427" s="17">
        <v>0</v>
      </c>
      <c r="D427" s="18">
        <v>0</v>
      </c>
      <c r="E427" s="19">
        <v>0</v>
      </c>
    </row>
    <row r="428" spans="1:5" x14ac:dyDescent="0.3">
      <c r="A428" s="16" t="s">
        <v>65</v>
      </c>
      <c r="B428" s="16" t="s">
        <v>366</v>
      </c>
      <c r="C428" s="17">
        <v>2200</v>
      </c>
      <c r="D428" s="18">
        <v>0</v>
      </c>
      <c r="E428" s="19">
        <v>3000</v>
      </c>
    </row>
    <row r="429" spans="1:5" x14ac:dyDescent="0.3">
      <c r="A429" s="20" t="s">
        <v>65</v>
      </c>
      <c r="B429" s="21" t="s">
        <v>367</v>
      </c>
      <c r="C429" s="22">
        <v>2200</v>
      </c>
      <c r="D429" s="23">
        <v>0</v>
      </c>
      <c r="E429" s="24">
        <v>1500</v>
      </c>
    </row>
    <row r="430" spans="1:5" x14ac:dyDescent="0.3">
      <c r="A430" s="20" t="s">
        <v>65</v>
      </c>
      <c r="B430" s="21" t="s">
        <v>368</v>
      </c>
      <c r="C430" s="22">
        <v>2200</v>
      </c>
      <c r="D430" s="23">
        <v>0</v>
      </c>
      <c r="E430" s="24">
        <v>0</v>
      </c>
    </row>
    <row r="431" spans="1:5" x14ac:dyDescent="0.3">
      <c r="A431" s="20" t="s">
        <v>65</v>
      </c>
      <c r="B431" s="21" t="s">
        <v>369</v>
      </c>
      <c r="C431" s="22">
        <v>2200</v>
      </c>
      <c r="D431" s="23">
        <v>0</v>
      </c>
      <c r="E431" s="24">
        <v>1500</v>
      </c>
    </row>
    <row r="432" spans="1:5" x14ac:dyDescent="0.3">
      <c r="A432" s="20" t="s">
        <v>65</v>
      </c>
      <c r="B432" s="21" t="s">
        <v>370</v>
      </c>
      <c r="C432" s="22">
        <v>2200</v>
      </c>
      <c r="D432" s="23">
        <v>0</v>
      </c>
      <c r="E432" s="24">
        <v>0</v>
      </c>
    </row>
    <row r="433" spans="1:5" x14ac:dyDescent="0.3">
      <c r="A433" s="20" t="s">
        <v>65</v>
      </c>
      <c r="B433" s="21" t="s">
        <v>371</v>
      </c>
      <c r="C433" s="22">
        <v>2200</v>
      </c>
      <c r="D433" s="23">
        <v>0</v>
      </c>
      <c r="E433" s="24">
        <v>0</v>
      </c>
    </row>
    <row r="434" spans="1:5" x14ac:dyDescent="0.3">
      <c r="A434" s="20" t="s">
        <v>65</v>
      </c>
      <c r="B434" s="21" t="s">
        <v>372</v>
      </c>
      <c r="C434" s="22">
        <v>2200</v>
      </c>
      <c r="D434" s="23">
        <v>0</v>
      </c>
      <c r="E434" s="24">
        <v>0</v>
      </c>
    </row>
    <row r="435" spans="1:5" x14ac:dyDescent="0.3">
      <c r="A435" s="20" t="s">
        <v>65</v>
      </c>
      <c r="B435" s="21" t="s">
        <v>373</v>
      </c>
      <c r="C435" s="22">
        <v>1100</v>
      </c>
      <c r="D435" s="23">
        <v>0</v>
      </c>
      <c r="E435" s="24">
        <v>0</v>
      </c>
    </row>
    <row r="436" spans="1:5" x14ac:dyDescent="0.3">
      <c r="A436" s="20" t="s">
        <v>65</v>
      </c>
      <c r="B436" s="21" t="s">
        <v>374</v>
      </c>
      <c r="C436" s="22">
        <v>2200</v>
      </c>
      <c r="D436" s="23">
        <v>0</v>
      </c>
      <c r="E436" s="24">
        <v>0</v>
      </c>
    </row>
    <row r="437" spans="1:5" x14ac:dyDescent="0.3">
      <c r="A437" s="20" t="s">
        <v>65</v>
      </c>
      <c r="B437" s="21" t="s">
        <v>375</v>
      </c>
      <c r="C437" s="22">
        <v>2200</v>
      </c>
      <c r="D437" s="23">
        <v>0</v>
      </c>
      <c r="E437" s="24">
        <v>0</v>
      </c>
    </row>
    <row r="438" spans="1:5" x14ac:dyDescent="0.3">
      <c r="A438" s="20" t="s">
        <v>65</v>
      </c>
      <c r="B438" s="21" t="s">
        <v>376</v>
      </c>
      <c r="C438" s="22">
        <v>2200</v>
      </c>
      <c r="D438" s="23">
        <v>0</v>
      </c>
      <c r="E438" s="24">
        <v>0</v>
      </c>
    </row>
    <row r="439" spans="1:5" x14ac:dyDescent="0.3">
      <c r="A439" s="20" t="s">
        <v>65</v>
      </c>
      <c r="B439" s="21" t="s">
        <v>377</v>
      </c>
      <c r="C439" s="22">
        <v>1100</v>
      </c>
      <c r="D439" s="23">
        <v>0</v>
      </c>
      <c r="E439" s="24">
        <v>0</v>
      </c>
    </row>
    <row r="440" spans="1:5" x14ac:dyDescent="0.3">
      <c r="A440" s="16" t="s">
        <v>66</v>
      </c>
      <c r="B440" s="16" t="s">
        <v>368</v>
      </c>
      <c r="C440" s="17">
        <v>0</v>
      </c>
      <c r="D440" s="18">
        <v>0</v>
      </c>
      <c r="E440" s="19">
        <v>6000</v>
      </c>
    </row>
    <row r="441" spans="1:5" x14ac:dyDescent="0.3">
      <c r="A441" s="16" t="s">
        <v>383</v>
      </c>
      <c r="B441" s="16" t="s">
        <v>374</v>
      </c>
      <c r="C441" s="17">
        <v>0</v>
      </c>
      <c r="D441" s="18">
        <v>0</v>
      </c>
      <c r="E441" s="19">
        <v>0</v>
      </c>
    </row>
    <row r="442" spans="1:5" x14ac:dyDescent="0.3">
      <c r="A442" s="16" t="s">
        <v>67</v>
      </c>
      <c r="B442" s="16" t="s">
        <v>366</v>
      </c>
      <c r="C442" s="17">
        <v>29700</v>
      </c>
      <c r="D442" s="18">
        <v>0</v>
      </c>
      <c r="E442" s="19">
        <v>36000</v>
      </c>
    </row>
    <row r="443" spans="1:5" x14ac:dyDescent="0.3">
      <c r="A443" s="20" t="s">
        <v>67</v>
      </c>
      <c r="B443" s="21" t="s">
        <v>367</v>
      </c>
      <c r="C443" s="22">
        <v>29700</v>
      </c>
      <c r="D443" s="23">
        <v>0</v>
      </c>
      <c r="E443" s="24">
        <v>9000</v>
      </c>
    </row>
    <row r="444" spans="1:5" x14ac:dyDescent="0.3">
      <c r="A444" s="20" t="s">
        <v>67</v>
      </c>
      <c r="B444" s="21" t="s">
        <v>368</v>
      </c>
      <c r="C444" s="22">
        <v>29700</v>
      </c>
      <c r="D444" s="23">
        <v>0</v>
      </c>
      <c r="E444" s="24">
        <v>18000</v>
      </c>
    </row>
    <row r="445" spans="1:5" x14ac:dyDescent="0.3">
      <c r="A445" s="20" t="s">
        <v>67</v>
      </c>
      <c r="B445" s="21" t="s">
        <v>369</v>
      </c>
      <c r="C445" s="22">
        <v>29700</v>
      </c>
      <c r="D445" s="23">
        <v>0</v>
      </c>
      <c r="E445" s="24">
        <v>18000</v>
      </c>
    </row>
    <row r="446" spans="1:5" x14ac:dyDescent="0.3">
      <c r="A446" s="20" t="s">
        <v>67</v>
      </c>
      <c r="B446" s="21" t="s">
        <v>370</v>
      </c>
      <c r="C446" s="22">
        <v>29700</v>
      </c>
      <c r="D446" s="23">
        <v>0</v>
      </c>
      <c r="E446" s="24">
        <v>18000</v>
      </c>
    </row>
    <row r="447" spans="1:5" x14ac:dyDescent="0.3">
      <c r="A447" s="20" t="s">
        <v>67</v>
      </c>
      <c r="B447" s="21" t="s">
        <v>371</v>
      </c>
      <c r="C447" s="22">
        <v>29700</v>
      </c>
      <c r="D447" s="23">
        <v>0</v>
      </c>
      <c r="E447" s="24">
        <v>18000</v>
      </c>
    </row>
    <row r="448" spans="1:5" x14ac:dyDescent="0.3">
      <c r="A448" s="20" t="s">
        <v>67</v>
      </c>
      <c r="B448" s="21" t="s">
        <v>372</v>
      </c>
      <c r="C448" s="22">
        <v>29700</v>
      </c>
      <c r="D448" s="23">
        <v>0</v>
      </c>
      <c r="E448" s="24">
        <v>18000</v>
      </c>
    </row>
    <row r="449" spans="1:5" x14ac:dyDescent="0.3">
      <c r="A449" s="20" t="s">
        <v>67</v>
      </c>
      <c r="B449" s="21" t="s">
        <v>373</v>
      </c>
      <c r="C449" s="22">
        <v>15400</v>
      </c>
      <c r="D449" s="23">
        <v>0</v>
      </c>
      <c r="E449" s="24">
        <v>18000</v>
      </c>
    </row>
    <row r="450" spans="1:5" x14ac:dyDescent="0.3">
      <c r="A450" s="20" t="s">
        <v>67</v>
      </c>
      <c r="B450" s="21" t="s">
        <v>374</v>
      </c>
      <c r="C450" s="22">
        <v>29700</v>
      </c>
      <c r="D450" s="23">
        <v>0</v>
      </c>
      <c r="E450" s="24">
        <v>0</v>
      </c>
    </row>
    <row r="451" spans="1:5" x14ac:dyDescent="0.3">
      <c r="A451" s="20" t="s">
        <v>67</v>
      </c>
      <c r="B451" s="21" t="s">
        <v>375</v>
      </c>
      <c r="C451" s="22">
        <v>29700</v>
      </c>
      <c r="D451" s="23">
        <v>0</v>
      </c>
      <c r="E451" s="24">
        <v>0</v>
      </c>
    </row>
    <row r="452" spans="1:5" x14ac:dyDescent="0.3">
      <c r="A452" s="20" t="s">
        <v>67</v>
      </c>
      <c r="B452" s="21" t="s">
        <v>376</v>
      </c>
      <c r="C452" s="22">
        <v>29700</v>
      </c>
      <c r="D452" s="23">
        <v>0</v>
      </c>
      <c r="E452" s="24">
        <v>0</v>
      </c>
    </row>
    <row r="453" spans="1:5" x14ac:dyDescent="0.3">
      <c r="A453" s="20" t="s">
        <v>67</v>
      </c>
      <c r="B453" s="21" t="s">
        <v>377</v>
      </c>
      <c r="C453" s="22">
        <v>15400</v>
      </c>
      <c r="D453" s="23">
        <v>0</v>
      </c>
      <c r="E453" s="24">
        <v>0</v>
      </c>
    </row>
    <row r="454" spans="1:5" x14ac:dyDescent="0.3">
      <c r="A454" s="16" t="s">
        <v>384</v>
      </c>
      <c r="B454" s="16" t="s">
        <v>366</v>
      </c>
      <c r="C454" s="17">
        <v>0</v>
      </c>
      <c r="D454" s="18">
        <v>0</v>
      </c>
      <c r="E454" s="19">
        <v>1000</v>
      </c>
    </row>
    <row r="455" spans="1:5" x14ac:dyDescent="0.3">
      <c r="A455" s="20" t="s">
        <v>384</v>
      </c>
      <c r="B455" s="21" t="s">
        <v>369</v>
      </c>
      <c r="C455" s="22">
        <v>0</v>
      </c>
      <c r="D455" s="23">
        <v>0</v>
      </c>
      <c r="E455" s="24">
        <v>1000</v>
      </c>
    </row>
    <row r="456" spans="1:5" x14ac:dyDescent="0.3">
      <c r="A456" s="16" t="s">
        <v>68</v>
      </c>
      <c r="B456" s="16" t="s">
        <v>366</v>
      </c>
      <c r="C456" s="17">
        <v>11000</v>
      </c>
      <c r="D456" s="18">
        <v>0</v>
      </c>
      <c r="E456" s="19">
        <v>5000</v>
      </c>
    </row>
    <row r="457" spans="1:5" x14ac:dyDescent="0.3">
      <c r="A457" s="20" t="s">
        <v>68</v>
      </c>
      <c r="B457" s="21" t="s">
        <v>367</v>
      </c>
      <c r="C457" s="22">
        <v>11000</v>
      </c>
      <c r="D457" s="23">
        <v>0</v>
      </c>
      <c r="E457" s="24">
        <v>5000</v>
      </c>
    </row>
    <row r="458" spans="1:5" x14ac:dyDescent="0.3">
      <c r="A458" s="20" t="s">
        <v>68</v>
      </c>
      <c r="B458" s="21" t="s">
        <v>368</v>
      </c>
      <c r="C458" s="22">
        <v>11000</v>
      </c>
      <c r="D458" s="23">
        <v>0</v>
      </c>
      <c r="E458" s="24">
        <v>5000</v>
      </c>
    </row>
    <row r="459" spans="1:5" x14ac:dyDescent="0.3">
      <c r="A459" s="20" t="s">
        <v>68</v>
      </c>
      <c r="B459" s="21" t="s">
        <v>369</v>
      </c>
      <c r="C459" s="22">
        <v>11000</v>
      </c>
      <c r="D459" s="23">
        <v>0</v>
      </c>
      <c r="E459" s="24">
        <v>5000</v>
      </c>
    </row>
    <row r="460" spans="1:5" x14ac:dyDescent="0.3">
      <c r="A460" s="20" t="s">
        <v>68</v>
      </c>
      <c r="B460" s="21" t="s">
        <v>370</v>
      </c>
      <c r="C460" s="22">
        <v>11000</v>
      </c>
      <c r="D460" s="23">
        <v>0</v>
      </c>
      <c r="E460" s="24">
        <v>0</v>
      </c>
    </row>
    <row r="461" spans="1:5" x14ac:dyDescent="0.3">
      <c r="A461" s="20" t="s">
        <v>68</v>
      </c>
      <c r="B461" s="21" t="s">
        <v>371</v>
      </c>
      <c r="C461" s="22">
        <v>11000</v>
      </c>
      <c r="D461" s="23">
        <v>0</v>
      </c>
      <c r="E461" s="24">
        <v>0</v>
      </c>
    </row>
    <row r="462" spans="1:5" x14ac:dyDescent="0.3">
      <c r="A462" s="20" t="s">
        <v>68</v>
      </c>
      <c r="B462" s="21" t="s">
        <v>372</v>
      </c>
      <c r="C462" s="22">
        <v>11000</v>
      </c>
      <c r="D462" s="23">
        <v>0</v>
      </c>
      <c r="E462" s="24">
        <v>0</v>
      </c>
    </row>
    <row r="463" spans="1:5" x14ac:dyDescent="0.3">
      <c r="A463" s="20" t="s">
        <v>68</v>
      </c>
      <c r="B463" s="21" t="s">
        <v>373</v>
      </c>
      <c r="C463" s="22">
        <v>5500</v>
      </c>
      <c r="D463" s="23">
        <v>0</v>
      </c>
      <c r="E463" s="24">
        <v>0</v>
      </c>
    </row>
    <row r="464" spans="1:5" x14ac:dyDescent="0.3">
      <c r="A464" s="20" t="s">
        <v>68</v>
      </c>
      <c r="B464" s="21" t="s">
        <v>374</v>
      </c>
      <c r="C464" s="22">
        <v>11000</v>
      </c>
      <c r="D464" s="23">
        <v>0</v>
      </c>
      <c r="E464" s="24">
        <v>0</v>
      </c>
    </row>
    <row r="465" spans="1:5" x14ac:dyDescent="0.3">
      <c r="A465" s="20" t="s">
        <v>68</v>
      </c>
      <c r="B465" s="21" t="s">
        <v>375</v>
      </c>
      <c r="C465" s="22">
        <v>11000</v>
      </c>
      <c r="D465" s="23">
        <v>0</v>
      </c>
      <c r="E465" s="24">
        <v>0</v>
      </c>
    </row>
    <row r="466" spans="1:5" x14ac:dyDescent="0.3">
      <c r="A466" s="20" t="s">
        <v>68</v>
      </c>
      <c r="B466" s="21" t="s">
        <v>376</v>
      </c>
      <c r="C466" s="22">
        <v>11000</v>
      </c>
      <c r="D466" s="23">
        <v>0</v>
      </c>
      <c r="E466" s="24">
        <v>0</v>
      </c>
    </row>
    <row r="467" spans="1:5" x14ac:dyDescent="0.3">
      <c r="A467" s="20" t="s">
        <v>68</v>
      </c>
      <c r="B467" s="21" t="s">
        <v>377</v>
      </c>
      <c r="C467" s="22">
        <v>5500</v>
      </c>
      <c r="D467" s="23">
        <v>0</v>
      </c>
      <c r="E467" s="24">
        <v>0</v>
      </c>
    </row>
    <row r="468" spans="1:5" x14ac:dyDescent="0.3">
      <c r="A468" s="16" t="s">
        <v>69</v>
      </c>
      <c r="B468" s="16" t="s">
        <v>366</v>
      </c>
      <c r="C468" s="17">
        <v>3300</v>
      </c>
      <c r="D468" s="18">
        <v>0</v>
      </c>
      <c r="E468" s="19">
        <v>0</v>
      </c>
    </row>
    <row r="469" spans="1:5" x14ac:dyDescent="0.3">
      <c r="A469" s="20" t="s">
        <v>69</v>
      </c>
      <c r="B469" s="21" t="s">
        <v>367</v>
      </c>
      <c r="C469" s="22">
        <v>3300</v>
      </c>
      <c r="D469" s="23">
        <v>0</v>
      </c>
      <c r="E469" s="24">
        <v>0</v>
      </c>
    </row>
    <row r="470" spans="1:5" x14ac:dyDescent="0.3">
      <c r="A470" s="20" t="s">
        <v>69</v>
      </c>
      <c r="B470" s="21" t="s">
        <v>368</v>
      </c>
      <c r="C470" s="22">
        <v>3300</v>
      </c>
      <c r="D470" s="23">
        <v>0</v>
      </c>
      <c r="E470" s="24">
        <v>0</v>
      </c>
    </row>
    <row r="471" spans="1:5" x14ac:dyDescent="0.3">
      <c r="A471" s="20" t="s">
        <v>69</v>
      </c>
      <c r="B471" s="21" t="s">
        <v>369</v>
      </c>
      <c r="C471" s="22">
        <v>3300</v>
      </c>
      <c r="D471" s="23">
        <v>0</v>
      </c>
      <c r="E471" s="24">
        <v>0</v>
      </c>
    </row>
    <row r="472" spans="1:5" x14ac:dyDescent="0.3">
      <c r="A472" s="20" t="s">
        <v>69</v>
      </c>
      <c r="B472" s="21" t="s">
        <v>370</v>
      </c>
      <c r="C472" s="22">
        <v>3300</v>
      </c>
      <c r="D472" s="23">
        <v>0</v>
      </c>
      <c r="E472" s="24">
        <v>0</v>
      </c>
    </row>
    <row r="473" spans="1:5" x14ac:dyDescent="0.3">
      <c r="A473" s="20" t="s">
        <v>69</v>
      </c>
      <c r="B473" s="21" t="s">
        <v>371</v>
      </c>
      <c r="C473" s="22">
        <v>3300</v>
      </c>
      <c r="D473" s="23">
        <v>0</v>
      </c>
      <c r="E473" s="24">
        <v>0</v>
      </c>
    </row>
    <row r="474" spans="1:5" x14ac:dyDescent="0.3">
      <c r="A474" s="20" t="s">
        <v>69</v>
      </c>
      <c r="B474" s="21" t="s">
        <v>372</v>
      </c>
      <c r="C474" s="22">
        <v>3300</v>
      </c>
      <c r="D474" s="23">
        <v>0</v>
      </c>
      <c r="E474" s="24">
        <v>0</v>
      </c>
    </row>
    <row r="475" spans="1:5" x14ac:dyDescent="0.3">
      <c r="A475" s="20" t="s">
        <v>69</v>
      </c>
      <c r="B475" s="21" t="s">
        <v>373</v>
      </c>
      <c r="C475" s="22">
        <v>2200</v>
      </c>
      <c r="D475" s="23">
        <v>0</v>
      </c>
      <c r="E475" s="24">
        <v>0</v>
      </c>
    </row>
    <row r="476" spans="1:5" x14ac:dyDescent="0.3">
      <c r="A476" s="20" t="s">
        <v>69</v>
      </c>
      <c r="B476" s="21" t="s">
        <v>374</v>
      </c>
      <c r="C476" s="22">
        <v>3300</v>
      </c>
      <c r="D476" s="23">
        <v>0</v>
      </c>
      <c r="E476" s="24">
        <v>0</v>
      </c>
    </row>
    <row r="477" spans="1:5" x14ac:dyDescent="0.3">
      <c r="A477" s="20" t="s">
        <v>69</v>
      </c>
      <c r="B477" s="21" t="s">
        <v>375</v>
      </c>
      <c r="C477" s="22">
        <v>3300</v>
      </c>
      <c r="D477" s="23">
        <v>0</v>
      </c>
      <c r="E477" s="24">
        <v>0</v>
      </c>
    </row>
    <row r="478" spans="1:5" x14ac:dyDescent="0.3">
      <c r="A478" s="20" t="s">
        <v>69</v>
      </c>
      <c r="B478" s="21" t="s">
        <v>376</v>
      </c>
      <c r="C478" s="22">
        <v>3300</v>
      </c>
      <c r="D478" s="23">
        <v>0</v>
      </c>
      <c r="E478" s="24">
        <v>0</v>
      </c>
    </row>
    <row r="479" spans="1:5" x14ac:dyDescent="0.3">
      <c r="A479" s="20" t="s">
        <v>69</v>
      </c>
      <c r="B479" s="21" t="s">
        <v>377</v>
      </c>
      <c r="C479" s="22">
        <v>2200</v>
      </c>
      <c r="D479" s="23">
        <v>0</v>
      </c>
      <c r="E479" s="24">
        <v>0</v>
      </c>
    </row>
    <row r="480" spans="1:5" x14ac:dyDescent="0.3">
      <c r="A480" s="16" t="s">
        <v>70</v>
      </c>
      <c r="B480" s="16" t="s">
        <v>375</v>
      </c>
      <c r="C480" s="17">
        <v>0</v>
      </c>
      <c r="D480" s="18">
        <v>0</v>
      </c>
      <c r="E480" s="19">
        <v>0</v>
      </c>
    </row>
    <row r="481" spans="1:5" x14ac:dyDescent="0.3">
      <c r="A481" s="16" t="s">
        <v>71</v>
      </c>
      <c r="B481" s="16" t="s">
        <v>367</v>
      </c>
      <c r="C481" s="17">
        <v>0</v>
      </c>
      <c r="D481" s="18">
        <v>0</v>
      </c>
      <c r="E481" s="19">
        <v>5000</v>
      </c>
    </row>
    <row r="482" spans="1:5" x14ac:dyDescent="0.3">
      <c r="A482" s="16" t="s">
        <v>72</v>
      </c>
      <c r="B482" s="16" t="s">
        <v>366</v>
      </c>
      <c r="C482" s="17">
        <v>26400</v>
      </c>
      <c r="D482" s="18">
        <v>0</v>
      </c>
      <c r="E482" s="19">
        <v>25000</v>
      </c>
    </row>
    <row r="483" spans="1:5" x14ac:dyDescent="0.3">
      <c r="A483" s="20" t="s">
        <v>72</v>
      </c>
      <c r="B483" s="21" t="s">
        <v>367</v>
      </c>
      <c r="C483" s="22">
        <v>26400</v>
      </c>
      <c r="D483" s="23">
        <v>0</v>
      </c>
      <c r="E483" s="24">
        <v>15000</v>
      </c>
    </row>
    <row r="484" spans="1:5" x14ac:dyDescent="0.3">
      <c r="A484" s="20" t="s">
        <v>72</v>
      </c>
      <c r="B484" s="21" t="s">
        <v>368</v>
      </c>
      <c r="C484" s="22">
        <v>26400</v>
      </c>
      <c r="D484" s="23">
        <v>0</v>
      </c>
      <c r="E484" s="24">
        <v>20000</v>
      </c>
    </row>
    <row r="485" spans="1:5" x14ac:dyDescent="0.3">
      <c r="A485" s="20" t="s">
        <v>72</v>
      </c>
      <c r="B485" s="21" t="s">
        <v>369</v>
      </c>
      <c r="C485" s="22">
        <v>26400</v>
      </c>
      <c r="D485" s="23">
        <v>0</v>
      </c>
      <c r="E485" s="24">
        <v>15000</v>
      </c>
    </row>
    <row r="486" spans="1:5" x14ac:dyDescent="0.3">
      <c r="A486" s="20" t="s">
        <v>72</v>
      </c>
      <c r="B486" s="21" t="s">
        <v>370</v>
      </c>
      <c r="C486" s="22">
        <v>26400</v>
      </c>
      <c r="D486" s="23">
        <v>0</v>
      </c>
      <c r="E486" s="24">
        <v>5000</v>
      </c>
    </row>
    <row r="487" spans="1:5" x14ac:dyDescent="0.3">
      <c r="A487" s="20" t="s">
        <v>72</v>
      </c>
      <c r="B487" s="21" t="s">
        <v>371</v>
      </c>
      <c r="C487" s="22">
        <v>26400</v>
      </c>
      <c r="D487" s="23">
        <v>0</v>
      </c>
      <c r="E487" s="24">
        <v>5000</v>
      </c>
    </row>
    <row r="488" spans="1:5" x14ac:dyDescent="0.3">
      <c r="A488" s="20" t="s">
        <v>72</v>
      </c>
      <c r="B488" s="21" t="s">
        <v>372</v>
      </c>
      <c r="C488" s="22">
        <v>26400</v>
      </c>
      <c r="D488" s="23">
        <v>0</v>
      </c>
      <c r="E488" s="24">
        <v>5000</v>
      </c>
    </row>
    <row r="489" spans="1:5" x14ac:dyDescent="0.3">
      <c r="A489" s="20" t="s">
        <v>72</v>
      </c>
      <c r="B489" s="21" t="s">
        <v>373</v>
      </c>
      <c r="C489" s="22">
        <v>13200</v>
      </c>
      <c r="D489" s="23">
        <v>0</v>
      </c>
      <c r="E489" s="24">
        <v>5000</v>
      </c>
    </row>
    <row r="490" spans="1:5" x14ac:dyDescent="0.3">
      <c r="A490" s="20" t="s">
        <v>72</v>
      </c>
      <c r="B490" s="21" t="s">
        <v>374</v>
      </c>
      <c r="C490" s="22">
        <v>26400</v>
      </c>
      <c r="D490" s="23">
        <v>0</v>
      </c>
      <c r="E490" s="24">
        <v>0</v>
      </c>
    </row>
    <row r="491" spans="1:5" x14ac:dyDescent="0.3">
      <c r="A491" s="20" t="s">
        <v>72</v>
      </c>
      <c r="B491" s="21" t="s">
        <v>375</v>
      </c>
      <c r="C491" s="22">
        <v>26400</v>
      </c>
      <c r="D491" s="23">
        <v>0</v>
      </c>
      <c r="E491" s="24">
        <v>0</v>
      </c>
    </row>
    <row r="492" spans="1:5" x14ac:dyDescent="0.3">
      <c r="A492" s="20" t="s">
        <v>72</v>
      </c>
      <c r="B492" s="21" t="s">
        <v>376</v>
      </c>
      <c r="C492" s="22">
        <v>26400</v>
      </c>
      <c r="D492" s="23">
        <v>0</v>
      </c>
      <c r="E492" s="24">
        <v>0</v>
      </c>
    </row>
    <row r="493" spans="1:5" x14ac:dyDescent="0.3">
      <c r="A493" s="20" t="s">
        <v>72</v>
      </c>
      <c r="B493" s="21" t="s">
        <v>377</v>
      </c>
      <c r="C493" s="22">
        <v>13200</v>
      </c>
      <c r="D493" s="23">
        <v>0</v>
      </c>
      <c r="E493" s="24">
        <v>0</v>
      </c>
    </row>
    <row r="494" spans="1:5" x14ac:dyDescent="0.3">
      <c r="A494" s="16" t="s">
        <v>73</v>
      </c>
      <c r="B494" s="16" t="s">
        <v>366</v>
      </c>
      <c r="C494" s="17">
        <v>18700</v>
      </c>
      <c r="D494" s="18">
        <v>0</v>
      </c>
      <c r="E494" s="19">
        <v>12000</v>
      </c>
    </row>
    <row r="495" spans="1:5" x14ac:dyDescent="0.3">
      <c r="A495" s="20" t="s">
        <v>73</v>
      </c>
      <c r="B495" s="21" t="s">
        <v>367</v>
      </c>
      <c r="C495" s="22">
        <v>18700</v>
      </c>
      <c r="D495" s="23">
        <v>0</v>
      </c>
      <c r="E495" s="24">
        <v>12000</v>
      </c>
    </row>
    <row r="496" spans="1:5" x14ac:dyDescent="0.3">
      <c r="A496" s="20" t="s">
        <v>73</v>
      </c>
      <c r="B496" s="21" t="s">
        <v>368</v>
      </c>
      <c r="C496" s="22">
        <v>18700</v>
      </c>
      <c r="D496" s="23">
        <v>0</v>
      </c>
      <c r="E496" s="24">
        <v>16000</v>
      </c>
    </row>
    <row r="497" spans="1:5" x14ac:dyDescent="0.3">
      <c r="A497" s="20" t="s">
        <v>73</v>
      </c>
      <c r="B497" s="21" t="s">
        <v>369</v>
      </c>
      <c r="C497" s="22">
        <v>18700</v>
      </c>
      <c r="D497" s="23">
        <v>0</v>
      </c>
      <c r="E497" s="24">
        <v>20000</v>
      </c>
    </row>
    <row r="498" spans="1:5" x14ac:dyDescent="0.3">
      <c r="A498" s="20" t="s">
        <v>73</v>
      </c>
      <c r="B498" s="21" t="s">
        <v>370</v>
      </c>
      <c r="C498" s="22">
        <v>18700</v>
      </c>
      <c r="D498" s="23">
        <v>0</v>
      </c>
      <c r="E498" s="24">
        <v>16000</v>
      </c>
    </row>
    <row r="499" spans="1:5" x14ac:dyDescent="0.3">
      <c r="A499" s="20" t="s">
        <v>73</v>
      </c>
      <c r="B499" s="21" t="s">
        <v>371</v>
      </c>
      <c r="C499" s="22">
        <v>18700</v>
      </c>
      <c r="D499" s="23">
        <v>0</v>
      </c>
      <c r="E499" s="24">
        <v>12000</v>
      </c>
    </row>
    <row r="500" spans="1:5" x14ac:dyDescent="0.3">
      <c r="A500" s="20" t="s">
        <v>73</v>
      </c>
      <c r="B500" s="21" t="s">
        <v>372</v>
      </c>
      <c r="C500" s="22">
        <v>18700</v>
      </c>
      <c r="D500" s="23">
        <v>0</v>
      </c>
      <c r="E500" s="24">
        <v>20000</v>
      </c>
    </row>
    <row r="501" spans="1:5" x14ac:dyDescent="0.3">
      <c r="A501" s="20" t="s">
        <v>73</v>
      </c>
      <c r="B501" s="21" t="s">
        <v>373</v>
      </c>
      <c r="C501" s="22">
        <v>8800</v>
      </c>
      <c r="D501" s="23">
        <v>0</v>
      </c>
      <c r="E501" s="24">
        <v>16000</v>
      </c>
    </row>
    <row r="502" spans="1:5" x14ac:dyDescent="0.3">
      <c r="A502" s="20" t="s">
        <v>73</v>
      </c>
      <c r="B502" s="21" t="s">
        <v>374</v>
      </c>
      <c r="C502" s="22">
        <v>18700</v>
      </c>
      <c r="D502" s="23">
        <v>0</v>
      </c>
      <c r="E502" s="24">
        <v>0</v>
      </c>
    </row>
    <row r="503" spans="1:5" x14ac:dyDescent="0.3">
      <c r="A503" s="20" t="s">
        <v>73</v>
      </c>
      <c r="B503" s="21" t="s">
        <v>375</v>
      </c>
      <c r="C503" s="22">
        <v>18700</v>
      </c>
      <c r="D503" s="23">
        <v>0</v>
      </c>
      <c r="E503" s="24">
        <v>0</v>
      </c>
    </row>
    <row r="504" spans="1:5" x14ac:dyDescent="0.3">
      <c r="A504" s="20" t="s">
        <v>73</v>
      </c>
      <c r="B504" s="21" t="s">
        <v>376</v>
      </c>
      <c r="C504" s="22">
        <v>18700</v>
      </c>
      <c r="D504" s="23">
        <v>0</v>
      </c>
      <c r="E504" s="24">
        <v>0</v>
      </c>
    </row>
    <row r="505" spans="1:5" x14ac:dyDescent="0.3">
      <c r="A505" s="20" t="s">
        <v>73</v>
      </c>
      <c r="B505" s="21" t="s">
        <v>377</v>
      </c>
      <c r="C505" s="22">
        <v>8800</v>
      </c>
      <c r="D505" s="23">
        <v>0</v>
      </c>
      <c r="E505" s="24">
        <v>0</v>
      </c>
    </row>
    <row r="506" spans="1:5" x14ac:dyDescent="0.3">
      <c r="A506" s="16" t="s">
        <v>75</v>
      </c>
      <c r="B506" s="16" t="s">
        <v>366</v>
      </c>
      <c r="C506" s="17">
        <v>245300</v>
      </c>
      <c r="D506" s="18">
        <v>0</v>
      </c>
      <c r="E506" s="19">
        <v>165000</v>
      </c>
    </row>
    <row r="507" spans="1:5" x14ac:dyDescent="0.3">
      <c r="A507" s="20" t="s">
        <v>75</v>
      </c>
      <c r="B507" s="21" t="s">
        <v>367</v>
      </c>
      <c r="C507" s="22">
        <v>245300</v>
      </c>
      <c r="D507" s="23">
        <v>0</v>
      </c>
      <c r="E507" s="24">
        <v>165000</v>
      </c>
    </row>
    <row r="508" spans="1:5" x14ac:dyDescent="0.3">
      <c r="A508" s="20" t="s">
        <v>75</v>
      </c>
      <c r="B508" s="21" t="s">
        <v>368</v>
      </c>
      <c r="C508" s="22">
        <v>245300</v>
      </c>
      <c r="D508" s="23">
        <v>0</v>
      </c>
      <c r="E508" s="24">
        <v>210000</v>
      </c>
    </row>
    <row r="509" spans="1:5" x14ac:dyDescent="0.3">
      <c r="A509" s="20" t="s">
        <v>75</v>
      </c>
      <c r="B509" s="21" t="s">
        <v>369</v>
      </c>
      <c r="C509" s="22">
        <v>245300</v>
      </c>
      <c r="D509" s="23">
        <v>0</v>
      </c>
      <c r="E509" s="24">
        <v>165000</v>
      </c>
    </row>
    <row r="510" spans="1:5" x14ac:dyDescent="0.3">
      <c r="A510" s="20" t="s">
        <v>75</v>
      </c>
      <c r="B510" s="21" t="s">
        <v>370</v>
      </c>
      <c r="C510" s="22">
        <v>245300</v>
      </c>
      <c r="D510" s="23">
        <v>0</v>
      </c>
      <c r="E510" s="24">
        <v>180000</v>
      </c>
    </row>
    <row r="511" spans="1:5" x14ac:dyDescent="0.3">
      <c r="A511" s="20" t="s">
        <v>75</v>
      </c>
      <c r="B511" s="21" t="s">
        <v>371</v>
      </c>
      <c r="C511" s="22">
        <v>245300</v>
      </c>
      <c r="D511" s="23">
        <v>0</v>
      </c>
      <c r="E511" s="24">
        <v>210000</v>
      </c>
    </row>
    <row r="512" spans="1:5" x14ac:dyDescent="0.3">
      <c r="A512" s="20" t="s">
        <v>75</v>
      </c>
      <c r="B512" s="21" t="s">
        <v>372</v>
      </c>
      <c r="C512" s="22">
        <v>245300</v>
      </c>
      <c r="D512" s="23">
        <v>0</v>
      </c>
      <c r="E512" s="24">
        <v>120000</v>
      </c>
    </row>
    <row r="513" spans="1:5" x14ac:dyDescent="0.3">
      <c r="A513" s="20" t="s">
        <v>75</v>
      </c>
      <c r="B513" s="21" t="s">
        <v>373</v>
      </c>
      <c r="C513" s="22">
        <v>123200</v>
      </c>
      <c r="D513" s="23">
        <v>0</v>
      </c>
      <c r="E513" s="24">
        <v>150000</v>
      </c>
    </row>
    <row r="514" spans="1:5" x14ac:dyDescent="0.3">
      <c r="A514" s="20" t="s">
        <v>75</v>
      </c>
      <c r="B514" s="21" t="s">
        <v>374</v>
      </c>
      <c r="C514" s="22">
        <v>245300</v>
      </c>
      <c r="D514" s="23">
        <v>0</v>
      </c>
      <c r="E514" s="24">
        <v>165000</v>
      </c>
    </row>
    <row r="515" spans="1:5" x14ac:dyDescent="0.3">
      <c r="A515" s="20" t="s">
        <v>75</v>
      </c>
      <c r="B515" s="21" t="s">
        <v>375</v>
      </c>
      <c r="C515" s="22">
        <v>245300</v>
      </c>
      <c r="D515" s="23">
        <v>0</v>
      </c>
      <c r="E515" s="24">
        <v>150000</v>
      </c>
    </row>
    <row r="516" spans="1:5" x14ac:dyDescent="0.3">
      <c r="A516" s="20" t="s">
        <v>75</v>
      </c>
      <c r="B516" s="21" t="s">
        <v>376</v>
      </c>
      <c r="C516" s="22">
        <v>245300</v>
      </c>
      <c r="D516" s="23">
        <v>0</v>
      </c>
      <c r="E516" s="24">
        <v>150000</v>
      </c>
    </row>
    <row r="517" spans="1:5" x14ac:dyDescent="0.3">
      <c r="A517" s="20" t="s">
        <v>75</v>
      </c>
      <c r="B517" s="21" t="s">
        <v>377</v>
      </c>
      <c r="C517" s="22">
        <v>123200</v>
      </c>
      <c r="D517" s="23">
        <v>0</v>
      </c>
      <c r="E517" s="24">
        <v>60000</v>
      </c>
    </row>
    <row r="518" spans="1:5" x14ac:dyDescent="0.3">
      <c r="A518" s="16" t="s">
        <v>314</v>
      </c>
      <c r="B518" s="16" t="s">
        <v>366</v>
      </c>
      <c r="C518" s="17">
        <v>3300</v>
      </c>
      <c r="D518" s="18">
        <v>0</v>
      </c>
      <c r="E518" s="19">
        <v>0</v>
      </c>
    </row>
    <row r="519" spans="1:5" x14ac:dyDescent="0.3">
      <c r="A519" s="20" t="s">
        <v>314</v>
      </c>
      <c r="B519" s="21" t="s">
        <v>367</v>
      </c>
      <c r="C519" s="22">
        <v>3300</v>
      </c>
      <c r="D519" s="23">
        <v>0</v>
      </c>
      <c r="E519" s="24">
        <v>0</v>
      </c>
    </row>
    <row r="520" spans="1:5" x14ac:dyDescent="0.3">
      <c r="A520" s="20" t="s">
        <v>314</v>
      </c>
      <c r="B520" s="21" t="s">
        <v>368</v>
      </c>
      <c r="C520" s="22">
        <v>3300</v>
      </c>
      <c r="D520" s="23">
        <v>0</v>
      </c>
      <c r="E520" s="24">
        <v>0</v>
      </c>
    </row>
    <row r="521" spans="1:5" x14ac:dyDescent="0.3">
      <c r="A521" s="20" t="s">
        <v>314</v>
      </c>
      <c r="B521" s="21" t="s">
        <v>369</v>
      </c>
      <c r="C521" s="22">
        <v>3300</v>
      </c>
      <c r="D521" s="23">
        <v>0</v>
      </c>
      <c r="E521" s="24">
        <v>0</v>
      </c>
    </row>
    <row r="522" spans="1:5" x14ac:dyDescent="0.3">
      <c r="A522" s="20" t="s">
        <v>314</v>
      </c>
      <c r="B522" s="21" t="s">
        <v>370</v>
      </c>
      <c r="C522" s="22">
        <v>3300</v>
      </c>
      <c r="D522" s="23">
        <v>0</v>
      </c>
      <c r="E522" s="24">
        <v>0</v>
      </c>
    </row>
    <row r="523" spans="1:5" x14ac:dyDescent="0.3">
      <c r="A523" s="20" t="s">
        <v>314</v>
      </c>
      <c r="B523" s="21" t="s">
        <v>371</v>
      </c>
      <c r="C523" s="22">
        <v>3300</v>
      </c>
      <c r="D523" s="23">
        <v>0</v>
      </c>
      <c r="E523" s="24">
        <v>0</v>
      </c>
    </row>
    <row r="524" spans="1:5" x14ac:dyDescent="0.3">
      <c r="A524" s="20" t="s">
        <v>314</v>
      </c>
      <c r="B524" s="21" t="s">
        <v>372</v>
      </c>
      <c r="C524" s="22">
        <v>3300</v>
      </c>
      <c r="D524" s="23">
        <v>0</v>
      </c>
      <c r="E524" s="24">
        <v>0</v>
      </c>
    </row>
    <row r="525" spans="1:5" x14ac:dyDescent="0.3">
      <c r="A525" s="20" t="s">
        <v>314</v>
      </c>
      <c r="B525" s="21" t="s">
        <v>373</v>
      </c>
      <c r="C525" s="22">
        <v>2200</v>
      </c>
      <c r="D525" s="23">
        <v>0</v>
      </c>
      <c r="E525" s="24">
        <v>0</v>
      </c>
    </row>
    <row r="526" spans="1:5" x14ac:dyDescent="0.3">
      <c r="A526" s="20" t="s">
        <v>314</v>
      </c>
      <c r="B526" s="21" t="s">
        <v>374</v>
      </c>
      <c r="C526" s="22">
        <v>3300</v>
      </c>
      <c r="D526" s="23">
        <v>0</v>
      </c>
      <c r="E526" s="24">
        <v>0</v>
      </c>
    </row>
    <row r="527" spans="1:5" x14ac:dyDescent="0.3">
      <c r="A527" s="20" t="s">
        <v>314</v>
      </c>
      <c r="B527" s="21" t="s">
        <v>375</v>
      </c>
      <c r="C527" s="22">
        <v>3300</v>
      </c>
      <c r="D527" s="23">
        <v>0</v>
      </c>
      <c r="E527" s="24">
        <v>0</v>
      </c>
    </row>
    <row r="528" spans="1:5" x14ac:dyDescent="0.3">
      <c r="A528" s="20" t="s">
        <v>314</v>
      </c>
      <c r="B528" s="21" t="s">
        <v>376</v>
      </c>
      <c r="C528" s="22">
        <v>3300</v>
      </c>
      <c r="D528" s="23">
        <v>0</v>
      </c>
      <c r="E528" s="24">
        <v>0</v>
      </c>
    </row>
    <row r="529" spans="1:5" x14ac:dyDescent="0.3">
      <c r="A529" s="20" t="s">
        <v>314</v>
      </c>
      <c r="B529" s="21" t="s">
        <v>377</v>
      </c>
      <c r="C529" s="22">
        <v>2200</v>
      </c>
      <c r="D529" s="23">
        <v>0</v>
      </c>
      <c r="E529" s="24">
        <v>0</v>
      </c>
    </row>
    <row r="530" spans="1:5" x14ac:dyDescent="0.3">
      <c r="A530" s="16" t="s">
        <v>76</v>
      </c>
      <c r="B530" s="16" t="s">
        <v>366</v>
      </c>
      <c r="C530" s="17">
        <v>5500</v>
      </c>
      <c r="D530" s="18">
        <v>0</v>
      </c>
      <c r="E530" s="19">
        <v>5000</v>
      </c>
    </row>
    <row r="531" spans="1:5" x14ac:dyDescent="0.3">
      <c r="A531" s="20" t="s">
        <v>76</v>
      </c>
      <c r="B531" s="21" t="s">
        <v>367</v>
      </c>
      <c r="C531" s="22">
        <v>5500</v>
      </c>
      <c r="D531" s="23">
        <v>0</v>
      </c>
      <c r="E531" s="24">
        <v>5000</v>
      </c>
    </row>
    <row r="532" spans="1:5" x14ac:dyDescent="0.3">
      <c r="A532" s="20" t="s">
        <v>76</v>
      </c>
      <c r="B532" s="21" t="s">
        <v>368</v>
      </c>
      <c r="C532" s="22">
        <v>5500</v>
      </c>
      <c r="D532" s="23">
        <v>0</v>
      </c>
      <c r="E532" s="24">
        <v>5000</v>
      </c>
    </row>
    <row r="533" spans="1:5" x14ac:dyDescent="0.3">
      <c r="A533" s="20" t="s">
        <v>76</v>
      </c>
      <c r="B533" s="21" t="s">
        <v>369</v>
      </c>
      <c r="C533" s="22">
        <v>5500</v>
      </c>
      <c r="D533" s="23">
        <v>0</v>
      </c>
      <c r="E533" s="24">
        <v>5000</v>
      </c>
    </row>
    <row r="534" spans="1:5" x14ac:dyDescent="0.3">
      <c r="A534" s="20" t="s">
        <v>76</v>
      </c>
      <c r="B534" s="21" t="s">
        <v>370</v>
      </c>
      <c r="C534" s="22">
        <v>5500</v>
      </c>
      <c r="D534" s="23">
        <v>0</v>
      </c>
      <c r="E534" s="24">
        <v>5000</v>
      </c>
    </row>
    <row r="535" spans="1:5" x14ac:dyDescent="0.3">
      <c r="A535" s="20" t="s">
        <v>76</v>
      </c>
      <c r="B535" s="21" t="s">
        <v>371</v>
      </c>
      <c r="C535" s="22">
        <v>5500</v>
      </c>
      <c r="D535" s="23">
        <v>0</v>
      </c>
      <c r="E535" s="24">
        <v>0</v>
      </c>
    </row>
    <row r="536" spans="1:5" x14ac:dyDescent="0.3">
      <c r="A536" s="20" t="s">
        <v>76</v>
      </c>
      <c r="B536" s="21" t="s">
        <v>372</v>
      </c>
      <c r="C536" s="22">
        <v>5500</v>
      </c>
      <c r="D536" s="23">
        <v>0</v>
      </c>
      <c r="E536" s="24">
        <v>0</v>
      </c>
    </row>
    <row r="537" spans="1:5" x14ac:dyDescent="0.3">
      <c r="A537" s="20" t="s">
        <v>76</v>
      </c>
      <c r="B537" s="21" t="s">
        <v>373</v>
      </c>
      <c r="C537" s="22">
        <v>2200</v>
      </c>
      <c r="D537" s="23">
        <v>0</v>
      </c>
      <c r="E537" s="24">
        <v>0</v>
      </c>
    </row>
    <row r="538" spans="1:5" x14ac:dyDescent="0.3">
      <c r="A538" s="20" t="s">
        <v>76</v>
      </c>
      <c r="B538" s="21" t="s">
        <v>374</v>
      </c>
      <c r="C538" s="22">
        <v>5500</v>
      </c>
      <c r="D538" s="23">
        <v>0</v>
      </c>
      <c r="E538" s="24">
        <v>0</v>
      </c>
    </row>
    <row r="539" spans="1:5" x14ac:dyDescent="0.3">
      <c r="A539" s="20" t="s">
        <v>76</v>
      </c>
      <c r="B539" s="21" t="s">
        <v>375</v>
      </c>
      <c r="C539" s="22">
        <v>5500</v>
      </c>
      <c r="D539" s="23">
        <v>0</v>
      </c>
      <c r="E539" s="24">
        <v>0</v>
      </c>
    </row>
    <row r="540" spans="1:5" x14ac:dyDescent="0.3">
      <c r="A540" s="20" t="s">
        <v>76</v>
      </c>
      <c r="B540" s="21" t="s">
        <v>376</v>
      </c>
      <c r="C540" s="22">
        <v>5500</v>
      </c>
      <c r="D540" s="23">
        <v>0</v>
      </c>
      <c r="E540" s="24">
        <v>0</v>
      </c>
    </row>
    <row r="541" spans="1:5" x14ac:dyDescent="0.3">
      <c r="A541" s="20" t="s">
        <v>76</v>
      </c>
      <c r="B541" s="21" t="s">
        <v>377</v>
      </c>
      <c r="C541" s="22">
        <v>2200</v>
      </c>
      <c r="D541" s="23">
        <v>0</v>
      </c>
      <c r="E541" s="24">
        <v>0</v>
      </c>
    </row>
    <row r="542" spans="1:5" x14ac:dyDescent="0.3">
      <c r="A542" s="16" t="s">
        <v>77</v>
      </c>
      <c r="B542" s="16" t="s">
        <v>366</v>
      </c>
      <c r="C542" s="17">
        <v>1100</v>
      </c>
      <c r="D542" s="18">
        <v>0</v>
      </c>
      <c r="E542" s="19">
        <v>0</v>
      </c>
    </row>
    <row r="543" spans="1:5" x14ac:dyDescent="0.3">
      <c r="A543" s="20" t="s">
        <v>77</v>
      </c>
      <c r="B543" s="21" t="s">
        <v>367</v>
      </c>
      <c r="C543" s="22">
        <v>1100</v>
      </c>
      <c r="D543" s="23">
        <v>0</v>
      </c>
      <c r="E543" s="24">
        <v>0</v>
      </c>
    </row>
    <row r="544" spans="1:5" x14ac:dyDescent="0.3">
      <c r="A544" s="20" t="s">
        <v>77</v>
      </c>
      <c r="B544" s="21" t="s">
        <v>368</v>
      </c>
      <c r="C544" s="22">
        <v>1100</v>
      </c>
      <c r="D544" s="23">
        <v>0</v>
      </c>
      <c r="E544" s="24">
        <v>0</v>
      </c>
    </row>
    <row r="545" spans="1:5" x14ac:dyDescent="0.3">
      <c r="A545" s="20" t="s">
        <v>77</v>
      </c>
      <c r="B545" s="21" t="s">
        <v>369</v>
      </c>
      <c r="C545" s="22">
        <v>1100</v>
      </c>
      <c r="D545" s="23">
        <v>0</v>
      </c>
      <c r="E545" s="24">
        <v>0</v>
      </c>
    </row>
    <row r="546" spans="1:5" x14ac:dyDescent="0.3">
      <c r="A546" s="20" t="s">
        <v>77</v>
      </c>
      <c r="B546" s="21" t="s">
        <v>370</v>
      </c>
      <c r="C546" s="22">
        <v>1100</v>
      </c>
      <c r="D546" s="23">
        <v>0</v>
      </c>
      <c r="E546" s="24">
        <v>0</v>
      </c>
    </row>
    <row r="547" spans="1:5" x14ac:dyDescent="0.3">
      <c r="A547" s="20" t="s">
        <v>77</v>
      </c>
      <c r="B547" s="21" t="s">
        <v>371</v>
      </c>
      <c r="C547" s="22">
        <v>1100</v>
      </c>
      <c r="D547" s="23">
        <v>0</v>
      </c>
      <c r="E547" s="24">
        <v>0</v>
      </c>
    </row>
    <row r="548" spans="1:5" x14ac:dyDescent="0.3">
      <c r="A548" s="20" t="s">
        <v>77</v>
      </c>
      <c r="B548" s="21" t="s">
        <v>372</v>
      </c>
      <c r="C548" s="22">
        <v>1100</v>
      </c>
      <c r="D548" s="23">
        <v>0</v>
      </c>
      <c r="E548" s="24">
        <v>0</v>
      </c>
    </row>
    <row r="549" spans="1:5" x14ac:dyDescent="0.3">
      <c r="A549" s="20" t="s">
        <v>77</v>
      </c>
      <c r="B549" s="21" t="s">
        <v>373</v>
      </c>
      <c r="C549" s="22">
        <v>1100</v>
      </c>
      <c r="D549" s="23">
        <v>0</v>
      </c>
      <c r="E549" s="24">
        <v>0</v>
      </c>
    </row>
    <row r="550" spans="1:5" x14ac:dyDescent="0.3">
      <c r="A550" s="20" t="s">
        <v>77</v>
      </c>
      <c r="B550" s="21" t="s">
        <v>374</v>
      </c>
      <c r="C550" s="22">
        <v>1100</v>
      </c>
      <c r="D550" s="23">
        <v>0</v>
      </c>
      <c r="E550" s="24">
        <v>0</v>
      </c>
    </row>
    <row r="551" spans="1:5" x14ac:dyDescent="0.3">
      <c r="A551" s="20" t="s">
        <v>77</v>
      </c>
      <c r="B551" s="21" t="s">
        <v>375</v>
      </c>
      <c r="C551" s="22">
        <v>1100</v>
      </c>
      <c r="D551" s="23">
        <v>0</v>
      </c>
      <c r="E551" s="24">
        <v>0</v>
      </c>
    </row>
    <row r="552" spans="1:5" x14ac:dyDescent="0.3">
      <c r="A552" s="20" t="s">
        <v>77</v>
      </c>
      <c r="B552" s="21" t="s">
        <v>376</v>
      </c>
      <c r="C552" s="22">
        <v>1100</v>
      </c>
      <c r="D552" s="23">
        <v>0</v>
      </c>
      <c r="E552" s="24">
        <v>0</v>
      </c>
    </row>
    <row r="553" spans="1:5" x14ac:dyDescent="0.3">
      <c r="A553" s="20" t="s">
        <v>77</v>
      </c>
      <c r="B553" s="21" t="s">
        <v>377</v>
      </c>
      <c r="C553" s="22">
        <v>1100</v>
      </c>
      <c r="D553" s="23">
        <v>0</v>
      </c>
      <c r="E553" s="24">
        <v>0</v>
      </c>
    </row>
    <row r="554" spans="1:5" x14ac:dyDescent="0.3">
      <c r="A554" s="16" t="s">
        <v>78</v>
      </c>
      <c r="B554" s="16" t="s">
        <v>366</v>
      </c>
      <c r="C554" s="17">
        <v>6600</v>
      </c>
      <c r="D554" s="18">
        <v>0</v>
      </c>
      <c r="E554" s="19">
        <v>0</v>
      </c>
    </row>
    <row r="555" spans="1:5" x14ac:dyDescent="0.3">
      <c r="A555" s="20" t="s">
        <v>78</v>
      </c>
      <c r="B555" s="21" t="s">
        <v>367</v>
      </c>
      <c r="C555" s="22">
        <v>6600</v>
      </c>
      <c r="D555" s="23">
        <v>0</v>
      </c>
      <c r="E555" s="24">
        <v>0</v>
      </c>
    </row>
    <row r="556" spans="1:5" x14ac:dyDescent="0.3">
      <c r="A556" s="20" t="s">
        <v>78</v>
      </c>
      <c r="B556" s="21" t="s">
        <v>368</v>
      </c>
      <c r="C556" s="22">
        <v>6600</v>
      </c>
      <c r="D556" s="23">
        <v>0</v>
      </c>
      <c r="E556" s="24">
        <v>0</v>
      </c>
    </row>
    <row r="557" spans="1:5" x14ac:dyDescent="0.3">
      <c r="A557" s="20" t="s">
        <v>78</v>
      </c>
      <c r="B557" s="21" t="s">
        <v>369</v>
      </c>
      <c r="C557" s="22">
        <v>6600</v>
      </c>
      <c r="D557" s="23">
        <v>0</v>
      </c>
      <c r="E557" s="24">
        <v>0</v>
      </c>
    </row>
    <row r="558" spans="1:5" x14ac:dyDescent="0.3">
      <c r="A558" s="20" t="s">
        <v>78</v>
      </c>
      <c r="B558" s="21" t="s">
        <v>370</v>
      </c>
      <c r="C558" s="22">
        <v>6600</v>
      </c>
      <c r="D558" s="23">
        <v>0</v>
      </c>
      <c r="E558" s="24">
        <v>5000</v>
      </c>
    </row>
    <row r="559" spans="1:5" x14ac:dyDescent="0.3">
      <c r="A559" s="20" t="s">
        <v>78</v>
      </c>
      <c r="B559" s="21" t="s">
        <v>371</v>
      </c>
      <c r="C559" s="22">
        <v>6600</v>
      </c>
      <c r="D559" s="23">
        <v>0</v>
      </c>
      <c r="E559" s="24">
        <v>0</v>
      </c>
    </row>
    <row r="560" spans="1:5" x14ac:dyDescent="0.3">
      <c r="A560" s="20" t="s">
        <v>78</v>
      </c>
      <c r="B560" s="21" t="s">
        <v>372</v>
      </c>
      <c r="C560" s="22">
        <v>6600</v>
      </c>
      <c r="D560" s="23">
        <v>0</v>
      </c>
      <c r="E560" s="24">
        <v>0</v>
      </c>
    </row>
    <row r="561" spans="1:5" x14ac:dyDescent="0.3">
      <c r="A561" s="20" t="s">
        <v>78</v>
      </c>
      <c r="B561" s="21" t="s">
        <v>373</v>
      </c>
      <c r="C561" s="22">
        <v>3300</v>
      </c>
      <c r="D561" s="23">
        <v>0</v>
      </c>
      <c r="E561" s="24">
        <v>0</v>
      </c>
    </row>
    <row r="562" spans="1:5" x14ac:dyDescent="0.3">
      <c r="A562" s="20" t="s">
        <v>78</v>
      </c>
      <c r="B562" s="21" t="s">
        <v>374</v>
      </c>
      <c r="C562" s="22">
        <v>6600</v>
      </c>
      <c r="D562" s="23">
        <v>0</v>
      </c>
      <c r="E562" s="24">
        <v>0</v>
      </c>
    </row>
    <row r="563" spans="1:5" x14ac:dyDescent="0.3">
      <c r="A563" s="20" t="s">
        <v>78</v>
      </c>
      <c r="B563" s="21" t="s">
        <v>375</v>
      </c>
      <c r="C563" s="22">
        <v>6600</v>
      </c>
      <c r="D563" s="23">
        <v>0</v>
      </c>
      <c r="E563" s="24">
        <v>0</v>
      </c>
    </row>
    <row r="564" spans="1:5" x14ac:dyDescent="0.3">
      <c r="A564" s="20" t="s">
        <v>78</v>
      </c>
      <c r="B564" s="21" t="s">
        <v>376</v>
      </c>
      <c r="C564" s="22">
        <v>6600</v>
      </c>
      <c r="D564" s="23">
        <v>0</v>
      </c>
      <c r="E564" s="24">
        <v>0</v>
      </c>
    </row>
    <row r="565" spans="1:5" x14ac:dyDescent="0.3">
      <c r="A565" s="20" t="s">
        <v>78</v>
      </c>
      <c r="B565" s="21" t="s">
        <v>377</v>
      </c>
      <c r="C565" s="22">
        <v>3300</v>
      </c>
      <c r="D565" s="23">
        <v>0</v>
      </c>
      <c r="E565" s="24">
        <v>0</v>
      </c>
    </row>
    <row r="566" spans="1:5" x14ac:dyDescent="0.3">
      <c r="A566" s="16" t="s">
        <v>79</v>
      </c>
      <c r="B566" s="16" t="s">
        <v>366</v>
      </c>
      <c r="C566" s="17">
        <v>9900</v>
      </c>
      <c r="D566" s="18">
        <v>0</v>
      </c>
      <c r="E566" s="19">
        <v>0</v>
      </c>
    </row>
    <row r="567" spans="1:5" x14ac:dyDescent="0.3">
      <c r="A567" s="20" t="s">
        <v>79</v>
      </c>
      <c r="B567" s="21" t="s">
        <v>367</v>
      </c>
      <c r="C567" s="22">
        <v>9900</v>
      </c>
      <c r="D567" s="23">
        <v>0</v>
      </c>
      <c r="E567" s="24">
        <v>0</v>
      </c>
    </row>
    <row r="568" spans="1:5" x14ac:dyDescent="0.3">
      <c r="A568" s="20" t="s">
        <v>79</v>
      </c>
      <c r="B568" s="21" t="s">
        <v>368</v>
      </c>
      <c r="C568" s="22">
        <v>9900</v>
      </c>
      <c r="D568" s="23">
        <v>0</v>
      </c>
      <c r="E568" s="24">
        <v>0</v>
      </c>
    </row>
    <row r="569" spans="1:5" x14ac:dyDescent="0.3">
      <c r="A569" s="20" t="s">
        <v>79</v>
      </c>
      <c r="B569" s="21" t="s">
        <v>369</v>
      </c>
      <c r="C569" s="22">
        <v>9900</v>
      </c>
      <c r="D569" s="23">
        <v>0</v>
      </c>
      <c r="E569" s="24">
        <v>0</v>
      </c>
    </row>
    <row r="570" spans="1:5" x14ac:dyDescent="0.3">
      <c r="A570" s="20" t="s">
        <v>79</v>
      </c>
      <c r="B570" s="21" t="s">
        <v>370</v>
      </c>
      <c r="C570" s="22">
        <v>9900</v>
      </c>
      <c r="D570" s="23">
        <v>0</v>
      </c>
      <c r="E570" s="24">
        <v>0</v>
      </c>
    </row>
    <row r="571" spans="1:5" x14ac:dyDescent="0.3">
      <c r="A571" s="20" t="s">
        <v>79</v>
      </c>
      <c r="B571" s="21" t="s">
        <v>371</v>
      </c>
      <c r="C571" s="22">
        <v>9900</v>
      </c>
      <c r="D571" s="23">
        <v>0</v>
      </c>
      <c r="E571" s="24">
        <v>0</v>
      </c>
    </row>
    <row r="572" spans="1:5" x14ac:dyDescent="0.3">
      <c r="A572" s="20" t="s">
        <v>79</v>
      </c>
      <c r="B572" s="21" t="s">
        <v>372</v>
      </c>
      <c r="C572" s="22">
        <v>9900</v>
      </c>
      <c r="D572" s="23">
        <v>0</v>
      </c>
      <c r="E572" s="24">
        <v>0</v>
      </c>
    </row>
    <row r="573" spans="1:5" x14ac:dyDescent="0.3">
      <c r="A573" s="20" t="s">
        <v>79</v>
      </c>
      <c r="B573" s="21" t="s">
        <v>373</v>
      </c>
      <c r="C573" s="22">
        <v>4400</v>
      </c>
      <c r="D573" s="23">
        <v>0</v>
      </c>
      <c r="E573" s="24">
        <v>0</v>
      </c>
    </row>
    <row r="574" spans="1:5" x14ac:dyDescent="0.3">
      <c r="A574" s="20" t="s">
        <v>79</v>
      </c>
      <c r="B574" s="21" t="s">
        <v>374</v>
      </c>
      <c r="C574" s="22">
        <v>9900</v>
      </c>
      <c r="D574" s="23">
        <v>0</v>
      </c>
      <c r="E574" s="24">
        <v>0</v>
      </c>
    </row>
    <row r="575" spans="1:5" x14ac:dyDescent="0.3">
      <c r="A575" s="20" t="s">
        <v>79</v>
      </c>
      <c r="B575" s="21" t="s">
        <v>375</v>
      </c>
      <c r="C575" s="22">
        <v>9900</v>
      </c>
      <c r="D575" s="23">
        <v>0</v>
      </c>
      <c r="E575" s="24">
        <v>0</v>
      </c>
    </row>
    <row r="576" spans="1:5" x14ac:dyDescent="0.3">
      <c r="A576" s="20" t="s">
        <v>79</v>
      </c>
      <c r="B576" s="21" t="s">
        <v>376</v>
      </c>
      <c r="C576" s="22">
        <v>9900</v>
      </c>
      <c r="D576" s="23">
        <v>0</v>
      </c>
      <c r="E576" s="24">
        <v>0</v>
      </c>
    </row>
    <row r="577" spans="1:5" x14ac:dyDescent="0.3">
      <c r="A577" s="20" t="s">
        <v>79</v>
      </c>
      <c r="B577" s="21" t="s">
        <v>377</v>
      </c>
      <c r="C577" s="22">
        <v>4400</v>
      </c>
      <c r="D577" s="23">
        <v>0</v>
      </c>
      <c r="E577" s="24">
        <v>0</v>
      </c>
    </row>
    <row r="578" spans="1:5" x14ac:dyDescent="0.3">
      <c r="A578" s="16" t="s">
        <v>80</v>
      </c>
      <c r="B578" s="16" t="s">
        <v>366</v>
      </c>
      <c r="C578" s="17">
        <v>58300</v>
      </c>
      <c r="D578" s="18">
        <v>0</v>
      </c>
      <c r="E578" s="19">
        <v>0</v>
      </c>
    </row>
    <row r="579" spans="1:5" x14ac:dyDescent="0.3">
      <c r="A579" s="20" t="s">
        <v>80</v>
      </c>
      <c r="B579" s="21" t="s">
        <v>367</v>
      </c>
      <c r="C579" s="22">
        <v>58300</v>
      </c>
      <c r="D579" s="23">
        <v>0</v>
      </c>
      <c r="E579" s="24">
        <v>0</v>
      </c>
    </row>
    <row r="580" spans="1:5" x14ac:dyDescent="0.3">
      <c r="A580" s="20" t="s">
        <v>80</v>
      </c>
      <c r="B580" s="21" t="s">
        <v>368</v>
      </c>
      <c r="C580" s="22">
        <v>58300</v>
      </c>
      <c r="D580" s="23">
        <v>0</v>
      </c>
      <c r="E580" s="24">
        <v>0</v>
      </c>
    </row>
    <row r="581" spans="1:5" x14ac:dyDescent="0.3">
      <c r="A581" s="20" t="s">
        <v>80</v>
      </c>
      <c r="B581" s="21" t="s">
        <v>369</v>
      </c>
      <c r="C581" s="22">
        <v>58300</v>
      </c>
      <c r="D581" s="23">
        <v>0</v>
      </c>
      <c r="E581" s="24">
        <v>0</v>
      </c>
    </row>
    <row r="582" spans="1:5" x14ac:dyDescent="0.3">
      <c r="A582" s="20" t="s">
        <v>80</v>
      </c>
      <c r="B582" s="21" t="s">
        <v>370</v>
      </c>
      <c r="C582" s="22">
        <v>58300</v>
      </c>
      <c r="D582" s="23">
        <v>0</v>
      </c>
      <c r="E582" s="24">
        <v>0</v>
      </c>
    </row>
    <row r="583" spans="1:5" x14ac:dyDescent="0.3">
      <c r="A583" s="20" t="s">
        <v>80</v>
      </c>
      <c r="B583" s="21" t="s">
        <v>371</v>
      </c>
      <c r="C583" s="22">
        <v>58300</v>
      </c>
      <c r="D583" s="23">
        <v>0</v>
      </c>
      <c r="E583" s="24">
        <v>0</v>
      </c>
    </row>
    <row r="584" spans="1:5" x14ac:dyDescent="0.3">
      <c r="A584" s="20" t="s">
        <v>80</v>
      </c>
      <c r="B584" s="21" t="s">
        <v>372</v>
      </c>
      <c r="C584" s="22">
        <v>58300</v>
      </c>
      <c r="D584" s="23">
        <v>0</v>
      </c>
      <c r="E584" s="24">
        <v>0</v>
      </c>
    </row>
    <row r="585" spans="1:5" x14ac:dyDescent="0.3">
      <c r="A585" s="20" t="s">
        <v>80</v>
      </c>
      <c r="B585" s="21" t="s">
        <v>373</v>
      </c>
      <c r="C585" s="22">
        <v>29700</v>
      </c>
      <c r="D585" s="23">
        <v>0</v>
      </c>
      <c r="E585" s="24">
        <v>0</v>
      </c>
    </row>
    <row r="586" spans="1:5" x14ac:dyDescent="0.3">
      <c r="A586" s="20" t="s">
        <v>80</v>
      </c>
      <c r="B586" s="21" t="s">
        <v>374</v>
      </c>
      <c r="C586" s="22">
        <v>58300</v>
      </c>
      <c r="D586" s="23">
        <v>0</v>
      </c>
      <c r="E586" s="24">
        <v>0</v>
      </c>
    </row>
    <row r="587" spans="1:5" x14ac:dyDescent="0.3">
      <c r="A587" s="20" t="s">
        <v>80</v>
      </c>
      <c r="B587" s="21" t="s">
        <v>375</v>
      </c>
      <c r="C587" s="22">
        <v>58300</v>
      </c>
      <c r="D587" s="23">
        <v>0</v>
      </c>
      <c r="E587" s="24">
        <v>0</v>
      </c>
    </row>
    <row r="588" spans="1:5" x14ac:dyDescent="0.3">
      <c r="A588" s="20" t="s">
        <v>80</v>
      </c>
      <c r="B588" s="21" t="s">
        <v>376</v>
      </c>
      <c r="C588" s="22">
        <v>58300</v>
      </c>
      <c r="D588" s="23">
        <v>0</v>
      </c>
      <c r="E588" s="24">
        <v>0</v>
      </c>
    </row>
    <row r="589" spans="1:5" x14ac:dyDescent="0.3">
      <c r="A589" s="20" t="s">
        <v>80</v>
      </c>
      <c r="B589" s="21" t="s">
        <v>377</v>
      </c>
      <c r="C589" s="22">
        <v>29700</v>
      </c>
      <c r="D589" s="23">
        <v>0</v>
      </c>
      <c r="E589" s="24">
        <v>0</v>
      </c>
    </row>
    <row r="590" spans="1:5" x14ac:dyDescent="0.3">
      <c r="A590" s="16" t="s">
        <v>81</v>
      </c>
      <c r="B590" s="16" t="s">
        <v>366</v>
      </c>
      <c r="C590" s="17">
        <v>41800</v>
      </c>
      <c r="D590" s="18">
        <v>0</v>
      </c>
      <c r="E590" s="19">
        <v>0</v>
      </c>
    </row>
    <row r="591" spans="1:5" x14ac:dyDescent="0.3">
      <c r="A591" s="20" t="s">
        <v>81</v>
      </c>
      <c r="B591" s="21" t="s">
        <v>367</v>
      </c>
      <c r="C591" s="22">
        <v>41800</v>
      </c>
      <c r="D591" s="23">
        <v>0</v>
      </c>
      <c r="E591" s="24">
        <v>0</v>
      </c>
    </row>
    <row r="592" spans="1:5" x14ac:dyDescent="0.3">
      <c r="A592" s="20" t="s">
        <v>81</v>
      </c>
      <c r="B592" s="21" t="s">
        <v>368</v>
      </c>
      <c r="C592" s="22">
        <v>41800</v>
      </c>
      <c r="D592" s="23">
        <v>0</v>
      </c>
      <c r="E592" s="24">
        <v>0</v>
      </c>
    </row>
    <row r="593" spans="1:5" x14ac:dyDescent="0.3">
      <c r="A593" s="20" t="s">
        <v>81</v>
      </c>
      <c r="B593" s="21" t="s">
        <v>369</v>
      </c>
      <c r="C593" s="22">
        <v>41800</v>
      </c>
      <c r="D593" s="23">
        <v>0</v>
      </c>
      <c r="E593" s="24">
        <v>0</v>
      </c>
    </row>
    <row r="594" spans="1:5" x14ac:dyDescent="0.3">
      <c r="A594" s="20" t="s">
        <v>81</v>
      </c>
      <c r="B594" s="21" t="s">
        <v>370</v>
      </c>
      <c r="C594" s="22">
        <v>41800</v>
      </c>
      <c r="D594" s="23">
        <v>0</v>
      </c>
      <c r="E594" s="24">
        <v>0</v>
      </c>
    </row>
    <row r="595" spans="1:5" x14ac:dyDescent="0.3">
      <c r="A595" s="20" t="s">
        <v>81</v>
      </c>
      <c r="B595" s="21" t="s">
        <v>371</v>
      </c>
      <c r="C595" s="22">
        <v>41800</v>
      </c>
      <c r="D595" s="23">
        <v>0</v>
      </c>
      <c r="E595" s="24">
        <v>0</v>
      </c>
    </row>
    <row r="596" spans="1:5" x14ac:dyDescent="0.3">
      <c r="A596" s="20" t="s">
        <v>81</v>
      </c>
      <c r="B596" s="21" t="s">
        <v>372</v>
      </c>
      <c r="C596" s="22">
        <v>41800</v>
      </c>
      <c r="D596" s="23">
        <v>0</v>
      </c>
      <c r="E596" s="24">
        <v>0</v>
      </c>
    </row>
    <row r="597" spans="1:5" x14ac:dyDescent="0.3">
      <c r="A597" s="20" t="s">
        <v>81</v>
      </c>
      <c r="B597" s="21" t="s">
        <v>373</v>
      </c>
      <c r="C597" s="22">
        <v>20900</v>
      </c>
      <c r="D597" s="23">
        <v>0</v>
      </c>
      <c r="E597" s="24">
        <v>0</v>
      </c>
    </row>
    <row r="598" spans="1:5" x14ac:dyDescent="0.3">
      <c r="A598" s="20" t="s">
        <v>81</v>
      </c>
      <c r="B598" s="21" t="s">
        <v>374</v>
      </c>
      <c r="C598" s="22">
        <v>41800</v>
      </c>
      <c r="D598" s="23">
        <v>0</v>
      </c>
      <c r="E598" s="24">
        <v>0</v>
      </c>
    </row>
    <row r="599" spans="1:5" x14ac:dyDescent="0.3">
      <c r="A599" s="20" t="s">
        <v>81</v>
      </c>
      <c r="B599" s="21" t="s">
        <v>375</v>
      </c>
      <c r="C599" s="22">
        <v>41800</v>
      </c>
      <c r="D599" s="23">
        <v>0</v>
      </c>
      <c r="E599" s="24">
        <v>0</v>
      </c>
    </row>
    <row r="600" spans="1:5" x14ac:dyDescent="0.3">
      <c r="A600" s="20" t="s">
        <v>81</v>
      </c>
      <c r="B600" s="21" t="s">
        <v>376</v>
      </c>
      <c r="C600" s="22">
        <v>41800</v>
      </c>
      <c r="D600" s="23">
        <v>0</v>
      </c>
      <c r="E600" s="24">
        <v>0</v>
      </c>
    </row>
    <row r="601" spans="1:5" x14ac:dyDescent="0.3">
      <c r="A601" s="20" t="s">
        <v>81</v>
      </c>
      <c r="B601" s="21" t="s">
        <v>377</v>
      </c>
      <c r="C601" s="22">
        <v>20900</v>
      </c>
      <c r="D601" s="23">
        <v>0</v>
      </c>
      <c r="E601" s="24">
        <v>0</v>
      </c>
    </row>
    <row r="602" spans="1:5" x14ac:dyDescent="0.3">
      <c r="A602" s="16" t="s">
        <v>385</v>
      </c>
      <c r="B602" s="16" t="s">
        <v>366</v>
      </c>
      <c r="C602" s="17">
        <v>5500</v>
      </c>
      <c r="D602" s="18">
        <v>0</v>
      </c>
      <c r="E602" s="19">
        <v>0</v>
      </c>
    </row>
    <row r="603" spans="1:5" x14ac:dyDescent="0.3">
      <c r="A603" s="20" t="s">
        <v>385</v>
      </c>
      <c r="B603" s="21" t="s">
        <v>367</v>
      </c>
      <c r="C603" s="22">
        <v>5500</v>
      </c>
      <c r="D603" s="23">
        <v>0</v>
      </c>
      <c r="E603" s="24">
        <v>0</v>
      </c>
    </row>
    <row r="604" spans="1:5" x14ac:dyDescent="0.3">
      <c r="A604" s="20" t="s">
        <v>385</v>
      </c>
      <c r="B604" s="21" t="s">
        <v>368</v>
      </c>
      <c r="C604" s="22">
        <v>5500</v>
      </c>
      <c r="D604" s="23">
        <v>0</v>
      </c>
      <c r="E604" s="24">
        <v>0</v>
      </c>
    </row>
    <row r="605" spans="1:5" x14ac:dyDescent="0.3">
      <c r="A605" s="20" t="s">
        <v>385</v>
      </c>
      <c r="B605" s="21" t="s">
        <v>369</v>
      </c>
      <c r="C605" s="22">
        <v>5500</v>
      </c>
      <c r="D605" s="23">
        <v>0</v>
      </c>
      <c r="E605" s="24">
        <v>0</v>
      </c>
    </row>
    <row r="606" spans="1:5" x14ac:dyDescent="0.3">
      <c r="A606" s="20" t="s">
        <v>385</v>
      </c>
      <c r="B606" s="21" t="s">
        <v>370</v>
      </c>
      <c r="C606" s="22">
        <v>5500</v>
      </c>
      <c r="D606" s="23">
        <v>0</v>
      </c>
      <c r="E606" s="24">
        <v>0</v>
      </c>
    </row>
    <row r="607" spans="1:5" x14ac:dyDescent="0.3">
      <c r="A607" s="20" t="s">
        <v>385</v>
      </c>
      <c r="B607" s="21" t="s">
        <v>371</v>
      </c>
      <c r="C607" s="22">
        <v>5500</v>
      </c>
      <c r="D607" s="23">
        <v>0</v>
      </c>
      <c r="E607" s="24">
        <v>0</v>
      </c>
    </row>
    <row r="608" spans="1:5" x14ac:dyDescent="0.3">
      <c r="A608" s="20" t="s">
        <v>385</v>
      </c>
      <c r="B608" s="21" t="s">
        <v>372</v>
      </c>
      <c r="C608" s="22">
        <v>5500</v>
      </c>
      <c r="D608" s="23">
        <v>0</v>
      </c>
      <c r="E608" s="24">
        <v>0</v>
      </c>
    </row>
    <row r="609" spans="1:5" x14ac:dyDescent="0.3">
      <c r="A609" s="20" t="s">
        <v>385</v>
      </c>
      <c r="B609" s="21" t="s">
        <v>373</v>
      </c>
      <c r="C609" s="22">
        <v>3300</v>
      </c>
      <c r="D609" s="23">
        <v>0</v>
      </c>
      <c r="E609" s="24">
        <v>0</v>
      </c>
    </row>
    <row r="610" spans="1:5" x14ac:dyDescent="0.3">
      <c r="A610" s="20" t="s">
        <v>385</v>
      </c>
      <c r="B610" s="21" t="s">
        <v>374</v>
      </c>
      <c r="C610" s="22">
        <v>5500</v>
      </c>
      <c r="D610" s="23">
        <v>0</v>
      </c>
      <c r="E610" s="24">
        <v>0</v>
      </c>
    </row>
    <row r="611" spans="1:5" x14ac:dyDescent="0.3">
      <c r="A611" s="20" t="s">
        <v>385</v>
      </c>
      <c r="B611" s="21" t="s">
        <v>375</v>
      </c>
      <c r="C611" s="22">
        <v>5500</v>
      </c>
      <c r="D611" s="23">
        <v>0</v>
      </c>
      <c r="E611" s="24">
        <v>0</v>
      </c>
    </row>
    <row r="612" spans="1:5" x14ac:dyDescent="0.3">
      <c r="A612" s="20" t="s">
        <v>385</v>
      </c>
      <c r="B612" s="21" t="s">
        <v>376</v>
      </c>
      <c r="C612" s="22">
        <v>5500</v>
      </c>
      <c r="D612" s="23">
        <v>0</v>
      </c>
      <c r="E612" s="24">
        <v>0</v>
      </c>
    </row>
    <row r="613" spans="1:5" x14ac:dyDescent="0.3">
      <c r="A613" s="20" t="s">
        <v>385</v>
      </c>
      <c r="B613" s="21" t="s">
        <v>377</v>
      </c>
      <c r="C613" s="22">
        <v>3300</v>
      </c>
      <c r="D613" s="23">
        <v>0</v>
      </c>
      <c r="E613" s="24">
        <v>0</v>
      </c>
    </row>
    <row r="614" spans="1:5" x14ac:dyDescent="0.3">
      <c r="A614" s="16" t="s">
        <v>386</v>
      </c>
      <c r="B614" s="16" t="s">
        <v>374</v>
      </c>
      <c r="C614" s="17">
        <v>0</v>
      </c>
      <c r="D614" s="18">
        <v>0</v>
      </c>
      <c r="E614" s="19">
        <v>0</v>
      </c>
    </row>
    <row r="615" spans="1:5" x14ac:dyDescent="0.3">
      <c r="A615" s="16" t="s">
        <v>316</v>
      </c>
      <c r="B615" s="16" t="s">
        <v>366</v>
      </c>
      <c r="C615" s="17">
        <v>2200</v>
      </c>
      <c r="D615" s="18">
        <v>0</v>
      </c>
      <c r="E615" s="19">
        <v>0</v>
      </c>
    </row>
    <row r="616" spans="1:5" x14ac:dyDescent="0.3">
      <c r="A616" s="20" t="s">
        <v>316</v>
      </c>
      <c r="B616" s="21" t="s">
        <v>367</v>
      </c>
      <c r="C616" s="22">
        <v>2200</v>
      </c>
      <c r="D616" s="23">
        <v>0</v>
      </c>
      <c r="E616" s="24">
        <v>0</v>
      </c>
    </row>
    <row r="617" spans="1:5" x14ac:dyDescent="0.3">
      <c r="A617" s="20" t="s">
        <v>316</v>
      </c>
      <c r="B617" s="21" t="s">
        <v>368</v>
      </c>
      <c r="C617" s="22">
        <v>2200</v>
      </c>
      <c r="D617" s="23">
        <v>0</v>
      </c>
      <c r="E617" s="24">
        <v>0</v>
      </c>
    </row>
    <row r="618" spans="1:5" x14ac:dyDescent="0.3">
      <c r="A618" s="20" t="s">
        <v>316</v>
      </c>
      <c r="B618" s="21" t="s">
        <v>369</v>
      </c>
      <c r="C618" s="22">
        <v>2200</v>
      </c>
      <c r="D618" s="23">
        <v>0</v>
      </c>
      <c r="E618" s="24">
        <v>0</v>
      </c>
    </row>
    <row r="619" spans="1:5" x14ac:dyDescent="0.3">
      <c r="A619" s="20" t="s">
        <v>316</v>
      </c>
      <c r="B619" s="21" t="s">
        <v>370</v>
      </c>
      <c r="C619" s="22">
        <v>2200</v>
      </c>
      <c r="D619" s="23">
        <v>0</v>
      </c>
      <c r="E619" s="24">
        <v>0</v>
      </c>
    </row>
    <row r="620" spans="1:5" x14ac:dyDescent="0.3">
      <c r="A620" s="20" t="s">
        <v>316</v>
      </c>
      <c r="B620" s="21" t="s">
        <v>371</v>
      </c>
      <c r="C620" s="22">
        <v>2200</v>
      </c>
      <c r="D620" s="23">
        <v>0</v>
      </c>
      <c r="E620" s="24">
        <v>0</v>
      </c>
    </row>
    <row r="621" spans="1:5" x14ac:dyDescent="0.3">
      <c r="A621" s="20" t="s">
        <v>316</v>
      </c>
      <c r="B621" s="21" t="s">
        <v>372</v>
      </c>
      <c r="C621" s="22">
        <v>2200</v>
      </c>
      <c r="D621" s="23">
        <v>0</v>
      </c>
      <c r="E621" s="24">
        <v>0</v>
      </c>
    </row>
    <row r="622" spans="1:5" x14ac:dyDescent="0.3">
      <c r="A622" s="20" t="s">
        <v>316</v>
      </c>
      <c r="B622" s="21" t="s">
        <v>373</v>
      </c>
      <c r="C622" s="22">
        <v>1100</v>
      </c>
      <c r="D622" s="23">
        <v>0</v>
      </c>
      <c r="E622" s="24">
        <v>0</v>
      </c>
    </row>
    <row r="623" spans="1:5" x14ac:dyDescent="0.3">
      <c r="A623" s="20" t="s">
        <v>316</v>
      </c>
      <c r="B623" s="21" t="s">
        <v>374</v>
      </c>
      <c r="C623" s="22">
        <v>2200</v>
      </c>
      <c r="D623" s="23">
        <v>0</v>
      </c>
      <c r="E623" s="24">
        <v>0</v>
      </c>
    </row>
    <row r="624" spans="1:5" x14ac:dyDescent="0.3">
      <c r="A624" s="20" t="s">
        <v>316</v>
      </c>
      <c r="B624" s="21" t="s">
        <v>375</v>
      </c>
      <c r="C624" s="22">
        <v>2200</v>
      </c>
      <c r="D624" s="23">
        <v>0</v>
      </c>
      <c r="E624" s="24">
        <v>0</v>
      </c>
    </row>
    <row r="625" spans="1:5" x14ac:dyDescent="0.3">
      <c r="A625" s="20" t="s">
        <v>316</v>
      </c>
      <c r="B625" s="21" t="s">
        <v>376</v>
      </c>
      <c r="C625" s="22">
        <v>2200</v>
      </c>
      <c r="D625" s="23">
        <v>0</v>
      </c>
      <c r="E625" s="24">
        <v>0</v>
      </c>
    </row>
    <row r="626" spans="1:5" x14ac:dyDescent="0.3">
      <c r="A626" s="20" t="s">
        <v>316</v>
      </c>
      <c r="B626" s="21" t="s">
        <v>377</v>
      </c>
      <c r="C626" s="22">
        <v>1100</v>
      </c>
      <c r="D626" s="23">
        <v>0</v>
      </c>
      <c r="E626" s="24">
        <v>0</v>
      </c>
    </row>
    <row r="627" spans="1:5" x14ac:dyDescent="0.3">
      <c r="A627" s="16" t="s">
        <v>83</v>
      </c>
      <c r="B627" s="16" t="s">
        <v>366</v>
      </c>
      <c r="C627" s="17">
        <v>30800</v>
      </c>
      <c r="D627" s="18">
        <v>0</v>
      </c>
      <c r="E627" s="19">
        <v>0</v>
      </c>
    </row>
    <row r="628" spans="1:5" x14ac:dyDescent="0.3">
      <c r="A628" s="20" t="s">
        <v>83</v>
      </c>
      <c r="B628" s="21" t="s">
        <v>367</v>
      </c>
      <c r="C628" s="22">
        <v>30800</v>
      </c>
      <c r="D628" s="23">
        <v>0</v>
      </c>
      <c r="E628" s="24">
        <v>0</v>
      </c>
    </row>
    <row r="629" spans="1:5" x14ac:dyDescent="0.3">
      <c r="A629" s="20" t="s">
        <v>83</v>
      </c>
      <c r="B629" s="21" t="s">
        <v>368</v>
      </c>
      <c r="C629" s="22">
        <v>30800</v>
      </c>
      <c r="D629" s="23">
        <v>0</v>
      </c>
      <c r="E629" s="24">
        <v>0</v>
      </c>
    </row>
    <row r="630" spans="1:5" x14ac:dyDescent="0.3">
      <c r="A630" s="20" t="s">
        <v>83</v>
      </c>
      <c r="B630" s="21" t="s">
        <v>369</v>
      </c>
      <c r="C630" s="22">
        <v>30800</v>
      </c>
      <c r="D630" s="23">
        <v>0</v>
      </c>
      <c r="E630" s="24">
        <v>0</v>
      </c>
    </row>
    <row r="631" spans="1:5" x14ac:dyDescent="0.3">
      <c r="A631" s="20" t="s">
        <v>83</v>
      </c>
      <c r="B631" s="21" t="s">
        <v>370</v>
      </c>
      <c r="C631" s="22">
        <v>30800</v>
      </c>
      <c r="D631" s="23">
        <v>0</v>
      </c>
      <c r="E631" s="24">
        <v>0</v>
      </c>
    </row>
    <row r="632" spans="1:5" x14ac:dyDescent="0.3">
      <c r="A632" s="20" t="s">
        <v>83</v>
      </c>
      <c r="B632" s="21" t="s">
        <v>371</v>
      </c>
      <c r="C632" s="22">
        <v>30800</v>
      </c>
      <c r="D632" s="23">
        <v>0</v>
      </c>
      <c r="E632" s="24">
        <v>0</v>
      </c>
    </row>
    <row r="633" spans="1:5" x14ac:dyDescent="0.3">
      <c r="A633" s="20" t="s">
        <v>83</v>
      </c>
      <c r="B633" s="21" t="s">
        <v>372</v>
      </c>
      <c r="C633" s="22">
        <v>30800</v>
      </c>
      <c r="D633" s="23">
        <v>0</v>
      </c>
      <c r="E633" s="24">
        <v>0</v>
      </c>
    </row>
    <row r="634" spans="1:5" x14ac:dyDescent="0.3">
      <c r="A634" s="20" t="s">
        <v>83</v>
      </c>
      <c r="B634" s="21" t="s">
        <v>373</v>
      </c>
      <c r="C634" s="22">
        <v>15400</v>
      </c>
      <c r="D634" s="23">
        <v>0</v>
      </c>
      <c r="E634" s="24">
        <v>0</v>
      </c>
    </row>
    <row r="635" spans="1:5" x14ac:dyDescent="0.3">
      <c r="A635" s="20" t="s">
        <v>83</v>
      </c>
      <c r="B635" s="21" t="s">
        <v>374</v>
      </c>
      <c r="C635" s="22">
        <v>30800</v>
      </c>
      <c r="D635" s="23">
        <v>0</v>
      </c>
      <c r="E635" s="24">
        <v>0</v>
      </c>
    </row>
    <row r="636" spans="1:5" x14ac:dyDescent="0.3">
      <c r="A636" s="20" t="s">
        <v>83</v>
      </c>
      <c r="B636" s="21" t="s">
        <v>375</v>
      </c>
      <c r="C636" s="22">
        <v>30800</v>
      </c>
      <c r="D636" s="23">
        <v>0</v>
      </c>
      <c r="E636" s="24">
        <v>0</v>
      </c>
    </row>
    <row r="637" spans="1:5" x14ac:dyDescent="0.3">
      <c r="A637" s="20" t="s">
        <v>83</v>
      </c>
      <c r="B637" s="21" t="s">
        <v>376</v>
      </c>
      <c r="C637" s="22">
        <v>30800</v>
      </c>
      <c r="D637" s="23">
        <v>0</v>
      </c>
      <c r="E637" s="24">
        <v>0</v>
      </c>
    </row>
    <row r="638" spans="1:5" x14ac:dyDescent="0.3">
      <c r="A638" s="20" t="s">
        <v>83</v>
      </c>
      <c r="B638" s="21" t="s">
        <v>377</v>
      </c>
      <c r="C638" s="22">
        <v>15400</v>
      </c>
      <c r="D638" s="23">
        <v>0</v>
      </c>
      <c r="E638" s="24">
        <v>0</v>
      </c>
    </row>
    <row r="639" spans="1:5" x14ac:dyDescent="0.3">
      <c r="A639" s="16" t="s">
        <v>84</v>
      </c>
      <c r="B639" s="16" t="s">
        <v>366</v>
      </c>
      <c r="C639" s="17">
        <v>30800</v>
      </c>
      <c r="D639" s="18">
        <v>0</v>
      </c>
      <c r="E639" s="19">
        <v>0</v>
      </c>
    </row>
    <row r="640" spans="1:5" x14ac:dyDescent="0.3">
      <c r="A640" s="20" t="s">
        <v>84</v>
      </c>
      <c r="B640" s="21" t="s">
        <v>367</v>
      </c>
      <c r="C640" s="22">
        <v>30800</v>
      </c>
      <c r="D640" s="23">
        <v>0</v>
      </c>
      <c r="E640" s="24">
        <v>0</v>
      </c>
    </row>
    <row r="641" spans="1:5" x14ac:dyDescent="0.3">
      <c r="A641" s="20" t="s">
        <v>84</v>
      </c>
      <c r="B641" s="21" t="s">
        <v>368</v>
      </c>
      <c r="C641" s="22">
        <v>30800</v>
      </c>
      <c r="D641" s="23">
        <v>0</v>
      </c>
      <c r="E641" s="24">
        <v>0</v>
      </c>
    </row>
    <row r="642" spans="1:5" x14ac:dyDescent="0.3">
      <c r="A642" s="20" t="s">
        <v>84</v>
      </c>
      <c r="B642" s="21" t="s">
        <v>369</v>
      </c>
      <c r="C642" s="22">
        <v>30800</v>
      </c>
      <c r="D642" s="23">
        <v>0</v>
      </c>
      <c r="E642" s="24">
        <v>0</v>
      </c>
    </row>
    <row r="643" spans="1:5" x14ac:dyDescent="0.3">
      <c r="A643" s="20" t="s">
        <v>84</v>
      </c>
      <c r="B643" s="21" t="s">
        <v>370</v>
      </c>
      <c r="C643" s="22">
        <v>30800</v>
      </c>
      <c r="D643" s="23">
        <v>0</v>
      </c>
      <c r="E643" s="24">
        <v>0</v>
      </c>
    </row>
    <row r="644" spans="1:5" x14ac:dyDescent="0.3">
      <c r="A644" s="20" t="s">
        <v>84</v>
      </c>
      <c r="B644" s="21" t="s">
        <v>371</v>
      </c>
      <c r="C644" s="22">
        <v>30800</v>
      </c>
      <c r="D644" s="23">
        <v>0</v>
      </c>
      <c r="E644" s="24">
        <v>0</v>
      </c>
    </row>
    <row r="645" spans="1:5" x14ac:dyDescent="0.3">
      <c r="A645" s="20" t="s">
        <v>84</v>
      </c>
      <c r="B645" s="21" t="s">
        <v>372</v>
      </c>
      <c r="C645" s="22">
        <v>30800</v>
      </c>
      <c r="D645" s="23">
        <v>0</v>
      </c>
      <c r="E645" s="24">
        <v>0</v>
      </c>
    </row>
    <row r="646" spans="1:5" x14ac:dyDescent="0.3">
      <c r="A646" s="20" t="s">
        <v>84</v>
      </c>
      <c r="B646" s="21" t="s">
        <v>373</v>
      </c>
      <c r="C646" s="22">
        <v>15400</v>
      </c>
      <c r="D646" s="23">
        <v>0</v>
      </c>
      <c r="E646" s="24">
        <v>0</v>
      </c>
    </row>
    <row r="647" spans="1:5" x14ac:dyDescent="0.3">
      <c r="A647" s="20" t="s">
        <v>84</v>
      </c>
      <c r="B647" s="21" t="s">
        <v>374</v>
      </c>
      <c r="C647" s="22">
        <v>30800</v>
      </c>
      <c r="D647" s="23">
        <v>0</v>
      </c>
      <c r="E647" s="24">
        <v>0</v>
      </c>
    </row>
    <row r="648" spans="1:5" x14ac:dyDescent="0.3">
      <c r="A648" s="20" t="s">
        <v>84</v>
      </c>
      <c r="B648" s="21" t="s">
        <v>375</v>
      </c>
      <c r="C648" s="22">
        <v>30800</v>
      </c>
      <c r="D648" s="23">
        <v>0</v>
      </c>
      <c r="E648" s="24">
        <v>0</v>
      </c>
    </row>
    <row r="649" spans="1:5" x14ac:dyDescent="0.3">
      <c r="A649" s="20" t="s">
        <v>84</v>
      </c>
      <c r="B649" s="21" t="s">
        <v>376</v>
      </c>
      <c r="C649" s="22">
        <v>30800</v>
      </c>
      <c r="D649" s="23">
        <v>0</v>
      </c>
      <c r="E649" s="24">
        <v>0</v>
      </c>
    </row>
    <row r="650" spans="1:5" x14ac:dyDescent="0.3">
      <c r="A650" s="20" t="s">
        <v>84</v>
      </c>
      <c r="B650" s="21" t="s">
        <v>377</v>
      </c>
      <c r="C650" s="22">
        <v>15400</v>
      </c>
      <c r="D650" s="23">
        <v>0</v>
      </c>
      <c r="E650" s="24">
        <v>0</v>
      </c>
    </row>
    <row r="651" spans="1:5" x14ac:dyDescent="0.3">
      <c r="A651" s="16" t="s">
        <v>175</v>
      </c>
      <c r="B651" s="16" t="s">
        <v>366</v>
      </c>
      <c r="C651" s="17">
        <v>5500</v>
      </c>
      <c r="D651" s="18">
        <v>0</v>
      </c>
      <c r="E651" s="19">
        <v>0</v>
      </c>
    </row>
    <row r="652" spans="1:5" x14ac:dyDescent="0.3">
      <c r="A652" s="20" t="s">
        <v>175</v>
      </c>
      <c r="B652" s="21" t="s">
        <v>367</v>
      </c>
      <c r="C652" s="22">
        <v>5500</v>
      </c>
      <c r="D652" s="23">
        <v>0</v>
      </c>
      <c r="E652" s="24">
        <v>0</v>
      </c>
    </row>
    <row r="653" spans="1:5" x14ac:dyDescent="0.3">
      <c r="A653" s="20" t="s">
        <v>175</v>
      </c>
      <c r="B653" s="21" t="s">
        <v>368</v>
      </c>
      <c r="C653" s="22">
        <v>5500</v>
      </c>
      <c r="D653" s="23">
        <v>0</v>
      </c>
      <c r="E653" s="24">
        <v>0</v>
      </c>
    </row>
    <row r="654" spans="1:5" x14ac:dyDescent="0.3">
      <c r="A654" s="20" t="s">
        <v>175</v>
      </c>
      <c r="B654" s="21" t="s">
        <v>369</v>
      </c>
      <c r="C654" s="22">
        <v>5500</v>
      </c>
      <c r="D654" s="23">
        <v>0</v>
      </c>
      <c r="E654" s="24">
        <v>0</v>
      </c>
    </row>
    <row r="655" spans="1:5" x14ac:dyDescent="0.3">
      <c r="A655" s="20" t="s">
        <v>175</v>
      </c>
      <c r="B655" s="21" t="s">
        <v>370</v>
      </c>
      <c r="C655" s="22">
        <v>5500</v>
      </c>
      <c r="D655" s="23">
        <v>0</v>
      </c>
      <c r="E655" s="24">
        <v>0</v>
      </c>
    </row>
    <row r="656" spans="1:5" x14ac:dyDescent="0.3">
      <c r="A656" s="20" t="s">
        <v>175</v>
      </c>
      <c r="B656" s="21" t="s">
        <v>371</v>
      </c>
      <c r="C656" s="22">
        <v>5500</v>
      </c>
      <c r="D656" s="23">
        <v>0</v>
      </c>
      <c r="E656" s="24">
        <v>0</v>
      </c>
    </row>
    <row r="657" spans="1:5" x14ac:dyDescent="0.3">
      <c r="A657" s="20" t="s">
        <v>175</v>
      </c>
      <c r="B657" s="21" t="s">
        <v>372</v>
      </c>
      <c r="C657" s="22">
        <v>5500</v>
      </c>
      <c r="D657" s="23">
        <v>0</v>
      </c>
      <c r="E657" s="24">
        <v>0</v>
      </c>
    </row>
    <row r="658" spans="1:5" x14ac:dyDescent="0.3">
      <c r="A658" s="20" t="s">
        <v>175</v>
      </c>
      <c r="B658" s="21" t="s">
        <v>373</v>
      </c>
      <c r="C658" s="22">
        <v>2200</v>
      </c>
      <c r="D658" s="23">
        <v>0</v>
      </c>
      <c r="E658" s="24">
        <v>0</v>
      </c>
    </row>
    <row r="659" spans="1:5" x14ac:dyDescent="0.3">
      <c r="A659" s="20" t="s">
        <v>175</v>
      </c>
      <c r="B659" s="21" t="s">
        <v>374</v>
      </c>
      <c r="C659" s="22">
        <v>5500</v>
      </c>
      <c r="D659" s="23">
        <v>0</v>
      </c>
      <c r="E659" s="24">
        <v>0</v>
      </c>
    </row>
    <row r="660" spans="1:5" x14ac:dyDescent="0.3">
      <c r="A660" s="20" t="s">
        <v>175</v>
      </c>
      <c r="B660" s="21" t="s">
        <v>375</v>
      </c>
      <c r="C660" s="22">
        <v>5500</v>
      </c>
      <c r="D660" s="23">
        <v>0</v>
      </c>
      <c r="E660" s="24">
        <v>0</v>
      </c>
    </row>
    <row r="661" spans="1:5" x14ac:dyDescent="0.3">
      <c r="A661" s="20" t="s">
        <v>175</v>
      </c>
      <c r="B661" s="21" t="s">
        <v>376</v>
      </c>
      <c r="C661" s="22">
        <v>5500</v>
      </c>
      <c r="D661" s="23">
        <v>0</v>
      </c>
      <c r="E661" s="24">
        <v>0</v>
      </c>
    </row>
    <row r="662" spans="1:5" x14ac:dyDescent="0.3">
      <c r="A662" s="20" t="s">
        <v>175</v>
      </c>
      <c r="B662" s="21" t="s">
        <v>377</v>
      </c>
      <c r="C662" s="22">
        <v>2200</v>
      </c>
      <c r="D662" s="23">
        <v>0</v>
      </c>
      <c r="E662" s="24">
        <v>0</v>
      </c>
    </row>
    <row r="663" spans="1:5" x14ac:dyDescent="0.3">
      <c r="A663" s="16" t="s">
        <v>387</v>
      </c>
      <c r="B663" s="16" t="s">
        <v>366</v>
      </c>
      <c r="C663" s="17">
        <v>165000</v>
      </c>
      <c r="D663" s="18">
        <v>0</v>
      </c>
      <c r="E663" s="19">
        <v>130000</v>
      </c>
    </row>
    <row r="664" spans="1:5" x14ac:dyDescent="0.3">
      <c r="A664" s="20" t="s">
        <v>387</v>
      </c>
      <c r="B664" s="21" t="s">
        <v>367</v>
      </c>
      <c r="C664" s="22">
        <v>165000</v>
      </c>
      <c r="D664" s="23">
        <v>0</v>
      </c>
      <c r="E664" s="24">
        <v>140000</v>
      </c>
    </row>
    <row r="665" spans="1:5" x14ac:dyDescent="0.3">
      <c r="A665" s="20" t="s">
        <v>387</v>
      </c>
      <c r="B665" s="21" t="s">
        <v>368</v>
      </c>
      <c r="C665" s="22">
        <v>165000</v>
      </c>
      <c r="D665" s="23">
        <v>0</v>
      </c>
      <c r="E665" s="24">
        <v>130000</v>
      </c>
    </row>
    <row r="666" spans="1:5" x14ac:dyDescent="0.3">
      <c r="A666" s="20" t="s">
        <v>387</v>
      </c>
      <c r="B666" s="21" t="s">
        <v>369</v>
      </c>
      <c r="C666" s="22">
        <v>165000</v>
      </c>
      <c r="D666" s="23">
        <v>0</v>
      </c>
      <c r="E666" s="24">
        <v>70000</v>
      </c>
    </row>
    <row r="667" spans="1:5" x14ac:dyDescent="0.3">
      <c r="A667" s="20" t="s">
        <v>387</v>
      </c>
      <c r="B667" s="21" t="s">
        <v>370</v>
      </c>
      <c r="C667" s="22">
        <v>165000</v>
      </c>
      <c r="D667" s="23">
        <v>0</v>
      </c>
      <c r="E667" s="24">
        <v>90000</v>
      </c>
    </row>
    <row r="668" spans="1:5" x14ac:dyDescent="0.3">
      <c r="A668" s="20" t="s">
        <v>387</v>
      </c>
      <c r="B668" s="21" t="s">
        <v>371</v>
      </c>
      <c r="C668" s="22">
        <v>165000</v>
      </c>
      <c r="D668" s="23">
        <v>0</v>
      </c>
      <c r="E668" s="24">
        <v>130000</v>
      </c>
    </row>
    <row r="669" spans="1:5" x14ac:dyDescent="0.3">
      <c r="A669" s="20" t="s">
        <v>387</v>
      </c>
      <c r="B669" s="21" t="s">
        <v>372</v>
      </c>
      <c r="C669" s="22">
        <v>165000</v>
      </c>
      <c r="D669" s="23">
        <v>0</v>
      </c>
      <c r="E669" s="24">
        <v>100000</v>
      </c>
    </row>
    <row r="670" spans="1:5" x14ac:dyDescent="0.3">
      <c r="A670" s="20" t="s">
        <v>387</v>
      </c>
      <c r="B670" s="21" t="s">
        <v>373</v>
      </c>
      <c r="C670" s="22">
        <v>165000</v>
      </c>
      <c r="D670" s="23">
        <v>0</v>
      </c>
      <c r="E670" s="24">
        <v>130000</v>
      </c>
    </row>
    <row r="671" spans="1:5" x14ac:dyDescent="0.3">
      <c r="A671" s="20" t="s">
        <v>387</v>
      </c>
      <c r="B671" s="21" t="s">
        <v>374</v>
      </c>
      <c r="C671" s="22">
        <v>165000</v>
      </c>
      <c r="D671" s="23">
        <v>0</v>
      </c>
      <c r="E671" s="24">
        <v>0</v>
      </c>
    </row>
    <row r="672" spans="1:5" x14ac:dyDescent="0.3">
      <c r="A672" s="20" t="s">
        <v>387</v>
      </c>
      <c r="B672" s="21" t="s">
        <v>375</v>
      </c>
      <c r="C672" s="22">
        <v>165000</v>
      </c>
      <c r="D672" s="23">
        <v>0</v>
      </c>
      <c r="E672" s="24">
        <v>0</v>
      </c>
    </row>
    <row r="673" spans="1:5" x14ac:dyDescent="0.3">
      <c r="A673" s="20" t="s">
        <v>387</v>
      </c>
      <c r="B673" s="21" t="s">
        <v>376</v>
      </c>
      <c r="C673" s="22">
        <v>165000</v>
      </c>
      <c r="D673" s="23">
        <v>0</v>
      </c>
      <c r="E673" s="24">
        <v>0</v>
      </c>
    </row>
    <row r="674" spans="1:5" x14ac:dyDescent="0.3">
      <c r="A674" s="20" t="s">
        <v>387</v>
      </c>
      <c r="B674" s="21" t="s">
        <v>377</v>
      </c>
      <c r="C674" s="22">
        <v>165000</v>
      </c>
      <c r="D674" s="23">
        <v>0</v>
      </c>
      <c r="E674" s="24">
        <v>0</v>
      </c>
    </row>
    <row r="675" spans="1:5" x14ac:dyDescent="0.3">
      <c r="A675" s="16" t="s">
        <v>200</v>
      </c>
      <c r="B675" s="16" t="s">
        <v>366</v>
      </c>
      <c r="C675" s="17">
        <v>7700</v>
      </c>
      <c r="D675" s="18">
        <v>0</v>
      </c>
      <c r="E675" s="19">
        <v>0</v>
      </c>
    </row>
    <row r="676" spans="1:5" x14ac:dyDescent="0.3">
      <c r="A676" s="20" t="s">
        <v>200</v>
      </c>
      <c r="B676" s="21" t="s">
        <v>367</v>
      </c>
      <c r="C676" s="22">
        <v>7700</v>
      </c>
      <c r="D676" s="23">
        <v>0</v>
      </c>
      <c r="E676" s="24">
        <v>0</v>
      </c>
    </row>
    <row r="677" spans="1:5" x14ac:dyDescent="0.3">
      <c r="A677" s="20" t="s">
        <v>200</v>
      </c>
      <c r="B677" s="21" t="s">
        <v>368</v>
      </c>
      <c r="C677" s="22">
        <v>7700</v>
      </c>
      <c r="D677" s="23">
        <v>0</v>
      </c>
      <c r="E677" s="24">
        <v>0</v>
      </c>
    </row>
    <row r="678" spans="1:5" x14ac:dyDescent="0.3">
      <c r="A678" s="20" t="s">
        <v>200</v>
      </c>
      <c r="B678" s="21" t="s">
        <v>369</v>
      </c>
      <c r="C678" s="22">
        <v>7700</v>
      </c>
      <c r="D678" s="23">
        <v>0</v>
      </c>
      <c r="E678" s="24">
        <v>0</v>
      </c>
    </row>
    <row r="679" spans="1:5" x14ac:dyDescent="0.3">
      <c r="A679" s="20" t="s">
        <v>200</v>
      </c>
      <c r="B679" s="21" t="s">
        <v>370</v>
      </c>
      <c r="C679" s="22">
        <v>7700</v>
      </c>
      <c r="D679" s="23">
        <v>0</v>
      </c>
      <c r="E679" s="24">
        <v>0</v>
      </c>
    </row>
    <row r="680" spans="1:5" x14ac:dyDescent="0.3">
      <c r="A680" s="20" t="s">
        <v>200</v>
      </c>
      <c r="B680" s="21" t="s">
        <v>371</v>
      </c>
      <c r="C680" s="22">
        <v>7700</v>
      </c>
      <c r="D680" s="23">
        <v>0</v>
      </c>
      <c r="E680" s="24">
        <v>0</v>
      </c>
    </row>
    <row r="681" spans="1:5" x14ac:dyDescent="0.3">
      <c r="A681" s="20" t="s">
        <v>200</v>
      </c>
      <c r="B681" s="21" t="s">
        <v>372</v>
      </c>
      <c r="C681" s="22">
        <v>7700</v>
      </c>
      <c r="D681" s="23">
        <v>0</v>
      </c>
      <c r="E681" s="24">
        <v>0</v>
      </c>
    </row>
    <row r="682" spans="1:5" x14ac:dyDescent="0.3">
      <c r="A682" s="20" t="s">
        <v>200</v>
      </c>
      <c r="B682" s="21" t="s">
        <v>373</v>
      </c>
      <c r="C682" s="22">
        <v>3300</v>
      </c>
      <c r="D682" s="23">
        <v>0</v>
      </c>
      <c r="E682" s="24">
        <v>0</v>
      </c>
    </row>
    <row r="683" spans="1:5" x14ac:dyDescent="0.3">
      <c r="A683" s="20" t="s">
        <v>200</v>
      </c>
      <c r="B683" s="21" t="s">
        <v>374</v>
      </c>
      <c r="C683" s="22">
        <v>7700</v>
      </c>
      <c r="D683" s="23">
        <v>0</v>
      </c>
      <c r="E683" s="24">
        <v>0</v>
      </c>
    </row>
    <row r="684" spans="1:5" x14ac:dyDescent="0.3">
      <c r="A684" s="20" t="s">
        <v>200</v>
      </c>
      <c r="B684" s="21" t="s">
        <v>375</v>
      </c>
      <c r="C684" s="22">
        <v>7700</v>
      </c>
      <c r="D684" s="23">
        <v>0</v>
      </c>
      <c r="E684" s="24">
        <v>0</v>
      </c>
    </row>
    <row r="685" spans="1:5" x14ac:dyDescent="0.3">
      <c r="A685" s="20" t="s">
        <v>200</v>
      </c>
      <c r="B685" s="21" t="s">
        <v>376</v>
      </c>
      <c r="C685" s="22">
        <v>7700</v>
      </c>
      <c r="D685" s="23">
        <v>0</v>
      </c>
      <c r="E685" s="24">
        <v>0</v>
      </c>
    </row>
    <row r="686" spans="1:5" x14ac:dyDescent="0.3">
      <c r="A686" s="20" t="s">
        <v>200</v>
      </c>
      <c r="B686" s="21" t="s">
        <v>377</v>
      </c>
      <c r="C686" s="22">
        <v>3300</v>
      </c>
      <c r="D686" s="23">
        <v>0</v>
      </c>
      <c r="E686" s="24">
        <v>0</v>
      </c>
    </row>
    <row r="687" spans="1:5" x14ac:dyDescent="0.3">
      <c r="A687" s="16" t="s">
        <v>202</v>
      </c>
      <c r="B687" s="16" t="s">
        <v>366</v>
      </c>
      <c r="C687" s="17">
        <v>74800</v>
      </c>
      <c r="D687" s="18">
        <v>0</v>
      </c>
      <c r="E687" s="19">
        <v>0</v>
      </c>
    </row>
    <row r="688" spans="1:5" x14ac:dyDescent="0.3">
      <c r="A688" s="20" t="s">
        <v>202</v>
      </c>
      <c r="B688" s="21" t="s">
        <v>367</v>
      </c>
      <c r="C688" s="22">
        <v>74800</v>
      </c>
      <c r="D688" s="23">
        <v>0</v>
      </c>
      <c r="E688" s="24">
        <v>0</v>
      </c>
    </row>
    <row r="689" spans="1:5" x14ac:dyDescent="0.3">
      <c r="A689" s="20" t="s">
        <v>202</v>
      </c>
      <c r="B689" s="21" t="s">
        <v>368</v>
      </c>
      <c r="C689" s="22">
        <v>74800</v>
      </c>
      <c r="D689" s="23">
        <v>0</v>
      </c>
      <c r="E689" s="24">
        <v>0</v>
      </c>
    </row>
    <row r="690" spans="1:5" x14ac:dyDescent="0.3">
      <c r="A690" s="20" t="s">
        <v>202</v>
      </c>
      <c r="B690" s="21" t="s">
        <v>369</v>
      </c>
      <c r="C690" s="22">
        <v>74800</v>
      </c>
      <c r="D690" s="23">
        <v>0</v>
      </c>
      <c r="E690" s="24">
        <v>0</v>
      </c>
    </row>
    <row r="691" spans="1:5" x14ac:dyDescent="0.3">
      <c r="A691" s="20" t="s">
        <v>202</v>
      </c>
      <c r="B691" s="21" t="s">
        <v>370</v>
      </c>
      <c r="C691" s="22">
        <v>74800</v>
      </c>
      <c r="D691" s="23">
        <v>0</v>
      </c>
      <c r="E691" s="24">
        <v>0</v>
      </c>
    </row>
    <row r="692" spans="1:5" x14ac:dyDescent="0.3">
      <c r="A692" s="20" t="s">
        <v>202</v>
      </c>
      <c r="B692" s="21" t="s">
        <v>371</v>
      </c>
      <c r="C692" s="22">
        <v>74800</v>
      </c>
      <c r="D692" s="23">
        <v>0</v>
      </c>
      <c r="E692" s="24">
        <v>0</v>
      </c>
    </row>
    <row r="693" spans="1:5" x14ac:dyDescent="0.3">
      <c r="A693" s="20" t="s">
        <v>202</v>
      </c>
      <c r="B693" s="21" t="s">
        <v>372</v>
      </c>
      <c r="C693" s="22">
        <v>74800</v>
      </c>
      <c r="D693" s="23">
        <v>0</v>
      </c>
      <c r="E693" s="24">
        <v>0</v>
      </c>
    </row>
    <row r="694" spans="1:5" x14ac:dyDescent="0.3">
      <c r="A694" s="20" t="s">
        <v>202</v>
      </c>
      <c r="B694" s="21" t="s">
        <v>373</v>
      </c>
      <c r="C694" s="22">
        <v>37400</v>
      </c>
      <c r="D694" s="23">
        <v>0</v>
      </c>
      <c r="E694" s="24">
        <v>0</v>
      </c>
    </row>
    <row r="695" spans="1:5" x14ac:dyDescent="0.3">
      <c r="A695" s="20" t="s">
        <v>202</v>
      </c>
      <c r="B695" s="21" t="s">
        <v>374</v>
      </c>
      <c r="C695" s="22">
        <v>74800</v>
      </c>
      <c r="D695" s="23">
        <v>0</v>
      </c>
      <c r="E695" s="24">
        <v>0</v>
      </c>
    </row>
    <row r="696" spans="1:5" x14ac:dyDescent="0.3">
      <c r="A696" s="20" t="s">
        <v>202</v>
      </c>
      <c r="B696" s="21" t="s">
        <v>375</v>
      </c>
      <c r="C696" s="22">
        <v>74800</v>
      </c>
      <c r="D696" s="23">
        <v>0</v>
      </c>
      <c r="E696" s="24">
        <v>0</v>
      </c>
    </row>
    <row r="697" spans="1:5" x14ac:dyDescent="0.3">
      <c r="A697" s="20" t="s">
        <v>202</v>
      </c>
      <c r="B697" s="21" t="s">
        <v>376</v>
      </c>
      <c r="C697" s="22">
        <v>74800</v>
      </c>
      <c r="D697" s="23">
        <v>0</v>
      </c>
      <c r="E697" s="24">
        <v>0</v>
      </c>
    </row>
    <row r="698" spans="1:5" x14ac:dyDescent="0.3">
      <c r="A698" s="20" t="s">
        <v>202</v>
      </c>
      <c r="B698" s="21" t="s">
        <v>377</v>
      </c>
      <c r="C698" s="22">
        <v>37400</v>
      </c>
      <c r="D698" s="23">
        <v>0</v>
      </c>
      <c r="E698" s="24">
        <v>0</v>
      </c>
    </row>
    <row r="699" spans="1:5" x14ac:dyDescent="0.3">
      <c r="A699" s="16" t="s">
        <v>212</v>
      </c>
      <c r="B699" s="16" t="s">
        <v>366</v>
      </c>
      <c r="C699" s="17">
        <v>2200</v>
      </c>
      <c r="D699" s="18">
        <v>0</v>
      </c>
      <c r="E699" s="19">
        <v>0</v>
      </c>
    </row>
    <row r="700" spans="1:5" x14ac:dyDescent="0.3">
      <c r="A700" s="20" t="s">
        <v>212</v>
      </c>
      <c r="B700" s="21" t="s">
        <v>367</v>
      </c>
      <c r="C700" s="22">
        <v>2200</v>
      </c>
      <c r="D700" s="23">
        <v>0</v>
      </c>
      <c r="E700" s="24">
        <v>0</v>
      </c>
    </row>
    <row r="701" spans="1:5" x14ac:dyDescent="0.3">
      <c r="A701" s="20" t="s">
        <v>212</v>
      </c>
      <c r="B701" s="21" t="s">
        <v>368</v>
      </c>
      <c r="C701" s="22">
        <v>2200</v>
      </c>
      <c r="D701" s="23">
        <v>0</v>
      </c>
      <c r="E701" s="24">
        <v>0</v>
      </c>
    </row>
    <row r="702" spans="1:5" x14ac:dyDescent="0.3">
      <c r="A702" s="20" t="s">
        <v>212</v>
      </c>
      <c r="B702" s="21" t="s">
        <v>369</v>
      </c>
      <c r="C702" s="22">
        <v>2200</v>
      </c>
      <c r="D702" s="23">
        <v>0</v>
      </c>
      <c r="E702" s="24">
        <v>0</v>
      </c>
    </row>
    <row r="703" spans="1:5" x14ac:dyDescent="0.3">
      <c r="A703" s="20" t="s">
        <v>212</v>
      </c>
      <c r="B703" s="21" t="s">
        <v>370</v>
      </c>
      <c r="C703" s="22">
        <v>2200</v>
      </c>
      <c r="D703" s="23">
        <v>0</v>
      </c>
      <c r="E703" s="24">
        <v>0</v>
      </c>
    </row>
    <row r="704" spans="1:5" x14ac:dyDescent="0.3">
      <c r="A704" s="20" t="s">
        <v>212</v>
      </c>
      <c r="B704" s="21" t="s">
        <v>371</v>
      </c>
      <c r="C704" s="22">
        <v>2200</v>
      </c>
      <c r="D704" s="23">
        <v>0</v>
      </c>
      <c r="E704" s="24">
        <v>0</v>
      </c>
    </row>
    <row r="705" spans="1:5" x14ac:dyDescent="0.3">
      <c r="A705" s="20" t="s">
        <v>212</v>
      </c>
      <c r="B705" s="21" t="s">
        <v>372</v>
      </c>
      <c r="C705" s="22">
        <v>2200</v>
      </c>
      <c r="D705" s="23">
        <v>0</v>
      </c>
      <c r="E705" s="24">
        <v>0</v>
      </c>
    </row>
    <row r="706" spans="1:5" x14ac:dyDescent="0.3">
      <c r="A706" s="20" t="s">
        <v>212</v>
      </c>
      <c r="B706" s="21" t="s">
        <v>373</v>
      </c>
      <c r="C706" s="22">
        <v>1100</v>
      </c>
      <c r="D706" s="23">
        <v>0</v>
      </c>
      <c r="E706" s="24">
        <v>0</v>
      </c>
    </row>
    <row r="707" spans="1:5" x14ac:dyDescent="0.3">
      <c r="A707" s="20" t="s">
        <v>212</v>
      </c>
      <c r="B707" s="21" t="s">
        <v>374</v>
      </c>
      <c r="C707" s="22">
        <v>2200</v>
      </c>
      <c r="D707" s="23">
        <v>0</v>
      </c>
      <c r="E707" s="24">
        <v>0</v>
      </c>
    </row>
    <row r="708" spans="1:5" x14ac:dyDescent="0.3">
      <c r="A708" s="20" t="s">
        <v>212</v>
      </c>
      <c r="B708" s="21" t="s">
        <v>375</v>
      </c>
      <c r="C708" s="22">
        <v>2200</v>
      </c>
      <c r="D708" s="23">
        <v>0</v>
      </c>
      <c r="E708" s="24">
        <v>0</v>
      </c>
    </row>
    <row r="709" spans="1:5" x14ac:dyDescent="0.3">
      <c r="A709" s="20" t="s">
        <v>212</v>
      </c>
      <c r="B709" s="21" t="s">
        <v>376</v>
      </c>
      <c r="C709" s="22">
        <v>2200</v>
      </c>
      <c r="D709" s="23">
        <v>0</v>
      </c>
      <c r="E709" s="24">
        <v>0</v>
      </c>
    </row>
    <row r="710" spans="1:5" x14ac:dyDescent="0.3">
      <c r="A710" s="20" t="s">
        <v>212</v>
      </c>
      <c r="B710" s="21" t="s">
        <v>377</v>
      </c>
      <c r="C710" s="22">
        <v>1100</v>
      </c>
      <c r="D710" s="23">
        <v>0</v>
      </c>
      <c r="E710" s="24">
        <v>0</v>
      </c>
    </row>
    <row r="711" spans="1:5" x14ac:dyDescent="0.3">
      <c r="A711" s="16" t="s">
        <v>349</v>
      </c>
      <c r="B711" s="16" t="s">
        <v>366</v>
      </c>
      <c r="C711" s="17">
        <v>8800</v>
      </c>
      <c r="D711" s="18">
        <v>0</v>
      </c>
      <c r="E711" s="19">
        <v>0</v>
      </c>
    </row>
    <row r="712" spans="1:5" x14ac:dyDescent="0.3">
      <c r="A712" s="20" t="s">
        <v>349</v>
      </c>
      <c r="B712" s="21" t="s">
        <v>367</v>
      </c>
      <c r="C712" s="22">
        <v>8800</v>
      </c>
      <c r="D712" s="23">
        <v>0</v>
      </c>
      <c r="E712" s="24">
        <v>0</v>
      </c>
    </row>
    <row r="713" spans="1:5" x14ac:dyDescent="0.3">
      <c r="A713" s="20" t="s">
        <v>349</v>
      </c>
      <c r="B713" s="21" t="s">
        <v>368</v>
      </c>
      <c r="C713" s="22">
        <v>8800</v>
      </c>
      <c r="D713" s="23">
        <v>0</v>
      </c>
      <c r="E713" s="24">
        <v>0</v>
      </c>
    </row>
    <row r="714" spans="1:5" x14ac:dyDescent="0.3">
      <c r="A714" s="20" t="s">
        <v>349</v>
      </c>
      <c r="B714" s="21" t="s">
        <v>369</v>
      </c>
      <c r="C714" s="22">
        <v>8800</v>
      </c>
      <c r="D714" s="23">
        <v>0</v>
      </c>
      <c r="E714" s="24">
        <v>0</v>
      </c>
    </row>
    <row r="715" spans="1:5" x14ac:dyDescent="0.3">
      <c r="A715" s="20" t="s">
        <v>349</v>
      </c>
      <c r="B715" s="21" t="s">
        <v>370</v>
      </c>
      <c r="C715" s="22">
        <v>8800</v>
      </c>
      <c r="D715" s="23">
        <v>0</v>
      </c>
      <c r="E715" s="24">
        <v>0</v>
      </c>
    </row>
    <row r="716" spans="1:5" x14ac:dyDescent="0.3">
      <c r="A716" s="20" t="s">
        <v>349</v>
      </c>
      <c r="B716" s="21" t="s">
        <v>371</v>
      </c>
      <c r="C716" s="22">
        <v>8800</v>
      </c>
      <c r="D716" s="23">
        <v>0</v>
      </c>
      <c r="E716" s="24">
        <v>0</v>
      </c>
    </row>
    <row r="717" spans="1:5" x14ac:dyDescent="0.3">
      <c r="A717" s="20" t="s">
        <v>349</v>
      </c>
      <c r="B717" s="21" t="s">
        <v>372</v>
      </c>
      <c r="C717" s="22">
        <v>8800</v>
      </c>
      <c r="D717" s="23">
        <v>0</v>
      </c>
      <c r="E717" s="24">
        <v>0</v>
      </c>
    </row>
    <row r="718" spans="1:5" x14ac:dyDescent="0.3">
      <c r="A718" s="20" t="s">
        <v>349</v>
      </c>
      <c r="B718" s="21" t="s">
        <v>373</v>
      </c>
      <c r="C718" s="22">
        <v>4400</v>
      </c>
      <c r="D718" s="23">
        <v>0</v>
      </c>
      <c r="E718" s="24">
        <v>0</v>
      </c>
    </row>
    <row r="719" spans="1:5" x14ac:dyDescent="0.3">
      <c r="A719" s="20" t="s">
        <v>349</v>
      </c>
      <c r="B719" s="21" t="s">
        <v>374</v>
      </c>
      <c r="C719" s="22">
        <v>8800</v>
      </c>
      <c r="D719" s="23">
        <v>0</v>
      </c>
      <c r="E719" s="24">
        <v>0</v>
      </c>
    </row>
    <row r="720" spans="1:5" x14ac:dyDescent="0.3">
      <c r="A720" s="20" t="s">
        <v>349</v>
      </c>
      <c r="B720" s="21" t="s">
        <v>375</v>
      </c>
      <c r="C720" s="22">
        <v>8800</v>
      </c>
      <c r="D720" s="23">
        <v>0</v>
      </c>
      <c r="E720" s="24">
        <v>0</v>
      </c>
    </row>
    <row r="721" spans="1:5" x14ac:dyDescent="0.3">
      <c r="A721" s="20" t="s">
        <v>349</v>
      </c>
      <c r="B721" s="21" t="s">
        <v>376</v>
      </c>
      <c r="C721" s="22">
        <v>8800</v>
      </c>
      <c r="D721" s="23">
        <v>0</v>
      </c>
      <c r="E721" s="24">
        <v>0</v>
      </c>
    </row>
    <row r="722" spans="1:5" x14ac:dyDescent="0.3">
      <c r="A722" s="20" t="s">
        <v>349</v>
      </c>
      <c r="B722" s="21" t="s">
        <v>377</v>
      </c>
      <c r="C722" s="22">
        <v>4400</v>
      </c>
      <c r="D722" s="23">
        <v>0</v>
      </c>
      <c r="E722" s="24">
        <v>0</v>
      </c>
    </row>
    <row r="723" spans="1:5" x14ac:dyDescent="0.3">
      <c r="A723" s="16" t="s">
        <v>217</v>
      </c>
      <c r="B723" s="16" t="s">
        <v>366</v>
      </c>
      <c r="C723" s="17">
        <v>2200</v>
      </c>
      <c r="D723" s="18">
        <v>0</v>
      </c>
      <c r="E723" s="19">
        <v>0</v>
      </c>
    </row>
    <row r="724" spans="1:5" x14ac:dyDescent="0.3">
      <c r="A724" s="20" t="s">
        <v>217</v>
      </c>
      <c r="B724" s="21" t="s">
        <v>367</v>
      </c>
      <c r="C724" s="22">
        <v>2200</v>
      </c>
      <c r="D724" s="23">
        <v>0</v>
      </c>
      <c r="E724" s="24">
        <v>0</v>
      </c>
    </row>
    <row r="725" spans="1:5" x14ac:dyDescent="0.3">
      <c r="A725" s="20" t="s">
        <v>217</v>
      </c>
      <c r="B725" s="21" t="s">
        <v>368</v>
      </c>
      <c r="C725" s="22">
        <v>2200</v>
      </c>
      <c r="D725" s="23">
        <v>0</v>
      </c>
      <c r="E725" s="24">
        <v>0</v>
      </c>
    </row>
    <row r="726" spans="1:5" x14ac:dyDescent="0.3">
      <c r="A726" s="20" t="s">
        <v>217</v>
      </c>
      <c r="B726" s="21" t="s">
        <v>369</v>
      </c>
      <c r="C726" s="22">
        <v>2200</v>
      </c>
      <c r="D726" s="23">
        <v>0</v>
      </c>
      <c r="E726" s="24">
        <v>0</v>
      </c>
    </row>
    <row r="727" spans="1:5" x14ac:dyDescent="0.3">
      <c r="A727" s="20" t="s">
        <v>217</v>
      </c>
      <c r="B727" s="21" t="s">
        <v>370</v>
      </c>
      <c r="C727" s="22">
        <v>2200</v>
      </c>
      <c r="D727" s="23">
        <v>0</v>
      </c>
      <c r="E727" s="24">
        <v>0</v>
      </c>
    </row>
    <row r="728" spans="1:5" x14ac:dyDescent="0.3">
      <c r="A728" s="20" t="s">
        <v>217</v>
      </c>
      <c r="B728" s="21" t="s">
        <v>371</v>
      </c>
      <c r="C728" s="22">
        <v>2200</v>
      </c>
      <c r="D728" s="23">
        <v>0</v>
      </c>
      <c r="E728" s="24">
        <v>0</v>
      </c>
    </row>
    <row r="729" spans="1:5" x14ac:dyDescent="0.3">
      <c r="A729" s="20" t="s">
        <v>217</v>
      </c>
      <c r="B729" s="21" t="s">
        <v>372</v>
      </c>
      <c r="C729" s="22">
        <v>2200</v>
      </c>
      <c r="D729" s="23">
        <v>0</v>
      </c>
      <c r="E729" s="24">
        <v>0</v>
      </c>
    </row>
    <row r="730" spans="1:5" x14ac:dyDescent="0.3">
      <c r="A730" s="20" t="s">
        <v>217</v>
      </c>
      <c r="B730" s="21" t="s">
        <v>373</v>
      </c>
      <c r="C730" s="22">
        <v>1100</v>
      </c>
      <c r="D730" s="23">
        <v>0</v>
      </c>
      <c r="E730" s="24">
        <v>0</v>
      </c>
    </row>
    <row r="731" spans="1:5" x14ac:dyDescent="0.3">
      <c r="A731" s="20" t="s">
        <v>217</v>
      </c>
      <c r="B731" s="21" t="s">
        <v>374</v>
      </c>
      <c r="C731" s="22">
        <v>2200</v>
      </c>
      <c r="D731" s="23">
        <v>0</v>
      </c>
      <c r="E731" s="24">
        <v>0</v>
      </c>
    </row>
    <row r="732" spans="1:5" x14ac:dyDescent="0.3">
      <c r="A732" s="20" t="s">
        <v>217</v>
      </c>
      <c r="B732" s="21" t="s">
        <v>375</v>
      </c>
      <c r="C732" s="22">
        <v>2200</v>
      </c>
      <c r="D732" s="23">
        <v>0</v>
      </c>
      <c r="E732" s="24">
        <v>0</v>
      </c>
    </row>
    <row r="733" spans="1:5" x14ac:dyDescent="0.3">
      <c r="A733" s="20" t="s">
        <v>217</v>
      </c>
      <c r="B733" s="21" t="s">
        <v>376</v>
      </c>
      <c r="C733" s="22">
        <v>2200</v>
      </c>
      <c r="D733" s="23">
        <v>0</v>
      </c>
      <c r="E733" s="24">
        <v>0</v>
      </c>
    </row>
    <row r="734" spans="1:5" x14ac:dyDescent="0.3">
      <c r="A734" s="20" t="s">
        <v>217</v>
      </c>
      <c r="B734" s="21" t="s">
        <v>377</v>
      </c>
      <c r="C734" s="22">
        <v>1100</v>
      </c>
      <c r="D734" s="23">
        <v>0</v>
      </c>
      <c r="E734" s="24">
        <v>0</v>
      </c>
    </row>
    <row r="735" spans="1:5" x14ac:dyDescent="0.3">
      <c r="A735" s="16" t="s">
        <v>232</v>
      </c>
      <c r="B735" s="16" t="s">
        <v>366</v>
      </c>
      <c r="C735" s="17">
        <v>41800</v>
      </c>
      <c r="D735" s="18">
        <v>0</v>
      </c>
      <c r="E735" s="19">
        <v>0</v>
      </c>
    </row>
    <row r="736" spans="1:5" x14ac:dyDescent="0.3">
      <c r="A736" s="20" t="s">
        <v>232</v>
      </c>
      <c r="B736" s="21" t="s">
        <v>367</v>
      </c>
      <c r="C736" s="22">
        <v>41800</v>
      </c>
      <c r="D736" s="23">
        <v>0</v>
      </c>
      <c r="E736" s="24">
        <v>0</v>
      </c>
    </row>
    <row r="737" spans="1:5" x14ac:dyDescent="0.3">
      <c r="A737" s="20" t="s">
        <v>232</v>
      </c>
      <c r="B737" s="21" t="s">
        <v>368</v>
      </c>
      <c r="C737" s="22">
        <v>41800</v>
      </c>
      <c r="D737" s="23">
        <v>0</v>
      </c>
      <c r="E737" s="24">
        <v>0</v>
      </c>
    </row>
    <row r="738" spans="1:5" x14ac:dyDescent="0.3">
      <c r="A738" s="20" t="s">
        <v>232</v>
      </c>
      <c r="B738" s="21" t="s">
        <v>369</v>
      </c>
      <c r="C738" s="22">
        <v>41800</v>
      </c>
      <c r="D738" s="23">
        <v>0</v>
      </c>
      <c r="E738" s="24">
        <v>0</v>
      </c>
    </row>
    <row r="739" spans="1:5" x14ac:dyDescent="0.3">
      <c r="A739" s="20" t="s">
        <v>232</v>
      </c>
      <c r="B739" s="21" t="s">
        <v>370</v>
      </c>
      <c r="C739" s="22">
        <v>41800</v>
      </c>
      <c r="D739" s="23">
        <v>0</v>
      </c>
      <c r="E739" s="24">
        <v>0</v>
      </c>
    </row>
    <row r="740" spans="1:5" x14ac:dyDescent="0.3">
      <c r="A740" s="20" t="s">
        <v>232</v>
      </c>
      <c r="B740" s="21" t="s">
        <v>371</v>
      </c>
      <c r="C740" s="22">
        <v>41800</v>
      </c>
      <c r="D740" s="23">
        <v>0</v>
      </c>
      <c r="E740" s="24">
        <v>0</v>
      </c>
    </row>
    <row r="741" spans="1:5" x14ac:dyDescent="0.3">
      <c r="A741" s="20" t="s">
        <v>232</v>
      </c>
      <c r="B741" s="21" t="s">
        <v>372</v>
      </c>
      <c r="C741" s="22">
        <v>41800</v>
      </c>
      <c r="D741" s="23">
        <v>0</v>
      </c>
      <c r="E741" s="24">
        <v>0</v>
      </c>
    </row>
    <row r="742" spans="1:5" x14ac:dyDescent="0.3">
      <c r="A742" s="20" t="s">
        <v>232</v>
      </c>
      <c r="B742" s="21" t="s">
        <v>373</v>
      </c>
      <c r="C742" s="22">
        <v>20900</v>
      </c>
      <c r="D742" s="23">
        <v>0</v>
      </c>
      <c r="E742" s="24">
        <v>0</v>
      </c>
    </row>
    <row r="743" spans="1:5" x14ac:dyDescent="0.3">
      <c r="A743" s="20" t="s">
        <v>232</v>
      </c>
      <c r="B743" s="21" t="s">
        <v>374</v>
      </c>
      <c r="C743" s="22">
        <v>41800</v>
      </c>
      <c r="D743" s="23">
        <v>0</v>
      </c>
      <c r="E743" s="24">
        <v>0</v>
      </c>
    </row>
    <row r="744" spans="1:5" x14ac:dyDescent="0.3">
      <c r="A744" s="20" t="s">
        <v>232</v>
      </c>
      <c r="B744" s="21" t="s">
        <v>375</v>
      </c>
      <c r="C744" s="22">
        <v>41800</v>
      </c>
      <c r="D744" s="23">
        <v>0</v>
      </c>
      <c r="E744" s="24">
        <v>0</v>
      </c>
    </row>
    <row r="745" spans="1:5" x14ac:dyDescent="0.3">
      <c r="A745" s="20" t="s">
        <v>232</v>
      </c>
      <c r="B745" s="21" t="s">
        <v>376</v>
      </c>
      <c r="C745" s="22">
        <v>41800</v>
      </c>
      <c r="D745" s="23">
        <v>0</v>
      </c>
      <c r="E745" s="24">
        <v>0</v>
      </c>
    </row>
    <row r="746" spans="1:5" x14ac:dyDescent="0.3">
      <c r="A746" s="20" t="s">
        <v>232</v>
      </c>
      <c r="B746" s="21" t="s">
        <v>377</v>
      </c>
      <c r="C746" s="22">
        <v>20900</v>
      </c>
      <c r="D746" s="23">
        <v>0</v>
      </c>
      <c r="E746" s="24">
        <v>0</v>
      </c>
    </row>
    <row r="747" spans="1:5" x14ac:dyDescent="0.3">
      <c r="A747" s="16" t="s">
        <v>234</v>
      </c>
      <c r="B747" s="16" t="s">
        <v>366</v>
      </c>
      <c r="C747" s="17">
        <v>46200</v>
      </c>
      <c r="D747" s="18">
        <v>0</v>
      </c>
      <c r="E747" s="19">
        <v>0</v>
      </c>
    </row>
    <row r="748" spans="1:5" x14ac:dyDescent="0.3">
      <c r="A748" s="20" t="s">
        <v>234</v>
      </c>
      <c r="B748" s="21" t="s">
        <v>367</v>
      </c>
      <c r="C748" s="22">
        <v>46200</v>
      </c>
      <c r="D748" s="23">
        <v>0</v>
      </c>
      <c r="E748" s="24">
        <v>0</v>
      </c>
    </row>
    <row r="749" spans="1:5" x14ac:dyDescent="0.3">
      <c r="A749" s="20" t="s">
        <v>234</v>
      </c>
      <c r="B749" s="21" t="s">
        <v>368</v>
      </c>
      <c r="C749" s="22">
        <v>46200</v>
      </c>
      <c r="D749" s="23">
        <v>0</v>
      </c>
      <c r="E749" s="24">
        <v>0</v>
      </c>
    </row>
    <row r="750" spans="1:5" x14ac:dyDescent="0.3">
      <c r="A750" s="20" t="s">
        <v>234</v>
      </c>
      <c r="B750" s="21" t="s">
        <v>369</v>
      </c>
      <c r="C750" s="22">
        <v>46200</v>
      </c>
      <c r="D750" s="23">
        <v>0</v>
      </c>
      <c r="E750" s="24">
        <v>0</v>
      </c>
    </row>
    <row r="751" spans="1:5" x14ac:dyDescent="0.3">
      <c r="A751" s="20" t="s">
        <v>234</v>
      </c>
      <c r="B751" s="21" t="s">
        <v>370</v>
      </c>
      <c r="C751" s="22">
        <v>46200</v>
      </c>
      <c r="D751" s="23">
        <v>0</v>
      </c>
      <c r="E751" s="24">
        <v>0</v>
      </c>
    </row>
    <row r="752" spans="1:5" x14ac:dyDescent="0.3">
      <c r="A752" s="20" t="s">
        <v>234</v>
      </c>
      <c r="B752" s="21" t="s">
        <v>371</v>
      </c>
      <c r="C752" s="22">
        <v>46200</v>
      </c>
      <c r="D752" s="23">
        <v>0</v>
      </c>
      <c r="E752" s="24">
        <v>0</v>
      </c>
    </row>
    <row r="753" spans="1:5" x14ac:dyDescent="0.3">
      <c r="A753" s="20" t="s">
        <v>234</v>
      </c>
      <c r="B753" s="21" t="s">
        <v>372</v>
      </c>
      <c r="C753" s="22">
        <v>46200</v>
      </c>
      <c r="D753" s="23">
        <v>0</v>
      </c>
      <c r="E753" s="24">
        <v>0</v>
      </c>
    </row>
    <row r="754" spans="1:5" x14ac:dyDescent="0.3">
      <c r="A754" s="20" t="s">
        <v>234</v>
      </c>
      <c r="B754" s="21" t="s">
        <v>373</v>
      </c>
      <c r="C754" s="22">
        <v>23100</v>
      </c>
      <c r="D754" s="23">
        <v>0</v>
      </c>
      <c r="E754" s="24">
        <v>0</v>
      </c>
    </row>
    <row r="755" spans="1:5" x14ac:dyDescent="0.3">
      <c r="A755" s="20" t="s">
        <v>234</v>
      </c>
      <c r="B755" s="21" t="s">
        <v>374</v>
      </c>
      <c r="C755" s="22">
        <v>46200</v>
      </c>
      <c r="D755" s="23">
        <v>0</v>
      </c>
      <c r="E755" s="24">
        <v>0</v>
      </c>
    </row>
    <row r="756" spans="1:5" x14ac:dyDescent="0.3">
      <c r="A756" s="20" t="s">
        <v>234</v>
      </c>
      <c r="B756" s="21" t="s">
        <v>375</v>
      </c>
      <c r="C756" s="22">
        <v>46200</v>
      </c>
      <c r="D756" s="23">
        <v>0</v>
      </c>
      <c r="E756" s="24">
        <v>0</v>
      </c>
    </row>
    <row r="757" spans="1:5" x14ac:dyDescent="0.3">
      <c r="A757" s="20" t="s">
        <v>234</v>
      </c>
      <c r="B757" s="21" t="s">
        <v>376</v>
      </c>
      <c r="C757" s="22">
        <v>46200</v>
      </c>
      <c r="D757" s="23">
        <v>0</v>
      </c>
      <c r="E757" s="24">
        <v>0</v>
      </c>
    </row>
    <row r="758" spans="1:5" x14ac:dyDescent="0.3">
      <c r="A758" s="20" t="s">
        <v>234</v>
      </c>
      <c r="B758" s="21" t="s">
        <v>377</v>
      </c>
      <c r="C758" s="22">
        <v>23100</v>
      </c>
      <c r="D758" s="23">
        <v>0</v>
      </c>
      <c r="E758" s="24">
        <v>0</v>
      </c>
    </row>
    <row r="759" spans="1:5" x14ac:dyDescent="0.3">
      <c r="A759" s="16" t="s">
        <v>235</v>
      </c>
      <c r="B759" s="16" t="s">
        <v>366</v>
      </c>
      <c r="C759" s="17">
        <v>35200</v>
      </c>
      <c r="D759" s="18">
        <v>0</v>
      </c>
      <c r="E759" s="19">
        <v>0</v>
      </c>
    </row>
    <row r="760" spans="1:5" x14ac:dyDescent="0.3">
      <c r="A760" s="20" t="s">
        <v>235</v>
      </c>
      <c r="B760" s="21" t="s">
        <v>367</v>
      </c>
      <c r="C760" s="22">
        <v>35200</v>
      </c>
      <c r="D760" s="23">
        <v>0</v>
      </c>
      <c r="E760" s="24">
        <v>0</v>
      </c>
    </row>
    <row r="761" spans="1:5" x14ac:dyDescent="0.3">
      <c r="A761" s="20" t="s">
        <v>235</v>
      </c>
      <c r="B761" s="21" t="s">
        <v>368</v>
      </c>
      <c r="C761" s="22">
        <v>35200</v>
      </c>
      <c r="D761" s="23">
        <v>0</v>
      </c>
      <c r="E761" s="24">
        <v>0</v>
      </c>
    </row>
    <row r="762" spans="1:5" x14ac:dyDescent="0.3">
      <c r="A762" s="20" t="s">
        <v>235</v>
      </c>
      <c r="B762" s="21" t="s">
        <v>369</v>
      </c>
      <c r="C762" s="22">
        <v>35200</v>
      </c>
      <c r="D762" s="23">
        <v>0</v>
      </c>
      <c r="E762" s="24">
        <v>0</v>
      </c>
    </row>
    <row r="763" spans="1:5" x14ac:dyDescent="0.3">
      <c r="A763" s="20" t="s">
        <v>235</v>
      </c>
      <c r="B763" s="21" t="s">
        <v>370</v>
      </c>
      <c r="C763" s="22">
        <v>35200</v>
      </c>
      <c r="D763" s="23">
        <v>0</v>
      </c>
      <c r="E763" s="24">
        <v>0</v>
      </c>
    </row>
    <row r="764" spans="1:5" x14ac:dyDescent="0.3">
      <c r="A764" s="20" t="s">
        <v>235</v>
      </c>
      <c r="B764" s="21" t="s">
        <v>371</v>
      </c>
      <c r="C764" s="22">
        <v>35200</v>
      </c>
      <c r="D764" s="23">
        <v>0</v>
      </c>
      <c r="E764" s="24">
        <v>0</v>
      </c>
    </row>
    <row r="765" spans="1:5" x14ac:dyDescent="0.3">
      <c r="A765" s="20" t="s">
        <v>235</v>
      </c>
      <c r="B765" s="21" t="s">
        <v>372</v>
      </c>
      <c r="C765" s="22">
        <v>35200</v>
      </c>
      <c r="D765" s="23">
        <v>0</v>
      </c>
      <c r="E765" s="24">
        <v>0</v>
      </c>
    </row>
    <row r="766" spans="1:5" x14ac:dyDescent="0.3">
      <c r="A766" s="20" t="s">
        <v>235</v>
      </c>
      <c r="B766" s="21" t="s">
        <v>373</v>
      </c>
      <c r="C766" s="22">
        <v>17600</v>
      </c>
      <c r="D766" s="23">
        <v>0</v>
      </c>
      <c r="E766" s="24">
        <v>0</v>
      </c>
    </row>
    <row r="767" spans="1:5" x14ac:dyDescent="0.3">
      <c r="A767" s="20" t="s">
        <v>235</v>
      </c>
      <c r="B767" s="21" t="s">
        <v>374</v>
      </c>
      <c r="C767" s="22">
        <v>35200</v>
      </c>
      <c r="D767" s="23">
        <v>0</v>
      </c>
      <c r="E767" s="24">
        <v>0</v>
      </c>
    </row>
    <row r="768" spans="1:5" x14ac:dyDescent="0.3">
      <c r="A768" s="20" t="s">
        <v>235</v>
      </c>
      <c r="B768" s="21" t="s">
        <v>375</v>
      </c>
      <c r="C768" s="22">
        <v>35200</v>
      </c>
      <c r="D768" s="23">
        <v>0</v>
      </c>
      <c r="E768" s="24">
        <v>0</v>
      </c>
    </row>
    <row r="769" spans="1:5" x14ac:dyDescent="0.3">
      <c r="A769" s="20" t="s">
        <v>235</v>
      </c>
      <c r="B769" s="21" t="s">
        <v>376</v>
      </c>
      <c r="C769" s="22">
        <v>35200</v>
      </c>
      <c r="D769" s="23">
        <v>0</v>
      </c>
      <c r="E769" s="24">
        <v>0</v>
      </c>
    </row>
    <row r="770" spans="1:5" x14ac:dyDescent="0.3">
      <c r="A770" s="20" t="s">
        <v>235</v>
      </c>
      <c r="B770" s="21" t="s">
        <v>377</v>
      </c>
      <c r="C770" s="22">
        <v>17600</v>
      </c>
      <c r="D770" s="23">
        <v>0</v>
      </c>
      <c r="E770" s="24">
        <v>0</v>
      </c>
    </row>
    <row r="771" spans="1:5" x14ac:dyDescent="0.3">
      <c r="A771" s="16" t="s">
        <v>238</v>
      </c>
      <c r="B771" s="16" t="s">
        <v>366</v>
      </c>
      <c r="C771" s="17">
        <v>55000</v>
      </c>
      <c r="D771" s="18">
        <v>0</v>
      </c>
      <c r="E771" s="19">
        <v>0</v>
      </c>
    </row>
    <row r="772" spans="1:5" x14ac:dyDescent="0.3">
      <c r="A772" s="20" t="s">
        <v>238</v>
      </c>
      <c r="B772" s="21" t="s">
        <v>367</v>
      </c>
      <c r="C772" s="22">
        <v>55000</v>
      </c>
      <c r="D772" s="23">
        <v>0</v>
      </c>
      <c r="E772" s="24">
        <v>0</v>
      </c>
    </row>
    <row r="773" spans="1:5" x14ac:dyDescent="0.3">
      <c r="A773" s="20" t="s">
        <v>238</v>
      </c>
      <c r="B773" s="21" t="s">
        <v>368</v>
      </c>
      <c r="C773" s="22">
        <v>55000</v>
      </c>
      <c r="D773" s="23">
        <v>0</v>
      </c>
      <c r="E773" s="24">
        <v>0</v>
      </c>
    </row>
    <row r="774" spans="1:5" x14ac:dyDescent="0.3">
      <c r="A774" s="20" t="s">
        <v>238</v>
      </c>
      <c r="B774" s="21" t="s">
        <v>369</v>
      </c>
      <c r="C774" s="22">
        <v>55000</v>
      </c>
      <c r="D774" s="23">
        <v>0</v>
      </c>
      <c r="E774" s="24">
        <v>0</v>
      </c>
    </row>
    <row r="775" spans="1:5" x14ac:dyDescent="0.3">
      <c r="A775" s="20" t="s">
        <v>238</v>
      </c>
      <c r="B775" s="21" t="s">
        <v>370</v>
      </c>
      <c r="C775" s="22">
        <v>55000</v>
      </c>
      <c r="D775" s="23">
        <v>0</v>
      </c>
      <c r="E775" s="24">
        <v>0</v>
      </c>
    </row>
    <row r="776" spans="1:5" x14ac:dyDescent="0.3">
      <c r="A776" s="20" t="s">
        <v>238</v>
      </c>
      <c r="B776" s="21" t="s">
        <v>371</v>
      </c>
      <c r="C776" s="22">
        <v>55000</v>
      </c>
      <c r="D776" s="23">
        <v>0</v>
      </c>
      <c r="E776" s="24">
        <v>0</v>
      </c>
    </row>
    <row r="777" spans="1:5" x14ac:dyDescent="0.3">
      <c r="A777" s="20" t="s">
        <v>238</v>
      </c>
      <c r="B777" s="21" t="s">
        <v>372</v>
      </c>
      <c r="C777" s="22">
        <v>55000</v>
      </c>
      <c r="D777" s="23">
        <v>0</v>
      </c>
      <c r="E777" s="24">
        <v>0</v>
      </c>
    </row>
    <row r="778" spans="1:5" x14ac:dyDescent="0.3">
      <c r="A778" s="20" t="s">
        <v>238</v>
      </c>
      <c r="B778" s="21" t="s">
        <v>373</v>
      </c>
      <c r="C778" s="22">
        <v>27500</v>
      </c>
      <c r="D778" s="23">
        <v>0</v>
      </c>
      <c r="E778" s="24">
        <v>0</v>
      </c>
    </row>
    <row r="779" spans="1:5" x14ac:dyDescent="0.3">
      <c r="A779" s="20" t="s">
        <v>238</v>
      </c>
      <c r="B779" s="21" t="s">
        <v>374</v>
      </c>
      <c r="C779" s="22">
        <v>55000</v>
      </c>
      <c r="D779" s="23">
        <v>0</v>
      </c>
      <c r="E779" s="24">
        <v>0</v>
      </c>
    </row>
    <row r="780" spans="1:5" x14ac:dyDescent="0.3">
      <c r="A780" s="20" t="s">
        <v>238</v>
      </c>
      <c r="B780" s="21" t="s">
        <v>375</v>
      </c>
      <c r="C780" s="22">
        <v>55000</v>
      </c>
      <c r="D780" s="23">
        <v>0</v>
      </c>
      <c r="E780" s="24">
        <v>0</v>
      </c>
    </row>
    <row r="781" spans="1:5" x14ac:dyDescent="0.3">
      <c r="A781" s="20" t="s">
        <v>238</v>
      </c>
      <c r="B781" s="21" t="s">
        <v>376</v>
      </c>
      <c r="C781" s="22">
        <v>55000</v>
      </c>
      <c r="D781" s="23">
        <v>0</v>
      </c>
      <c r="E781" s="24">
        <v>0</v>
      </c>
    </row>
    <row r="782" spans="1:5" x14ac:dyDescent="0.3">
      <c r="A782" s="20" t="s">
        <v>238</v>
      </c>
      <c r="B782" s="21" t="s">
        <v>377</v>
      </c>
      <c r="C782" s="22">
        <v>27500</v>
      </c>
      <c r="D782" s="23">
        <v>0</v>
      </c>
      <c r="E782" s="24">
        <v>0</v>
      </c>
    </row>
    <row r="783" spans="1:5" x14ac:dyDescent="0.3">
      <c r="A783" s="16" t="s">
        <v>243</v>
      </c>
      <c r="B783" s="16" t="s">
        <v>366</v>
      </c>
      <c r="C783" s="17">
        <v>8800</v>
      </c>
      <c r="D783" s="18">
        <v>0</v>
      </c>
      <c r="E783" s="19">
        <v>0</v>
      </c>
    </row>
    <row r="784" spans="1:5" x14ac:dyDescent="0.3">
      <c r="A784" s="20" t="s">
        <v>243</v>
      </c>
      <c r="B784" s="21" t="s">
        <v>367</v>
      </c>
      <c r="C784" s="22">
        <v>8800</v>
      </c>
      <c r="D784" s="23">
        <v>0</v>
      </c>
      <c r="E784" s="24">
        <v>0</v>
      </c>
    </row>
    <row r="785" spans="1:5" x14ac:dyDescent="0.3">
      <c r="A785" s="20" t="s">
        <v>243</v>
      </c>
      <c r="B785" s="21" t="s">
        <v>368</v>
      </c>
      <c r="C785" s="22">
        <v>8800</v>
      </c>
      <c r="D785" s="23">
        <v>0</v>
      </c>
      <c r="E785" s="24">
        <v>0</v>
      </c>
    </row>
    <row r="786" spans="1:5" x14ac:dyDescent="0.3">
      <c r="A786" s="20" t="s">
        <v>243</v>
      </c>
      <c r="B786" s="21" t="s">
        <v>369</v>
      </c>
      <c r="C786" s="22">
        <v>8800</v>
      </c>
      <c r="D786" s="23">
        <v>0</v>
      </c>
      <c r="E786" s="24">
        <v>0</v>
      </c>
    </row>
    <row r="787" spans="1:5" x14ac:dyDescent="0.3">
      <c r="A787" s="20" t="s">
        <v>243</v>
      </c>
      <c r="B787" s="21" t="s">
        <v>370</v>
      </c>
      <c r="C787" s="22">
        <v>8800</v>
      </c>
      <c r="D787" s="23">
        <v>0</v>
      </c>
      <c r="E787" s="24">
        <v>0</v>
      </c>
    </row>
    <row r="788" spans="1:5" x14ac:dyDescent="0.3">
      <c r="A788" s="20" t="s">
        <v>243</v>
      </c>
      <c r="B788" s="21" t="s">
        <v>371</v>
      </c>
      <c r="C788" s="22">
        <v>8800</v>
      </c>
      <c r="D788" s="23">
        <v>0</v>
      </c>
      <c r="E788" s="24">
        <v>0</v>
      </c>
    </row>
    <row r="789" spans="1:5" x14ac:dyDescent="0.3">
      <c r="A789" s="20" t="s">
        <v>243</v>
      </c>
      <c r="B789" s="21" t="s">
        <v>372</v>
      </c>
      <c r="C789" s="22">
        <v>8800</v>
      </c>
      <c r="D789" s="23">
        <v>0</v>
      </c>
      <c r="E789" s="24">
        <v>0</v>
      </c>
    </row>
    <row r="790" spans="1:5" x14ac:dyDescent="0.3">
      <c r="A790" s="20" t="s">
        <v>243</v>
      </c>
      <c r="B790" s="21" t="s">
        <v>373</v>
      </c>
      <c r="C790" s="22">
        <v>4400</v>
      </c>
      <c r="D790" s="23">
        <v>0</v>
      </c>
      <c r="E790" s="24">
        <v>0</v>
      </c>
    </row>
    <row r="791" spans="1:5" x14ac:dyDescent="0.3">
      <c r="A791" s="20" t="s">
        <v>243</v>
      </c>
      <c r="B791" s="21" t="s">
        <v>374</v>
      </c>
      <c r="C791" s="22">
        <v>8800</v>
      </c>
      <c r="D791" s="23">
        <v>0</v>
      </c>
      <c r="E791" s="24">
        <v>0</v>
      </c>
    </row>
    <row r="792" spans="1:5" x14ac:dyDescent="0.3">
      <c r="A792" s="20" t="s">
        <v>243</v>
      </c>
      <c r="B792" s="21" t="s">
        <v>375</v>
      </c>
      <c r="C792" s="22">
        <v>8800</v>
      </c>
      <c r="D792" s="23">
        <v>0</v>
      </c>
      <c r="E792" s="24">
        <v>0</v>
      </c>
    </row>
    <row r="793" spans="1:5" x14ac:dyDescent="0.3">
      <c r="A793" s="20" t="s">
        <v>243</v>
      </c>
      <c r="B793" s="21" t="s">
        <v>376</v>
      </c>
      <c r="C793" s="22">
        <v>8800</v>
      </c>
      <c r="D793" s="23">
        <v>0</v>
      </c>
      <c r="E793" s="24">
        <v>0</v>
      </c>
    </row>
    <row r="794" spans="1:5" x14ac:dyDescent="0.3">
      <c r="A794" s="20" t="s">
        <v>243</v>
      </c>
      <c r="B794" s="21" t="s">
        <v>377</v>
      </c>
      <c r="C794" s="22">
        <v>4400</v>
      </c>
      <c r="D794" s="23">
        <v>0</v>
      </c>
      <c r="E794" s="24">
        <v>0</v>
      </c>
    </row>
    <row r="795" spans="1:5" x14ac:dyDescent="0.3">
      <c r="A795" s="16" t="s">
        <v>248</v>
      </c>
      <c r="B795" s="16" t="s">
        <v>366</v>
      </c>
      <c r="C795" s="17">
        <v>5500</v>
      </c>
      <c r="D795" s="18">
        <v>0</v>
      </c>
      <c r="E795" s="19">
        <v>0</v>
      </c>
    </row>
    <row r="796" spans="1:5" x14ac:dyDescent="0.3">
      <c r="A796" s="20" t="s">
        <v>248</v>
      </c>
      <c r="B796" s="21" t="s">
        <v>367</v>
      </c>
      <c r="C796" s="22">
        <v>5500</v>
      </c>
      <c r="D796" s="23">
        <v>0</v>
      </c>
      <c r="E796" s="24">
        <v>0</v>
      </c>
    </row>
    <row r="797" spans="1:5" x14ac:dyDescent="0.3">
      <c r="A797" s="20" t="s">
        <v>248</v>
      </c>
      <c r="B797" s="21" t="s">
        <v>368</v>
      </c>
      <c r="C797" s="22">
        <v>5500</v>
      </c>
      <c r="D797" s="23">
        <v>0</v>
      </c>
      <c r="E797" s="24">
        <v>0</v>
      </c>
    </row>
    <row r="798" spans="1:5" x14ac:dyDescent="0.3">
      <c r="A798" s="20" t="s">
        <v>248</v>
      </c>
      <c r="B798" s="21" t="s">
        <v>369</v>
      </c>
      <c r="C798" s="22">
        <v>5500</v>
      </c>
      <c r="D798" s="23">
        <v>0</v>
      </c>
      <c r="E798" s="24">
        <v>0</v>
      </c>
    </row>
    <row r="799" spans="1:5" x14ac:dyDescent="0.3">
      <c r="A799" s="20" t="s">
        <v>248</v>
      </c>
      <c r="B799" s="21" t="s">
        <v>370</v>
      </c>
      <c r="C799" s="22">
        <v>5500</v>
      </c>
      <c r="D799" s="23">
        <v>0</v>
      </c>
      <c r="E799" s="24">
        <v>0</v>
      </c>
    </row>
    <row r="800" spans="1:5" x14ac:dyDescent="0.3">
      <c r="A800" s="20" t="s">
        <v>248</v>
      </c>
      <c r="B800" s="21" t="s">
        <v>371</v>
      </c>
      <c r="C800" s="22">
        <v>5500</v>
      </c>
      <c r="D800" s="23">
        <v>0</v>
      </c>
      <c r="E800" s="24">
        <v>0</v>
      </c>
    </row>
    <row r="801" spans="1:5" x14ac:dyDescent="0.3">
      <c r="A801" s="20" t="s">
        <v>248</v>
      </c>
      <c r="B801" s="21" t="s">
        <v>372</v>
      </c>
      <c r="C801" s="22">
        <v>5500</v>
      </c>
      <c r="D801" s="23">
        <v>0</v>
      </c>
      <c r="E801" s="24">
        <v>0</v>
      </c>
    </row>
    <row r="802" spans="1:5" x14ac:dyDescent="0.3">
      <c r="A802" s="20" t="s">
        <v>248</v>
      </c>
      <c r="B802" s="21" t="s">
        <v>373</v>
      </c>
      <c r="C802" s="22">
        <v>3300</v>
      </c>
      <c r="D802" s="23">
        <v>0</v>
      </c>
      <c r="E802" s="24">
        <v>0</v>
      </c>
    </row>
    <row r="803" spans="1:5" x14ac:dyDescent="0.3">
      <c r="A803" s="20" t="s">
        <v>248</v>
      </c>
      <c r="B803" s="21" t="s">
        <v>374</v>
      </c>
      <c r="C803" s="22">
        <v>5500</v>
      </c>
      <c r="D803" s="23">
        <v>0</v>
      </c>
      <c r="E803" s="24">
        <v>0</v>
      </c>
    </row>
    <row r="804" spans="1:5" x14ac:dyDescent="0.3">
      <c r="A804" s="20" t="s">
        <v>248</v>
      </c>
      <c r="B804" s="21" t="s">
        <v>375</v>
      </c>
      <c r="C804" s="22">
        <v>5500</v>
      </c>
      <c r="D804" s="23">
        <v>0</v>
      </c>
      <c r="E804" s="24">
        <v>0</v>
      </c>
    </row>
    <row r="805" spans="1:5" x14ac:dyDescent="0.3">
      <c r="A805" s="20" t="s">
        <v>248</v>
      </c>
      <c r="B805" s="21" t="s">
        <v>376</v>
      </c>
      <c r="C805" s="22">
        <v>5500</v>
      </c>
      <c r="D805" s="23">
        <v>0</v>
      </c>
      <c r="E805" s="24">
        <v>0</v>
      </c>
    </row>
    <row r="806" spans="1:5" x14ac:dyDescent="0.3">
      <c r="A806" s="20" t="s">
        <v>248</v>
      </c>
      <c r="B806" s="21" t="s">
        <v>377</v>
      </c>
      <c r="C806" s="22">
        <v>3300</v>
      </c>
      <c r="D806" s="23">
        <v>0</v>
      </c>
      <c r="E806" s="24">
        <v>0</v>
      </c>
    </row>
    <row r="807" spans="1:5" x14ac:dyDescent="0.3">
      <c r="A807" s="16" t="s">
        <v>249</v>
      </c>
      <c r="B807" s="16" t="s">
        <v>366</v>
      </c>
      <c r="C807" s="17">
        <v>13200</v>
      </c>
      <c r="D807" s="18">
        <v>0</v>
      </c>
      <c r="E807" s="19">
        <v>0</v>
      </c>
    </row>
    <row r="808" spans="1:5" x14ac:dyDescent="0.3">
      <c r="A808" s="20" t="s">
        <v>249</v>
      </c>
      <c r="B808" s="21" t="s">
        <v>367</v>
      </c>
      <c r="C808" s="22">
        <v>13200</v>
      </c>
      <c r="D808" s="23">
        <v>0</v>
      </c>
      <c r="E808" s="24">
        <v>0</v>
      </c>
    </row>
    <row r="809" spans="1:5" x14ac:dyDescent="0.3">
      <c r="A809" s="20" t="s">
        <v>249</v>
      </c>
      <c r="B809" s="21" t="s">
        <v>368</v>
      </c>
      <c r="C809" s="22">
        <v>13200</v>
      </c>
      <c r="D809" s="23">
        <v>0</v>
      </c>
      <c r="E809" s="24">
        <v>0</v>
      </c>
    </row>
    <row r="810" spans="1:5" x14ac:dyDescent="0.3">
      <c r="A810" s="20" t="s">
        <v>249</v>
      </c>
      <c r="B810" s="21" t="s">
        <v>369</v>
      </c>
      <c r="C810" s="22">
        <v>13200</v>
      </c>
      <c r="D810" s="23">
        <v>0</v>
      </c>
      <c r="E810" s="24">
        <v>0</v>
      </c>
    </row>
    <row r="811" spans="1:5" x14ac:dyDescent="0.3">
      <c r="A811" s="20" t="s">
        <v>249</v>
      </c>
      <c r="B811" s="21" t="s">
        <v>370</v>
      </c>
      <c r="C811" s="22">
        <v>13200</v>
      </c>
      <c r="D811" s="23">
        <v>0</v>
      </c>
      <c r="E811" s="24">
        <v>0</v>
      </c>
    </row>
    <row r="812" spans="1:5" x14ac:dyDescent="0.3">
      <c r="A812" s="20" t="s">
        <v>249</v>
      </c>
      <c r="B812" s="21" t="s">
        <v>371</v>
      </c>
      <c r="C812" s="22">
        <v>13200</v>
      </c>
      <c r="D812" s="23">
        <v>0</v>
      </c>
      <c r="E812" s="24">
        <v>0</v>
      </c>
    </row>
    <row r="813" spans="1:5" x14ac:dyDescent="0.3">
      <c r="A813" s="20" t="s">
        <v>249</v>
      </c>
      <c r="B813" s="21" t="s">
        <v>372</v>
      </c>
      <c r="C813" s="22">
        <v>13200</v>
      </c>
      <c r="D813" s="23">
        <v>0</v>
      </c>
      <c r="E813" s="24">
        <v>0</v>
      </c>
    </row>
    <row r="814" spans="1:5" x14ac:dyDescent="0.3">
      <c r="A814" s="20" t="s">
        <v>249</v>
      </c>
      <c r="B814" s="21" t="s">
        <v>373</v>
      </c>
      <c r="C814" s="22">
        <v>6600</v>
      </c>
      <c r="D814" s="23">
        <v>0</v>
      </c>
      <c r="E814" s="24">
        <v>0</v>
      </c>
    </row>
    <row r="815" spans="1:5" x14ac:dyDescent="0.3">
      <c r="A815" s="20" t="s">
        <v>249</v>
      </c>
      <c r="B815" s="21" t="s">
        <v>374</v>
      </c>
      <c r="C815" s="22">
        <v>13200</v>
      </c>
      <c r="D815" s="23">
        <v>0</v>
      </c>
      <c r="E815" s="24">
        <v>0</v>
      </c>
    </row>
    <row r="816" spans="1:5" x14ac:dyDescent="0.3">
      <c r="A816" s="20" t="s">
        <v>249</v>
      </c>
      <c r="B816" s="21" t="s">
        <v>375</v>
      </c>
      <c r="C816" s="22">
        <v>13200</v>
      </c>
      <c r="D816" s="23">
        <v>0</v>
      </c>
      <c r="E816" s="24">
        <v>0</v>
      </c>
    </row>
    <row r="817" spans="1:5" x14ac:dyDescent="0.3">
      <c r="A817" s="20" t="s">
        <v>249</v>
      </c>
      <c r="B817" s="21" t="s">
        <v>376</v>
      </c>
      <c r="C817" s="22">
        <v>13200</v>
      </c>
      <c r="D817" s="23">
        <v>0</v>
      </c>
      <c r="E817" s="24">
        <v>0</v>
      </c>
    </row>
    <row r="818" spans="1:5" x14ac:dyDescent="0.3">
      <c r="A818" s="20" t="s">
        <v>249</v>
      </c>
      <c r="B818" s="21" t="s">
        <v>377</v>
      </c>
      <c r="C818" s="22">
        <v>6600</v>
      </c>
      <c r="D818" s="23">
        <v>0</v>
      </c>
      <c r="E818" s="24">
        <v>0</v>
      </c>
    </row>
    <row r="819" spans="1:5" x14ac:dyDescent="0.3">
      <c r="A819" s="16" t="s">
        <v>250</v>
      </c>
      <c r="B819" s="16" t="s">
        <v>366</v>
      </c>
      <c r="C819" s="17">
        <v>8800</v>
      </c>
      <c r="D819" s="18">
        <v>0</v>
      </c>
      <c r="E819" s="19">
        <v>0</v>
      </c>
    </row>
    <row r="820" spans="1:5" x14ac:dyDescent="0.3">
      <c r="A820" s="20" t="s">
        <v>250</v>
      </c>
      <c r="B820" s="21" t="s">
        <v>367</v>
      </c>
      <c r="C820" s="22">
        <v>8800</v>
      </c>
      <c r="D820" s="23">
        <v>0</v>
      </c>
      <c r="E820" s="24">
        <v>0</v>
      </c>
    </row>
    <row r="821" spans="1:5" x14ac:dyDescent="0.3">
      <c r="A821" s="20" t="s">
        <v>250</v>
      </c>
      <c r="B821" s="21" t="s">
        <v>368</v>
      </c>
      <c r="C821" s="22">
        <v>8800</v>
      </c>
      <c r="D821" s="23">
        <v>0</v>
      </c>
      <c r="E821" s="24">
        <v>0</v>
      </c>
    </row>
    <row r="822" spans="1:5" x14ac:dyDescent="0.3">
      <c r="A822" s="20" t="s">
        <v>250</v>
      </c>
      <c r="B822" s="21" t="s">
        <v>369</v>
      </c>
      <c r="C822" s="22">
        <v>8800</v>
      </c>
      <c r="D822" s="23">
        <v>0</v>
      </c>
      <c r="E822" s="24">
        <v>0</v>
      </c>
    </row>
    <row r="823" spans="1:5" x14ac:dyDescent="0.3">
      <c r="A823" s="20" t="s">
        <v>250</v>
      </c>
      <c r="B823" s="21" t="s">
        <v>370</v>
      </c>
      <c r="C823" s="22">
        <v>8800</v>
      </c>
      <c r="D823" s="23">
        <v>0</v>
      </c>
      <c r="E823" s="24">
        <v>0</v>
      </c>
    </row>
    <row r="824" spans="1:5" x14ac:dyDescent="0.3">
      <c r="A824" s="20" t="s">
        <v>250</v>
      </c>
      <c r="B824" s="21" t="s">
        <v>371</v>
      </c>
      <c r="C824" s="22">
        <v>8800</v>
      </c>
      <c r="D824" s="23">
        <v>0</v>
      </c>
      <c r="E824" s="24">
        <v>0</v>
      </c>
    </row>
    <row r="825" spans="1:5" x14ac:dyDescent="0.3">
      <c r="A825" s="20" t="s">
        <v>250</v>
      </c>
      <c r="B825" s="21" t="s">
        <v>372</v>
      </c>
      <c r="C825" s="22">
        <v>8800</v>
      </c>
      <c r="D825" s="23">
        <v>0</v>
      </c>
      <c r="E825" s="24">
        <v>0</v>
      </c>
    </row>
    <row r="826" spans="1:5" x14ac:dyDescent="0.3">
      <c r="A826" s="20" t="s">
        <v>250</v>
      </c>
      <c r="B826" s="21" t="s">
        <v>373</v>
      </c>
      <c r="C826" s="22">
        <v>4400</v>
      </c>
      <c r="D826" s="23">
        <v>0</v>
      </c>
      <c r="E826" s="24">
        <v>0</v>
      </c>
    </row>
    <row r="827" spans="1:5" x14ac:dyDescent="0.3">
      <c r="A827" s="20" t="s">
        <v>250</v>
      </c>
      <c r="B827" s="21" t="s">
        <v>374</v>
      </c>
      <c r="C827" s="22">
        <v>8800</v>
      </c>
      <c r="D827" s="23">
        <v>0</v>
      </c>
      <c r="E827" s="24">
        <v>0</v>
      </c>
    </row>
    <row r="828" spans="1:5" x14ac:dyDescent="0.3">
      <c r="A828" s="20" t="s">
        <v>250</v>
      </c>
      <c r="B828" s="21" t="s">
        <v>375</v>
      </c>
      <c r="C828" s="22">
        <v>8800</v>
      </c>
      <c r="D828" s="23">
        <v>0</v>
      </c>
      <c r="E828" s="24">
        <v>0</v>
      </c>
    </row>
    <row r="829" spans="1:5" x14ac:dyDescent="0.3">
      <c r="A829" s="20" t="s">
        <v>250</v>
      </c>
      <c r="B829" s="21" t="s">
        <v>376</v>
      </c>
      <c r="C829" s="22">
        <v>8800</v>
      </c>
      <c r="D829" s="23">
        <v>0</v>
      </c>
      <c r="E829" s="24">
        <v>0</v>
      </c>
    </row>
    <row r="830" spans="1:5" x14ac:dyDescent="0.3">
      <c r="A830" s="20" t="s">
        <v>250</v>
      </c>
      <c r="B830" s="21" t="s">
        <v>377</v>
      </c>
      <c r="C830" s="22">
        <v>4400</v>
      </c>
      <c r="D830" s="23">
        <v>0</v>
      </c>
      <c r="E830" s="24">
        <v>0</v>
      </c>
    </row>
    <row r="831" spans="1:5" x14ac:dyDescent="0.3">
      <c r="A831" s="16" t="s">
        <v>254</v>
      </c>
      <c r="B831" s="16" t="s">
        <v>366</v>
      </c>
      <c r="C831" s="17">
        <v>30800</v>
      </c>
      <c r="D831" s="18">
        <v>0</v>
      </c>
      <c r="E831" s="19">
        <v>0</v>
      </c>
    </row>
    <row r="832" spans="1:5" x14ac:dyDescent="0.3">
      <c r="A832" s="20" t="s">
        <v>254</v>
      </c>
      <c r="B832" s="21" t="s">
        <v>367</v>
      </c>
      <c r="C832" s="22">
        <v>30800</v>
      </c>
      <c r="D832" s="23">
        <v>0</v>
      </c>
      <c r="E832" s="24">
        <v>0</v>
      </c>
    </row>
    <row r="833" spans="1:5" x14ac:dyDescent="0.3">
      <c r="A833" s="20" t="s">
        <v>254</v>
      </c>
      <c r="B833" s="21" t="s">
        <v>368</v>
      </c>
      <c r="C833" s="22">
        <v>30800</v>
      </c>
      <c r="D833" s="23">
        <v>0</v>
      </c>
      <c r="E833" s="24">
        <v>0</v>
      </c>
    </row>
    <row r="834" spans="1:5" x14ac:dyDescent="0.3">
      <c r="A834" s="20" t="s">
        <v>254</v>
      </c>
      <c r="B834" s="21" t="s">
        <v>369</v>
      </c>
      <c r="C834" s="22">
        <v>30800</v>
      </c>
      <c r="D834" s="23">
        <v>0</v>
      </c>
      <c r="E834" s="24">
        <v>0</v>
      </c>
    </row>
    <row r="835" spans="1:5" x14ac:dyDescent="0.3">
      <c r="A835" s="20" t="s">
        <v>254</v>
      </c>
      <c r="B835" s="21" t="s">
        <v>370</v>
      </c>
      <c r="C835" s="22">
        <v>30800</v>
      </c>
      <c r="D835" s="23">
        <v>0</v>
      </c>
      <c r="E835" s="24">
        <v>0</v>
      </c>
    </row>
    <row r="836" spans="1:5" x14ac:dyDescent="0.3">
      <c r="A836" s="20" t="s">
        <v>254</v>
      </c>
      <c r="B836" s="21" t="s">
        <v>371</v>
      </c>
      <c r="C836" s="22">
        <v>30800</v>
      </c>
      <c r="D836" s="23">
        <v>0</v>
      </c>
      <c r="E836" s="24">
        <v>0</v>
      </c>
    </row>
    <row r="837" spans="1:5" x14ac:dyDescent="0.3">
      <c r="A837" s="20" t="s">
        <v>254</v>
      </c>
      <c r="B837" s="21" t="s">
        <v>372</v>
      </c>
      <c r="C837" s="22">
        <v>30800</v>
      </c>
      <c r="D837" s="23">
        <v>0</v>
      </c>
      <c r="E837" s="24">
        <v>0</v>
      </c>
    </row>
    <row r="838" spans="1:5" x14ac:dyDescent="0.3">
      <c r="A838" s="20" t="s">
        <v>254</v>
      </c>
      <c r="B838" s="21" t="s">
        <v>373</v>
      </c>
      <c r="C838" s="22">
        <v>15400</v>
      </c>
      <c r="D838" s="23">
        <v>0</v>
      </c>
      <c r="E838" s="24">
        <v>0</v>
      </c>
    </row>
    <row r="839" spans="1:5" x14ac:dyDescent="0.3">
      <c r="A839" s="20" t="s">
        <v>254</v>
      </c>
      <c r="B839" s="21" t="s">
        <v>374</v>
      </c>
      <c r="C839" s="22">
        <v>30800</v>
      </c>
      <c r="D839" s="23">
        <v>0</v>
      </c>
      <c r="E839" s="24">
        <v>0</v>
      </c>
    </row>
    <row r="840" spans="1:5" x14ac:dyDescent="0.3">
      <c r="A840" s="20" t="s">
        <v>254</v>
      </c>
      <c r="B840" s="21" t="s">
        <v>375</v>
      </c>
      <c r="C840" s="22">
        <v>30800</v>
      </c>
      <c r="D840" s="23">
        <v>0</v>
      </c>
      <c r="E840" s="24">
        <v>0</v>
      </c>
    </row>
    <row r="841" spans="1:5" x14ac:dyDescent="0.3">
      <c r="A841" s="20" t="s">
        <v>254</v>
      </c>
      <c r="B841" s="21" t="s">
        <v>376</v>
      </c>
      <c r="C841" s="22">
        <v>30800</v>
      </c>
      <c r="D841" s="23">
        <v>0</v>
      </c>
      <c r="E841" s="24">
        <v>0</v>
      </c>
    </row>
    <row r="842" spans="1:5" x14ac:dyDescent="0.3">
      <c r="A842" s="20" t="s">
        <v>254</v>
      </c>
      <c r="B842" s="21" t="s">
        <v>377</v>
      </c>
      <c r="C842" s="22">
        <v>15400</v>
      </c>
      <c r="D842" s="23">
        <v>0</v>
      </c>
      <c r="E842" s="24">
        <v>0</v>
      </c>
    </row>
    <row r="843" spans="1:5" x14ac:dyDescent="0.3">
      <c r="A843" s="16" t="s">
        <v>261</v>
      </c>
      <c r="B843" s="16" t="s">
        <v>366</v>
      </c>
      <c r="C843" s="17">
        <v>3300</v>
      </c>
      <c r="D843" s="18">
        <v>0</v>
      </c>
      <c r="E843" s="19">
        <v>5000</v>
      </c>
    </row>
    <row r="844" spans="1:5" x14ac:dyDescent="0.3">
      <c r="A844" s="20" t="s">
        <v>261</v>
      </c>
      <c r="B844" s="21" t="s">
        <v>367</v>
      </c>
      <c r="C844" s="22">
        <v>3300</v>
      </c>
      <c r="D844" s="23">
        <v>0</v>
      </c>
      <c r="E844" s="24">
        <v>5000</v>
      </c>
    </row>
    <row r="845" spans="1:5" x14ac:dyDescent="0.3">
      <c r="A845" s="20" t="s">
        <v>261</v>
      </c>
      <c r="B845" s="21" t="s">
        <v>368</v>
      </c>
      <c r="C845" s="22">
        <v>3300</v>
      </c>
      <c r="D845" s="23">
        <v>0</v>
      </c>
      <c r="E845" s="24">
        <v>5000</v>
      </c>
    </row>
    <row r="846" spans="1:5" x14ac:dyDescent="0.3">
      <c r="A846" s="20" t="s">
        <v>261</v>
      </c>
      <c r="B846" s="21" t="s">
        <v>369</v>
      </c>
      <c r="C846" s="22">
        <v>3300</v>
      </c>
      <c r="D846" s="23">
        <v>0</v>
      </c>
      <c r="E846" s="24">
        <v>5000</v>
      </c>
    </row>
    <row r="847" spans="1:5" x14ac:dyDescent="0.3">
      <c r="A847" s="20" t="s">
        <v>261</v>
      </c>
      <c r="B847" s="21" t="s">
        <v>370</v>
      </c>
      <c r="C847" s="22">
        <v>3300</v>
      </c>
      <c r="D847" s="23">
        <v>0</v>
      </c>
      <c r="E847" s="24">
        <v>0</v>
      </c>
    </row>
    <row r="848" spans="1:5" x14ac:dyDescent="0.3">
      <c r="A848" s="20" t="s">
        <v>261</v>
      </c>
      <c r="B848" s="21" t="s">
        <v>371</v>
      </c>
      <c r="C848" s="22">
        <v>3300</v>
      </c>
      <c r="D848" s="23">
        <v>0</v>
      </c>
      <c r="E848" s="24">
        <v>0</v>
      </c>
    </row>
    <row r="849" spans="1:5" x14ac:dyDescent="0.3">
      <c r="A849" s="20" t="s">
        <v>261</v>
      </c>
      <c r="B849" s="21" t="s">
        <v>372</v>
      </c>
      <c r="C849" s="22">
        <v>3300</v>
      </c>
      <c r="D849" s="23">
        <v>0</v>
      </c>
      <c r="E849" s="24">
        <v>0</v>
      </c>
    </row>
    <row r="850" spans="1:5" x14ac:dyDescent="0.3">
      <c r="A850" s="20" t="s">
        <v>261</v>
      </c>
      <c r="B850" s="21" t="s">
        <v>373</v>
      </c>
      <c r="C850" s="22">
        <v>2200</v>
      </c>
      <c r="D850" s="23">
        <v>0</v>
      </c>
      <c r="E850" s="24">
        <v>0</v>
      </c>
    </row>
    <row r="851" spans="1:5" x14ac:dyDescent="0.3">
      <c r="A851" s="20" t="s">
        <v>261</v>
      </c>
      <c r="B851" s="21" t="s">
        <v>374</v>
      </c>
      <c r="C851" s="22">
        <v>3300</v>
      </c>
      <c r="D851" s="23">
        <v>0</v>
      </c>
      <c r="E851" s="24">
        <v>0</v>
      </c>
    </row>
    <row r="852" spans="1:5" x14ac:dyDescent="0.3">
      <c r="A852" s="20" t="s">
        <v>261</v>
      </c>
      <c r="B852" s="21" t="s">
        <v>375</v>
      </c>
      <c r="C852" s="22">
        <v>3300</v>
      </c>
      <c r="D852" s="23">
        <v>0</v>
      </c>
      <c r="E852" s="24">
        <v>0</v>
      </c>
    </row>
    <row r="853" spans="1:5" x14ac:dyDescent="0.3">
      <c r="A853" s="20" t="s">
        <v>261</v>
      </c>
      <c r="B853" s="21" t="s">
        <v>376</v>
      </c>
      <c r="C853" s="22">
        <v>3300</v>
      </c>
      <c r="D853" s="23">
        <v>0</v>
      </c>
      <c r="E853" s="24">
        <v>0</v>
      </c>
    </row>
    <row r="854" spans="1:5" x14ac:dyDescent="0.3">
      <c r="A854" s="20" t="s">
        <v>261</v>
      </c>
      <c r="B854" s="21" t="s">
        <v>377</v>
      </c>
      <c r="C854" s="22">
        <v>2200</v>
      </c>
      <c r="D854" s="23">
        <v>0</v>
      </c>
      <c r="E854" s="24">
        <v>0</v>
      </c>
    </row>
    <row r="855" spans="1:5" x14ac:dyDescent="0.3">
      <c r="A855" s="16" t="s">
        <v>276</v>
      </c>
      <c r="B855" s="16" t="s">
        <v>366</v>
      </c>
      <c r="C855" s="17">
        <v>18700</v>
      </c>
      <c r="D855" s="18">
        <v>0</v>
      </c>
      <c r="E855" s="19">
        <v>0</v>
      </c>
    </row>
    <row r="856" spans="1:5" x14ac:dyDescent="0.3">
      <c r="A856" s="20" t="s">
        <v>276</v>
      </c>
      <c r="B856" s="21" t="s">
        <v>367</v>
      </c>
      <c r="C856" s="22">
        <v>18700</v>
      </c>
      <c r="D856" s="23">
        <v>0</v>
      </c>
      <c r="E856" s="24">
        <v>0</v>
      </c>
    </row>
    <row r="857" spans="1:5" x14ac:dyDescent="0.3">
      <c r="A857" s="20" t="s">
        <v>276</v>
      </c>
      <c r="B857" s="21" t="s">
        <v>368</v>
      </c>
      <c r="C857" s="22">
        <v>18700</v>
      </c>
      <c r="D857" s="23">
        <v>0</v>
      </c>
      <c r="E857" s="24">
        <v>0</v>
      </c>
    </row>
    <row r="858" spans="1:5" x14ac:dyDescent="0.3">
      <c r="A858" s="20" t="s">
        <v>276</v>
      </c>
      <c r="B858" s="21" t="s">
        <v>369</v>
      </c>
      <c r="C858" s="22">
        <v>18700</v>
      </c>
      <c r="D858" s="23">
        <v>0</v>
      </c>
      <c r="E858" s="24">
        <v>0</v>
      </c>
    </row>
    <row r="859" spans="1:5" x14ac:dyDescent="0.3">
      <c r="A859" s="20" t="s">
        <v>276</v>
      </c>
      <c r="B859" s="21" t="s">
        <v>370</v>
      </c>
      <c r="C859" s="22">
        <v>18700</v>
      </c>
      <c r="D859" s="23">
        <v>0</v>
      </c>
      <c r="E859" s="24">
        <v>0</v>
      </c>
    </row>
    <row r="860" spans="1:5" x14ac:dyDescent="0.3">
      <c r="A860" s="20" t="s">
        <v>276</v>
      </c>
      <c r="B860" s="21" t="s">
        <v>371</v>
      </c>
      <c r="C860" s="22">
        <v>18700</v>
      </c>
      <c r="D860" s="23">
        <v>0</v>
      </c>
      <c r="E860" s="24">
        <v>0</v>
      </c>
    </row>
    <row r="861" spans="1:5" x14ac:dyDescent="0.3">
      <c r="A861" s="20" t="s">
        <v>276</v>
      </c>
      <c r="B861" s="21" t="s">
        <v>372</v>
      </c>
      <c r="C861" s="22">
        <v>18700</v>
      </c>
      <c r="D861" s="23">
        <v>0</v>
      </c>
      <c r="E861" s="24">
        <v>0</v>
      </c>
    </row>
    <row r="862" spans="1:5" x14ac:dyDescent="0.3">
      <c r="A862" s="20" t="s">
        <v>276</v>
      </c>
      <c r="B862" s="21" t="s">
        <v>373</v>
      </c>
      <c r="C862" s="22">
        <v>8800</v>
      </c>
      <c r="D862" s="23">
        <v>0</v>
      </c>
      <c r="E862" s="24">
        <v>0</v>
      </c>
    </row>
    <row r="863" spans="1:5" x14ac:dyDescent="0.3">
      <c r="A863" s="20" t="s">
        <v>276</v>
      </c>
      <c r="B863" s="21" t="s">
        <v>374</v>
      </c>
      <c r="C863" s="22">
        <v>18700</v>
      </c>
      <c r="D863" s="23">
        <v>0</v>
      </c>
      <c r="E863" s="24">
        <v>0</v>
      </c>
    </row>
    <row r="864" spans="1:5" x14ac:dyDescent="0.3">
      <c r="A864" s="20" t="s">
        <v>276</v>
      </c>
      <c r="B864" s="21" t="s">
        <v>375</v>
      </c>
      <c r="C864" s="22">
        <v>18700</v>
      </c>
      <c r="D864" s="23">
        <v>0</v>
      </c>
      <c r="E864" s="24">
        <v>0</v>
      </c>
    </row>
    <row r="865" spans="1:5" x14ac:dyDescent="0.3">
      <c r="A865" s="20" t="s">
        <v>276</v>
      </c>
      <c r="B865" s="21" t="s">
        <v>376</v>
      </c>
      <c r="C865" s="22">
        <v>18700</v>
      </c>
      <c r="D865" s="23">
        <v>0</v>
      </c>
      <c r="E865" s="24">
        <v>0</v>
      </c>
    </row>
    <row r="866" spans="1:5" x14ac:dyDescent="0.3">
      <c r="A866" s="20" t="s">
        <v>276</v>
      </c>
      <c r="B866" s="21" t="s">
        <v>377</v>
      </c>
      <c r="C866" s="22">
        <v>8800</v>
      </c>
      <c r="D866" s="23">
        <v>0</v>
      </c>
      <c r="E866" s="24">
        <v>0</v>
      </c>
    </row>
    <row r="867" spans="1:5" x14ac:dyDescent="0.3">
      <c r="A867" s="16" t="s">
        <v>361</v>
      </c>
      <c r="B867" s="16" t="s">
        <v>366</v>
      </c>
      <c r="C867" s="17">
        <v>0</v>
      </c>
      <c r="D867" s="18">
        <v>0</v>
      </c>
      <c r="E867" s="19">
        <v>10000</v>
      </c>
    </row>
    <row r="868" spans="1:5" x14ac:dyDescent="0.3">
      <c r="A868" s="20" t="s">
        <v>361</v>
      </c>
      <c r="B868" s="21" t="s">
        <v>367</v>
      </c>
      <c r="C868" s="22">
        <v>0</v>
      </c>
      <c r="D868" s="23">
        <v>0</v>
      </c>
      <c r="E868" s="24">
        <v>10000</v>
      </c>
    </row>
    <row r="869" spans="1:5" x14ac:dyDescent="0.3">
      <c r="A869" s="16" t="s">
        <v>305</v>
      </c>
      <c r="B869" s="16" t="s">
        <v>366</v>
      </c>
      <c r="C869" s="17">
        <v>13200</v>
      </c>
      <c r="D869" s="18">
        <v>0</v>
      </c>
      <c r="E869" s="19">
        <v>0</v>
      </c>
    </row>
    <row r="870" spans="1:5" x14ac:dyDescent="0.3">
      <c r="A870" s="20" t="s">
        <v>305</v>
      </c>
      <c r="B870" s="21" t="s">
        <v>367</v>
      </c>
      <c r="C870" s="22">
        <v>13200</v>
      </c>
      <c r="D870" s="23">
        <v>0</v>
      </c>
      <c r="E870" s="24">
        <v>0</v>
      </c>
    </row>
    <row r="871" spans="1:5" x14ac:dyDescent="0.3">
      <c r="A871" s="20" t="s">
        <v>305</v>
      </c>
      <c r="B871" s="21" t="s">
        <v>368</v>
      </c>
      <c r="C871" s="22">
        <v>13200</v>
      </c>
      <c r="D871" s="23">
        <v>0</v>
      </c>
      <c r="E871" s="24">
        <v>0</v>
      </c>
    </row>
    <row r="872" spans="1:5" x14ac:dyDescent="0.3">
      <c r="A872" s="20" t="s">
        <v>305</v>
      </c>
      <c r="B872" s="21" t="s">
        <v>369</v>
      </c>
      <c r="C872" s="22">
        <v>13200</v>
      </c>
      <c r="D872" s="23">
        <v>0</v>
      </c>
      <c r="E872" s="24">
        <v>0</v>
      </c>
    </row>
    <row r="873" spans="1:5" x14ac:dyDescent="0.3">
      <c r="A873" s="20" t="s">
        <v>305</v>
      </c>
      <c r="B873" s="21" t="s">
        <v>370</v>
      </c>
      <c r="C873" s="22">
        <v>13200</v>
      </c>
      <c r="D873" s="23">
        <v>0</v>
      </c>
      <c r="E873" s="24">
        <v>0</v>
      </c>
    </row>
    <row r="874" spans="1:5" x14ac:dyDescent="0.3">
      <c r="A874" s="20" t="s">
        <v>305</v>
      </c>
      <c r="B874" s="21" t="s">
        <v>371</v>
      </c>
      <c r="C874" s="22">
        <v>13200</v>
      </c>
      <c r="D874" s="23">
        <v>0</v>
      </c>
      <c r="E874" s="24">
        <v>0</v>
      </c>
    </row>
    <row r="875" spans="1:5" x14ac:dyDescent="0.3">
      <c r="A875" s="20" t="s">
        <v>305</v>
      </c>
      <c r="B875" s="21" t="s">
        <v>372</v>
      </c>
      <c r="C875" s="22">
        <v>13200</v>
      </c>
      <c r="D875" s="23">
        <v>0</v>
      </c>
      <c r="E875" s="24">
        <v>0</v>
      </c>
    </row>
    <row r="876" spans="1:5" x14ac:dyDescent="0.3">
      <c r="A876" s="20" t="s">
        <v>305</v>
      </c>
      <c r="B876" s="21" t="s">
        <v>373</v>
      </c>
      <c r="C876" s="22">
        <v>6600</v>
      </c>
      <c r="D876" s="23">
        <v>0</v>
      </c>
      <c r="E876" s="24">
        <v>0</v>
      </c>
    </row>
    <row r="877" spans="1:5" x14ac:dyDescent="0.3">
      <c r="A877" s="20" t="s">
        <v>305</v>
      </c>
      <c r="B877" s="21" t="s">
        <v>374</v>
      </c>
      <c r="C877" s="22">
        <v>13200</v>
      </c>
      <c r="D877" s="23">
        <v>0</v>
      </c>
      <c r="E877" s="24">
        <v>0</v>
      </c>
    </row>
    <row r="878" spans="1:5" x14ac:dyDescent="0.3">
      <c r="A878" s="20" t="s">
        <v>305</v>
      </c>
      <c r="B878" s="21" t="s">
        <v>375</v>
      </c>
      <c r="C878" s="22">
        <v>13200</v>
      </c>
      <c r="D878" s="23">
        <v>0</v>
      </c>
      <c r="E878" s="24">
        <v>0</v>
      </c>
    </row>
    <row r="879" spans="1:5" x14ac:dyDescent="0.3">
      <c r="A879" s="20" t="s">
        <v>305</v>
      </c>
      <c r="B879" s="21" t="s">
        <v>376</v>
      </c>
      <c r="C879" s="22">
        <v>13200</v>
      </c>
      <c r="D879" s="23">
        <v>0</v>
      </c>
      <c r="E879" s="24">
        <v>0</v>
      </c>
    </row>
    <row r="880" spans="1:5" x14ac:dyDescent="0.3">
      <c r="A880" s="20" t="s">
        <v>305</v>
      </c>
      <c r="B880" s="21" t="s">
        <v>377</v>
      </c>
      <c r="C880" s="22">
        <v>6600</v>
      </c>
      <c r="D880" s="23">
        <v>0</v>
      </c>
      <c r="E880" s="24">
        <v>0</v>
      </c>
    </row>
    <row r="881" spans="1:5" x14ac:dyDescent="0.3">
      <c r="A881" s="16" t="s">
        <v>388</v>
      </c>
      <c r="B881" s="16" t="s">
        <v>366</v>
      </c>
      <c r="C881" s="17">
        <v>46200</v>
      </c>
      <c r="D881" s="18">
        <v>0</v>
      </c>
      <c r="E881" s="19">
        <v>0</v>
      </c>
    </row>
    <row r="882" spans="1:5" x14ac:dyDescent="0.3">
      <c r="A882" s="20" t="s">
        <v>388</v>
      </c>
      <c r="B882" s="21" t="s">
        <v>367</v>
      </c>
      <c r="C882" s="22">
        <v>46200</v>
      </c>
      <c r="D882" s="23">
        <v>0</v>
      </c>
      <c r="E882" s="24">
        <v>0</v>
      </c>
    </row>
    <row r="883" spans="1:5" x14ac:dyDescent="0.3">
      <c r="A883" s="20" t="s">
        <v>388</v>
      </c>
      <c r="B883" s="21" t="s">
        <v>368</v>
      </c>
      <c r="C883" s="22">
        <v>46200</v>
      </c>
      <c r="D883" s="23">
        <v>0</v>
      </c>
      <c r="E883" s="24">
        <v>0</v>
      </c>
    </row>
    <row r="884" spans="1:5" x14ac:dyDescent="0.3">
      <c r="A884" s="20" t="s">
        <v>388</v>
      </c>
      <c r="B884" s="21" t="s">
        <v>369</v>
      </c>
      <c r="C884" s="22">
        <v>46200</v>
      </c>
      <c r="D884" s="23">
        <v>0</v>
      </c>
      <c r="E884" s="24">
        <v>0</v>
      </c>
    </row>
    <row r="885" spans="1:5" x14ac:dyDescent="0.3">
      <c r="A885" s="20" t="s">
        <v>388</v>
      </c>
      <c r="B885" s="21" t="s">
        <v>370</v>
      </c>
      <c r="C885" s="22">
        <v>46200</v>
      </c>
      <c r="D885" s="23">
        <v>0</v>
      </c>
      <c r="E885" s="24">
        <v>0</v>
      </c>
    </row>
    <row r="886" spans="1:5" x14ac:dyDescent="0.3">
      <c r="A886" s="20" t="s">
        <v>388</v>
      </c>
      <c r="B886" s="21" t="s">
        <v>371</v>
      </c>
      <c r="C886" s="22">
        <v>46200</v>
      </c>
      <c r="D886" s="23">
        <v>0</v>
      </c>
      <c r="E886" s="24">
        <v>0</v>
      </c>
    </row>
    <row r="887" spans="1:5" x14ac:dyDescent="0.3">
      <c r="A887" s="20" t="s">
        <v>388</v>
      </c>
      <c r="B887" s="21" t="s">
        <v>372</v>
      </c>
      <c r="C887" s="22">
        <v>46200</v>
      </c>
      <c r="D887" s="23">
        <v>0</v>
      </c>
      <c r="E887" s="24">
        <v>0</v>
      </c>
    </row>
    <row r="888" spans="1:5" x14ac:dyDescent="0.3">
      <c r="A888" s="20" t="s">
        <v>388</v>
      </c>
      <c r="B888" s="21" t="s">
        <v>373</v>
      </c>
      <c r="C888" s="22">
        <v>23100</v>
      </c>
      <c r="D888" s="23">
        <v>0</v>
      </c>
      <c r="E888" s="24">
        <v>0</v>
      </c>
    </row>
    <row r="889" spans="1:5" x14ac:dyDescent="0.3">
      <c r="A889" s="20" t="s">
        <v>388</v>
      </c>
      <c r="B889" s="21" t="s">
        <v>374</v>
      </c>
      <c r="C889" s="22">
        <v>46200</v>
      </c>
      <c r="D889" s="23">
        <v>0</v>
      </c>
      <c r="E889" s="24">
        <v>0</v>
      </c>
    </row>
    <row r="890" spans="1:5" x14ac:dyDescent="0.3">
      <c r="A890" s="20" t="s">
        <v>388</v>
      </c>
      <c r="B890" s="21" t="s">
        <v>375</v>
      </c>
      <c r="C890" s="22">
        <v>46200</v>
      </c>
      <c r="D890" s="23">
        <v>0</v>
      </c>
      <c r="E890" s="24">
        <v>0</v>
      </c>
    </row>
    <row r="891" spans="1:5" x14ac:dyDescent="0.3">
      <c r="A891" s="20" t="s">
        <v>388</v>
      </c>
      <c r="B891" s="21" t="s">
        <v>376</v>
      </c>
      <c r="C891" s="22">
        <v>46200</v>
      </c>
      <c r="D891" s="23">
        <v>0</v>
      </c>
      <c r="E891" s="24">
        <v>0</v>
      </c>
    </row>
    <row r="892" spans="1:5" x14ac:dyDescent="0.3">
      <c r="A892" s="20" t="s">
        <v>388</v>
      </c>
      <c r="B892" s="21" t="s">
        <v>377</v>
      </c>
      <c r="C892" s="22">
        <v>23100</v>
      </c>
      <c r="D892" s="23">
        <v>0</v>
      </c>
      <c r="E892" s="24">
        <v>0</v>
      </c>
    </row>
    <row r="893" spans="1:5" x14ac:dyDescent="0.3">
      <c r="A893" s="16" t="s">
        <v>59</v>
      </c>
      <c r="B893" s="16" t="s">
        <v>366</v>
      </c>
      <c r="C893" s="17">
        <v>0</v>
      </c>
      <c r="D893" s="18">
        <v>0</v>
      </c>
      <c r="E893" s="19">
        <v>0</v>
      </c>
    </row>
    <row r="894" spans="1:5" x14ac:dyDescent="0.3">
      <c r="A894" s="20" t="s">
        <v>59</v>
      </c>
      <c r="B894" s="21" t="s">
        <v>367</v>
      </c>
      <c r="C894" s="22">
        <v>0</v>
      </c>
      <c r="D894" s="23">
        <v>0</v>
      </c>
      <c r="E894" s="24">
        <v>0</v>
      </c>
    </row>
    <row r="895" spans="1:5" x14ac:dyDescent="0.3">
      <c r="A895" s="20" t="s">
        <v>59</v>
      </c>
      <c r="B895" s="21" t="s">
        <v>368</v>
      </c>
      <c r="C895" s="22">
        <v>0</v>
      </c>
      <c r="D895" s="23">
        <v>0</v>
      </c>
      <c r="E895" s="24">
        <v>0</v>
      </c>
    </row>
    <row r="896" spans="1:5" x14ac:dyDescent="0.3">
      <c r="A896" s="20" t="s">
        <v>59</v>
      </c>
      <c r="B896" s="21" t="s">
        <v>369</v>
      </c>
      <c r="C896" s="22">
        <v>0</v>
      </c>
      <c r="D896" s="23">
        <v>0</v>
      </c>
      <c r="E896" s="24">
        <v>0</v>
      </c>
    </row>
    <row r="897" spans="1:5" x14ac:dyDescent="0.3">
      <c r="A897" s="20" t="s">
        <v>59</v>
      </c>
      <c r="B897" s="21" t="s">
        <v>370</v>
      </c>
      <c r="C897" s="22">
        <v>0</v>
      </c>
      <c r="D897" s="23">
        <v>0</v>
      </c>
      <c r="E897" s="24">
        <v>0</v>
      </c>
    </row>
    <row r="898" spans="1:5" x14ac:dyDescent="0.3">
      <c r="A898" s="20" t="s">
        <v>59</v>
      </c>
      <c r="B898" s="21" t="s">
        <v>371</v>
      </c>
      <c r="C898" s="22">
        <v>0</v>
      </c>
      <c r="D898" s="23">
        <v>0</v>
      </c>
      <c r="E898" s="24">
        <v>0</v>
      </c>
    </row>
    <row r="899" spans="1:5" x14ac:dyDescent="0.3">
      <c r="A899" s="20" t="s">
        <v>59</v>
      </c>
      <c r="B899" s="21" t="s">
        <v>372</v>
      </c>
      <c r="C899" s="22">
        <v>0</v>
      </c>
      <c r="D899" s="23">
        <v>0</v>
      </c>
      <c r="E899" s="24">
        <v>0</v>
      </c>
    </row>
    <row r="900" spans="1:5" x14ac:dyDescent="0.3">
      <c r="A900" s="20" t="s">
        <v>59</v>
      </c>
      <c r="B900" s="21" t="s">
        <v>373</v>
      </c>
      <c r="C900" s="22">
        <v>0</v>
      </c>
      <c r="D900" s="23">
        <v>0</v>
      </c>
      <c r="E900" s="24">
        <v>0</v>
      </c>
    </row>
    <row r="901" spans="1:5" x14ac:dyDescent="0.3">
      <c r="A901" s="16" t="s">
        <v>60</v>
      </c>
      <c r="B901" s="16" t="s">
        <v>366</v>
      </c>
      <c r="C901" s="17">
        <v>0</v>
      </c>
      <c r="D901" s="18">
        <v>0</v>
      </c>
      <c r="E901" s="19">
        <v>0</v>
      </c>
    </row>
    <row r="902" spans="1:5" x14ac:dyDescent="0.3">
      <c r="A902" s="20" t="s">
        <v>60</v>
      </c>
      <c r="B902" s="21" t="s">
        <v>367</v>
      </c>
      <c r="C902" s="22">
        <v>0</v>
      </c>
      <c r="D902" s="23">
        <v>0</v>
      </c>
      <c r="E902" s="24">
        <v>0</v>
      </c>
    </row>
    <row r="903" spans="1:5" x14ac:dyDescent="0.3">
      <c r="A903" s="20" t="s">
        <v>60</v>
      </c>
      <c r="B903" s="21" t="s">
        <v>368</v>
      </c>
      <c r="C903" s="22">
        <v>0</v>
      </c>
      <c r="D903" s="23">
        <v>0</v>
      </c>
      <c r="E903" s="24">
        <v>0</v>
      </c>
    </row>
    <row r="904" spans="1:5" x14ac:dyDescent="0.3">
      <c r="A904" s="20" t="s">
        <v>60</v>
      </c>
      <c r="B904" s="21" t="s">
        <v>369</v>
      </c>
      <c r="C904" s="22">
        <v>0</v>
      </c>
      <c r="D904" s="23">
        <v>0</v>
      </c>
      <c r="E904" s="24">
        <v>0</v>
      </c>
    </row>
    <row r="905" spans="1:5" x14ac:dyDescent="0.3">
      <c r="A905" s="20" t="s">
        <v>60</v>
      </c>
      <c r="B905" s="21" t="s">
        <v>370</v>
      </c>
      <c r="C905" s="22">
        <v>0</v>
      </c>
      <c r="D905" s="23">
        <v>0</v>
      </c>
      <c r="E905" s="24">
        <v>0</v>
      </c>
    </row>
    <row r="906" spans="1:5" x14ac:dyDescent="0.3">
      <c r="A906" s="20" t="s">
        <v>60</v>
      </c>
      <c r="B906" s="21" t="s">
        <v>371</v>
      </c>
      <c r="C906" s="22">
        <v>0</v>
      </c>
      <c r="D906" s="23">
        <v>0</v>
      </c>
      <c r="E906" s="24">
        <v>0</v>
      </c>
    </row>
    <row r="907" spans="1:5" x14ac:dyDescent="0.3">
      <c r="A907" s="16" t="s">
        <v>62</v>
      </c>
      <c r="B907" s="16" t="s">
        <v>372</v>
      </c>
      <c r="C907" s="17">
        <v>0</v>
      </c>
      <c r="D907" s="18">
        <v>0</v>
      </c>
      <c r="E907" s="19">
        <v>0</v>
      </c>
    </row>
    <row r="908" spans="1:5" x14ac:dyDescent="0.3">
      <c r="A908" s="16" t="s">
        <v>63</v>
      </c>
      <c r="B908" s="16" t="s">
        <v>366</v>
      </c>
      <c r="C908" s="17">
        <v>0</v>
      </c>
      <c r="D908" s="18">
        <v>0</v>
      </c>
      <c r="E908" s="19">
        <v>0</v>
      </c>
    </row>
    <row r="909" spans="1:5" x14ac:dyDescent="0.3">
      <c r="A909" s="20" t="s">
        <v>63</v>
      </c>
      <c r="B909" s="21" t="s">
        <v>367</v>
      </c>
      <c r="C909" s="22">
        <v>0</v>
      </c>
      <c r="D909" s="23">
        <v>0</v>
      </c>
      <c r="E909" s="24">
        <v>0</v>
      </c>
    </row>
    <row r="910" spans="1:5" x14ac:dyDescent="0.3">
      <c r="A910" s="20" t="s">
        <v>63</v>
      </c>
      <c r="B910" s="21" t="s">
        <v>368</v>
      </c>
      <c r="C910" s="22">
        <v>0</v>
      </c>
      <c r="D910" s="23">
        <v>0</v>
      </c>
      <c r="E910" s="24">
        <v>0</v>
      </c>
    </row>
    <row r="911" spans="1:5" x14ac:dyDescent="0.3">
      <c r="A911" s="20" t="s">
        <v>63</v>
      </c>
      <c r="B911" s="21" t="s">
        <v>369</v>
      </c>
      <c r="C911" s="22">
        <v>0</v>
      </c>
      <c r="D911" s="23">
        <v>0</v>
      </c>
      <c r="E911" s="24">
        <v>0</v>
      </c>
    </row>
    <row r="912" spans="1:5" x14ac:dyDescent="0.3">
      <c r="A912" s="20" t="s">
        <v>63</v>
      </c>
      <c r="B912" s="21" t="s">
        <v>370</v>
      </c>
      <c r="C912" s="22">
        <v>0</v>
      </c>
      <c r="D912" s="23">
        <v>0</v>
      </c>
      <c r="E912" s="24">
        <v>0</v>
      </c>
    </row>
    <row r="913" spans="1:5" x14ac:dyDescent="0.3">
      <c r="A913" s="20" t="s">
        <v>63</v>
      </c>
      <c r="B913" s="21" t="s">
        <v>371</v>
      </c>
      <c r="C913" s="22">
        <v>0</v>
      </c>
      <c r="D913" s="23">
        <v>0</v>
      </c>
      <c r="E913" s="24">
        <v>0</v>
      </c>
    </row>
    <row r="914" spans="1:5" x14ac:dyDescent="0.3">
      <c r="A914" s="20" t="s">
        <v>63</v>
      </c>
      <c r="B914" s="21" t="s">
        <v>372</v>
      </c>
      <c r="C914" s="22">
        <v>0</v>
      </c>
      <c r="D914" s="23">
        <v>0</v>
      </c>
      <c r="E914" s="24">
        <v>0</v>
      </c>
    </row>
    <row r="915" spans="1:5" x14ac:dyDescent="0.3">
      <c r="A915" s="16" t="s">
        <v>64</v>
      </c>
      <c r="B915" s="16" t="s">
        <v>366</v>
      </c>
      <c r="C915" s="17">
        <v>0</v>
      </c>
      <c r="D915" s="18">
        <v>0</v>
      </c>
      <c r="E915" s="19">
        <v>0</v>
      </c>
    </row>
    <row r="916" spans="1:5" x14ac:dyDescent="0.3">
      <c r="A916" s="20" t="s">
        <v>64</v>
      </c>
      <c r="B916" s="21" t="s">
        <v>367</v>
      </c>
      <c r="C916" s="22">
        <v>0</v>
      </c>
      <c r="D916" s="23">
        <v>0</v>
      </c>
      <c r="E916" s="24">
        <v>0</v>
      </c>
    </row>
    <row r="917" spans="1:5" x14ac:dyDescent="0.3">
      <c r="A917" s="20" t="s">
        <v>64</v>
      </c>
      <c r="B917" s="21" t="s">
        <v>368</v>
      </c>
      <c r="C917" s="22">
        <v>0</v>
      </c>
      <c r="D917" s="23">
        <v>0</v>
      </c>
      <c r="E917" s="24">
        <v>0</v>
      </c>
    </row>
    <row r="918" spans="1:5" x14ac:dyDescent="0.3">
      <c r="A918" s="20" t="s">
        <v>64</v>
      </c>
      <c r="B918" s="21" t="s">
        <v>369</v>
      </c>
      <c r="C918" s="22">
        <v>0</v>
      </c>
      <c r="D918" s="23">
        <v>0</v>
      </c>
      <c r="E918" s="24">
        <v>0</v>
      </c>
    </row>
    <row r="919" spans="1:5" x14ac:dyDescent="0.3">
      <c r="A919" s="20" t="s">
        <v>64</v>
      </c>
      <c r="B919" s="21" t="s">
        <v>370</v>
      </c>
      <c r="C919" s="22">
        <v>0</v>
      </c>
      <c r="D919" s="23">
        <v>0</v>
      </c>
      <c r="E919" s="24">
        <v>0</v>
      </c>
    </row>
    <row r="920" spans="1:5" x14ac:dyDescent="0.3">
      <c r="A920" s="20" t="s">
        <v>64</v>
      </c>
      <c r="B920" s="21" t="s">
        <v>371</v>
      </c>
      <c r="C920" s="22">
        <v>0</v>
      </c>
      <c r="D920" s="23">
        <v>0</v>
      </c>
      <c r="E920" s="24">
        <v>0</v>
      </c>
    </row>
    <row r="921" spans="1:5" x14ac:dyDescent="0.3">
      <c r="A921" s="20" t="s">
        <v>64</v>
      </c>
      <c r="B921" s="21" t="s">
        <v>372</v>
      </c>
      <c r="C921" s="22">
        <v>0</v>
      </c>
      <c r="D921" s="23">
        <v>0</v>
      </c>
      <c r="E921" s="24">
        <v>0</v>
      </c>
    </row>
    <row r="922" spans="1:5" x14ac:dyDescent="0.3">
      <c r="A922" s="20" t="s">
        <v>64</v>
      </c>
      <c r="B922" s="21" t="s">
        <v>373</v>
      </c>
      <c r="C922" s="22">
        <v>0</v>
      </c>
      <c r="D922" s="23">
        <v>0</v>
      </c>
      <c r="E922" s="24">
        <v>0</v>
      </c>
    </row>
    <row r="923" spans="1:5" x14ac:dyDescent="0.3">
      <c r="A923" s="16" t="s">
        <v>389</v>
      </c>
      <c r="B923" s="16" t="s">
        <v>369</v>
      </c>
      <c r="C923" s="17">
        <v>0</v>
      </c>
      <c r="D923" s="18">
        <v>0</v>
      </c>
      <c r="E923" s="19">
        <v>0</v>
      </c>
    </row>
    <row r="924" spans="1:5" x14ac:dyDescent="0.3">
      <c r="A924" s="16" t="s">
        <v>390</v>
      </c>
      <c r="B924" s="16" t="s">
        <v>366</v>
      </c>
      <c r="C924" s="17">
        <v>0</v>
      </c>
      <c r="D924" s="18">
        <v>0</v>
      </c>
      <c r="E924" s="19">
        <v>0</v>
      </c>
    </row>
    <row r="925" spans="1:5" x14ac:dyDescent="0.3">
      <c r="A925" s="16" t="s">
        <v>65</v>
      </c>
      <c r="B925" s="16" t="s">
        <v>366</v>
      </c>
      <c r="C925" s="17">
        <v>0</v>
      </c>
      <c r="D925" s="18">
        <v>0</v>
      </c>
      <c r="E925" s="19">
        <v>0</v>
      </c>
    </row>
    <row r="926" spans="1:5" x14ac:dyDescent="0.3">
      <c r="A926" s="20" t="s">
        <v>65</v>
      </c>
      <c r="B926" s="21" t="s">
        <v>369</v>
      </c>
      <c r="C926" s="22">
        <v>0</v>
      </c>
      <c r="D926" s="23">
        <v>0</v>
      </c>
      <c r="E926" s="24">
        <v>0</v>
      </c>
    </row>
    <row r="927" spans="1:5" x14ac:dyDescent="0.3">
      <c r="A927" s="20" t="s">
        <v>65</v>
      </c>
      <c r="B927" s="21" t="s">
        <v>370</v>
      </c>
      <c r="C927" s="22">
        <v>0</v>
      </c>
      <c r="D927" s="23">
        <v>0</v>
      </c>
      <c r="E927" s="24">
        <v>0</v>
      </c>
    </row>
    <row r="928" spans="1:5" x14ac:dyDescent="0.3">
      <c r="A928" s="20" t="s">
        <v>65</v>
      </c>
      <c r="B928" s="21" t="s">
        <v>371</v>
      </c>
      <c r="C928" s="22">
        <v>0</v>
      </c>
      <c r="D928" s="23">
        <v>0</v>
      </c>
      <c r="E928" s="24">
        <v>0</v>
      </c>
    </row>
    <row r="929" spans="1:5" x14ac:dyDescent="0.3">
      <c r="A929" s="20" t="s">
        <v>65</v>
      </c>
      <c r="B929" s="21" t="s">
        <v>372</v>
      </c>
      <c r="C929" s="22">
        <v>0</v>
      </c>
      <c r="D929" s="23">
        <v>0</v>
      </c>
      <c r="E929" s="24">
        <v>0</v>
      </c>
    </row>
    <row r="930" spans="1:5" x14ac:dyDescent="0.3">
      <c r="A930" s="16" t="s">
        <v>66</v>
      </c>
      <c r="B930" s="16" t="s">
        <v>371</v>
      </c>
      <c r="C930" s="17">
        <v>0</v>
      </c>
      <c r="D930" s="18">
        <v>0</v>
      </c>
      <c r="E930" s="19">
        <v>0</v>
      </c>
    </row>
    <row r="931" spans="1:5" x14ac:dyDescent="0.3">
      <c r="A931" s="16" t="s">
        <v>67</v>
      </c>
      <c r="B931" s="16" t="s">
        <v>366</v>
      </c>
      <c r="C931" s="17">
        <v>0</v>
      </c>
      <c r="D931" s="18">
        <v>0</v>
      </c>
      <c r="E931" s="19">
        <v>0</v>
      </c>
    </row>
    <row r="932" spans="1:5" x14ac:dyDescent="0.3">
      <c r="A932" s="20" t="s">
        <v>67</v>
      </c>
      <c r="B932" s="21" t="s">
        <v>367</v>
      </c>
      <c r="C932" s="22">
        <v>0</v>
      </c>
      <c r="D932" s="23">
        <v>0</v>
      </c>
      <c r="E932" s="24">
        <v>0</v>
      </c>
    </row>
    <row r="933" spans="1:5" x14ac:dyDescent="0.3">
      <c r="A933" s="20" t="s">
        <v>67</v>
      </c>
      <c r="B933" s="21" t="s">
        <v>369</v>
      </c>
      <c r="C933" s="22">
        <v>0</v>
      </c>
      <c r="D933" s="23">
        <v>0</v>
      </c>
      <c r="E933" s="24">
        <v>0</v>
      </c>
    </row>
    <row r="934" spans="1:5" x14ac:dyDescent="0.3">
      <c r="A934" s="20" t="s">
        <v>67</v>
      </c>
      <c r="B934" s="21" t="s">
        <v>370</v>
      </c>
      <c r="C934" s="22">
        <v>0</v>
      </c>
      <c r="D934" s="23">
        <v>0</v>
      </c>
      <c r="E934" s="24">
        <v>0</v>
      </c>
    </row>
    <row r="935" spans="1:5" x14ac:dyDescent="0.3">
      <c r="A935" s="20" t="s">
        <v>67</v>
      </c>
      <c r="B935" s="21" t="s">
        <v>371</v>
      </c>
      <c r="C935" s="22">
        <v>0</v>
      </c>
      <c r="D935" s="23">
        <v>0</v>
      </c>
      <c r="E935" s="24">
        <v>0</v>
      </c>
    </row>
    <row r="936" spans="1:5" x14ac:dyDescent="0.3">
      <c r="A936" s="20" t="s">
        <v>67</v>
      </c>
      <c r="B936" s="21" t="s">
        <v>373</v>
      </c>
      <c r="C936" s="22">
        <v>0</v>
      </c>
      <c r="D936" s="23">
        <v>0</v>
      </c>
      <c r="E936" s="24">
        <v>0</v>
      </c>
    </row>
    <row r="937" spans="1:5" x14ac:dyDescent="0.3">
      <c r="A937" s="16" t="s">
        <v>68</v>
      </c>
      <c r="B937" s="16" t="s">
        <v>366</v>
      </c>
      <c r="C937" s="17">
        <v>0</v>
      </c>
      <c r="D937" s="18">
        <v>0</v>
      </c>
      <c r="E937" s="19">
        <v>0</v>
      </c>
    </row>
    <row r="938" spans="1:5" x14ac:dyDescent="0.3">
      <c r="A938" s="20" t="s">
        <v>68</v>
      </c>
      <c r="B938" s="21" t="s">
        <v>367</v>
      </c>
      <c r="C938" s="22">
        <v>0</v>
      </c>
      <c r="D938" s="23">
        <v>0</v>
      </c>
      <c r="E938" s="24">
        <v>0</v>
      </c>
    </row>
    <row r="939" spans="1:5" x14ac:dyDescent="0.3">
      <c r="A939" s="20" t="s">
        <v>68</v>
      </c>
      <c r="B939" s="21" t="s">
        <v>368</v>
      </c>
      <c r="C939" s="22">
        <v>0</v>
      </c>
      <c r="D939" s="23">
        <v>0</v>
      </c>
      <c r="E939" s="24">
        <v>0</v>
      </c>
    </row>
    <row r="940" spans="1:5" x14ac:dyDescent="0.3">
      <c r="A940" s="20" t="s">
        <v>68</v>
      </c>
      <c r="B940" s="21" t="s">
        <v>370</v>
      </c>
      <c r="C940" s="22">
        <v>0</v>
      </c>
      <c r="D940" s="23">
        <v>0</v>
      </c>
      <c r="E940" s="24">
        <v>0</v>
      </c>
    </row>
    <row r="941" spans="1:5" x14ac:dyDescent="0.3">
      <c r="A941" s="20" t="s">
        <v>68</v>
      </c>
      <c r="B941" s="21" t="s">
        <v>371</v>
      </c>
      <c r="C941" s="22">
        <v>0</v>
      </c>
      <c r="D941" s="23">
        <v>0</v>
      </c>
      <c r="E941" s="24">
        <v>0</v>
      </c>
    </row>
    <row r="942" spans="1:5" x14ac:dyDescent="0.3">
      <c r="A942" s="20" t="s">
        <v>68</v>
      </c>
      <c r="B942" s="21" t="s">
        <v>372</v>
      </c>
      <c r="C942" s="22">
        <v>0</v>
      </c>
      <c r="D942" s="23">
        <v>0</v>
      </c>
      <c r="E942" s="24">
        <v>0</v>
      </c>
    </row>
    <row r="943" spans="1:5" x14ac:dyDescent="0.3">
      <c r="A943" s="20" t="s">
        <v>68</v>
      </c>
      <c r="B943" s="21" t="s">
        <v>373</v>
      </c>
      <c r="C943" s="22">
        <v>0</v>
      </c>
      <c r="D943" s="23">
        <v>0</v>
      </c>
      <c r="E943" s="24">
        <v>0</v>
      </c>
    </row>
    <row r="944" spans="1:5" x14ac:dyDescent="0.3">
      <c r="A944" s="16" t="s">
        <v>69</v>
      </c>
      <c r="B944" s="16" t="s">
        <v>369</v>
      </c>
      <c r="C944" s="17">
        <v>0</v>
      </c>
      <c r="D944" s="18">
        <v>0</v>
      </c>
      <c r="E944" s="19">
        <v>0</v>
      </c>
    </row>
    <row r="945" spans="1:5" x14ac:dyDescent="0.3">
      <c r="A945" s="16" t="s">
        <v>391</v>
      </c>
      <c r="B945" s="16" t="s">
        <v>371</v>
      </c>
      <c r="C945" s="17">
        <v>0</v>
      </c>
      <c r="D945" s="18">
        <v>0</v>
      </c>
      <c r="E945" s="19">
        <v>0</v>
      </c>
    </row>
    <row r="946" spans="1:5" x14ac:dyDescent="0.3">
      <c r="A946" s="16" t="s">
        <v>392</v>
      </c>
      <c r="B946" s="16" t="s">
        <v>366</v>
      </c>
      <c r="C946" s="17">
        <v>0</v>
      </c>
      <c r="D946" s="18">
        <v>0</v>
      </c>
      <c r="E946" s="19">
        <v>0</v>
      </c>
    </row>
    <row r="947" spans="1:5" x14ac:dyDescent="0.3">
      <c r="A947" s="16" t="s">
        <v>70</v>
      </c>
      <c r="B947" s="16" t="s">
        <v>366</v>
      </c>
      <c r="C947" s="17">
        <v>0</v>
      </c>
      <c r="D947" s="18">
        <v>0</v>
      </c>
      <c r="E947" s="19">
        <v>0</v>
      </c>
    </row>
    <row r="948" spans="1:5" x14ac:dyDescent="0.3">
      <c r="A948" s="20" t="s">
        <v>70</v>
      </c>
      <c r="B948" s="21" t="s">
        <v>369</v>
      </c>
      <c r="C948" s="22">
        <v>0</v>
      </c>
      <c r="D948" s="23">
        <v>0</v>
      </c>
      <c r="E948" s="24">
        <v>0</v>
      </c>
    </row>
    <row r="949" spans="1:5" x14ac:dyDescent="0.3">
      <c r="A949" s="20" t="s">
        <v>70</v>
      </c>
      <c r="B949" s="21" t="s">
        <v>370</v>
      </c>
      <c r="C949" s="22">
        <v>0</v>
      </c>
      <c r="D949" s="23">
        <v>0</v>
      </c>
      <c r="E949" s="24">
        <v>0</v>
      </c>
    </row>
    <row r="950" spans="1:5" x14ac:dyDescent="0.3">
      <c r="A950" s="16" t="s">
        <v>72</v>
      </c>
      <c r="B950" s="16" t="s">
        <v>366</v>
      </c>
      <c r="C950" s="17">
        <v>0</v>
      </c>
      <c r="D950" s="18">
        <v>0</v>
      </c>
      <c r="E950" s="19">
        <v>0</v>
      </c>
    </row>
    <row r="951" spans="1:5" x14ac:dyDescent="0.3">
      <c r="A951" s="20" t="s">
        <v>72</v>
      </c>
      <c r="B951" s="21" t="s">
        <v>367</v>
      </c>
      <c r="C951" s="22">
        <v>0</v>
      </c>
      <c r="D951" s="23">
        <v>0</v>
      </c>
      <c r="E951" s="24">
        <v>0</v>
      </c>
    </row>
    <row r="952" spans="1:5" x14ac:dyDescent="0.3">
      <c r="A952" s="20" t="s">
        <v>72</v>
      </c>
      <c r="B952" s="21" t="s">
        <v>368</v>
      </c>
      <c r="C952" s="22">
        <v>0</v>
      </c>
      <c r="D952" s="23">
        <v>0</v>
      </c>
      <c r="E952" s="24">
        <v>0</v>
      </c>
    </row>
    <row r="953" spans="1:5" x14ac:dyDescent="0.3">
      <c r="A953" s="20" t="s">
        <v>72</v>
      </c>
      <c r="B953" s="21" t="s">
        <v>369</v>
      </c>
      <c r="C953" s="22">
        <v>0</v>
      </c>
      <c r="D953" s="23">
        <v>0</v>
      </c>
      <c r="E953" s="24">
        <v>0</v>
      </c>
    </row>
    <row r="954" spans="1:5" x14ac:dyDescent="0.3">
      <c r="A954" s="20" t="s">
        <v>72</v>
      </c>
      <c r="B954" s="21" t="s">
        <v>370</v>
      </c>
      <c r="C954" s="22">
        <v>0</v>
      </c>
      <c r="D954" s="23">
        <v>0</v>
      </c>
      <c r="E954" s="24">
        <v>0</v>
      </c>
    </row>
    <row r="955" spans="1:5" x14ac:dyDescent="0.3">
      <c r="A955" s="20" t="s">
        <v>72</v>
      </c>
      <c r="B955" s="21" t="s">
        <v>371</v>
      </c>
      <c r="C955" s="22">
        <v>0</v>
      </c>
      <c r="D955" s="23">
        <v>0</v>
      </c>
      <c r="E955" s="24">
        <v>0</v>
      </c>
    </row>
    <row r="956" spans="1:5" x14ac:dyDescent="0.3">
      <c r="A956" s="20" t="s">
        <v>72</v>
      </c>
      <c r="B956" s="21" t="s">
        <v>372</v>
      </c>
      <c r="C956" s="22">
        <v>0</v>
      </c>
      <c r="D956" s="23">
        <v>0</v>
      </c>
      <c r="E956" s="24">
        <v>0</v>
      </c>
    </row>
    <row r="957" spans="1:5" x14ac:dyDescent="0.3">
      <c r="A957" s="20" t="s">
        <v>72</v>
      </c>
      <c r="B957" s="21" t="s">
        <v>373</v>
      </c>
      <c r="C957" s="22">
        <v>0</v>
      </c>
      <c r="D957" s="23">
        <v>0</v>
      </c>
      <c r="E957" s="24">
        <v>0</v>
      </c>
    </row>
    <row r="958" spans="1:5" x14ac:dyDescent="0.3">
      <c r="A958" s="16" t="s">
        <v>73</v>
      </c>
      <c r="B958" s="16" t="s">
        <v>366</v>
      </c>
      <c r="C958" s="17">
        <v>0</v>
      </c>
      <c r="D958" s="18">
        <v>0</v>
      </c>
      <c r="E958" s="19">
        <v>0</v>
      </c>
    </row>
    <row r="959" spans="1:5" x14ac:dyDescent="0.3">
      <c r="A959" s="20" t="s">
        <v>73</v>
      </c>
      <c r="B959" s="21" t="s">
        <v>367</v>
      </c>
      <c r="C959" s="22">
        <v>0</v>
      </c>
      <c r="D959" s="23">
        <v>0</v>
      </c>
      <c r="E959" s="24">
        <v>0</v>
      </c>
    </row>
    <row r="960" spans="1:5" x14ac:dyDescent="0.3">
      <c r="A960" s="20" t="s">
        <v>73</v>
      </c>
      <c r="B960" s="21" t="s">
        <v>368</v>
      </c>
      <c r="C960" s="22">
        <v>0</v>
      </c>
      <c r="D960" s="23">
        <v>0</v>
      </c>
      <c r="E960" s="24">
        <v>0</v>
      </c>
    </row>
    <row r="961" spans="1:5" x14ac:dyDescent="0.3">
      <c r="A961" s="20" t="s">
        <v>73</v>
      </c>
      <c r="B961" s="21" t="s">
        <v>369</v>
      </c>
      <c r="C961" s="22">
        <v>0</v>
      </c>
      <c r="D961" s="23">
        <v>0</v>
      </c>
      <c r="E961" s="24">
        <v>0</v>
      </c>
    </row>
    <row r="962" spans="1:5" x14ac:dyDescent="0.3">
      <c r="A962" s="20" t="s">
        <v>73</v>
      </c>
      <c r="B962" s="21" t="s">
        <v>370</v>
      </c>
      <c r="C962" s="22">
        <v>0</v>
      </c>
      <c r="D962" s="23">
        <v>0</v>
      </c>
      <c r="E962" s="24">
        <v>0</v>
      </c>
    </row>
    <row r="963" spans="1:5" x14ac:dyDescent="0.3">
      <c r="A963" s="20" t="s">
        <v>73</v>
      </c>
      <c r="B963" s="21" t="s">
        <v>371</v>
      </c>
      <c r="C963" s="22">
        <v>0</v>
      </c>
      <c r="D963" s="23">
        <v>0</v>
      </c>
      <c r="E963" s="24">
        <v>0</v>
      </c>
    </row>
    <row r="964" spans="1:5" x14ac:dyDescent="0.3">
      <c r="A964" s="20" t="s">
        <v>73</v>
      </c>
      <c r="B964" s="21" t="s">
        <v>372</v>
      </c>
      <c r="C964" s="22">
        <v>0</v>
      </c>
      <c r="D964" s="23">
        <v>0</v>
      </c>
      <c r="E964" s="24">
        <v>0</v>
      </c>
    </row>
    <row r="965" spans="1:5" x14ac:dyDescent="0.3">
      <c r="A965" s="20" t="s">
        <v>73</v>
      </c>
      <c r="B965" s="21" t="s">
        <v>373</v>
      </c>
      <c r="C965" s="22">
        <v>0</v>
      </c>
      <c r="D965" s="23">
        <v>0</v>
      </c>
      <c r="E965" s="24">
        <v>0</v>
      </c>
    </row>
    <row r="966" spans="1:5" x14ac:dyDescent="0.3">
      <c r="A966" s="16" t="s">
        <v>74</v>
      </c>
      <c r="B966" s="16" t="s">
        <v>369</v>
      </c>
      <c r="C966" s="17">
        <v>0</v>
      </c>
      <c r="D966" s="18">
        <v>0</v>
      </c>
      <c r="E966" s="19">
        <v>0</v>
      </c>
    </row>
    <row r="967" spans="1:5" x14ac:dyDescent="0.3">
      <c r="A967" s="16" t="s">
        <v>75</v>
      </c>
      <c r="B967" s="16" t="s">
        <v>366</v>
      </c>
      <c r="C967" s="17">
        <v>0</v>
      </c>
      <c r="D967" s="18">
        <v>0</v>
      </c>
      <c r="E967" s="19">
        <v>0</v>
      </c>
    </row>
    <row r="968" spans="1:5" x14ac:dyDescent="0.3">
      <c r="A968" s="20" t="s">
        <v>75</v>
      </c>
      <c r="B968" s="21" t="s">
        <v>367</v>
      </c>
      <c r="C968" s="22">
        <v>0</v>
      </c>
      <c r="D968" s="23">
        <v>0</v>
      </c>
      <c r="E968" s="24">
        <v>0</v>
      </c>
    </row>
    <row r="969" spans="1:5" x14ac:dyDescent="0.3">
      <c r="A969" s="20" t="s">
        <v>75</v>
      </c>
      <c r="B969" s="21" t="s">
        <v>368</v>
      </c>
      <c r="C969" s="22">
        <v>0</v>
      </c>
      <c r="D969" s="23">
        <v>0</v>
      </c>
      <c r="E969" s="24">
        <v>0</v>
      </c>
    </row>
    <row r="970" spans="1:5" x14ac:dyDescent="0.3">
      <c r="A970" s="20" t="s">
        <v>75</v>
      </c>
      <c r="B970" s="21" t="s">
        <v>369</v>
      </c>
      <c r="C970" s="22">
        <v>0</v>
      </c>
      <c r="D970" s="23">
        <v>0</v>
      </c>
      <c r="E970" s="24">
        <v>0</v>
      </c>
    </row>
    <row r="971" spans="1:5" x14ac:dyDescent="0.3">
      <c r="A971" s="20" t="s">
        <v>75</v>
      </c>
      <c r="B971" s="21" t="s">
        <v>370</v>
      </c>
      <c r="C971" s="22">
        <v>0</v>
      </c>
      <c r="D971" s="23">
        <v>0</v>
      </c>
      <c r="E971" s="24">
        <v>0</v>
      </c>
    </row>
    <row r="972" spans="1:5" x14ac:dyDescent="0.3">
      <c r="A972" s="20" t="s">
        <v>75</v>
      </c>
      <c r="B972" s="21" t="s">
        <v>371</v>
      </c>
      <c r="C972" s="22">
        <v>0</v>
      </c>
      <c r="D972" s="23">
        <v>0</v>
      </c>
      <c r="E972" s="24">
        <v>0</v>
      </c>
    </row>
    <row r="973" spans="1:5" x14ac:dyDescent="0.3">
      <c r="A973" s="20" t="s">
        <v>75</v>
      </c>
      <c r="B973" s="21" t="s">
        <v>372</v>
      </c>
      <c r="C973" s="22">
        <v>0</v>
      </c>
      <c r="D973" s="23">
        <v>0</v>
      </c>
      <c r="E973" s="24">
        <v>0</v>
      </c>
    </row>
    <row r="974" spans="1:5" x14ac:dyDescent="0.3">
      <c r="A974" s="16" t="s">
        <v>314</v>
      </c>
      <c r="B974" s="16" t="s">
        <v>369</v>
      </c>
      <c r="C974" s="17">
        <v>0</v>
      </c>
      <c r="D974" s="18">
        <v>0</v>
      </c>
      <c r="E974" s="19">
        <v>0</v>
      </c>
    </row>
    <row r="975" spans="1:5" x14ac:dyDescent="0.3">
      <c r="A975" s="16" t="s">
        <v>76</v>
      </c>
      <c r="B975" s="16" t="s">
        <v>366</v>
      </c>
      <c r="C975" s="17">
        <v>0</v>
      </c>
      <c r="D975" s="18">
        <v>0</v>
      </c>
      <c r="E975" s="19">
        <v>0</v>
      </c>
    </row>
    <row r="976" spans="1:5" x14ac:dyDescent="0.3">
      <c r="A976" s="20" t="s">
        <v>76</v>
      </c>
      <c r="B976" s="21" t="s">
        <v>367</v>
      </c>
      <c r="C976" s="22">
        <v>0</v>
      </c>
      <c r="D976" s="23">
        <v>0</v>
      </c>
      <c r="E976" s="24">
        <v>0</v>
      </c>
    </row>
    <row r="977" spans="1:5" x14ac:dyDescent="0.3">
      <c r="A977" s="20" t="s">
        <v>76</v>
      </c>
      <c r="B977" s="21" t="s">
        <v>368</v>
      </c>
      <c r="C977" s="22">
        <v>0</v>
      </c>
      <c r="D977" s="23">
        <v>0</v>
      </c>
      <c r="E977" s="24">
        <v>0</v>
      </c>
    </row>
    <row r="978" spans="1:5" x14ac:dyDescent="0.3">
      <c r="A978" s="20" t="s">
        <v>76</v>
      </c>
      <c r="B978" s="21" t="s">
        <v>371</v>
      </c>
      <c r="C978" s="22">
        <v>0</v>
      </c>
      <c r="D978" s="23">
        <v>0</v>
      </c>
      <c r="E978" s="24">
        <v>0</v>
      </c>
    </row>
    <row r="979" spans="1:5" x14ac:dyDescent="0.3">
      <c r="A979" s="16" t="s">
        <v>393</v>
      </c>
      <c r="B979" s="16" t="s">
        <v>367</v>
      </c>
      <c r="C979" s="17">
        <v>0</v>
      </c>
      <c r="D979" s="18">
        <v>0</v>
      </c>
      <c r="E979" s="19">
        <v>0</v>
      </c>
    </row>
    <row r="980" spans="1:5" x14ac:dyDescent="0.3">
      <c r="A980" s="20" t="s">
        <v>393</v>
      </c>
      <c r="B980" s="21" t="s">
        <v>370</v>
      </c>
      <c r="C980" s="22">
        <v>0</v>
      </c>
      <c r="D980" s="23">
        <v>0</v>
      </c>
      <c r="E980" s="24">
        <v>0</v>
      </c>
    </row>
    <row r="981" spans="1:5" x14ac:dyDescent="0.3">
      <c r="A981" s="20" t="s">
        <v>393</v>
      </c>
      <c r="B981" s="21" t="s">
        <v>371</v>
      </c>
      <c r="C981" s="22">
        <v>0</v>
      </c>
      <c r="D981" s="23">
        <v>0</v>
      </c>
      <c r="E981" s="24">
        <v>0</v>
      </c>
    </row>
    <row r="982" spans="1:5" x14ac:dyDescent="0.3">
      <c r="A982" s="16" t="s">
        <v>77</v>
      </c>
      <c r="B982" s="16" t="s">
        <v>367</v>
      </c>
      <c r="C982" s="17">
        <v>0</v>
      </c>
      <c r="D982" s="18">
        <v>0</v>
      </c>
      <c r="E982" s="19">
        <v>0</v>
      </c>
    </row>
    <row r="983" spans="1:5" x14ac:dyDescent="0.3">
      <c r="A983" s="20" t="s">
        <v>77</v>
      </c>
      <c r="B983" s="21" t="s">
        <v>368</v>
      </c>
      <c r="C983" s="22">
        <v>0</v>
      </c>
      <c r="D983" s="23">
        <v>0</v>
      </c>
      <c r="E983" s="24">
        <v>0</v>
      </c>
    </row>
    <row r="984" spans="1:5" x14ac:dyDescent="0.3">
      <c r="A984" s="20" t="s">
        <v>77</v>
      </c>
      <c r="B984" s="21" t="s">
        <v>369</v>
      </c>
      <c r="C984" s="22">
        <v>0</v>
      </c>
      <c r="D984" s="23">
        <v>0</v>
      </c>
      <c r="E984" s="24">
        <v>0</v>
      </c>
    </row>
    <row r="985" spans="1:5" x14ac:dyDescent="0.3">
      <c r="A985" s="16" t="s">
        <v>78</v>
      </c>
      <c r="B985" s="16" t="s">
        <v>366</v>
      </c>
      <c r="C985" s="17">
        <v>0</v>
      </c>
      <c r="D985" s="18">
        <v>0</v>
      </c>
      <c r="E985" s="19">
        <v>0</v>
      </c>
    </row>
    <row r="986" spans="1:5" x14ac:dyDescent="0.3">
      <c r="A986" s="20" t="s">
        <v>78</v>
      </c>
      <c r="B986" s="21" t="s">
        <v>367</v>
      </c>
      <c r="C986" s="22">
        <v>0</v>
      </c>
      <c r="D986" s="23">
        <v>0</v>
      </c>
      <c r="E986" s="24">
        <v>0</v>
      </c>
    </row>
    <row r="987" spans="1:5" x14ac:dyDescent="0.3">
      <c r="A987" s="20" t="s">
        <v>78</v>
      </c>
      <c r="B987" s="21" t="s">
        <v>368</v>
      </c>
      <c r="C987" s="22">
        <v>0</v>
      </c>
      <c r="D987" s="23">
        <v>0</v>
      </c>
      <c r="E987" s="24">
        <v>0</v>
      </c>
    </row>
    <row r="988" spans="1:5" x14ac:dyDescent="0.3">
      <c r="A988" s="20" t="s">
        <v>78</v>
      </c>
      <c r="B988" s="21" t="s">
        <v>369</v>
      </c>
      <c r="C988" s="22">
        <v>0</v>
      </c>
      <c r="D988" s="23">
        <v>0</v>
      </c>
      <c r="E988" s="24">
        <v>0</v>
      </c>
    </row>
    <row r="989" spans="1:5" x14ac:dyDescent="0.3">
      <c r="A989" s="20" t="s">
        <v>78</v>
      </c>
      <c r="B989" s="21" t="s">
        <v>370</v>
      </c>
      <c r="C989" s="22">
        <v>0</v>
      </c>
      <c r="D989" s="23">
        <v>0</v>
      </c>
      <c r="E989" s="24">
        <v>0</v>
      </c>
    </row>
    <row r="990" spans="1:5" x14ac:dyDescent="0.3">
      <c r="A990" s="20" t="s">
        <v>78</v>
      </c>
      <c r="B990" s="21" t="s">
        <v>371</v>
      </c>
      <c r="C990" s="22">
        <v>0</v>
      </c>
      <c r="D990" s="23">
        <v>0</v>
      </c>
      <c r="E990" s="24">
        <v>0</v>
      </c>
    </row>
    <row r="991" spans="1:5" x14ac:dyDescent="0.3">
      <c r="A991" s="16" t="s">
        <v>79</v>
      </c>
      <c r="B991" s="16" t="s">
        <v>367</v>
      </c>
      <c r="C991" s="17">
        <v>0</v>
      </c>
      <c r="D991" s="18">
        <v>0</v>
      </c>
      <c r="E991" s="19">
        <v>0</v>
      </c>
    </row>
    <row r="992" spans="1:5" x14ac:dyDescent="0.3">
      <c r="A992" s="20" t="s">
        <v>79</v>
      </c>
      <c r="B992" s="21" t="s">
        <v>368</v>
      </c>
      <c r="C992" s="22">
        <v>0</v>
      </c>
      <c r="D992" s="23">
        <v>0</v>
      </c>
      <c r="E992" s="24">
        <v>0</v>
      </c>
    </row>
    <row r="993" spans="1:5" x14ac:dyDescent="0.3">
      <c r="A993" s="20" t="s">
        <v>79</v>
      </c>
      <c r="B993" s="21" t="s">
        <v>369</v>
      </c>
      <c r="C993" s="22">
        <v>0</v>
      </c>
      <c r="D993" s="23">
        <v>0</v>
      </c>
      <c r="E993" s="24">
        <v>0</v>
      </c>
    </row>
    <row r="994" spans="1:5" x14ac:dyDescent="0.3">
      <c r="A994" s="20" t="s">
        <v>79</v>
      </c>
      <c r="B994" s="21" t="s">
        <v>371</v>
      </c>
      <c r="C994" s="22">
        <v>0</v>
      </c>
      <c r="D994" s="23">
        <v>0</v>
      </c>
      <c r="E994" s="24">
        <v>0</v>
      </c>
    </row>
    <row r="995" spans="1:5" x14ac:dyDescent="0.3">
      <c r="A995" s="20" t="s">
        <v>79</v>
      </c>
      <c r="B995" s="21" t="s">
        <v>372</v>
      </c>
      <c r="C995" s="22">
        <v>0</v>
      </c>
      <c r="D995" s="23">
        <v>0</v>
      </c>
      <c r="E995" s="24">
        <v>0</v>
      </c>
    </row>
    <row r="996" spans="1:5" x14ac:dyDescent="0.3">
      <c r="A996" s="20" t="s">
        <v>79</v>
      </c>
      <c r="B996" s="21" t="s">
        <v>373</v>
      </c>
      <c r="C996" s="22">
        <v>0</v>
      </c>
      <c r="D996" s="23">
        <v>0</v>
      </c>
      <c r="E996" s="24">
        <v>0</v>
      </c>
    </row>
    <row r="997" spans="1:5" x14ac:dyDescent="0.3">
      <c r="A997" s="16" t="s">
        <v>80</v>
      </c>
      <c r="B997" s="16" t="s">
        <v>366</v>
      </c>
      <c r="C997" s="17">
        <v>0</v>
      </c>
      <c r="D997" s="18">
        <v>0</v>
      </c>
      <c r="E997" s="19">
        <v>0</v>
      </c>
    </row>
    <row r="998" spans="1:5" x14ac:dyDescent="0.3">
      <c r="A998" s="20" t="s">
        <v>80</v>
      </c>
      <c r="B998" s="21" t="s">
        <v>367</v>
      </c>
      <c r="C998" s="22">
        <v>0</v>
      </c>
      <c r="D998" s="23">
        <v>0</v>
      </c>
      <c r="E998" s="24">
        <v>0</v>
      </c>
    </row>
    <row r="999" spans="1:5" x14ac:dyDescent="0.3">
      <c r="A999" s="20" t="s">
        <v>80</v>
      </c>
      <c r="B999" s="21" t="s">
        <v>368</v>
      </c>
      <c r="C999" s="22">
        <v>0</v>
      </c>
      <c r="D999" s="23">
        <v>0</v>
      </c>
      <c r="E999" s="24">
        <v>0</v>
      </c>
    </row>
    <row r="1000" spans="1:5" x14ac:dyDescent="0.3">
      <c r="A1000" s="20" t="s">
        <v>80</v>
      </c>
      <c r="B1000" s="21" t="s">
        <v>369</v>
      </c>
      <c r="C1000" s="22">
        <v>0</v>
      </c>
      <c r="D1000" s="23">
        <v>0</v>
      </c>
      <c r="E1000" s="24">
        <v>0</v>
      </c>
    </row>
    <row r="1001" spans="1:5" x14ac:dyDescent="0.3">
      <c r="A1001" s="20" t="s">
        <v>80</v>
      </c>
      <c r="B1001" s="21" t="s">
        <v>370</v>
      </c>
      <c r="C1001" s="22">
        <v>0</v>
      </c>
      <c r="D1001" s="23">
        <v>0</v>
      </c>
      <c r="E1001" s="24">
        <v>0</v>
      </c>
    </row>
    <row r="1002" spans="1:5" x14ac:dyDescent="0.3">
      <c r="A1002" s="20" t="s">
        <v>80</v>
      </c>
      <c r="B1002" s="21" t="s">
        <v>371</v>
      </c>
      <c r="C1002" s="22">
        <v>0</v>
      </c>
      <c r="D1002" s="23">
        <v>0</v>
      </c>
      <c r="E1002" s="24">
        <v>0</v>
      </c>
    </row>
    <row r="1003" spans="1:5" x14ac:dyDescent="0.3">
      <c r="A1003" s="20" t="s">
        <v>80</v>
      </c>
      <c r="B1003" s="21" t="s">
        <v>372</v>
      </c>
      <c r="C1003" s="22">
        <v>0</v>
      </c>
      <c r="D1003" s="23">
        <v>0</v>
      </c>
      <c r="E1003" s="24">
        <v>0</v>
      </c>
    </row>
    <row r="1004" spans="1:5" x14ac:dyDescent="0.3">
      <c r="A1004" s="20" t="s">
        <v>80</v>
      </c>
      <c r="B1004" s="21" t="s">
        <v>373</v>
      </c>
      <c r="C1004" s="22">
        <v>0</v>
      </c>
      <c r="D1004" s="23">
        <v>0</v>
      </c>
      <c r="E1004" s="24">
        <v>0</v>
      </c>
    </row>
    <row r="1005" spans="1:5" x14ac:dyDescent="0.3">
      <c r="A1005" s="16" t="s">
        <v>81</v>
      </c>
      <c r="B1005" s="16" t="s">
        <v>366</v>
      </c>
      <c r="C1005" s="17">
        <v>0</v>
      </c>
      <c r="D1005" s="18">
        <v>0</v>
      </c>
      <c r="E1005" s="19">
        <v>0</v>
      </c>
    </row>
    <row r="1006" spans="1:5" x14ac:dyDescent="0.3">
      <c r="A1006" s="20" t="s">
        <v>81</v>
      </c>
      <c r="B1006" s="21" t="s">
        <v>367</v>
      </c>
      <c r="C1006" s="22">
        <v>0</v>
      </c>
      <c r="D1006" s="23">
        <v>0</v>
      </c>
      <c r="E1006" s="24">
        <v>0</v>
      </c>
    </row>
    <row r="1007" spans="1:5" x14ac:dyDescent="0.3">
      <c r="A1007" s="20" t="s">
        <v>81</v>
      </c>
      <c r="B1007" s="21" t="s">
        <v>368</v>
      </c>
      <c r="C1007" s="22">
        <v>0</v>
      </c>
      <c r="D1007" s="23">
        <v>0</v>
      </c>
      <c r="E1007" s="24">
        <v>0</v>
      </c>
    </row>
    <row r="1008" spans="1:5" x14ac:dyDescent="0.3">
      <c r="A1008" s="20" t="s">
        <v>81</v>
      </c>
      <c r="B1008" s="21" t="s">
        <v>369</v>
      </c>
      <c r="C1008" s="22">
        <v>0</v>
      </c>
      <c r="D1008" s="23">
        <v>0</v>
      </c>
      <c r="E1008" s="24">
        <v>0</v>
      </c>
    </row>
    <row r="1009" spans="1:5" x14ac:dyDescent="0.3">
      <c r="A1009" s="20" t="s">
        <v>81</v>
      </c>
      <c r="B1009" s="21" t="s">
        <v>370</v>
      </c>
      <c r="C1009" s="22">
        <v>0</v>
      </c>
      <c r="D1009" s="23">
        <v>0</v>
      </c>
      <c r="E1009" s="24">
        <v>0</v>
      </c>
    </row>
    <row r="1010" spans="1:5" x14ac:dyDescent="0.3">
      <c r="A1010" s="20" t="s">
        <v>81</v>
      </c>
      <c r="B1010" s="21" t="s">
        <v>371</v>
      </c>
      <c r="C1010" s="22">
        <v>0</v>
      </c>
      <c r="D1010" s="23">
        <v>0</v>
      </c>
      <c r="E1010" s="24">
        <v>0</v>
      </c>
    </row>
    <row r="1011" spans="1:5" x14ac:dyDescent="0.3">
      <c r="A1011" s="20" t="s">
        <v>81</v>
      </c>
      <c r="B1011" s="21" t="s">
        <v>372</v>
      </c>
      <c r="C1011" s="22">
        <v>0</v>
      </c>
      <c r="D1011" s="23">
        <v>0</v>
      </c>
      <c r="E1011" s="24">
        <v>0</v>
      </c>
    </row>
    <row r="1012" spans="1:5" x14ac:dyDescent="0.3">
      <c r="A1012" s="20" t="s">
        <v>81</v>
      </c>
      <c r="B1012" s="21" t="s">
        <v>373</v>
      </c>
      <c r="C1012" s="22">
        <v>0</v>
      </c>
      <c r="D1012" s="23">
        <v>0</v>
      </c>
      <c r="E1012" s="24">
        <v>0</v>
      </c>
    </row>
    <row r="1013" spans="1:5" x14ac:dyDescent="0.3">
      <c r="A1013" s="16" t="s">
        <v>385</v>
      </c>
      <c r="B1013" s="16" t="s">
        <v>367</v>
      </c>
      <c r="C1013" s="17">
        <v>0</v>
      </c>
      <c r="D1013" s="18">
        <v>0</v>
      </c>
      <c r="E1013" s="19">
        <v>0</v>
      </c>
    </row>
    <row r="1014" spans="1:5" x14ac:dyDescent="0.3">
      <c r="A1014" s="20" t="s">
        <v>385</v>
      </c>
      <c r="B1014" s="21" t="s">
        <v>373</v>
      </c>
      <c r="C1014" s="22">
        <v>0</v>
      </c>
      <c r="D1014" s="23">
        <v>0</v>
      </c>
      <c r="E1014" s="24">
        <v>0</v>
      </c>
    </row>
    <row r="1015" spans="1:5" x14ac:dyDescent="0.3">
      <c r="A1015" s="16" t="s">
        <v>316</v>
      </c>
      <c r="B1015" s="16" t="s">
        <v>366</v>
      </c>
      <c r="C1015" s="17">
        <v>0</v>
      </c>
      <c r="D1015" s="18">
        <v>0</v>
      </c>
      <c r="E1015" s="19">
        <v>0</v>
      </c>
    </row>
    <row r="1016" spans="1:5" x14ac:dyDescent="0.3">
      <c r="A1016" s="20" t="s">
        <v>316</v>
      </c>
      <c r="B1016" s="21" t="s">
        <v>367</v>
      </c>
      <c r="C1016" s="22">
        <v>0</v>
      </c>
      <c r="D1016" s="23">
        <v>0</v>
      </c>
      <c r="E1016" s="24">
        <v>0</v>
      </c>
    </row>
    <row r="1017" spans="1:5" x14ac:dyDescent="0.3">
      <c r="A1017" s="20" t="s">
        <v>316</v>
      </c>
      <c r="B1017" s="21" t="s">
        <v>368</v>
      </c>
      <c r="C1017" s="22">
        <v>0</v>
      </c>
      <c r="D1017" s="23">
        <v>0</v>
      </c>
      <c r="E1017" s="24">
        <v>0</v>
      </c>
    </row>
    <row r="1018" spans="1:5" x14ac:dyDescent="0.3">
      <c r="A1018" s="16" t="s">
        <v>83</v>
      </c>
      <c r="B1018" s="16" t="s">
        <v>366</v>
      </c>
      <c r="C1018" s="17">
        <v>0</v>
      </c>
      <c r="D1018" s="18">
        <v>0</v>
      </c>
      <c r="E1018" s="19">
        <v>0</v>
      </c>
    </row>
    <row r="1019" spans="1:5" x14ac:dyDescent="0.3">
      <c r="A1019" s="20" t="s">
        <v>83</v>
      </c>
      <c r="B1019" s="21" t="s">
        <v>367</v>
      </c>
      <c r="C1019" s="22">
        <v>0</v>
      </c>
      <c r="D1019" s="23">
        <v>0</v>
      </c>
      <c r="E1019" s="24">
        <v>0</v>
      </c>
    </row>
    <row r="1020" spans="1:5" x14ac:dyDescent="0.3">
      <c r="A1020" s="20" t="s">
        <v>83</v>
      </c>
      <c r="B1020" s="21" t="s">
        <v>368</v>
      </c>
      <c r="C1020" s="22">
        <v>0</v>
      </c>
      <c r="D1020" s="23">
        <v>0</v>
      </c>
      <c r="E1020" s="24">
        <v>0</v>
      </c>
    </row>
    <row r="1021" spans="1:5" x14ac:dyDescent="0.3">
      <c r="A1021" s="20" t="s">
        <v>83</v>
      </c>
      <c r="B1021" s="21" t="s">
        <v>370</v>
      </c>
      <c r="C1021" s="22">
        <v>0</v>
      </c>
      <c r="D1021" s="23">
        <v>0</v>
      </c>
      <c r="E1021" s="24">
        <v>0</v>
      </c>
    </row>
    <row r="1022" spans="1:5" x14ac:dyDescent="0.3">
      <c r="A1022" s="20" t="s">
        <v>83</v>
      </c>
      <c r="B1022" s="21" t="s">
        <v>372</v>
      </c>
      <c r="C1022" s="22">
        <v>0</v>
      </c>
      <c r="D1022" s="23">
        <v>0</v>
      </c>
      <c r="E1022" s="24">
        <v>0</v>
      </c>
    </row>
    <row r="1023" spans="1:5" x14ac:dyDescent="0.3">
      <c r="A1023" s="20" t="s">
        <v>83</v>
      </c>
      <c r="B1023" s="21" t="s">
        <v>373</v>
      </c>
      <c r="C1023" s="22">
        <v>0</v>
      </c>
      <c r="D1023" s="23">
        <v>0</v>
      </c>
      <c r="E1023" s="24">
        <v>0</v>
      </c>
    </row>
    <row r="1024" spans="1:5" x14ac:dyDescent="0.3">
      <c r="A1024" s="16" t="s">
        <v>84</v>
      </c>
      <c r="B1024" s="16" t="s">
        <v>366</v>
      </c>
      <c r="C1024" s="17">
        <v>0</v>
      </c>
      <c r="D1024" s="18">
        <v>0</v>
      </c>
      <c r="E1024" s="19">
        <v>0</v>
      </c>
    </row>
    <row r="1025" spans="1:5" x14ac:dyDescent="0.3">
      <c r="A1025" s="20" t="s">
        <v>84</v>
      </c>
      <c r="B1025" s="21" t="s">
        <v>367</v>
      </c>
      <c r="C1025" s="22">
        <v>0</v>
      </c>
      <c r="D1025" s="23">
        <v>0</v>
      </c>
      <c r="E1025" s="24">
        <v>0</v>
      </c>
    </row>
    <row r="1026" spans="1:5" x14ac:dyDescent="0.3">
      <c r="A1026" s="20" t="s">
        <v>84</v>
      </c>
      <c r="B1026" s="21" t="s">
        <v>368</v>
      </c>
      <c r="C1026" s="22">
        <v>0</v>
      </c>
      <c r="D1026" s="23">
        <v>0</v>
      </c>
      <c r="E1026" s="24">
        <v>0</v>
      </c>
    </row>
    <row r="1027" spans="1:5" x14ac:dyDescent="0.3">
      <c r="A1027" s="20" t="s">
        <v>84</v>
      </c>
      <c r="B1027" s="21" t="s">
        <v>369</v>
      </c>
      <c r="C1027" s="22">
        <v>0</v>
      </c>
      <c r="D1027" s="23">
        <v>0</v>
      </c>
      <c r="E1027" s="24">
        <v>0</v>
      </c>
    </row>
    <row r="1028" spans="1:5" x14ac:dyDescent="0.3">
      <c r="A1028" s="20" t="s">
        <v>84</v>
      </c>
      <c r="B1028" s="21" t="s">
        <v>370</v>
      </c>
      <c r="C1028" s="22">
        <v>0</v>
      </c>
      <c r="D1028" s="23">
        <v>0</v>
      </c>
      <c r="E1028" s="24">
        <v>0</v>
      </c>
    </row>
    <row r="1029" spans="1:5" x14ac:dyDescent="0.3">
      <c r="A1029" s="20" t="s">
        <v>84</v>
      </c>
      <c r="B1029" s="21" t="s">
        <v>371</v>
      </c>
      <c r="C1029" s="22">
        <v>0</v>
      </c>
      <c r="D1029" s="23">
        <v>0</v>
      </c>
      <c r="E1029" s="24">
        <v>0</v>
      </c>
    </row>
    <row r="1030" spans="1:5" x14ac:dyDescent="0.3">
      <c r="A1030" s="20" t="s">
        <v>84</v>
      </c>
      <c r="B1030" s="21" t="s">
        <v>372</v>
      </c>
      <c r="C1030" s="22">
        <v>0</v>
      </c>
      <c r="D1030" s="23">
        <v>0</v>
      </c>
      <c r="E1030" s="24">
        <v>0</v>
      </c>
    </row>
    <row r="1031" spans="1:5" x14ac:dyDescent="0.3">
      <c r="A1031" s="20" t="s">
        <v>84</v>
      </c>
      <c r="B1031" s="21" t="s">
        <v>373</v>
      </c>
      <c r="C1031" s="22">
        <v>0</v>
      </c>
      <c r="D1031" s="23">
        <v>0</v>
      </c>
      <c r="E1031" s="24">
        <v>0</v>
      </c>
    </row>
    <row r="1032" spans="1:5" x14ac:dyDescent="0.3">
      <c r="A1032" s="16" t="s">
        <v>175</v>
      </c>
      <c r="B1032" s="16" t="s">
        <v>366</v>
      </c>
      <c r="C1032" s="17">
        <v>0</v>
      </c>
      <c r="D1032" s="18">
        <v>0</v>
      </c>
      <c r="E1032" s="19">
        <v>0</v>
      </c>
    </row>
    <row r="1033" spans="1:5" x14ac:dyDescent="0.3">
      <c r="A1033" s="20" t="s">
        <v>175</v>
      </c>
      <c r="B1033" s="21" t="s">
        <v>370</v>
      </c>
      <c r="C1033" s="22">
        <v>0</v>
      </c>
      <c r="D1033" s="23">
        <v>0</v>
      </c>
      <c r="E1033" s="24">
        <v>0</v>
      </c>
    </row>
    <row r="1034" spans="1:5" x14ac:dyDescent="0.3">
      <c r="A1034" s="20" t="s">
        <v>175</v>
      </c>
      <c r="B1034" s="21" t="s">
        <v>372</v>
      </c>
      <c r="C1034" s="22">
        <v>0</v>
      </c>
      <c r="D1034" s="23">
        <v>0</v>
      </c>
      <c r="E1034" s="24">
        <v>0</v>
      </c>
    </row>
    <row r="1035" spans="1:5" x14ac:dyDescent="0.3">
      <c r="A1035" s="16" t="s">
        <v>198</v>
      </c>
      <c r="B1035" s="16" t="s">
        <v>366</v>
      </c>
      <c r="C1035" s="17">
        <v>0</v>
      </c>
      <c r="D1035" s="18">
        <v>0</v>
      </c>
      <c r="E1035" s="19">
        <v>0</v>
      </c>
    </row>
    <row r="1036" spans="1:5" x14ac:dyDescent="0.3">
      <c r="A1036" s="20" t="s">
        <v>198</v>
      </c>
      <c r="B1036" s="21" t="s">
        <v>367</v>
      </c>
      <c r="C1036" s="22">
        <v>0</v>
      </c>
      <c r="D1036" s="23">
        <v>0</v>
      </c>
      <c r="E1036" s="24">
        <v>0</v>
      </c>
    </row>
    <row r="1037" spans="1:5" x14ac:dyDescent="0.3">
      <c r="A1037" s="20" t="s">
        <v>198</v>
      </c>
      <c r="B1037" s="21" t="s">
        <v>368</v>
      </c>
      <c r="C1037" s="22">
        <v>0</v>
      </c>
      <c r="D1037" s="23">
        <v>0</v>
      </c>
      <c r="E1037" s="24">
        <v>0</v>
      </c>
    </row>
    <row r="1038" spans="1:5" x14ac:dyDescent="0.3">
      <c r="A1038" s="20" t="s">
        <v>198</v>
      </c>
      <c r="B1038" s="21" t="s">
        <v>369</v>
      </c>
      <c r="C1038" s="22">
        <v>0</v>
      </c>
      <c r="D1038" s="23">
        <v>0</v>
      </c>
      <c r="E1038" s="24">
        <v>0</v>
      </c>
    </row>
    <row r="1039" spans="1:5" x14ac:dyDescent="0.3">
      <c r="A1039" s="20" t="s">
        <v>198</v>
      </c>
      <c r="B1039" s="21" t="s">
        <v>370</v>
      </c>
      <c r="C1039" s="22">
        <v>0</v>
      </c>
      <c r="D1039" s="23">
        <v>0</v>
      </c>
      <c r="E1039" s="24">
        <v>0</v>
      </c>
    </row>
    <row r="1040" spans="1:5" x14ac:dyDescent="0.3">
      <c r="A1040" s="20" t="s">
        <v>198</v>
      </c>
      <c r="B1040" s="21" t="s">
        <v>371</v>
      </c>
      <c r="C1040" s="22">
        <v>0</v>
      </c>
      <c r="D1040" s="23">
        <v>0</v>
      </c>
      <c r="E1040" s="24">
        <v>0</v>
      </c>
    </row>
    <row r="1041" spans="1:5" x14ac:dyDescent="0.3">
      <c r="A1041" s="16" t="s">
        <v>394</v>
      </c>
      <c r="B1041" s="16" t="s">
        <v>370</v>
      </c>
      <c r="C1041" s="17">
        <v>0</v>
      </c>
      <c r="D1041" s="18">
        <v>0</v>
      </c>
      <c r="E1041" s="19">
        <v>0</v>
      </c>
    </row>
    <row r="1042" spans="1:5" x14ac:dyDescent="0.3">
      <c r="A1042" s="20" t="s">
        <v>394</v>
      </c>
      <c r="B1042" s="21" t="s">
        <v>371</v>
      </c>
      <c r="C1042" s="22">
        <v>0</v>
      </c>
      <c r="D1042" s="23">
        <v>0</v>
      </c>
      <c r="E1042" s="24">
        <v>0</v>
      </c>
    </row>
    <row r="1043" spans="1:5" x14ac:dyDescent="0.3">
      <c r="A1043" s="20" t="s">
        <v>394</v>
      </c>
      <c r="B1043" s="21" t="s">
        <v>372</v>
      </c>
      <c r="C1043" s="22">
        <v>0</v>
      </c>
      <c r="D1043" s="23">
        <v>0</v>
      </c>
      <c r="E1043" s="24">
        <v>0</v>
      </c>
    </row>
    <row r="1044" spans="1:5" x14ac:dyDescent="0.3">
      <c r="A1044" s="16" t="s">
        <v>387</v>
      </c>
      <c r="B1044" s="16" t="s">
        <v>373</v>
      </c>
      <c r="C1044" s="17">
        <v>0</v>
      </c>
      <c r="D1044" s="18">
        <v>0</v>
      </c>
      <c r="E1044" s="19">
        <v>0</v>
      </c>
    </row>
    <row r="1045" spans="1:5" x14ac:dyDescent="0.3">
      <c r="A1045" s="16" t="s">
        <v>200</v>
      </c>
      <c r="B1045" s="16" t="s">
        <v>369</v>
      </c>
      <c r="C1045" s="17">
        <v>0</v>
      </c>
      <c r="D1045" s="18">
        <v>0</v>
      </c>
      <c r="E1045" s="19">
        <v>0</v>
      </c>
    </row>
    <row r="1046" spans="1:5" x14ac:dyDescent="0.3">
      <c r="A1046" s="20" t="s">
        <v>200</v>
      </c>
      <c r="B1046" s="21" t="s">
        <v>370</v>
      </c>
      <c r="C1046" s="22">
        <v>0</v>
      </c>
      <c r="D1046" s="23">
        <v>0</v>
      </c>
      <c r="E1046" s="24">
        <v>0</v>
      </c>
    </row>
    <row r="1047" spans="1:5" x14ac:dyDescent="0.3">
      <c r="A1047" s="20" t="s">
        <v>200</v>
      </c>
      <c r="B1047" s="21" t="s">
        <v>371</v>
      </c>
      <c r="C1047" s="22">
        <v>0</v>
      </c>
      <c r="D1047" s="23">
        <v>0</v>
      </c>
      <c r="E1047" s="24">
        <v>0</v>
      </c>
    </row>
    <row r="1048" spans="1:5" x14ac:dyDescent="0.3">
      <c r="A1048" s="20" t="s">
        <v>200</v>
      </c>
      <c r="B1048" s="21" t="s">
        <v>372</v>
      </c>
      <c r="C1048" s="22">
        <v>0</v>
      </c>
      <c r="D1048" s="23">
        <v>0</v>
      </c>
      <c r="E1048" s="24">
        <v>0</v>
      </c>
    </row>
    <row r="1049" spans="1:5" x14ac:dyDescent="0.3">
      <c r="A1049" s="20" t="s">
        <v>200</v>
      </c>
      <c r="B1049" s="21" t="s">
        <v>373</v>
      </c>
      <c r="C1049" s="22">
        <v>0</v>
      </c>
      <c r="D1049" s="23">
        <v>0</v>
      </c>
      <c r="E1049" s="24">
        <v>0</v>
      </c>
    </row>
    <row r="1050" spans="1:5" x14ac:dyDescent="0.3">
      <c r="A1050" s="16" t="s">
        <v>202</v>
      </c>
      <c r="B1050" s="16" t="s">
        <v>366</v>
      </c>
      <c r="C1050" s="17">
        <v>0</v>
      </c>
      <c r="D1050" s="18">
        <v>0</v>
      </c>
      <c r="E1050" s="19">
        <v>0</v>
      </c>
    </row>
    <row r="1051" spans="1:5" x14ac:dyDescent="0.3">
      <c r="A1051" s="20" t="s">
        <v>202</v>
      </c>
      <c r="B1051" s="21" t="s">
        <v>367</v>
      </c>
      <c r="C1051" s="22">
        <v>0</v>
      </c>
      <c r="D1051" s="23">
        <v>0</v>
      </c>
      <c r="E1051" s="24">
        <v>0</v>
      </c>
    </row>
    <row r="1052" spans="1:5" x14ac:dyDescent="0.3">
      <c r="A1052" s="20" t="s">
        <v>202</v>
      </c>
      <c r="B1052" s="21" t="s">
        <v>368</v>
      </c>
      <c r="C1052" s="22">
        <v>0</v>
      </c>
      <c r="D1052" s="23">
        <v>0</v>
      </c>
      <c r="E1052" s="24">
        <v>0</v>
      </c>
    </row>
    <row r="1053" spans="1:5" x14ac:dyDescent="0.3">
      <c r="A1053" s="20" t="s">
        <v>202</v>
      </c>
      <c r="B1053" s="21" t="s">
        <v>369</v>
      </c>
      <c r="C1053" s="22">
        <v>0</v>
      </c>
      <c r="D1053" s="23">
        <v>0</v>
      </c>
      <c r="E1053" s="24">
        <v>0</v>
      </c>
    </row>
    <row r="1054" spans="1:5" x14ac:dyDescent="0.3">
      <c r="A1054" s="20" t="s">
        <v>202</v>
      </c>
      <c r="B1054" s="21" t="s">
        <v>370</v>
      </c>
      <c r="C1054" s="22">
        <v>0</v>
      </c>
      <c r="D1054" s="23">
        <v>0</v>
      </c>
      <c r="E1054" s="24">
        <v>0</v>
      </c>
    </row>
    <row r="1055" spans="1:5" x14ac:dyDescent="0.3">
      <c r="A1055" s="20" t="s">
        <v>202</v>
      </c>
      <c r="B1055" s="21" t="s">
        <v>371</v>
      </c>
      <c r="C1055" s="22">
        <v>0</v>
      </c>
      <c r="D1055" s="23">
        <v>0</v>
      </c>
      <c r="E1055" s="24">
        <v>0</v>
      </c>
    </row>
    <row r="1056" spans="1:5" x14ac:dyDescent="0.3">
      <c r="A1056" s="20" t="s">
        <v>202</v>
      </c>
      <c r="B1056" s="21" t="s">
        <v>372</v>
      </c>
      <c r="C1056" s="22">
        <v>0</v>
      </c>
      <c r="D1056" s="23">
        <v>0</v>
      </c>
      <c r="E1056" s="24">
        <v>0</v>
      </c>
    </row>
    <row r="1057" spans="1:5" x14ac:dyDescent="0.3">
      <c r="A1057" s="20" t="s">
        <v>202</v>
      </c>
      <c r="B1057" s="21" t="s">
        <v>373</v>
      </c>
      <c r="C1057" s="22">
        <v>0</v>
      </c>
      <c r="D1057" s="23">
        <v>0</v>
      </c>
      <c r="E1057" s="24">
        <v>0</v>
      </c>
    </row>
    <row r="1058" spans="1:5" x14ac:dyDescent="0.3">
      <c r="A1058" s="16" t="s">
        <v>212</v>
      </c>
      <c r="B1058" s="16" t="s">
        <v>367</v>
      </c>
      <c r="C1058" s="17">
        <v>0</v>
      </c>
      <c r="D1058" s="18">
        <v>0</v>
      </c>
      <c r="E1058" s="19">
        <v>0</v>
      </c>
    </row>
    <row r="1059" spans="1:5" x14ac:dyDescent="0.3">
      <c r="A1059" s="20" t="s">
        <v>212</v>
      </c>
      <c r="B1059" s="21" t="s">
        <v>368</v>
      </c>
      <c r="C1059" s="22">
        <v>0</v>
      </c>
      <c r="D1059" s="23">
        <v>0</v>
      </c>
      <c r="E1059" s="24">
        <v>0</v>
      </c>
    </row>
    <row r="1060" spans="1:5" x14ac:dyDescent="0.3">
      <c r="A1060" s="20" t="s">
        <v>212</v>
      </c>
      <c r="B1060" s="21" t="s">
        <v>369</v>
      </c>
      <c r="C1060" s="22">
        <v>0</v>
      </c>
      <c r="D1060" s="23">
        <v>0</v>
      </c>
      <c r="E1060" s="24">
        <v>0</v>
      </c>
    </row>
    <row r="1061" spans="1:5" x14ac:dyDescent="0.3">
      <c r="A1061" s="20" t="s">
        <v>212</v>
      </c>
      <c r="B1061" s="21" t="s">
        <v>370</v>
      </c>
      <c r="C1061" s="22">
        <v>0</v>
      </c>
      <c r="D1061" s="23">
        <v>0</v>
      </c>
      <c r="E1061" s="24">
        <v>0</v>
      </c>
    </row>
    <row r="1062" spans="1:5" x14ac:dyDescent="0.3">
      <c r="A1062" s="20" t="s">
        <v>212</v>
      </c>
      <c r="B1062" s="21" t="s">
        <v>371</v>
      </c>
      <c r="C1062" s="22">
        <v>0</v>
      </c>
      <c r="D1062" s="23">
        <v>0</v>
      </c>
      <c r="E1062" s="24">
        <v>0</v>
      </c>
    </row>
    <row r="1063" spans="1:5" x14ac:dyDescent="0.3">
      <c r="A1063" s="16" t="s">
        <v>349</v>
      </c>
      <c r="B1063" s="16" t="s">
        <v>366</v>
      </c>
      <c r="C1063" s="17">
        <v>0</v>
      </c>
      <c r="D1063" s="18">
        <v>0</v>
      </c>
      <c r="E1063" s="19">
        <v>0</v>
      </c>
    </row>
    <row r="1064" spans="1:5" x14ac:dyDescent="0.3">
      <c r="A1064" s="20" t="s">
        <v>349</v>
      </c>
      <c r="B1064" s="21" t="s">
        <v>367</v>
      </c>
      <c r="C1064" s="22">
        <v>0</v>
      </c>
      <c r="D1064" s="23">
        <v>0</v>
      </c>
      <c r="E1064" s="24">
        <v>0</v>
      </c>
    </row>
    <row r="1065" spans="1:5" x14ac:dyDescent="0.3">
      <c r="A1065" s="20" t="s">
        <v>349</v>
      </c>
      <c r="B1065" s="21" t="s">
        <v>369</v>
      </c>
      <c r="C1065" s="22">
        <v>0</v>
      </c>
      <c r="D1065" s="23">
        <v>0</v>
      </c>
      <c r="E1065" s="24">
        <v>0</v>
      </c>
    </row>
    <row r="1066" spans="1:5" x14ac:dyDescent="0.3">
      <c r="A1066" s="20" t="s">
        <v>349</v>
      </c>
      <c r="B1066" s="21" t="s">
        <v>370</v>
      </c>
      <c r="C1066" s="22">
        <v>0</v>
      </c>
      <c r="D1066" s="23">
        <v>0</v>
      </c>
      <c r="E1066" s="24">
        <v>0</v>
      </c>
    </row>
    <row r="1067" spans="1:5" x14ac:dyDescent="0.3">
      <c r="A1067" s="16" t="s">
        <v>217</v>
      </c>
      <c r="B1067" s="16" t="s">
        <v>366</v>
      </c>
      <c r="C1067" s="17">
        <v>0</v>
      </c>
      <c r="D1067" s="18">
        <v>0</v>
      </c>
      <c r="E1067" s="19">
        <v>0</v>
      </c>
    </row>
    <row r="1068" spans="1:5" x14ac:dyDescent="0.3">
      <c r="A1068" s="20" t="s">
        <v>217</v>
      </c>
      <c r="B1068" s="21" t="s">
        <v>367</v>
      </c>
      <c r="C1068" s="22">
        <v>0</v>
      </c>
      <c r="D1068" s="23">
        <v>0</v>
      </c>
      <c r="E1068" s="24">
        <v>0</v>
      </c>
    </row>
    <row r="1069" spans="1:5" x14ac:dyDescent="0.3">
      <c r="A1069" s="20" t="s">
        <v>217</v>
      </c>
      <c r="B1069" s="21" t="s">
        <v>370</v>
      </c>
      <c r="C1069" s="22">
        <v>0</v>
      </c>
      <c r="D1069" s="23">
        <v>0</v>
      </c>
      <c r="E1069" s="24">
        <v>0</v>
      </c>
    </row>
    <row r="1070" spans="1:5" x14ac:dyDescent="0.3">
      <c r="A1070" s="16" t="s">
        <v>218</v>
      </c>
      <c r="B1070" s="16" t="s">
        <v>367</v>
      </c>
      <c r="C1070" s="17">
        <v>0</v>
      </c>
      <c r="D1070" s="18">
        <v>0</v>
      </c>
      <c r="E1070" s="19">
        <v>0</v>
      </c>
    </row>
    <row r="1071" spans="1:5" x14ac:dyDescent="0.3">
      <c r="A1071" s="20" t="s">
        <v>218</v>
      </c>
      <c r="B1071" s="21" t="s">
        <v>368</v>
      </c>
      <c r="C1071" s="22">
        <v>0</v>
      </c>
      <c r="D1071" s="23">
        <v>0</v>
      </c>
      <c r="E1071" s="24">
        <v>0</v>
      </c>
    </row>
    <row r="1072" spans="1:5" x14ac:dyDescent="0.3">
      <c r="A1072" s="20" t="s">
        <v>218</v>
      </c>
      <c r="B1072" s="21" t="s">
        <v>371</v>
      </c>
      <c r="C1072" s="22">
        <v>0</v>
      </c>
      <c r="D1072" s="23">
        <v>0</v>
      </c>
      <c r="E1072" s="24">
        <v>0</v>
      </c>
    </row>
    <row r="1073" spans="1:5" x14ac:dyDescent="0.3">
      <c r="A1073" s="16" t="s">
        <v>232</v>
      </c>
      <c r="B1073" s="16" t="s">
        <v>366</v>
      </c>
      <c r="C1073" s="17">
        <v>0</v>
      </c>
      <c r="D1073" s="18">
        <v>0</v>
      </c>
      <c r="E1073" s="19">
        <v>0</v>
      </c>
    </row>
    <row r="1074" spans="1:5" x14ac:dyDescent="0.3">
      <c r="A1074" s="20" t="s">
        <v>232</v>
      </c>
      <c r="B1074" s="21" t="s">
        <v>367</v>
      </c>
      <c r="C1074" s="22">
        <v>0</v>
      </c>
      <c r="D1074" s="23">
        <v>0</v>
      </c>
      <c r="E1074" s="24">
        <v>0</v>
      </c>
    </row>
    <row r="1075" spans="1:5" x14ac:dyDescent="0.3">
      <c r="A1075" s="20" t="s">
        <v>232</v>
      </c>
      <c r="B1075" s="21" t="s">
        <v>368</v>
      </c>
      <c r="C1075" s="22">
        <v>0</v>
      </c>
      <c r="D1075" s="23">
        <v>0</v>
      </c>
      <c r="E1075" s="24">
        <v>0</v>
      </c>
    </row>
    <row r="1076" spans="1:5" x14ac:dyDescent="0.3">
      <c r="A1076" s="20" t="s">
        <v>232</v>
      </c>
      <c r="B1076" s="21" t="s">
        <v>369</v>
      </c>
      <c r="C1076" s="22">
        <v>0</v>
      </c>
      <c r="D1076" s="23">
        <v>0</v>
      </c>
      <c r="E1076" s="24">
        <v>0</v>
      </c>
    </row>
    <row r="1077" spans="1:5" x14ac:dyDescent="0.3">
      <c r="A1077" s="20" t="s">
        <v>232</v>
      </c>
      <c r="B1077" s="21" t="s">
        <v>370</v>
      </c>
      <c r="C1077" s="22">
        <v>0</v>
      </c>
      <c r="D1077" s="23">
        <v>0</v>
      </c>
      <c r="E1077" s="24">
        <v>0</v>
      </c>
    </row>
    <row r="1078" spans="1:5" x14ac:dyDescent="0.3">
      <c r="A1078" s="20" t="s">
        <v>232</v>
      </c>
      <c r="B1078" s="21" t="s">
        <v>371</v>
      </c>
      <c r="C1078" s="22">
        <v>0</v>
      </c>
      <c r="D1078" s="23">
        <v>0</v>
      </c>
      <c r="E1078" s="24">
        <v>0</v>
      </c>
    </row>
    <row r="1079" spans="1:5" x14ac:dyDescent="0.3">
      <c r="A1079" s="20" t="s">
        <v>232</v>
      </c>
      <c r="B1079" s="21" t="s">
        <v>372</v>
      </c>
      <c r="C1079" s="22">
        <v>0</v>
      </c>
      <c r="D1079" s="23">
        <v>0</v>
      </c>
      <c r="E1079" s="24">
        <v>0</v>
      </c>
    </row>
    <row r="1080" spans="1:5" x14ac:dyDescent="0.3">
      <c r="A1080" s="20" t="s">
        <v>232</v>
      </c>
      <c r="B1080" s="21" t="s">
        <v>373</v>
      </c>
      <c r="C1080" s="22">
        <v>0</v>
      </c>
      <c r="D1080" s="23">
        <v>0</v>
      </c>
      <c r="E1080" s="24">
        <v>0</v>
      </c>
    </row>
    <row r="1081" spans="1:5" x14ac:dyDescent="0.3">
      <c r="A1081" s="16" t="s">
        <v>234</v>
      </c>
      <c r="B1081" s="16" t="s">
        <v>366</v>
      </c>
      <c r="C1081" s="17">
        <v>0</v>
      </c>
      <c r="D1081" s="18">
        <v>0</v>
      </c>
      <c r="E1081" s="19">
        <v>0</v>
      </c>
    </row>
    <row r="1082" spans="1:5" x14ac:dyDescent="0.3">
      <c r="A1082" s="20" t="s">
        <v>234</v>
      </c>
      <c r="B1082" s="21" t="s">
        <v>367</v>
      </c>
      <c r="C1082" s="22">
        <v>0</v>
      </c>
      <c r="D1082" s="23">
        <v>0</v>
      </c>
      <c r="E1082" s="24">
        <v>0</v>
      </c>
    </row>
    <row r="1083" spans="1:5" x14ac:dyDescent="0.3">
      <c r="A1083" s="20" t="s">
        <v>234</v>
      </c>
      <c r="B1083" s="21" t="s">
        <v>368</v>
      </c>
      <c r="C1083" s="22">
        <v>0</v>
      </c>
      <c r="D1083" s="23">
        <v>0</v>
      </c>
      <c r="E1083" s="24">
        <v>0</v>
      </c>
    </row>
    <row r="1084" spans="1:5" x14ac:dyDescent="0.3">
      <c r="A1084" s="20" t="s">
        <v>234</v>
      </c>
      <c r="B1084" s="21" t="s">
        <v>369</v>
      </c>
      <c r="C1084" s="22">
        <v>0</v>
      </c>
      <c r="D1084" s="23">
        <v>0</v>
      </c>
      <c r="E1084" s="24">
        <v>0</v>
      </c>
    </row>
    <row r="1085" spans="1:5" x14ac:dyDescent="0.3">
      <c r="A1085" s="20" t="s">
        <v>234</v>
      </c>
      <c r="B1085" s="21" t="s">
        <v>370</v>
      </c>
      <c r="C1085" s="22">
        <v>0</v>
      </c>
      <c r="D1085" s="23">
        <v>0</v>
      </c>
      <c r="E1085" s="24">
        <v>0</v>
      </c>
    </row>
    <row r="1086" spans="1:5" x14ac:dyDescent="0.3">
      <c r="A1086" s="20" t="s">
        <v>234</v>
      </c>
      <c r="B1086" s="21" t="s">
        <v>371</v>
      </c>
      <c r="C1086" s="22">
        <v>0</v>
      </c>
      <c r="D1086" s="23">
        <v>0</v>
      </c>
      <c r="E1086" s="24">
        <v>0</v>
      </c>
    </row>
    <row r="1087" spans="1:5" x14ac:dyDescent="0.3">
      <c r="A1087" s="20" t="s">
        <v>234</v>
      </c>
      <c r="B1087" s="21" t="s">
        <v>372</v>
      </c>
      <c r="C1087" s="22">
        <v>0</v>
      </c>
      <c r="D1087" s="23">
        <v>0</v>
      </c>
      <c r="E1087" s="24">
        <v>0</v>
      </c>
    </row>
    <row r="1088" spans="1:5" x14ac:dyDescent="0.3">
      <c r="A1088" s="20" t="s">
        <v>234</v>
      </c>
      <c r="B1088" s="21" t="s">
        <v>373</v>
      </c>
      <c r="C1088" s="22">
        <v>0</v>
      </c>
      <c r="D1088" s="23">
        <v>0</v>
      </c>
      <c r="E1088" s="24">
        <v>0</v>
      </c>
    </row>
    <row r="1089" spans="1:5" x14ac:dyDescent="0.3">
      <c r="A1089" s="16" t="s">
        <v>235</v>
      </c>
      <c r="B1089" s="16" t="s">
        <v>366</v>
      </c>
      <c r="C1089" s="17">
        <v>0</v>
      </c>
      <c r="D1089" s="18">
        <v>0</v>
      </c>
      <c r="E1089" s="19">
        <v>0</v>
      </c>
    </row>
    <row r="1090" spans="1:5" x14ac:dyDescent="0.3">
      <c r="A1090" s="20" t="s">
        <v>235</v>
      </c>
      <c r="B1090" s="21" t="s">
        <v>367</v>
      </c>
      <c r="C1090" s="22">
        <v>0</v>
      </c>
      <c r="D1090" s="23">
        <v>0</v>
      </c>
      <c r="E1090" s="24">
        <v>0</v>
      </c>
    </row>
    <row r="1091" spans="1:5" x14ac:dyDescent="0.3">
      <c r="A1091" s="20" t="s">
        <v>235</v>
      </c>
      <c r="B1091" s="21" t="s">
        <v>368</v>
      </c>
      <c r="C1091" s="22">
        <v>0</v>
      </c>
      <c r="D1091" s="23">
        <v>0</v>
      </c>
      <c r="E1091" s="24">
        <v>0</v>
      </c>
    </row>
    <row r="1092" spans="1:5" x14ac:dyDescent="0.3">
      <c r="A1092" s="20" t="s">
        <v>235</v>
      </c>
      <c r="B1092" s="21" t="s">
        <v>369</v>
      </c>
      <c r="C1092" s="22">
        <v>0</v>
      </c>
      <c r="D1092" s="23">
        <v>0</v>
      </c>
      <c r="E1092" s="24">
        <v>0</v>
      </c>
    </row>
    <row r="1093" spans="1:5" x14ac:dyDescent="0.3">
      <c r="A1093" s="20" t="s">
        <v>235</v>
      </c>
      <c r="B1093" s="21" t="s">
        <v>370</v>
      </c>
      <c r="C1093" s="22">
        <v>0</v>
      </c>
      <c r="D1093" s="23">
        <v>0</v>
      </c>
      <c r="E1093" s="24">
        <v>0</v>
      </c>
    </row>
    <row r="1094" spans="1:5" x14ac:dyDescent="0.3">
      <c r="A1094" s="20" t="s">
        <v>235</v>
      </c>
      <c r="B1094" s="21" t="s">
        <v>372</v>
      </c>
      <c r="C1094" s="22">
        <v>0</v>
      </c>
      <c r="D1094" s="23">
        <v>0</v>
      </c>
      <c r="E1094" s="24">
        <v>0</v>
      </c>
    </row>
    <row r="1095" spans="1:5" x14ac:dyDescent="0.3">
      <c r="A1095" s="16" t="s">
        <v>238</v>
      </c>
      <c r="B1095" s="16" t="s">
        <v>366</v>
      </c>
      <c r="C1095" s="17">
        <v>0</v>
      </c>
      <c r="D1095" s="18">
        <v>0</v>
      </c>
      <c r="E1095" s="19">
        <v>0</v>
      </c>
    </row>
    <row r="1096" spans="1:5" x14ac:dyDescent="0.3">
      <c r="A1096" s="20" t="s">
        <v>238</v>
      </c>
      <c r="B1096" s="21" t="s">
        <v>367</v>
      </c>
      <c r="C1096" s="22">
        <v>0</v>
      </c>
      <c r="D1096" s="23">
        <v>0</v>
      </c>
      <c r="E1096" s="24">
        <v>0</v>
      </c>
    </row>
    <row r="1097" spans="1:5" x14ac:dyDescent="0.3">
      <c r="A1097" s="20" t="s">
        <v>238</v>
      </c>
      <c r="B1097" s="21" t="s">
        <v>368</v>
      </c>
      <c r="C1097" s="22">
        <v>0</v>
      </c>
      <c r="D1097" s="23">
        <v>0</v>
      </c>
      <c r="E1097" s="24">
        <v>0</v>
      </c>
    </row>
    <row r="1098" spans="1:5" x14ac:dyDescent="0.3">
      <c r="A1098" s="20" t="s">
        <v>238</v>
      </c>
      <c r="B1098" s="21" t="s">
        <v>369</v>
      </c>
      <c r="C1098" s="22">
        <v>0</v>
      </c>
      <c r="D1098" s="23">
        <v>0</v>
      </c>
      <c r="E1098" s="24">
        <v>0</v>
      </c>
    </row>
    <row r="1099" spans="1:5" x14ac:dyDescent="0.3">
      <c r="A1099" s="20" t="s">
        <v>238</v>
      </c>
      <c r="B1099" s="21" t="s">
        <v>370</v>
      </c>
      <c r="C1099" s="22">
        <v>0</v>
      </c>
      <c r="D1099" s="23">
        <v>0</v>
      </c>
      <c r="E1099" s="24">
        <v>0</v>
      </c>
    </row>
    <row r="1100" spans="1:5" x14ac:dyDescent="0.3">
      <c r="A1100" s="20" t="s">
        <v>238</v>
      </c>
      <c r="B1100" s="21" t="s">
        <v>371</v>
      </c>
      <c r="C1100" s="22">
        <v>0</v>
      </c>
      <c r="D1100" s="23">
        <v>0</v>
      </c>
      <c r="E1100" s="24">
        <v>0</v>
      </c>
    </row>
    <row r="1101" spans="1:5" x14ac:dyDescent="0.3">
      <c r="A1101" s="20" t="s">
        <v>238</v>
      </c>
      <c r="B1101" s="21" t="s">
        <v>373</v>
      </c>
      <c r="C1101" s="22">
        <v>0</v>
      </c>
      <c r="D1101" s="23">
        <v>0</v>
      </c>
      <c r="E1101" s="24">
        <v>0</v>
      </c>
    </row>
    <row r="1102" spans="1:5" x14ac:dyDescent="0.3">
      <c r="A1102" s="16" t="s">
        <v>243</v>
      </c>
      <c r="B1102" s="16" t="s">
        <v>367</v>
      </c>
      <c r="C1102" s="17">
        <v>0</v>
      </c>
      <c r="D1102" s="18">
        <v>0</v>
      </c>
      <c r="E1102" s="19">
        <v>0</v>
      </c>
    </row>
    <row r="1103" spans="1:5" x14ac:dyDescent="0.3">
      <c r="A1103" s="20" t="s">
        <v>243</v>
      </c>
      <c r="B1103" s="21" t="s">
        <v>368</v>
      </c>
      <c r="C1103" s="22">
        <v>0</v>
      </c>
      <c r="D1103" s="23">
        <v>0</v>
      </c>
      <c r="E1103" s="24">
        <v>0</v>
      </c>
    </row>
    <row r="1104" spans="1:5" x14ac:dyDescent="0.3">
      <c r="A1104" s="20" t="s">
        <v>243</v>
      </c>
      <c r="B1104" s="21" t="s">
        <v>369</v>
      </c>
      <c r="C1104" s="22">
        <v>0</v>
      </c>
      <c r="D1104" s="23">
        <v>0</v>
      </c>
      <c r="E1104" s="24">
        <v>0</v>
      </c>
    </row>
    <row r="1105" spans="1:5" x14ac:dyDescent="0.3">
      <c r="A1105" s="20" t="s">
        <v>243</v>
      </c>
      <c r="B1105" s="21" t="s">
        <v>370</v>
      </c>
      <c r="C1105" s="22">
        <v>0</v>
      </c>
      <c r="D1105" s="23">
        <v>0</v>
      </c>
      <c r="E1105" s="24">
        <v>0</v>
      </c>
    </row>
    <row r="1106" spans="1:5" x14ac:dyDescent="0.3">
      <c r="A1106" s="20" t="s">
        <v>243</v>
      </c>
      <c r="B1106" s="21" t="s">
        <v>371</v>
      </c>
      <c r="C1106" s="22">
        <v>0</v>
      </c>
      <c r="D1106" s="23">
        <v>0</v>
      </c>
      <c r="E1106" s="24">
        <v>0</v>
      </c>
    </row>
    <row r="1107" spans="1:5" x14ac:dyDescent="0.3">
      <c r="A1107" s="16" t="s">
        <v>353</v>
      </c>
      <c r="B1107" s="16" t="s">
        <v>368</v>
      </c>
      <c r="C1107" s="17">
        <v>0</v>
      </c>
      <c r="D1107" s="18">
        <v>0</v>
      </c>
      <c r="E1107" s="19">
        <v>0</v>
      </c>
    </row>
    <row r="1108" spans="1:5" x14ac:dyDescent="0.3">
      <c r="A1108" s="16" t="s">
        <v>395</v>
      </c>
      <c r="B1108" s="16" t="s">
        <v>369</v>
      </c>
      <c r="C1108" s="17">
        <v>0</v>
      </c>
      <c r="D1108" s="18">
        <v>0</v>
      </c>
      <c r="E1108" s="19">
        <v>0</v>
      </c>
    </row>
    <row r="1109" spans="1:5" x14ac:dyDescent="0.3">
      <c r="A1109" s="16" t="s">
        <v>248</v>
      </c>
      <c r="B1109" s="16" t="s">
        <v>366</v>
      </c>
      <c r="C1109" s="17">
        <v>0</v>
      </c>
      <c r="D1109" s="18">
        <v>0</v>
      </c>
      <c r="E1109" s="19">
        <v>0</v>
      </c>
    </row>
    <row r="1110" spans="1:5" x14ac:dyDescent="0.3">
      <c r="A1110" s="20" t="s">
        <v>248</v>
      </c>
      <c r="B1110" s="21" t="s">
        <v>367</v>
      </c>
      <c r="C1110" s="22">
        <v>0</v>
      </c>
      <c r="D1110" s="23">
        <v>0</v>
      </c>
      <c r="E1110" s="24">
        <v>0</v>
      </c>
    </row>
    <row r="1111" spans="1:5" x14ac:dyDescent="0.3">
      <c r="A1111" s="20" t="s">
        <v>248</v>
      </c>
      <c r="B1111" s="21" t="s">
        <v>369</v>
      </c>
      <c r="C1111" s="22">
        <v>0</v>
      </c>
      <c r="D1111" s="23">
        <v>0</v>
      </c>
      <c r="E1111" s="24">
        <v>0</v>
      </c>
    </row>
    <row r="1112" spans="1:5" x14ac:dyDescent="0.3">
      <c r="A1112" s="20" t="s">
        <v>248</v>
      </c>
      <c r="B1112" s="21" t="s">
        <v>370</v>
      </c>
      <c r="C1112" s="22">
        <v>0</v>
      </c>
      <c r="D1112" s="23">
        <v>0</v>
      </c>
      <c r="E1112" s="24">
        <v>0</v>
      </c>
    </row>
    <row r="1113" spans="1:5" x14ac:dyDescent="0.3">
      <c r="A1113" s="20" t="s">
        <v>248</v>
      </c>
      <c r="B1113" s="21" t="s">
        <v>371</v>
      </c>
      <c r="C1113" s="22">
        <v>0</v>
      </c>
      <c r="D1113" s="23">
        <v>0</v>
      </c>
      <c r="E1113" s="24">
        <v>0</v>
      </c>
    </row>
    <row r="1114" spans="1:5" x14ac:dyDescent="0.3">
      <c r="A1114" s="20" t="s">
        <v>248</v>
      </c>
      <c r="B1114" s="21" t="s">
        <v>372</v>
      </c>
      <c r="C1114" s="22">
        <v>0</v>
      </c>
      <c r="D1114" s="23">
        <v>0</v>
      </c>
      <c r="E1114" s="24">
        <v>0</v>
      </c>
    </row>
    <row r="1115" spans="1:5" x14ac:dyDescent="0.3">
      <c r="A1115" s="20" t="s">
        <v>248</v>
      </c>
      <c r="B1115" s="21" t="s">
        <v>373</v>
      </c>
      <c r="C1115" s="22">
        <v>0</v>
      </c>
      <c r="D1115" s="23">
        <v>0</v>
      </c>
      <c r="E1115" s="24">
        <v>0</v>
      </c>
    </row>
    <row r="1116" spans="1:5" x14ac:dyDescent="0.3">
      <c r="A1116" s="16" t="s">
        <v>249</v>
      </c>
      <c r="B1116" s="16" t="s">
        <v>369</v>
      </c>
      <c r="C1116" s="17">
        <v>0</v>
      </c>
      <c r="D1116" s="18">
        <v>0</v>
      </c>
      <c r="E1116" s="19">
        <v>0</v>
      </c>
    </row>
    <row r="1117" spans="1:5" x14ac:dyDescent="0.3">
      <c r="A1117" s="20" t="s">
        <v>249</v>
      </c>
      <c r="B1117" s="21" t="s">
        <v>370</v>
      </c>
      <c r="C1117" s="22">
        <v>0</v>
      </c>
      <c r="D1117" s="23">
        <v>0</v>
      </c>
      <c r="E1117" s="24">
        <v>0</v>
      </c>
    </row>
    <row r="1118" spans="1:5" x14ac:dyDescent="0.3">
      <c r="A1118" s="20" t="s">
        <v>249</v>
      </c>
      <c r="B1118" s="21" t="s">
        <v>372</v>
      </c>
      <c r="C1118" s="22">
        <v>0</v>
      </c>
      <c r="D1118" s="23">
        <v>0</v>
      </c>
      <c r="E1118" s="24">
        <v>0</v>
      </c>
    </row>
    <row r="1119" spans="1:5" x14ac:dyDescent="0.3">
      <c r="A1119" s="20" t="s">
        <v>249</v>
      </c>
      <c r="B1119" s="21" t="s">
        <v>373</v>
      </c>
      <c r="C1119" s="22">
        <v>0</v>
      </c>
      <c r="D1119" s="23">
        <v>0</v>
      </c>
      <c r="E1119" s="24">
        <v>0</v>
      </c>
    </row>
    <row r="1120" spans="1:5" x14ac:dyDescent="0.3">
      <c r="A1120" s="16" t="s">
        <v>250</v>
      </c>
      <c r="B1120" s="16" t="s">
        <v>366</v>
      </c>
      <c r="C1120" s="17">
        <v>0</v>
      </c>
      <c r="D1120" s="18">
        <v>0</v>
      </c>
      <c r="E1120" s="19">
        <v>0</v>
      </c>
    </row>
    <row r="1121" spans="1:5" x14ac:dyDescent="0.3">
      <c r="A1121" s="20" t="s">
        <v>250</v>
      </c>
      <c r="B1121" s="21" t="s">
        <v>368</v>
      </c>
      <c r="C1121" s="22">
        <v>0</v>
      </c>
      <c r="D1121" s="23">
        <v>0</v>
      </c>
      <c r="E1121" s="24">
        <v>0</v>
      </c>
    </row>
    <row r="1122" spans="1:5" x14ac:dyDescent="0.3">
      <c r="A1122" s="20" t="s">
        <v>250</v>
      </c>
      <c r="B1122" s="21" t="s">
        <v>369</v>
      </c>
      <c r="C1122" s="22">
        <v>0</v>
      </c>
      <c r="D1122" s="23">
        <v>0</v>
      </c>
      <c r="E1122" s="24">
        <v>0</v>
      </c>
    </row>
    <row r="1123" spans="1:5" x14ac:dyDescent="0.3">
      <c r="A1123" s="20" t="s">
        <v>250</v>
      </c>
      <c r="B1123" s="21" t="s">
        <v>371</v>
      </c>
      <c r="C1123" s="22">
        <v>0</v>
      </c>
      <c r="D1123" s="23">
        <v>0</v>
      </c>
      <c r="E1123" s="24">
        <v>0</v>
      </c>
    </row>
    <row r="1124" spans="1:5" x14ac:dyDescent="0.3">
      <c r="A1124" s="16" t="s">
        <v>254</v>
      </c>
      <c r="B1124" s="16" t="s">
        <v>366</v>
      </c>
      <c r="C1124" s="17">
        <v>0</v>
      </c>
      <c r="D1124" s="18">
        <v>0</v>
      </c>
      <c r="E1124" s="19">
        <v>0</v>
      </c>
    </row>
    <row r="1125" spans="1:5" x14ac:dyDescent="0.3">
      <c r="A1125" s="20" t="s">
        <v>254</v>
      </c>
      <c r="B1125" s="21" t="s">
        <v>367</v>
      </c>
      <c r="C1125" s="22">
        <v>0</v>
      </c>
      <c r="D1125" s="23">
        <v>0</v>
      </c>
      <c r="E1125" s="24">
        <v>0</v>
      </c>
    </row>
    <row r="1126" spans="1:5" x14ac:dyDescent="0.3">
      <c r="A1126" s="20" t="s">
        <v>254</v>
      </c>
      <c r="B1126" s="21" t="s">
        <v>368</v>
      </c>
      <c r="C1126" s="22">
        <v>0</v>
      </c>
      <c r="D1126" s="23">
        <v>0</v>
      </c>
      <c r="E1126" s="24">
        <v>0</v>
      </c>
    </row>
    <row r="1127" spans="1:5" x14ac:dyDescent="0.3">
      <c r="A1127" s="20" t="s">
        <v>254</v>
      </c>
      <c r="B1127" s="21" t="s">
        <v>369</v>
      </c>
      <c r="C1127" s="22">
        <v>0</v>
      </c>
      <c r="D1127" s="23">
        <v>0</v>
      </c>
      <c r="E1127" s="24">
        <v>0</v>
      </c>
    </row>
    <row r="1128" spans="1:5" x14ac:dyDescent="0.3">
      <c r="A1128" s="20" t="s">
        <v>254</v>
      </c>
      <c r="B1128" s="21" t="s">
        <v>370</v>
      </c>
      <c r="C1128" s="22">
        <v>0</v>
      </c>
      <c r="D1128" s="23">
        <v>0</v>
      </c>
      <c r="E1128" s="24">
        <v>0</v>
      </c>
    </row>
    <row r="1129" spans="1:5" x14ac:dyDescent="0.3">
      <c r="A1129" s="20" t="s">
        <v>254</v>
      </c>
      <c r="B1129" s="21" t="s">
        <v>371</v>
      </c>
      <c r="C1129" s="22">
        <v>0</v>
      </c>
      <c r="D1129" s="23">
        <v>0</v>
      </c>
      <c r="E1129" s="24">
        <v>0</v>
      </c>
    </row>
    <row r="1130" spans="1:5" x14ac:dyDescent="0.3">
      <c r="A1130" s="20" t="s">
        <v>254</v>
      </c>
      <c r="B1130" s="21" t="s">
        <v>372</v>
      </c>
      <c r="C1130" s="22">
        <v>0</v>
      </c>
      <c r="D1130" s="23">
        <v>0</v>
      </c>
      <c r="E1130" s="24">
        <v>0</v>
      </c>
    </row>
    <row r="1131" spans="1:5" x14ac:dyDescent="0.3">
      <c r="A1131" s="20" t="s">
        <v>254</v>
      </c>
      <c r="B1131" s="21" t="s">
        <v>373</v>
      </c>
      <c r="C1131" s="22">
        <v>0</v>
      </c>
      <c r="D1131" s="23">
        <v>0</v>
      </c>
      <c r="E1131" s="24">
        <v>0</v>
      </c>
    </row>
    <row r="1132" spans="1:5" x14ac:dyDescent="0.3">
      <c r="A1132" s="16" t="s">
        <v>261</v>
      </c>
      <c r="B1132" s="16" t="s">
        <v>367</v>
      </c>
      <c r="C1132" s="17">
        <v>0</v>
      </c>
      <c r="D1132" s="18">
        <v>0</v>
      </c>
      <c r="E1132" s="19">
        <v>0</v>
      </c>
    </row>
    <row r="1133" spans="1:5" x14ac:dyDescent="0.3">
      <c r="A1133" s="20" t="s">
        <v>261</v>
      </c>
      <c r="B1133" s="21" t="s">
        <v>368</v>
      </c>
      <c r="C1133" s="22">
        <v>0</v>
      </c>
      <c r="D1133" s="23">
        <v>0</v>
      </c>
      <c r="E1133" s="24">
        <v>0</v>
      </c>
    </row>
    <row r="1134" spans="1:5" x14ac:dyDescent="0.3">
      <c r="A1134" s="20" t="s">
        <v>261</v>
      </c>
      <c r="B1134" s="21" t="s">
        <v>370</v>
      </c>
      <c r="C1134" s="22">
        <v>0</v>
      </c>
      <c r="D1134" s="23">
        <v>0</v>
      </c>
      <c r="E1134" s="24">
        <v>0</v>
      </c>
    </row>
    <row r="1135" spans="1:5" x14ac:dyDescent="0.3">
      <c r="A1135" s="20" t="s">
        <v>261</v>
      </c>
      <c r="B1135" s="21" t="s">
        <v>371</v>
      </c>
      <c r="C1135" s="22">
        <v>0</v>
      </c>
      <c r="D1135" s="23">
        <v>0</v>
      </c>
      <c r="E1135" s="24">
        <v>0</v>
      </c>
    </row>
    <row r="1136" spans="1:5" x14ac:dyDescent="0.3">
      <c r="A1136" s="16" t="s">
        <v>276</v>
      </c>
      <c r="B1136" s="16" t="s">
        <v>366</v>
      </c>
      <c r="C1136" s="17">
        <v>0</v>
      </c>
      <c r="D1136" s="18">
        <v>0</v>
      </c>
      <c r="E1136" s="19">
        <v>0</v>
      </c>
    </row>
    <row r="1137" spans="1:5" x14ac:dyDescent="0.3">
      <c r="A1137" s="20" t="s">
        <v>276</v>
      </c>
      <c r="B1137" s="21" t="s">
        <v>367</v>
      </c>
      <c r="C1137" s="22">
        <v>0</v>
      </c>
      <c r="D1137" s="23">
        <v>0</v>
      </c>
      <c r="E1137" s="24">
        <v>0</v>
      </c>
    </row>
    <row r="1138" spans="1:5" x14ac:dyDescent="0.3">
      <c r="A1138" s="20" t="s">
        <v>276</v>
      </c>
      <c r="B1138" s="21" t="s">
        <v>368</v>
      </c>
      <c r="C1138" s="22">
        <v>0</v>
      </c>
      <c r="D1138" s="23">
        <v>0</v>
      </c>
      <c r="E1138" s="24">
        <v>0</v>
      </c>
    </row>
    <row r="1139" spans="1:5" x14ac:dyDescent="0.3">
      <c r="A1139" s="20" t="s">
        <v>276</v>
      </c>
      <c r="B1139" s="21" t="s">
        <v>370</v>
      </c>
      <c r="C1139" s="22">
        <v>0</v>
      </c>
      <c r="D1139" s="23">
        <v>0</v>
      </c>
      <c r="E1139" s="24">
        <v>0</v>
      </c>
    </row>
    <row r="1140" spans="1:5" x14ac:dyDescent="0.3">
      <c r="A1140" s="20" t="s">
        <v>276</v>
      </c>
      <c r="B1140" s="21" t="s">
        <v>371</v>
      </c>
      <c r="C1140" s="22">
        <v>0</v>
      </c>
      <c r="D1140" s="23">
        <v>0</v>
      </c>
      <c r="E1140" s="24">
        <v>0</v>
      </c>
    </row>
    <row r="1141" spans="1:5" x14ac:dyDescent="0.3">
      <c r="A1141" s="20" t="s">
        <v>276</v>
      </c>
      <c r="B1141" s="21" t="s">
        <v>372</v>
      </c>
      <c r="C1141" s="22">
        <v>0</v>
      </c>
      <c r="D1141" s="23">
        <v>0</v>
      </c>
      <c r="E1141" s="24">
        <v>0</v>
      </c>
    </row>
    <row r="1142" spans="1:5" x14ac:dyDescent="0.3">
      <c r="A1142" s="20" t="s">
        <v>276</v>
      </c>
      <c r="B1142" s="21" t="s">
        <v>373</v>
      </c>
      <c r="C1142" s="22">
        <v>0</v>
      </c>
      <c r="D1142" s="23">
        <v>0</v>
      </c>
      <c r="E1142" s="24">
        <v>0</v>
      </c>
    </row>
    <row r="1143" spans="1:5" x14ac:dyDescent="0.3">
      <c r="A1143" s="16" t="s">
        <v>284</v>
      </c>
      <c r="B1143" s="16" t="s">
        <v>368</v>
      </c>
      <c r="C1143" s="17">
        <v>0</v>
      </c>
      <c r="D1143" s="18">
        <v>0</v>
      </c>
      <c r="E1143" s="19">
        <v>0</v>
      </c>
    </row>
    <row r="1144" spans="1:5" x14ac:dyDescent="0.3">
      <c r="A1144" s="16" t="s">
        <v>290</v>
      </c>
      <c r="B1144" s="16" t="s">
        <v>368</v>
      </c>
      <c r="C1144" s="17">
        <v>0</v>
      </c>
      <c r="D1144" s="18">
        <v>0</v>
      </c>
      <c r="E1144" s="19">
        <v>0</v>
      </c>
    </row>
    <row r="1145" spans="1:5" x14ac:dyDescent="0.3">
      <c r="A1145" s="16" t="s">
        <v>396</v>
      </c>
      <c r="B1145" s="16" t="s">
        <v>371</v>
      </c>
      <c r="C1145" s="17">
        <v>0</v>
      </c>
      <c r="D1145" s="18">
        <v>0</v>
      </c>
      <c r="E1145" s="19">
        <v>0</v>
      </c>
    </row>
    <row r="1146" spans="1:5" x14ac:dyDescent="0.3">
      <c r="A1146" s="16" t="s">
        <v>305</v>
      </c>
      <c r="B1146" s="16" t="s">
        <v>366</v>
      </c>
      <c r="C1146" s="17">
        <v>0</v>
      </c>
      <c r="D1146" s="18">
        <v>0</v>
      </c>
      <c r="E1146" s="19">
        <v>0</v>
      </c>
    </row>
    <row r="1147" spans="1:5" x14ac:dyDescent="0.3">
      <c r="A1147" s="20" t="s">
        <v>305</v>
      </c>
      <c r="B1147" s="21" t="s">
        <v>370</v>
      </c>
      <c r="C1147" s="22">
        <v>0</v>
      </c>
      <c r="D1147" s="23">
        <v>0</v>
      </c>
      <c r="E1147" s="24">
        <v>0</v>
      </c>
    </row>
    <row r="1148" spans="1:5" x14ac:dyDescent="0.3">
      <c r="A1148" s="20" t="s">
        <v>305</v>
      </c>
      <c r="B1148" s="21" t="s">
        <v>372</v>
      </c>
      <c r="C1148" s="22">
        <v>0</v>
      </c>
      <c r="D1148" s="23">
        <v>0</v>
      </c>
      <c r="E1148" s="24">
        <v>0</v>
      </c>
    </row>
    <row r="1149" spans="1:5" x14ac:dyDescent="0.3">
      <c r="A1149" s="16" t="s">
        <v>309</v>
      </c>
      <c r="B1149" s="16" t="s">
        <v>369</v>
      </c>
      <c r="C1149" s="17">
        <v>0</v>
      </c>
      <c r="D1149" s="18">
        <v>0</v>
      </c>
      <c r="E1149" s="19">
        <v>0</v>
      </c>
    </row>
    <row r="1150" spans="1:5" x14ac:dyDescent="0.3">
      <c r="A1150" s="16" t="s">
        <v>397</v>
      </c>
      <c r="B1150" s="16" t="s">
        <v>371</v>
      </c>
      <c r="C1150" s="17">
        <v>0</v>
      </c>
      <c r="D1150" s="18">
        <v>0</v>
      </c>
      <c r="E1150" s="19">
        <v>0</v>
      </c>
    </row>
    <row r="1151" spans="1:5" x14ac:dyDescent="0.3">
      <c r="A1151" s="16" t="s">
        <v>388</v>
      </c>
      <c r="B1151" s="16" t="s">
        <v>366</v>
      </c>
      <c r="C1151" s="17">
        <v>0</v>
      </c>
      <c r="D1151" s="18">
        <v>0</v>
      </c>
      <c r="E1151" s="19">
        <v>0</v>
      </c>
    </row>
    <row r="1152" spans="1:5" x14ac:dyDescent="0.3">
      <c r="A1152" s="20" t="s">
        <v>388</v>
      </c>
      <c r="B1152" s="21" t="s">
        <v>367</v>
      </c>
      <c r="C1152" s="22">
        <v>0</v>
      </c>
      <c r="D1152" s="23">
        <v>0</v>
      </c>
      <c r="E1152" s="24">
        <v>0</v>
      </c>
    </row>
    <row r="1153" spans="1:5" x14ac:dyDescent="0.3">
      <c r="A1153" s="20" t="s">
        <v>388</v>
      </c>
      <c r="B1153" s="21" t="s">
        <v>368</v>
      </c>
      <c r="C1153" s="22">
        <v>0</v>
      </c>
      <c r="D1153" s="23">
        <v>0</v>
      </c>
      <c r="E1153" s="24">
        <v>0</v>
      </c>
    </row>
    <row r="1154" spans="1:5" x14ac:dyDescent="0.3">
      <c r="A1154" s="20" t="s">
        <v>388</v>
      </c>
      <c r="B1154" s="21" t="s">
        <v>369</v>
      </c>
      <c r="C1154" s="22">
        <v>0</v>
      </c>
      <c r="D1154" s="23">
        <v>0</v>
      </c>
      <c r="E1154" s="24">
        <v>0</v>
      </c>
    </row>
    <row r="1155" spans="1:5" x14ac:dyDescent="0.3">
      <c r="A1155" s="20" t="s">
        <v>388</v>
      </c>
      <c r="B1155" s="21" t="s">
        <v>370</v>
      </c>
      <c r="C1155" s="22">
        <v>0</v>
      </c>
      <c r="D1155" s="23">
        <v>0</v>
      </c>
      <c r="E1155" s="24">
        <v>0</v>
      </c>
    </row>
    <row r="1156" spans="1:5" x14ac:dyDescent="0.3">
      <c r="A1156" s="20" t="s">
        <v>388</v>
      </c>
      <c r="B1156" s="21" t="s">
        <v>371</v>
      </c>
      <c r="C1156" s="22">
        <v>0</v>
      </c>
      <c r="D1156" s="23">
        <v>0</v>
      </c>
      <c r="E1156" s="24">
        <v>0</v>
      </c>
    </row>
    <row r="1157" spans="1:5" x14ac:dyDescent="0.3">
      <c r="A1157" s="20" t="s">
        <v>388</v>
      </c>
      <c r="B1157" s="21" t="s">
        <v>372</v>
      </c>
      <c r="C1157" s="22">
        <v>0</v>
      </c>
      <c r="D1157" s="23">
        <v>0</v>
      </c>
      <c r="E1157" s="24">
        <v>0</v>
      </c>
    </row>
    <row r="1158" spans="1:5" x14ac:dyDescent="0.3">
      <c r="A1158" s="20" t="s">
        <v>388</v>
      </c>
      <c r="B1158" s="21" t="s">
        <v>373</v>
      </c>
      <c r="C1158" s="22">
        <v>0</v>
      </c>
      <c r="D1158" s="23">
        <v>0</v>
      </c>
      <c r="E1158" s="24">
        <v>0</v>
      </c>
    </row>
    <row r="1159" spans="1:5" x14ac:dyDescent="0.3">
      <c r="A1159" s="16" t="s">
        <v>398</v>
      </c>
      <c r="B1159" s="16" t="s">
        <v>368</v>
      </c>
      <c r="C1159" s="17">
        <v>0</v>
      </c>
      <c r="D1159" s="18">
        <v>0</v>
      </c>
      <c r="E1159" s="19">
        <v>0</v>
      </c>
    </row>
    <row r="1160" spans="1:5" x14ac:dyDescent="0.3">
      <c r="A1160" s="16" t="s">
        <v>399</v>
      </c>
      <c r="B1160" s="16" t="s">
        <v>368</v>
      </c>
      <c r="C1160" s="17">
        <v>0</v>
      </c>
      <c r="D1160" s="18">
        <v>0</v>
      </c>
      <c r="E1160" s="19">
        <v>0</v>
      </c>
    </row>
    <row r="1161" spans="1:5" x14ac:dyDescent="0.3">
      <c r="A1161" s="16" t="s">
        <v>267</v>
      </c>
      <c r="B1161" s="16" t="s">
        <v>366</v>
      </c>
      <c r="C1161" s="17">
        <v>13200</v>
      </c>
      <c r="D1161" s="18">
        <v>27000</v>
      </c>
      <c r="E1161" s="19">
        <v>0</v>
      </c>
    </row>
    <row r="1162" spans="1:5" x14ac:dyDescent="0.3">
      <c r="A1162" s="20" t="s">
        <v>267</v>
      </c>
      <c r="B1162" s="21" t="s">
        <v>367</v>
      </c>
      <c r="C1162" s="22">
        <v>13200</v>
      </c>
      <c r="D1162" s="23">
        <v>27000</v>
      </c>
      <c r="E1162" s="24">
        <v>0</v>
      </c>
    </row>
    <row r="1163" spans="1:5" x14ac:dyDescent="0.3">
      <c r="A1163" s="20" t="s">
        <v>267</v>
      </c>
      <c r="B1163" s="21" t="s">
        <v>368</v>
      </c>
      <c r="C1163" s="22">
        <v>13200</v>
      </c>
      <c r="D1163" s="23">
        <v>0</v>
      </c>
      <c r="E1163" s="24">
        <v>0</v>
      </c>
    </row>
    <row r="1164" spans="1:5" x14ac:dyDescent="0.3">
      <c r="A1164" s="20" t="s">
        <v>267</v>
      </c>
      <c r="B1164" s="21" t="s">
        <v>369</v>
      </c>
      <c r="C1164" s="22">
        <v>13200</v>
      </c>
      <c r="D1164" s="23">
        <v>0</v>
      </c>
      <c r="E1164" s="24">
        <v>0</v>
      </c>
    </row>
    <row r="1165" spans="1:5" x14ac:dyDescent="0.3">
      <c r="A1165" s="20" t="s">
        <v>267</v>
      </c>
      <c r="B1165" s="21" t="s">
        <v>370</v>
      </c>
      <c r="C1165" s="22">
        <v>13200</v>
      </c>
      <c r="D1165" s="23">
        <v>0</v>
      </c>
      <c r="E1165" s="24">
        <v>0</v>
      </c>
    </row>
    <row r="1166" spans="1:5" x14ac:dyDescent="0.3">
      <c r="A1166" s="20" t="s">
        <v>267</v>
      </c>
      <c r="B1166" s="21" t="s">
        <v>371</v>
      </c>
      <c r="C1166" s="22">
        <v>13200</v>
      </c>
      <c r="D1166" s="23">
        <v>0</v>
      </c>
      <c r="E1166" s="24">
        <v>0</v>
      </c>
    </row>
    <row r="1167" spans="1:5" x14ac:dyDescent="0.3">
      <c r="A1167" s="20" t="s">
        <v>267</v>
      </c>
      <c r="B1167" s="21" t="s">
        <v>372</v>
      </c>
      <c r="C1167" s="22">
        <v>13200</v>
      </c>
      <c r="D1167" s="23">
        <v>0</v>
      </c>
      <c r="E1167" s="24">
        <v>0</v>
      </c>
    </row>
    <row r="1168" spans="1:5" x14ac:dyDescent="0.3">
      <c r="A1168" s="20" t="s">
        <v>267</v>
      </c>
      <c r="B1168" s="21" t="s">
        <v>373</v>
      </c>
      <c r="C1168" s="22">
        <v>6600</v>
      </c>
      <c r="D1168" s="23">
        <v>0</v>
      </c>
      <c r="E1168" s="24">
        <v>0</v>
      </c>
    </row>
    <row r="1169" spans="1:5" x14ac:dyDescent="0.3">
      <c r="A1169" s="20" t="s">
        <v>267</v>
      </c>
      <c r="B1169" s="21" t="s">
        <v>374</v>
      </c>
      <c r="C1169" s="22">
        <v>13200</v>
      </c>
      <c r="D1169" s="23">
        <v>0</v>
      </c>
      <c r="E1169" s="24">
        <v>0</v>
      </c>
    </row>
    <row r="1170" spans="1:5" x14ac:dyDescent="0.3">
      <c r="A1170" s="20" t="s">
        <v>267</v>
      </c>
      <c r="B1170" s="21" t="s">
        <v>375</v>
      </c>
      <c r="C1170" s="22">
        <v>13200</v>
      </c>
      <c r="D1170" s="23">
        <v>0</v>
      </c>
      <c r="E1170" s="24">
        <v>0</v>
      </c>
    </row>
    <row r="1171" spans="1:5" x14ac:dyDescent="0.3">
      <c r="A1171" s="20" t="s">
        <v>267</v>
      </c>
      <c r="B1171" s="21" t="s">
        <v>376</v>
      </c>
      <c r="C1171" s="22">
        <v>13200</v>
      </c>
      <c r="D1171" s="23">
        <v>0</v>
      </c>
      <c r="E1171" s="24">
        <v>0</v>
      </c>
    </row>
    <row r="1172" spans="1:5" x14ac:dyDescent="0.3">
      <c r="A1172" s="20" t="s">
        <v>267</v>
      </c>
      <c r="B1172" s="21" t="s">
        <v>377</v>
      </c>
      <c r="C1172" s="22">
        <v>6600</v>
      </c>
      <c r="D1172" s="23">
        <v>0</v>
      </c>
      <c r="E1172" s="24">
        <v>0</v>
      </c>
    </row>
    <row r="1173" spans="1:5" x14ac:dyDescent="0.3">
      <c r="A1173" s="16" t="s">
        <v>278</v>
      </c>
      <c r="B1173" s="16" t="s">
        <v>366</v>
      </c>
      <c r="C1173" s="17">
        <v>97900</v>
      </c>
      <c r="D1173" s="18">
        <v>60000</v>
      </c>
      <c r="E1173" s="19">
        <v>0</v>
      </c>
    </row>
    <row r="1174" spans="1:5" x14ac:dyDescent="0.3">
      <c r="A1174" s="20" t="s">
        <v>278</v>
      </c>
      <c r="B1174" s="21" t="s">
        <v>367</v>
      </c>
      <c r="C1174" s="22">
        <v>97900</v>
      </c>
      <c r="D1174" s="23">
        <v>60000</v>
      </c>
      <c r="E1174" s="24">
        <v>0</v>
      </c>
    </row>
    <row r="1175" spans="1:5" x14ac:dyDescent="0.3">
      <c r="A1175" s="20" t="s">
        <v>278</v>
      </c>
      <c r="B1175" s="21" t="s">
        <v>368</v>
      </c>
      <c r="C1175" s="22">
        <v>97900</v>
      </c>
      <c r="D1175" s="23">
        <v>0</v>
      </c>
      <c r="E1175" s="24">
        <v>0</v>
      </c>
    </row>
    <row r="1176" spans="1:5" x14ac:dyDescent="0.3">
      <c r="A1176" s="20" t="s">
        <v>278</v>
      </c>
      <c r="B1176" s="21" t="s">
        <v>369</v>
      </c>
      <c r="C1176" s="22">
        <v>97900</v>
      </c>
      <c r="D1176" s="23">
        <v>0</v>
      </c>
      <c r="E1176" s="24">
        <v>0</v>
      </c>
    </row>
    <row r="1177" spans="1:5" x14ac:dyDescent="0.3">
      <c r="A1177" s="20" t="s">
        <v>278</v>
      </c>
      <c r="B1177" s="21" t="s">
        <v>370</v>
      </c>
      <c r="C1177" s="22">
        <v>97900</v>
      </c>
      <c r="D1177" s="23">
        <v>0</v>
      </c>
      <c r="E1177" s="24">
        <v>0</v>
      </c>
    </row>
    <row r="1178" spans="1:5" x14ac:dyDescent="0.3">
      <c r="A1178" s="20" t="s">
        <v>278</v>
      </c>
      <c r="B1178" s="21" t="s">
        <v>371</v>
      </c>
      <c r="C1178" s="22">
        <v>97900</v>
      </c>
      <c r="D1178" s="23">
        <v>0</v>
      </c>
      <c r="E1178" s="24">
        <v>0</v>
      </c>
    </row>
    <row r="1179" spans="1:5" x14ac:dyDescent="0.3">
      <c r="A1179" s="20" t="s">
        <v>278</v>
      </c>
      <c r="B1179" s="21" t="s">
        <v>372</v>
      </c>
      <c r="C1179" s="22">
        <v>97900</v>
      </c>
      <c r="D1179" s="23">
        <v>0</v>
      </c>
      <c r="E1179" s="24">
        <v>0</v>
      </c>
    </row>
    <row r="1180" spans="1:5" x14ac:dyDescent="0.3">
      <c r="A1180" s="20" t="s">
        <v>278</v>
      </c>
      <c r="B1180" s="21" t="s">
        <v>373</v>
      </c>
      <c r="C1180" s="22">
        <v>48400</v>
      </c>
      <c r="D1180" s="23">
        <v>0</v>
      </c>
      <c r="E1180" s="24">
        <v>0</v>
      </c>
    </row>
    <row r="1181" spans="1:5" x14ac:dyDescent="0.3">
      <c r="A1181" s="20" t="s">
        <v>278</v>
      </c>
      <c r="B1181" s="21" t="s">
        <v>374</v>
      </c>
      <c r="C1181" s="22">
        <v>97900</v>
      </c>
      <c r="D1181" s="23">
        <v>0</v>
      </c>
      <c r="E1181" s="24">
        <v>0</v>
      </c>
    </row>
    <row r="1182" spans="1:5" x14ac:dyDescent="0.3">
      <c r="A1182" s="20" t="s">
        <v>278</v>
      </c>
      <c r="B1182" s="21" t="s">
        <v>375</v>
      </c>
      <c r="C1182" s="22">
        <v>97900</v>
      </c>
      <c r="D1182" s="23">
        <v>0</v>
      </c>
      <c r="E1182" s="24">
        <v>0</v>
      </c>
    </row>
    <row r="1183" spans="1:5" x14ac:dyDescent="0.3">
      <c r="A1183" s="20" t="s">
        <v>278</v>
      </c>
      <c r="B1183" s="21" t="s">
        <v>376</v>
      </c>
      <c r="C1183" s="22">
        <v>97900</v>
      </c>
      <c r="D1183" s="23">
        <v>0</v>
      </c>
      <c r="E1183" s="24">
        <v>0</v>
      </c>
    </row>
    <row r="1184" spans="1:5" x14ac:dyDescent="0.3">
      <c r="A1184" s="20" t="s">
        <v>278</v>
      </c>
      <c r="B1184" s="21" t="s">
        <v>377</v>
      </c>
      <c r="C1184" s="22">
        <v>48400</v>
      </c>
      <c r="D1184" s="23">
        <v>0</v>
      </c>
      <c r="E1184" s="24">
        <v>0</v>
      </c>
    </row>
    <row r="1185" spans="1:5" x14ac:dyDescent="0.3">
      <c r="A1185" s="16" t="s">
        <v>291</v>
      </c>
      <c r="B1185" s="16" t="s">
        <v>366</v>
      </c>
      <c r="C1185" s="17">
        <v>5500</v>
      </c>
      <c r="D1185" s="18">
        <v>20000</v>
      </c>
      <c r="E1185" s="19">
        <v>0</v>
      </c>
    </row>
    <row r="1186" spans="1:5" x14ac:dyDescent="0.3">
      <c r="A1186" s="20" t="s">
        <v>291</v>
      </c>
      <c r="B1186" s="21" t="s">
        <v>367</v>
      </c>
      <c r="C1186" s="22">
        <v>5500</v>
      </c>
      <c r="D1186" s="23">
        <v>20000</v>
      </c>
      <c r="E1186" s="24">
        <v>0</v>
      </c>
    </row>
    <row r="1187" spans="1:5" x14ac:dyDescent="0.3">
      <c r="A1187" s="20" t="s">
        <v>291</v>
      </c>
      <c r="B1187" s="21" t="s">
        <v>368</v>
      </c>
      <c r="C1187" s="22">
        <v>5500</v>
      </c>
      <c r="D1187" s="23">
        <v>0</v>
      </c>
      <c r="E1187" s="24">
        <v>0</v>
      </c>
    </row>
    <row r="1188" spans="1:5" x14ac:dyDescent="0.3">
      <c r="A1188" s="20" t="s">
        <v>291</v>
      </c>
      <c r="B1188" s="21" t="s">
        <v>369</v>
      </c>
      <c r="C1188" s="22">
        <v>5500</v>
      </c>
      <c r="D1188" s="23">
        <v>0</v>
      </c>
      <c r="E1188" s="24">
        <v>0</v>
      </c>
    </row>
    <row r="1189" spans="1:5" x14ac:dyDescent="0.3">
      <c r="A1189" s="20" t="s">
        <v>291</v>
      </c>
      <c r="B1189" s="21" t="s">
        <v>370</v>
      </c>
      <c r="C1189" s="22">
        <v>5500</v>
      </c>
      <c r="D1189" s="23">
        <v>0</v>
      </c>
      <c r="E1189" s="24">
        <v>0</v>
      </c>
    </row>
    <row r="1190" spans="1:5" x14ac:dyDescent="0.3">
      <c r="A1190" s="20" t="s">
        <v>291</v>
      </c>
      <c r="B1190" s="21" t="s">
        <v>371</v>
      </c>
      <c r="C1190" s="22">
        <v>5500</v>
      </c>
      <c r="D1190" s="23">
        <v>0</v>
      </c>
      <c r="E1190" s="24">
        <v>0</v>
      </c>
    </row>
    <row r="1191" spans="1:5" x14ac:dyDescent="0.3">
      <c r="A1191" s="20" t="s">
        <v>291</v>
      </c>
      <c r="B1191" s="21" t="s">
        <v>372</v>
      </c>
      <c r="C1191" s="22">
        <v>5500</v>
      </c>
      <c r="D1191" s="23">
        <v>0</v>
      </c>
      <c r="E1191" s="24">
        <v>0</v>
      </c>
    </row>
    <row r="1192" spans="1:5" x14ac:dyDescent="0.3">
      <c r="A1192" s="20" t="s">
        <v>291</v>
      </c>
      <c r="B1192" s="21" t="s">
        <v>373</v>
      </c>
      <c r="C1192" s="22">
        <v>3300</v>
      </c>
      <c r="D1192" s="23">
        <v>0</v>
      </c>
      <c r="E1192" s="24">
        <v>0</v>
      </c>
    </row>
    <row r="1193" spans="1:5" x14ac:dyDescent="0.3">
      <c r="A1193" s="20" t="s">
        <v>291</v>
      </c>
      <c r="B1193" s="21" t="s">
        <v>374</v>
      </c>
      <c r="C1193" s="22">
        <v>5500</v>
      </c>
      <c r="D1193" s="23">
        <v>0</v>
      </c>
      <c r="E1193" s="24">
        <v>0</v>
      </c>
    </row>
    <row r="1194" spans="1:5" x14ac:dyDescent="0.3">
      <c r="A1194" s="20" t="s">
        <v>291</v>
      </c>
      <c r="B1194" s="21" t="s">
        <v>375</v>
      </c>
      <c r="C1194" s="22">
        <v>5500</v>
      </c>
      <c r="D1194" s="23">
        <v>0</v>
      </c>
      <c r="E1194" s="24">
        <v>0</v>
      </c>
    </row>
    <row r="1195" spans="1:5" x14ac:dyDescent="0.3">
      <c r="A1195" s="20" t="s">
        <v>291</v>
      </c>
      <c r="B1195" s="21" t="s">
        <v>376</v>
      </c>
      <c r="C1195" s="22">
        <v>5500</v>
      </c>
      <c r="D1195" s="23">
        <v>0</v>
      </c>
      <c r="E1195" s="24">
        <v>0</v>
      </c>
    </row>
    <row r="1196" spans="1:5" x14ac:dyDescent="0.3">
      <c r="A1196" s="20" t="s">
        <v>291</v>
      </c>
      <c r="B1196" s="21" t="s">
        <v>377</v>
      </c>
      <c r="C1196" s="22">
        <v>3300</v>
      </c>
      <c r="D1196" s="23">
        <v>0</v>
      </c>
      <c r="E1196" s="24">
        <v>0</v>
      </c>
    </row>
    <row r="1197" spans="1:5" x14ac:dyDescent="0.3">
      <c r="A1197" s="16" t="s">
        <v>296</v>
      </c>
      <c r="B1197" s="16" t="s">
        <v>366</v>
      </c>
      <c r="C1197" s="17">
        <v>8800</v>
      </c>
      <c r="D1197" s="18">
        <v>0</v>
      </c>
      <c r="E1197" s="19">
        <v>0</v>
      </c>
    </row>
    <row r="1198" spans="1:5" x14ac:dyDescent="0.3">
      <c r="A1198" s="20" t="s">
        <v>296</v>
      </c>
      <c r="B1198" s="21" t="s">
        <v>367</v>
      </c>
      <c r="C1198" s="22">
        <v>8800</v>
      </c>
      <c r="D1198" s="23">
        <v>0</v>
      </c>
      <c r="E1198" s="24">
        <v>0</v>
      </c>
    </row>
    <row r="1199" spans="1:5" x14ac:dyDescent="0.3">
      <c r="A1199" s="20" t="s">
        <v>296</v>
      </c>
      <c r="B1199" s="21" t="s">
        <v>368</v>
      </c>
      <c r="C1199" s="22">
        <v>8800</v>
      </c>
      <c r="D1199" s="23">
        <v>0</v>
      </c>
      <c r="E1199" s="24">
        <v>0</v>
      </c>
    </row>
    <row r="1200" spans="1:5" x14ac:dyDescent="0.3">
      <c r="A1200" s="20" t="s">
        <v>296</v>
      </c>
      <c r="B1200" s="21" t="s">
        <v>369</v>
      </c>
      <c r="C1200" s="22">
        <v>8800</v>
      </c>
      <c r="D1200" s="23">
        <v>0</v>
      </c>
      <c r="E1200" s="24">
        <v>0</v>
      </c>
    </row>
    <row r="1201" spans="1:5" x14ac:dyDescent="0.3">
      <c r="A1201" s="20" t="s">
        <v>296</v>
      </c>
      <c r="B1201" s="21" t="s">
        <v>370</v>
      </c>
      <c r="C1201" s="22">
        <v>8800</v>
      </c>
      <c r="D1201" s="23">
        <v>0</v>
      </c>
      <c r="E1201" s="24">
        <v>0</v>
      </c>
    </row>
    <row r="1202" spans="1:5" x14ac:dyDescent="0.3">
      <c r="A1202" s="20" t="s">
        <v>296</v>
      </c>
      <c r="B1202" s="21" t="s">
        <v>371</v>
      </c>
      <c r="C1202" s="22">
        <v>8800</v>
      </c>
      <c r="D1202" s="23">
        <v>0</v>
      </c>
      <c r="E1202" s="24">
        <v>0</v>
      </c>
    </row>
    <row r="1203" spans="1:5" x14ac:dyDescent="0.3">
      <c r="A1203" s="20" t="s">
        <v>296</v>
      </c>
      <c r="B1203" s="21" t="s">
        <v>372</v>
      </c>
      <c r="C1203" s="22">
        <v>8800</v>
      </c>
      <c r="D1203" s="23">
        <v>0</v>
      </c>
      <c r="E1203" s="24">
        <v>0</v>
      </c>
    </row>
    <row r="1204" spans="1:5" x14ac:dyDescent="0.3">
      <c r="A1204" s="20" t="s">
        <v>296</v>
      </c>
      <c r="B1204" s="21" t="s">
        <v>373</v>
      </c>
      <c r="C1204" s="22">
        <v>4400</v>
      </c>
      <c r="D1204" s="23">
        <v>0</v>
      </c>
      <c r="E1204" s="24">
        <v>0</v>
      </c>
    </row>
    <row r="1205" spans="1:5" x14ac:dyDescent="0.3">
      <c r="A1205" s="20" t="s">
        <v>296</v>
      </c>
      <c r="B1205" s="21" t="s">
        <v>374</v>
      </c>
      <c r="C1205" s="22">
        <v>8800</v>
      </c>
      <c r="D1205" s="23">
        <v>0</v>
      </c>
      <c r="E1205" s="24">
        <v>0</v>
      </c>
    </row>
    <row r="1206" spans="1:5" x14ac:dyDescent="0.3">
      <c r="A1206" s="20" t="s">
        <v>296</v>
      </c>
      <c r="B1206" s="21" t="s">
        <v>375</v>
      </c>
      <c r="C1206" s="22">
        <v>8800</v>
      </c>
      <c r="D1206" s="23">
        <v>0</v>
      </c>
      <c r="E1206" s="24">
        <v>0</v>
      </c>
    </row>
    <row r="1207" spans="1:5" x14ac:dyDescent="0.3">
      <c r="A1207" s="20" t="s">
        <v>296</v>
      </c>
      <c r="B1207" s="21" t="s">
        <v>376</v>
      </c>
      <c r="C1207" s="22">
        <v>8800</v>
      </c>
      <c r="D1207" s="23">
        <v>0</v>
      </c>
      <c r="E1207" s="24">
        <v>0</v>
      </c>
    </row>
    <row r="1208" spans="1:5" x14ac:dyDescent="0.3">
      <c r="A1208" s="20" t="s">
        <v>296</v>
      </c>
      <c r="B1208" s="21" t="s">
        <v>377</v>
      </c>
      <c r="C1208" s="22">
        <v>4400</v>
      </c>
      <c r="D1208" s="23">
        <v>0</v>
      </c>
      <c r="E1208" s="24">
        <v>0</v>
      </c>
    </row>
    <row r="1209" spans="1:5" x14ac:dyDescent="0.3">
      <c r="A1209" s="16" t="s">
        <v>302</v>
      </c>
      <c r="B1209" s="16" t="s">
        <v>366</v>
      </c>
      <c r="C1209" s="17">
        <v>7700</v>
      </c>
      <c r="D1209" s="18">
        <v>0</v>
      </c>
      <c r="E1209" s="19">
        <v>0</v>
      </c>
    </row>
    <row r="1210" spans="1:5" x14ac:dyDescent="0.3">
      <c r="A1210" s="20" t="s">
        <v>302</v>
      </c>
      <c r="B1210" s="21" t="s">
        <v>367</v>
      </c>
      <c r="C1210" s="22">
        <v>7700</v>
      </c>
      <c r="D1210" s="23">
        <v>0</v>
      </c>
      <c r="E1210" s="24">
        <v>0</v>
      </c>
    </row>
    <row r="1211" spans="1:5" x14ac:dyDescent="0.3">
      <c r="A1211" s="20" t="s">
        <v>302</v>
      </c>
      <c r="B1211" s="21" t="s">
        <v>368</v>
      </c>
      <c r="C1211" s="22">
        <v>7700</v>
      </c>
      <c r="D1211" s="23">
        <v>0</v>
      </c>
      <c r="E1211" s="24">
        <v>0</v>
      </c>
    </row>
    <row r="1212" spans="1:5" x14ac:dyDescent="0.3">
      <c r="A1212" s="20" t="s">
        <v>302</v>
      </c>
      <c r="B1212" s="21" t="s">
        <v>369</v>
      </c>
      <c r="C1212" s="22">
        <v>7700</v>
      </c>
      <c r="D1212" s="23">
        <v>0</v>
      </c>
      <c r="E1212" s="24">
        <v>0</v>
      </c>
    </row>
    <row r="1213" spans="1:5" x14ac:dyDescent="0.3">
      <c r="A1213" s="20" t="s">
        <v>302</v>
      </c>
      <c r="B1213" s="21" t="s">
        <v>370</v>
      </c>
      <c r="C1213" s="22">
        <v>7700</v>
      </c>
      <c r="D1213" s="23">
        <v>0</v>
      </c>
      <c r="E1213" s="24">
        <v>0</v>
      </c>
    </row>
    <row r="1214" spans="1:5" x14ac:dyDescent="0.3">
      <c r="A1214" s="20" t="s">
        <v>302</v>
      </c>
      <c r="B1214" s="21" t="s">
        <v>371</v>
      </c>
      <c r="C1214" s="22">
        <v>7700</v>
      </c>
      <c r="D1214" s="23">
        <v>0</v>
      </c>
      <c r="E1214" s="24">
        <v>0</v>
      </c>
    </row>
    <row r="1215" spans="1:5" x14ac:dyDescent="0.3">
      <c r="A1215" s="20" t="s">
        <v>302</v>
      </c>
      <c r="B1215" s="21" t="s">
        <v>372</v>
      </c>
      <c r="C1215" s="22">
        <v>7700</v>
      </c>
      <c r="D1215" s="23">
        <v>0</v>
      </c>
      <c r="E1215" s="24">
        <v>0</v>
      </c>
    </row>
    <row r="1216" spans="1:5" x14ac:dyDescent="0.3">
      <c r="A1216" s="20" t="s">
        <v>302</v>
      </c>
      <c r="B1216" s="21" t="s">
        <v>373</v>
      </c>
      <c r="C1216" s="22">
        <v>4400</v>
      </c>
      <c r="D1216" s="23">
        <v>0</v>
      </c>
      <c r="E1216" s="24">
        <v>0</v>
      </c>
    </row>
    <row r="1217" spans="1:5" x14ac:dyDescent="0.3">
      <c r="A1217" s="20" t="s">
        <v>302</v>
      </c>
      <c r="B1217" s="21" t="s">
        <v>374</v>
      </c>
      <c r="C1217" s="22">
        <v>7700</v>
      </c>
      <c r="D1217" s="23">
        <v>0</v>
      </c>
      <c r="E1217" s="24">
        <v>0</v>
      </c>
    </row>
    <row r="1218" spans="1:5" x14ac:dyDescent="0.3">
      <c r="A1218" s="20" t="s">
        <v>302</v>
      </c>
      <c r="B1218" s="21" t="s">
        <v>375</v>
      </c>
      <c r="C1218" s="22">
        <v>7700</v>
      </c>
      <c r="D1218" s="23">
        <v>0</v>
      </c>
      <c r="E1218" s="24">
        <v>0</v>
      </c>
    </row>
    <row r="1219" spans="1:5" x14ac:dyDescent="0.3">
      <c r="A1219" s="20" t="s">
        <v>302</v>
      </c>
      <c r="B1219" s="21" t="s">
        <v>376</v>
      </c>
      <c r="C1219" s="22">
        <v>7700</v>
      </c>
      <c r="D1219" s="23">
        <v>0</v>
      </c>
      <c r="E1219" s="24">
        <v>0</v>
      </c>
    </row>
    <row r="1220" spans="1:5" x14ac:dyDescent="0.3">
      <c r="A1220" s="20" t="s">
        <v>302</v>
      </c>
      <c r="B1220" s="21" t="s">
        <v>377</v>
      </c>
      <c r="C1220" s="22">
        <v>4400</v>
      </c>
      <c r="D1220" s="23">
        <v>0</v>
      </c>
      <c r="E1220" s="24">
        <v>0</v>
      </c>
    </row>
    <row r="1221" spans="1:5" x14ac:dyDescent="0.3">
      <c r="A1221" s="16" t="s">
        <v>310</v>
      </c>
      <c r="B1221" s="16" t="s">
        <v>366</v>
      </c>
      <c r="C1221" s="17">
        <v>0</v>
      </c>
      <c r="D1221" s="18">
        <v>0</v>
      </c>
      <c r="E1221" s="19">
        <v>0</v>
      </c>
    </row>
    <row r="1222" spans="1:5" x14ac:dyDescent="0.3">
      <c r="A1222" s="20" t="s">
        <v>310</v>
      </c>
      <c r="B1222" s="21" t="s">
        <v>368</v>
      </c>
      <c r="C1222" s="22">
        <v>0</v>
      </c>
      <c r="D1222" s="23">
        <v>0</v>
      </c>
      <c r="E1222" s="24">
        <v>0</v>
      </c>
    </row>
    <row r="1223" spans="1:5" x14ac:dyDescent="0.3">
      <c r="A1223" s="16" t="s">
        <v>397</v>
      </c>
      <c r="B1223" s="16" t="s">
        <v>366</v>
      </c>
      <c r="C1223" s="17">
        <v>13200</v>
      </c>
      <c r="D1223" s="18">
        <v>20000</v>
      </c>
      <c r="E1223" s="19">
        <v>0</v>
      </c>
    </row>
    <row r="1224" spans="1:5" x14ac:dyDescent="0.3">
      <c r="A1224" s="20" t="s">
        <v>397</v>
      </c>
      <c r="B1224" s="21" t="s">
        <v>367</v>
      </c>
      <c r="C1224" s="22">
        <v>13200</v>
      </c>
      <c r="D1224" s="23">
        <v>20000</v>
      </c>
      <c r="E1224" s="24">
        <v>0</v>
      </c>
    </row>
    <row r="1225" spans="1:5" x14ac:dyDescent="0.3">
      <c r="A1225" s="20" t="s">
        <v>397</v>
      </c>
      <c r="B1225" s="21" t="s">
        <v>368</v>
      </c>
      <c r="C1225" s="22">
        <v>13200</v>
      </c>
      <c r="D1225" s="23">
        <v>0</v>
      </c>
      <c r="E1225" s="24">
        <v>0</v>
      </c>
    </row>
    <row r="1226" spans="1:5" x14ac:dyDescent="0.3">
      <c r="A1226" s="20" t="s">
        <v>397</v>
      </c>
      <c r="B1226" s="21" t="s">
        <v>369</v>
      </c>
      <c r="C1226" s="22">
        <v>13200</v>
      </c>
      <c r="D1226" s="23">
        <v>0</v>
      </c>
      <c r="E1226" s="24">
        <v>0</v>
      </c>
    </row>
    <row r="1227" spans="1:5" x14ac:dyDescent="0.3">
      <c r="A1227" s="20" t="s">
        <v>397</v>
      </c>
      <c r="B1227" s="21" t="s">
        <v>370</v>
      </c>
      <c r="C1227" s="22">
        <v>13200</v>
      </c>
      <c r="D1227" s="23">
        <v>0</v>
      </c>
      <c r="E1227" s="24">
        <v>0</v>
      </c>
    </row>
    <row r="1228" spans="1:5" x14ac:dyDescent="0.3">
      <c r="A1228" s="20" t="s">
        <v>397</v>
      </c>
      <c r="B1228" s="21" t="s">
        <v>371</v>
      </c>
      <c r="C1228" s="22">
        <v>13200</v>
      </c>
      <c r="D1228" s="23">
        <v>0</v>
      </c>
      <c r="E1228" s="24">
        <v>0</v>
      </c>
    </row>
    <row r="1229" spans="1:5" x14ac:dyDescent="0.3">
      <c r="A1229" s="20" t="s">
        <v>397</v>
      </c>
      <c r="B1229" s="21" t="s">
        <v>372</v>
      </c>
      <c r="C1229" s="22">
        <v>13200</v>
      </c>
      <c r="D1229" s="23">
        <v>0</v>
      </c>
      <c r="E1229" s="24">
        <v>0</v>
      </c>
    </row>
    <row r="1230" spans="1:5" x14ac:dyDescent="0.3">
      <c r="A1230" s="20" t="s">
        <v>397</v>
      </c>
      <c r="B1230" s="21" t="s">
        <v>373</v>
      </c>
      <c r="C1230" s="22">
        <v>6600</v>
      </c>
      <c r="D1230" s="23">
        <v>0</v>
      </c>
      <c r="E1230" s="24">
        <v>0</v>
      </c>
    </row>
    <row r="1231" spans="1:5" x14ac:dyDescent="0.3">
      <c r="A1231" s="20" t="s">
        <v>397</v>
      </c>
      <c r="B1231" s="21" t="s">
        <v>374</v>
      </c>
      <c r="C1231" s="22">
        <v>13200</v>
      </c>
      <c r="D1231" s="23">
        <v>0</v>
      </c>
      <c r="E1231" s="24">
        <v>0</v>
      </c>
    </row>
    <row r="1232" spans="1:5" x14ac:dyDescent="0.3">
      <c r="A1232" s="20" t="s">
        <v>397</v>
      </c>
      <c r="B1232" s="21" t="s">
        <v>375</v>
      </c>
      <c r="C1232" s="22">
        <v>13200</v>
      </c>
      <c r="D1232" s="23">
        <v>0</v>
      </c>
      <c r="E1232" s="24">
        <v>0</v>
      </c>
    </row>
    <row r="1233" spans="1:5" x14ac:dyDescent="0.3">
      <c r="A1233" s="20" t="s">
        <v>397</v>
      </c>
      <c r="B1233" s="21" t="s">
        <v>376</v>
      </c>
      <c r="C1233" s="22">
        <v>13200</v>
      </c>
      <c r="D1233" s="23">
        <v>0</v>
      </c>
      <c r="E1233" s="24">
        <v>0</v>
      </c>
    </row>
    <row r="1234" spans="1:5" x14ac:dyDescent="0.3">
      <c r="A1234" s="20" t="s">
        <v>397</v>
      </c>
      <c r="B1234" s="21" t="s">
        <v>377</v>
      </c>
      <c r="C1234" s="22">
        <v>6600</v>
      </c>
      <c r="D1234" s="23">
        <v>0</v>
      </c>
      <c r="E1234" s="24">
        <v>0</v>
      </c>
    </row>
    <row r="1235" spans="1:5" x14ac:dyDescent="0.3">
      <c r="A1235" s="16" t="s">
        <v>400</v>
      </c>
      <c r="B1235" s="16" t="s">
        <v>369</v>
      </c>
      <c r="C1235" s="17">
        <v>0</v>
      </c>
      <c r="D1235" s="18">
        <v>0</v>
      </c>
      <c r="E1235" s="19">
        <v>0</v>
      </c>
    </row>
    <row r="1236" spans="1:5" x14ac:dyDescent="0.3">
      <c r="A1236" s="20" t="s">
        <v>400</v>
      </c>
      <c r="B1236" s="21" t="s">
        <v>370</v>
      </c>
      <c r="C1236" s="22">
        <v>0</v>
      </c>
      <c r="D1236" s="23">
        <v>0</v>
      </c>
      <c r="E1236" s="24">
        <v>0</v>
      </c>
    </row>
    <row r="1237" spans="1:5" x14ac:dyDescent="0.3">
      <c r="A1237" s="16" t="s">
        <v>401</v>
      </c>
      <c r="B1237" s="16" t="s">
        <v>368</v>
      </c>
      <c r="C1237" s="17">
        <v>0</v>
      </c>
      <c r="D1237" s="18">
        <v>0</v>
      </c>
      <c r="E1237" s="19">
        <v>0</v>
      </c>
    </row>
    <row r="1238" spans="1:5" x14ac:dyDescent="0.3">
      <c r="A1238" s="20" t="s">
        <v>401</v>
      </c>
      <c r="B1238" s="21" t="s">
        <v>371</v>
      </c>
      <c r="C1238" s="22">
        <v>0</v>
      </c>
      <c r="D1238" s="23">
        <v>0</v>
      </c>
      <c r="E1238" s="24">
        <v>0</v>
      </c>
    </row>
    <row r="1239" spans="1:5" x14ac:dyDescent="0.3">
      <c r="A1239" s="16" t="s">
        <v>402</v>
      </c>
      <c r="B1239" s="16" t="s">
        <v>366</v>
      </c>
      <c r="C1239" s="17">
        <v>0</v>
      </c>
      <c r="D1239" s="18">
        <v>0</v>
      </c>
      <c r="E1239" s="19">
        <v>0</v>
      </c>
    </row>
    <row r="1240" spans="1:5" x14ac:dyDescent="0.3">
      <c r="A1240" s="16" t="s">
        <v>403</v>
      </c>
      <c r="B1240" s="16" t="s">
        <v>372</v>
      </c>
      <c r="C1240" s="17">
        <v>0</v>
      </c>
      <c r="D1240" s="18">
        <v>0</v>
      </c>
      <c r="E1240" s="19">
        <v>0</v>
      </c>
    </row>
    <row r="1241" spans="1:5" x14ac:dyDescent="0.3">
      <c r="A1241" s="16" t="s">
        <v>404</v>
      </c>
      <c r="B1241" s="16" t="s">
        <v>374</v>
      </c>
      <c r="C1241" s="17">
        <v>0</v>
      </c>
      <c r="D1241" s="18">
        <v>0</v>
      </c>
      <c r="E1241" s="19">
        <v>0</v>
      </c>
    </row>
    <row r="1242" spans="1:5" x14ac:dyDescent="0.3">
      <c r="A1242" s="16" t="s">
        <v>262</v>
      </c>
      <c r="B1242" s="16" t="s">
        <v>366</v>
      </c>
      <c r="C1242" s="17">
        <v>63800</v>
      </c>
      <c r="D1242" s="18">
        <v>0</v>
      </c>
      <c r="E1242" s="19">
        <v>25000</v>
      </c>
    </row>
    <row r="1243" spans="1:5" x14ac:dyDescent="0.3">
      <c r="A1243" s="20" t="s">
        <v>262</v>
      </c>
      <c r="B1243" s="21" t="s">
        <v>367</v>
      </c>
      <c r="C1243" s="22">
        <v>63800</v>
      </c>
      <c r="D1243" s="23">
        <v>0</v>
      </c>
      <c r="E1243" s="24">
        <v>25000</v>
      </c>
    </row>
    <row r="1244" spans="1:5" x14ac:dyDescent="0.3">
      <c r="A1244" s="20" t="s">
        <v>262</v>
      </c>
      <c r="B1244" s="21" t="s">
        <v>368</v>
      </c>
      <c r="C1244" s="22">
        <v>63800</v>
      </c>
      <c r="D1244" s="23">
        <v>0</v>
      </c>
      <c r="E1244" s="24">
        <v>25000</v>
      </c>
    </row>
    <row r="1245" spans="1:5" x14ac:dyDescent="0.3">
      <c r="A1245" s="20" t="s">
        <v>262</v>
      </c>
      <c r="B1245" s="21" t="s">
        <v>369</v>
      </c>
      <c r="C1245" s="22">
        <v>63800</v>
      </c>
      <c r="D1245" s="23">
        <v>0</v>
      </c>
      <c r="E1245" s="24">
        <v>20000</v>
      </c>
    </row>
    <row r="1246" spans="1:5" x14ac:dyDescent="0.3">
      <c r="A1246" s="20" t="s">
        <v>262</v>
      </c>
      <c r="B1246" s="21" t="s">
        <v>370</v>
      </c>
      <c r="C1246" s="22">
        <v>63800</v>
      </c>
      <c r="D1246" s="23">
        <v>0</v>
      </c>
      <c r="E1246" s="24">
        <v>25000</v>
      </c>
    </row>
    <row r="1247" spans="1:5" x14ac:dyDescent="0.3">
      <c r="A1247" s="20" t="s">
        <v>262</v>
      </c>
      <c r="B1247" s="21" t="s">
        <v>371</v>
      </c>
      <c r="C1247" s="22">
        <v>63800</v>
      </c>
      <c r="D1247" s="23">
        <v>0</v>
      </c>
      <c r="E1247" s="24">
        <v>25000</v>
      </c>
    </row>
    <row r="1248" spans="1:5" x14ac:dyDescent="0.3">
      <c r="A1248" s="20" t="s">
        <v>262</v>
      </c>
      <c r="B1248" s="21" t="s">
        <v>372</v>
      </c>
      <c r="C1248" s="22">
        <v>63800</v>
      </c>
      <c r="D1248" s="23">
        <v>0</v>
      </c>
      <c r="E1248" s="24">
        <v>25000</v>
      </c>
    </row>
    <row r="1249" spans="1:5" x14ac:dyDescent="0.3">
      <c r="A1249" s="20" t="s">
        <v>262</v>
      </c>
      <c r="B1249" s="21" t="s">
        <v>373</v>
      </c>
      <c r="C1249" s="22">
        <v>31900</v>
      </c>
      <c r="D1249" s="23">
        <v>0</v>
      </c>
      <c r="E1249" s="24">
        <v>25000</v>
      </c>
    </row>
    <row r="1250" spans="1:5" x14ac:dyDescent="0.3">
      <c r="A1250" s="20" t="s">
        <v>262</v>
      </c>
      <c r="B1250" s="21" t="s">
        <v>374</v>
      </c>
      <c r="C1250" s="22">
        <v>63800</v>
      </c>
      <c r="D1250" s="23">
        <v>0</v>
      </c>
      <c r="E1250" s="24">
        <v>25000</v>
      </c>
    </row>
    <row r="1251" spans="1:5" x14ac:dyDescent="0.3">
      <c r="A1251" s="20" t="s">
        <v>262</v>
      </c>
      <c r="B1251" s="21" t="s">
        <v>375</v>
      </c>
      <c r="C1251" s="22">
        <v>63800</v>
      </c>
      <c r="D1251" s="23">
        <v>0</v>
      </c>
      <c r="E1251" s="24">
        <v>25000</v>
      </c>
    </row>
    <row r="1252" spans="1:5" x14ac:dyDescent="0.3">
      <c r="A1252" s="20" t="s">
        <v>262</v>
      </c>
      <c r="B1252" s="21" t="s">
        <v>376</v>
      </c>
      <c r="C1252" s="22">
        <v>63800</v>
      </c>
      <c r="D1252" s="23">
        <v>0</v>
      </c>
      <c r="E1252" s="24">
        <v>25000</v>
      </c>
    </row>
    <row r="1253" spans="1:5" x14ac:dyDescent="0.3">
      <c r="A1253" s="20" t="s">
        <v>262</v>
      </c>
      <c r="B1253" s="21" t="s">
        <v>377</v>
      </c>
      <c r="C1253" s="22">
        <v>31900</v>
      </c>
      <c r="D1253" s="23">
        <v>0</v>
      </c>
      <c r="E1253" s="24">
        <v>25000</v>
      </c>
    </row>
    <row r="1254" spans="1:5" x14ac:dyDescent="0.3">
      <c r="A1254" s="16" t="s">
        <v>405</v>
      </c>
      <c r="B1254" s="16" t="s">
        <v>371</v>
      </c>
      <c r="C1254" s="17">
        <v>0</v>
      </c>
      <c r="D1254" s="18">
        <v>0</v>
      </c>
      <c r="E1254" s="19">
        <v>0</v>
      </c>
    </row>
    <row r="1255" spans="1:5" x14ac:dyDescent="0.3">
      <c r="A1255" s="16" t="s">
        <v>7</v>
      </c>
      <c r="B1255" s="16" t="s">
        <v>366</v>
      </c>
      <c r="C1255" s="17">
        <v>0</v>
      </c>
      <c r="D1255" s="18">
        <v>0</v>
      </c>
      <c r="E1255" s="19">
        <v>0</v>
      </c>
    </row>
    <row r="1256" spans="1:5" x14ac:dyDescent="0.3">
      <c r="A1256" s="20" t="s">
        <v>7</v>
      </c>
      <c r="B1256" s="21" t="s">
        <v>370</v>
      </c>
      <c r="C1256" s="22">
        <v>0</v>
      </c>
      <c r="D1256" s="23">
        <v>0</v>
      </c>
      <c r="E1256" s="24">
        <v>0</v>
      </c>
    </row>
    <row r="1257" spans="1:5" x14ac:dyDescent="0.3">
      <c r="A1257" s="20" t="s">
        <v>7</v>
      </c>
      <c r="B1257" s="21" t="s">
        <v>372</v>
      </c>
      <c r="C1257" s="22">
        <v>0</v>
      </c>
      <c r="D1257" s="23">
        <v>0</v>
      </c>
      <c r="E1257" s="24">
        <v>0</v>
      </c>
    </row>
    <row r="1258" spans="1:5" x14ac:dyDescent="0.3">
      <c r="A1258" s="16" t="s">
        <v>406</v>
      </c>
      <c r="B1258" s="16" t="s">
        <v>372</v>
      </c>
      <c r="C1258" s="17">
        <v>0</v>
      </c>
      <c r="D1258" s="18">
        <v>0</v>
      </c>
      <c r="E1258" s="19">
        <v>0</v>
      </c>
    </row>
    <row r="1259" spans="1:5" x14ac:dyDescent="0.3">
      <c r="A1259" s="16" t="s">
        <v>125</v>
      </c>
      <c r="B1259" s="16" t="s">
        <v>369</v>
      </c>
      <c r="C1259" s="17">
        <v>0</v>
      </c>
      <c r="D1259" s="18">
        <v>0</v>
      </c>
      <c r="E1259" s="19">
        <v>0</v>
      </c>
    </row>
    <row r="1260" spans="1:5" x14ac:dyDescent="0.3">
      <c r="A1260" s="16" t="s">
        <v>164</v>
      </c>
      <c r="B1260" s="16" t="s">
        <v>366</v>
      </c>
      <c r="C1260" s="17">
        <v>80000</v>
      </c>
      <c r="D1260" s="18">
        <v>40000</v>
      </c>
      <c r="E1260" s="19">
        <v>0</v>
      </c>
    </row>
    <row r="1261" spans="1:5" x14ac:dyDescent="0.3">
      <c r="A1261" s="20" t="s">
        <v>164</v>
      </c>
      <c r="B1261" s="21" t="s">
        <v>367</v>
      </c>
      <c r="C1261" s="22">
        <v>80000</v>
      </c>
      <c r="D1261" s="23">
        <v>60000</v>
      </c>
      <c r="E1261" s="24">
        <v>0</v>
      </c>
    </row>
    <row r="1262" spans="1:5" x14ac:dyDescent="0.3">
      <c r="A1262" s="20" t="s">
        <v>164</v>
      </c>
      <c r="B1262" s="21" t="s">
        <v>368</v>
      </c>
      <c r="C1262" s="22">
        <v>80000</v>
      </c>
      <c r="D1262" s="23">
        <v>20000</v>
      </c>
      <c r="E1262" s="24">
        <v>0</v>
      </c>
    </row>
    <row r="1263" spans="1:5" x14ac:dyDescent="0.3">
      <c r="A1263" s="20" t="s">
        <v>164</v>
      </c>
      <c r="B1263" s="21" t="s">
        <v>369</v>
      </c>
      <c r="C1263" s="22">
        <v>80000</v>
      </c>
      <c r="D1263" s="23">
        <v>80000</v>
      </c>
      <c r="E1263" s="24">
        <v>0</v>
      </c>
    </row>
    <row r="1264" spans="1:5" x14ac:dyDescent="0.3">
      <c r="A1264" s="20" t="s">
        <v>164</v>
      </c>
      <c r="B1264" s="21" t="s">
        <v>370</v>
      </c>
      <c r="C1264" s="22">
        <v>60000</v>
      </c>
      <c r="D1264" s="23">
        <v>40000</v>
      </c>
      <c r="E1264" s="24">
        <v>0</v>
      </c>
    </row>
    <row r="1265" spans="1:5" x14ac:dyDescent="0.3">
      <c r="A1265" s="20" t="s">
        <v>164</v>
      </c>
      <c r="B1265" s="21" t="s">
        <v>371</v>
      </c>
      <c r="C1265" s="22">
        <v>80000</v>
      </c>
      <c r="D1265" s="23">
        <v>60000</v>
      </c>
      <c r="E1265" s="24">
        <v>0</v>
      </c>
    </row>
    <row r="1266" spans="1:5" x14ac:dyDescent="0.3">
      <c r="A1266" s="20" t="s">
        <v>164</v>
      </c>
      <c r="B1266" s="21" t="s">
        <v>372</v>
      </c>
      <c r="C1266" s="22">
        <v>80000</v>
      </c>
      <c r="D1266" s="23">
        <v>100000</v>
      </c>
      <c r="E1266" s="24">
        <v>0</v>
      </c>
    </row>
    <row r="1267" spans="1:5" x14ac:dyDescent="0.3">
      <c r="A1267" s="20" t="s">
        <v>164</v>
      </c>
      <c r="B1267" s="21" t="s">
        <v>373</v>
      </c>
      <c r="C1267" s="22">
        <v>80000</v>
      </c>
      <c r="D1267" s="23">
        <v>60000</v>
      </c>
      <c r="E1267" s="24">
        <v>0</v>
      </c>
    </row>
    <row r="1268" spans="1:5" x14ac:dyDescent="0.3">
      <c r="A1268" s="20" t="s">
        <v>164</v>
      </c>
      <c r="B1268" s="21" t="s">
        <v>374</v>
      </c>
      <c r="C1268" s="22">
        <v>80000</v>
      </c>
      <c r="D1268" s="23">
        <v>40000</v>
      </c>
      <c r="E1268" s="24">
        <v>0</v>
      </c>
    </row>
    <row r="1269" spans="1:5" x14ac:dyDescent="0.3">
      <c r="A1269" s="20" t="s">
        <v>164</v>
      </c>
      <c r="B1269" s="21" t="s">
        <v>375</v>
      </c>
      <c r="C1269" s="22">
        <v>80000</v>
      </c>
      <c r="D1269" s="23">
        <v>60000</v>
      </c>
      <c r="E1269" s="24">
        <v>0</v>
      </c>
    </row>
    <row r="1270" spans="1:5" x14ac:dyDescent="0.3">
      <c r="A1270" s="20" t="s">
        <v>164</v>
      </c>
      <c r="B1270" s="21" t="s">
        <v>376</v>
      </c>
      <c r="C1270" s="22">
        <v>80000</v>
      </c>
      <c r="D1270" s="23">
        <v>60000</v>
      </c>
      <c r="E1270" s="24">
        <v>0</v>
      </c>
    </row>
    <row r="1271" spans="1:5" x14ac:dyDescent="0.3">
      <c r="A1271" s="20" t="s">
        <v>164</v>
      </c>
      <c r="B1271" s="21" t="s">
        <v>377</v>
      </c>
      <c r="C1271" s="22">
        <v>60000</v>
      </c>
      <c r="D1271" s="23">
        <v>100000</v>
      </c>
      <c r="E1271" s="24">
        <v>0</v>
      </c>
    </row>
    <row r="1272" spans="1:5" x14ac:dyDescent="0.3">
      <c r="A1272" s="16" t="s">
        <v>165</v>
      </c>
      <c r="B1272" s="16" t="s">
        <v>366</v>
      </c>
      <c r="C1272" s="17">
        <v>80000</v>
      </c>
      <c r="D1272" s="18">
        <v>40000</v>
      </c>
      <c r="E1272" s="19">
        <v>0</v>
      </c>
    </row>
    <row r="1273" spans="1:5" x14ac:dyDescent="0.3">
      <c r="A1273" s="20" t="s">
        <v>165</v>
      </c>
      <c r="B1273" s="21" t="s">
        <v>367</v>
      </c>
      <c r="C1273" s="22">
        <v>80000</v>
      </c>
      <c r="D1273" s="23">
        <v>60000</v>
      </c>
      <c r="E1273" s="24">
        <v>0</v>
      </c>
    </row>
    <row r="1274" spans="1:5" x14ac:dyDescent="0.3">
      <c r="A1274" s="20" t="s">
        <v>165</v>
      </c>
      <c r="B1274" s="21" t="s">
        <v>368</v>
      </c>
      <c r="C1274" s="22">
        <v>80000</v>
      </c>
      <c r="D1274" s="23">
        <v>20000</v>
      </c>
      <c r="E1274" s="24">
        <v>0</v>
      </c>
    </row>
    <row r="1275" spans="1:5" x14ac:dyDescent="0.3">
      <c r="A1275" s="20" t="s">
        <v>165</v>
      </c>
      <c r="B1275" s="21" t="s">
        <v>369</v>
      </c>
      <c r="C1275" s="22">
        <v>80000</v>
      </c>
      <c r="D1275" s="23">
        <v>80000</v>
      </c>
      <c r="E1275" s="24">
        <v>0</v>
      </c>
    </row>
    <row r="1276" spans="1:5" x14ac:dyDescent="0.3">
      <c r="A1276" s="20" t="s">
        <v>165</v>
      </c>
      <c r="B1276" s="21" t="s">
        <v>370</v>
      </c>
      <c r="C1276" s="22">
        <v>60000</v>
      </c>
      <c r="D1276" s="23">
        <v>40000</v>
      </c>
      <c r="E1276" s="24">
        <v>0</v>
      </c>
    </row>
    <row r="1277" spans="1:5" x14ac:dyDescent="0.3">
      <c r="A1277" s="20" t="s">
        <v>165</v>
      </c>
      <c r="B1277" s="21" t="s">
        <v>371</v>
      </c>
      <c r="C1277" s="22">
        <v>80000</v>
      </c>
      <c r="D1277" s="23">
        <v>60000</v>
      </c>
      <c r="E1277" s="24">
        <v>0</v>
      </c>
    </row>
    <row r="1278" spans="1:5" x14ac:dyDescent="0.3">
      <c r="A1278" s="20" t="s">
        <v>165</v>
      </c>
      <c r="B1278" s="21" t="s">
        <v>372</v>
      </c>
      <c r="C1278" s="22">
        <v>80000</v>
      </c>
      <c r="D1278" s="23">
        <v>100000</v>
      </c>
      <c r="E1278" s="24">
        <v>0</v>
      </c>
    </row>
    <row r="1279" spans="1:5" x14ac:dyDescent="0.3">
      <c r="A1279" s="20" t="s">
        <v>165</v>
      </c>
      <c r="B1279" s="21" t="s">
        <v>373</v>
      </c>
      <c r="C1279" s="22">
        <v>80000</v>
      </c>
      <c r="D1279" s="23">
        <v>60000</v>
      </c>
      <c r="E1279" s="24">
        <v>0</v>
      </c>
    </row>
    <row r="1280" spans="1:5" x14ac:dyDescent="0.3">
      <c r="A1280" s="20" t="s">
        <v>165</v>
      </c>
      <c r="B1280" s="21" t="s">
        <v>374</v>
      </c>
      <c r="C1280" s="22">
        <v>80000</v>
      </c>
      <c r="D1280" s="23">
        <v>40000</v>
      </c>
      <c r="E1280" s="24">
        <v>0</v>
      </c>
    </row>
    <row r="1281" spans="1:5" x14ac:dyDescent="0.3">
      <c r="A1281" s="20" t="s">
        <v>165</v>
      </c>
      <c r="B1281" s="21" t="s">
        <v>375</v>
      </c>
      <c r="C1281" s="22">
        <v>80000</v>
      </c>
      <c r="D1281" s="23">
        <v>60000</v>
      </c>
      <c r="E1281" s="24">
        <v>0</v>
      </c>
    </row>
    <row r="1282" spans="1:5" x14ac:dyDescent="0.3">
      <c r="A1282" s="20" t="s">
        <v>165</v>
      </c>
      <c r="B1282" s="21" t="s">
        <v>376</v>
      </c>
      <c r="C1282" s="22">
        <v>80000</v>
      </c>
      <c r="D1282" s="23">
        <v>60000</v>
      </c>
      <c r="E1282" s="24">
        <v>0</v>
      </c>
    </row>
    <row r="1283" spans="1:5" x14ac:dyDescent="0.3">
      <c r="A1283" s="20" t="s">
        <v>165</v>
      </c>
      <c r="B1283" s="21" t="s">
        <v>377</v>
      </c>
      <c r="C1283" s="22">
        <v>60000</v>
      </c>
      <c r="D1283" s="23">
        <v>100000</v>
      </c>
      <c r="E1283" s="24">
        <v>0</v>
      </c>
    </row>
    <row r="1284" spans="1:5" x14ac:dyDescent="0.3">
      <c r="A1284" s="16" t="s">
        <v>167</v>
      </c>
      <c r="B1284" s="16" t="s">
        <v>366</v>
      </c>
      <c r="C1284" s="17">
        <v>0</v>
      </c>
      <c r="D1284" s="18">
        <v>0</v>
      </c>
      <c r="E1284" s="19">
        <v>0</v>
      </c>
    </row>
    <row r="1285" spans="1:5" x14ac:dyDescent="0.3">
      <c r="A1285" s="20" t="s">
        <v>167</v>
      </c>
      <c r="B1285" s="21" t="s">
        <v>368</v>
      </c>
      <c r="C1285" s="22">
        <v>0</v>
      </c>
      <c r="D1285" s="23">
        <v>0</v>
      </c>
      <c r="E1285" s="24">
        <v>0</v>
      </c>
    </row>
    <row r="1286" spans="1:5" x14ac:dyDescent="0.3">
      <c r="A1286" s="20" t="s">
        <v>167</v>
      </c>
      <c r="B1286" s="21" t="s">
        <v>371</v>
      </c>
      <c r="C1286" s="22">
        <v>0</v>
      </c>
      <c r="D1286" s="23">
        <v>0</v>
      </c>
      <c r="E1286" s="24">
        <v>0</v>
      </c>
    </row>
    <row r="1287" spans="1:5" x14ac:dyDescent="0.3">
      <c r="A1287" s="16" t="s">
        <v>407</v>
      </c>
      <c r="B1287" s="16" t="s">
        <v>366</v>
      </c>
      <c r="C1287" s="17">
        <v>0</v>
      </c>
      <c r="D1287" s="18">
        <v>16000</v>
      </c>
      <c r="E1287" s="19">
        <v>0</v>
      </c>
    </row>
    <row r="1288" spans="1:5" x14ac:dyDescent="0.3">
      <c r="A1288" s="20" t="s">
        <v>407</v>
      </c>
      <c r="B1288" s="21" t="s">
        <v>367</v>
      </c>
      <c r="C1288" s="22">
        <v>16000</v>
      </c>
      <c r="D1288" s="23">
        <v>16000</v>
      </c>
      <c r="E1288" s="24">
        <v>0</v>
      </c>
    </row>
    <row r="1289" spans="1:5" x14ac:dyDescent="0.3">
      <c r="A1289" s="20" t="s">
        <v>407</v>
      </c>
      <c r="B1289" s="21" t="s">
        <v>368</v>
      </c>
      <c r="C1289" s="22">
        <v>16000</v>
      </c>
      <c r="D1289" s="23">
        <v>0</v>
      </c>
      <c r="E1289" s="24">
        <v>0</v>
      </c>
    </row>
    <row r="1290" spans="1:5" x14ac:dyDescent="0.3">
      <c r="A1290" s="20" t="s">
        <v>407</v>
      </c>
      <c r="B1290" s="21" t="s">
        <v>369</v>
      </c>
      <c r="C1290" s="22">
        <v>0</v>
      </c>
      <c r="D1290" s="23">
        <v>16000</v>
      </c>
      <c r="E1290" s="24">
        <v>0</v>
      </c>
    </row>
    <row r="1291" spans="1:5" x14ac:dyDescent="0.3">
      <c r="A1291" s="20" t="s">
        <v>407</v>
      </c>
      <c r="B1291" s="21" t="s">
        <v>370</v>
      </c>
      <c r="C1291" s="22">
        <v>16000</v>
      </c>
      <c r="D1291" s="23">
        <v>16000</v>
      </c>
      <c r="E1291" s="24">
        <v>0</v>
      </c>
    </row>
    <row r="1292" spans="1:5" x14ac:dyDescent="0.3">
      <c r="A1292" s="20" t="s">
        <v>407</v>
      </c>
      <c r="B1292" s="21" t="s">
        <v>371</v>
      </c>
      <c r="C1292" s="22">
        <v>0</v>
      </c>
      <c r="D1292" s="23">
        <v>0</v>
      </c>
      <c r="E1292" s="24">
        <v>0</v>
      </c>
    </row>
    <row r="1293" spans="1:5" x14ac:dyDescent="0.3">
      <c r="A1293" s="20" t="s">
        <v>407</v>
      </c>
      <c r="B1293" s="21" t="s">
        <v>372</v>
      </c>
      <c r="C1293" s="22">
        <v>16000</v>
      </c>
      <c r="D1293" s="23">
        <v>16000</v>
      </c>
      <c r="E1293" s="24">
        <v>0</v>
      </c>
    </row>
    <row r="1294" spans="1:5" x14ac:dyDescent="0.3">
      <c r="A1294" s="20" t="s">
        <v>407</v>
      </c>
      <c r="B1294" s="21" t="s">
        <v>373</v>
      </c>
      <c r="C1294" s="22">
        <v>0</v>
      </c>
      <c r="D1294" s="23">
        <v>16000</v>
      </c>
      <c r="E1294" s="24">
        <v>0</v>
      </c>
    </row>
    <row r="1295" spans="1:5" x14ac:dyDescent="0.3">
      <c r="A1295" s="20" t="s">
        <v>407</v>
      </c>
      <c r="B1295" s="21" t="s">
        <v>374</v>
      </c>
      <c r="C1295" s="22">
        <v>16000</v>
      </c>
      <c r="D1295" s="23">
        <v>16000</v>
      </c>
      <c r="E1295" s="24">
        <v>0</v>
      </c>
    </row>
    <row r="1296" spans="1:5" x14ac:dyDescent="0.3">
      <c r="A1296" s="20" t="s">
        <v>407</v>
      </c>
      <c r="B1296" s="21" t="s">
        <v>375</v>
      </c>
      <c r="C1296" s="22">
        <v>0</v>
      </c>
      <c r="D1296" s="23">
        <v>0</v>
      </c>
      <c r="E1296" s="24">
        <v>0</v>
      </c>
    </row>
    <row r="1297" spans="1:5" x14ac:dyDescent="0.3">
      <c r="A1297" s="20" t="s">
        <v>407</v>
      </c>
      <c r="B1297" s="21" t="s">
        <v>376</v>
      </c>
      <c r="C1297" s="22">
        <v>0</v>
      </c>
      <c r="D1297" s="23">
        <v>16000</v>
      </c>
      <c r="E1297" s="24">
        <v>0</v>
      </c>
    </row>
    <row r="1298" spans="1:5" x14ac:dyDescent="0.3">
      <c r="A1298" s="20" t="s">
        <v>407</v>
      </c>
      <c r="B1298" s="21" t="s">
        <v>377</v>
      </c>
      <c r="C1298" s="22">
        <v>16000</v>
      </c>
      <c r="D1298" s="23">
        <v>16000</v>
      </c>
      <c r="E1298" s="24">
        <v>0</v>
      </c>
    </row>
    <row r="1299" spans="1:5" x14ac:dyDescent="0.3">
      <c r="A1299" s="16" t="s">
        <v>258</v>
      </c>
      <c r="B1299" s="16" t="s">
        <v>366</v>
      </c>
      <c r="C1299" s="17">
        <v>20000</v>
      </c>
      <c r="D1299" s="18">
        <v>0</v>
      </c>
      <c r="E1299" s="19">
        <v>0</v>
      </c>
    </row>
    <row r="1300" spans="1:5" x14ac:dyDescent="0.3">
      <c r="A1300" s="20" t="s">
        <v>258</v>
      </c>
      <c r="B1300" s="21" t="s">
        <v>367</v>
      </c>
      <c r="C1300" s="22">
        <v>20000</v>
      </c>
      <c r="D1300" s="23">
        <v>20000</v>
      </c>
      <c r="E1300" s="24">
        <v>0</v>
      </c>
    </row>
    <row r="1301" spans="1:5" x14ac:dyDescent="0.3">
      <c r="A1301" s="20" t="s">
        <v>258</v>
      </c>
      <c r="B1301" s="21" t="s">
        <v>368</v>
      </c>
      <c r="C1301" s="22">
        <v>20000</v>
      </c>
      <c r="D1301" s="23">
        <v>20000</v>
      </c>
      <c r="E1301" s="24">
        <v>0</v>
      </c>
    </row>
    <row r="1302" spans="1:5" x14ac:dyDescent="0.3">
      <c r="A1302" s="20" t="s">
        <v>258</v>
      </c>
      <c r="B1302" s="21" t="s">
        <v>369</v>
      </c>
      <c r="C1302" s="22">
        <v>20000</v>
      </c>
      <c r="D1302" s="23">
        <v>0</v>
      </c>
      <c r="E1302" s="24">
        <v>0</v>
      </c>
    </row>
    <row r="1303" spans="1:5" x14ac:dyDescent="0.3">
      <c r="A1303" s="20" t="s">
        <v>258</v>
      </c>
      <c r="B1303" s="21" t="s">
        <v>370</v>
      </c>
      <c r="C1303" s="22">
        <v>0</v>
      </c>
      <c r="D1303" s="23">
        <v>20000</v>
      </c>
      <c r="E1303" s="24">
        <v>0</v>
      </c>
    </row>
    <row r="1304" spans="1:5" x14ac:dyDescent="0.3">
      <c r="A1304" s="20" t="s">
        <v>258</v>
      </c>
      <c r="B1304" s="21" t="s">
        <v>371</v>
      </c>
      <c r="C1304" s="22">
        <v>20000</v>
      </c>
      <c r="D1304" s="23">
        <v>0</v>
      </c>
      <c r="E1304" s="24">
        <v>0</v>
      </c>
    </row>
    <row r="1305" spans="1:5" x14ac:dyDescent="0.3">
      <c r="A1305" s="20" t="s">
        <v>258</v>
      </c>
      <c r="B1305" s="21" t="s">
        <v>372</v>
      </c>
      <c r="C1305" s="22">
        <v>20000</v>
      </c>
      <c r="D1305" s="23">
        <v>20000</v>
      </c>
      <c r="E1305" s="24">
        <v>0</v>
      </c>
    </row>
    <row r="1306" spans="1:5" x14ac:dyDescent="0.3">
      <c r="A1306" s="20" t="s">
        <v>258</v>
      </c>
      <c r="B1306" s="21" t="s">
        <v>373</v>
      </c>
      <c r="C1306" s="22">
        <v>0</v>
      </c>
      <c r="D1306" s="23">
        <v>20000</v>
      </c>
      <c r="E1306" s="24">
        <v>0</v>
      </c>
    </row>
    <row r="1307" spans="1:5" x14ac:dyDescent="0.3">
      <c r="A1307" s="20" t="s">
        <v>258</v>
      </c>
      <c r="B1307" s="21" t="s">
        <v>374</v>
      </c>
      <c r="C1307" s="22">
        <v>20000</v>
      </c>
      <c r="D1307" s="23">
        <v>0</v>
      </c>
      <c r="E1307" s="24">
        <v>0</v>
      </c>
    </row>
    <row r="1308" spans="1:5" x14ac:dyDescent="0.3">
      <c r="A1308" s="20" t="s">
        <v>258</v>
      </c>
      <c r="B1308" s="21" t="s">
        <v>375</v>
      </c>
      <c r="C1308" s="22">
        <v>20000</v>
      </c>
      <c r="D1308" s="23">
        <v>20000</v>
      </c>
      <c r="E1308" s="24">
        <v>0</v>
      </c>
    </row>
    <row r="1309" spans="1:5" x14ac:dyDescent="0.3">
      <c r="A1309" s="20" t="s">
        <v>258</v>
      </c>
      <c r="B1309" s="21" t="s">
        <v>376</v>
      </c>
      <c r="C1309" s="22">
        <v>20000</v>
      </c>
      <c r="D1309" s="23">
        <v>20000</v>
      </c>
      <c r="E1309" s="24">
        <v>0</v>
      </c>
    </row>
    <row r="1310" spans="1:5" x14ac:dyDescent="0.3">
      <c r="A1310" s="20" t="s">
        <v>258</v>
      </c>
      <c r="B1310" s="21" t="s">
        <v>377</v>
      </c>
      <c r="C1310" s="22">
        <v>20000</v>
      </c>
      <c r="D1310" s="23">
        <v>40000</v>
      </c>
      <c r="E1310" s="24">
        <v>0</v>
      </c>
    </row>
    <row r="1311" spans="1:5" x14ac:dyDescent="0.3">
      <c r="A1311" s="16" t="s">
        <v>258</v>
      </c>
      <c r="B1311" s="16" t="s">
        <v>375</v>
      </c>
      <c r="C1311" s="17">
        <v>0</v>
      </c>
      <c r="D1311" s="18">
        <v>0</v>
      </c>
      <c r="E1311" s="19">
        <v>0</v>
      </c>
    </row>
    <row r="1312" spans="1:5" x14ac:dyDescent="0.3">
      <c r="A1312" s="16" t="s">
        <v>9</v>
      </c>
      <c r="B1312" s="16" t="s">
        <v>366</v>
      </c>
      <c r="C1312" s="17">
        <v>60000</v>
      </c>
      <c r="D1312" s="18">
        <v>72000</v>
      </c>
      <c r="E1312" s="19">
        <v>0</v>
      </c>
    </row>
    <row r="1313" spans="1:5" x14ac:dyDescent="0.3">
      <c r="A1313" s="20" t="s">
        <v>9</v>
      </c>
      <c r="B1313" s="21" t="s">
        <v>367</v>
      </c>
      <c r="C1313" s="22">
        <v>60000</v>
      </c>
      <c r="D1313" s="23">
        <v>72000</v>
      </c>
      <c r="E1313" s="24">
        <v>0</v>
      </c>
    </row>
    <row r="1314" spans="1:5" x14ac:dyDescent="0.3">
      <c r="A1314" s="20" t="s">
        <v>9</v>
      </c>
      <c r="B1314" s="21" t="s">
        <v>368</v>
      </c>
      <c r="C1314" s="22">
        <v>60000</v>
      </c>
      <c r="D1314" s="23">
        <v>72000</v>
      </c>
      <c r="E1314" s="24">
        <v>0</v>
      </c>
    </row>
    <row r="1315" spans="1:5" x14ac:dyDescent="0.3">
      <c r="A1315" s="20" t="s">
        <v>9</v>
      </c>
      <c r="B1315" s="21" t="s">
        <v>369</v>
      </c>
      <c r="C1315" s="22">
        <v>60000</v>
      </c>
      <c r="D1315" s="23">
        <v>60000</v>
      </c>
      <c r="E1315" s="24">
        <v>0</v>
      </c>
    </row>
    <row r="1316" spans="1:5" x14ac:dyDescent="0.3">
      <c r="A1316" s="20" t="s">
        <v>9</v>
      </c>
      <c r="B1316" s="21" t="s">
        <v>370</v>
      </c>
      <c r="C1316" s="22">
        <v>60000</v>
      </c>
      <c r="D1316" s="23">
        <v>84000</v>
      </c>
      <c r="E1316" s="24">
        <v>0</v>
      </c>
    </row>
    <row r="1317" spans="1:5" x14ac:dyDescent="0.3">
      <c r="A1317" s="20" t="s">
        <v>9</v>
      </c>
      <c r="B1317" s="21" t="s">
        <v>371</v>
      </c>
      <c r="C1317" s="22">
        <v>24000</v>
      </c>
      <c r="D1317" s="23">
        <v>24000</v>
      </c>
      <c r="E1317" s="24">
        <v>0</v>
      </c>
    </row>
    <row r="1318" spans="1:5" x14ac:dyDescent="0.3">
      <c r="A1318" s="20" t="s">
        <v>9</v>
      </c>
      <c r="B1318" s="21" t="s">
        <v>372</v>
      </c>
      <c r="C1318" s="22">
        <v>84000</v>
      </c>
      <c r="D1318" s="23">
        <v>60000</v>
      </c>
      <c r="E1318" s="24">
        <v>0</v>
      </c>
    </row>
    <row r="1319" spans="1:5" x14ac:dyDescent="0.3">
      <c r="A1319" s="20" t="s">
        <v>9</v>
      </c>
      <c r="B1319" s="21" t="s">
        <v>373</v>
      </c>
      <c r="C1319" s="22">
        <v>60000</v>
      </c>
      <c r="D1319" s="23">
        <v>96000</v>
      </c>
      <c r="E1319" s="24">
        <v>0</v>
      </c>
    </row>
    <row r="1320" spans="1:5" x14ac:dyDescent="0.3">
      <c r="A1320" s="20" t="s">
        <v>9</v>
      </c>
      <c r="B1320" s="21" t="s">
        <v>374</v>
      </c>
      <c r="C1320" s="22">
        <v>84000</v>
      </c>
      <c r="D1320" s="23">
        <v>96000</v>
      </c>
      <c r="E1320" s="24">
        <v>0</v>
      </c>
    </row>
    <row r="1321" spans="1:5" x14ac:dyDescent="0.3">
      <c r="A1321" s="20" t="s">
        <v>9</v>
      </c>
      <c r="B1321" s="21" t="s">
        <v>375</v>
      </c>
      <c r="C1321" s="22">
        <v>60000</v>
      </c>
      <c r="D1321" s="23">
        <v>72000</v>
      </c>
      <c r="E1321" s="24">
        <v>0</v>
      </c>
    </row>
    <row r="1322" spans="1:5" x14ac:dyDescent="0.3">
      <c r="A1322" s="20" t="s">
        <v>9</v>
      </c>
      <c r="B1322" s="21" t="s">
        <v>376</v>
      </c>
      <c r="C1322" s="22">
        <v>36000</v>
      </c>
      <c r="D1322" s="23">
        <v>48000</v>
      </c>
      <c r="E1322" s="24">
        <v>0</v>
      </c>
    </row>
    <row r="1323" spans="1:5" x14ac:dyDescent="0.3">
      <c r="A1323" s="20" t="s">
        <v>9</v>
      </c>
      <c r="B1323" s="21" t="s">
        <v>377</v>
      </c>
      <c r="C1323" s="22">
        <v>60000</v>
      </c>
      <c r="D1323" s="23">
        <v>48000</v>
      </c>
      <c r="E1323" s="24">
        <v>0</v>
      </c>
    </row>
    <row r="1324" spans="1:5" x14ac:dyDescent="0.3">
      <c r="A1324" s="16" t="s">
        <v>160</v>
      </c>
      <c r="B1324" s="16" t="s">
        <v>366</v>
      </c>
      <c r="C1324" s="17">
        <v>30000</v>
      </c>
      <c r="D1324" s="18">
        <v>40000</v>
      </c>
      <c r="E1324" s="19">
        <v>0</v>
      </c>
    </row>
    <row r="1325" spans="1:5" x14ac:dyDescent="0.3">
      <c r="A1325" s="20" t="s">
        <v>160</v>
      </c>
      <c r="B1325" s="21" t="s">
        <v>367</v>
      </c>
      <c r="C1325" s="22">
        <v>20000</v>
      </c>
      <c r="D1325" s="23">
        <v>30000</v>
      </c>
      <c r="E1325" s="24">
        <v>0</v>
      </c>
    </row>
    <row r="1326" spans="1:5" x14ac:dyDescent="0.3">
      <c r="A1326" s="20" t="s">
        <v>160</v>
      </c>
      <c r="B1326" s="21" t="s">
        <v>368</v>
      </c>
      <c r="C1326" s="22">
        <v>20000</v>
      </c>
      <c r="D1326" s="23">
        <v>20000</v>
      </c>
      <c r="E1326" s="24">
        <v>0</v>
      </c>
    </row>
    <row r="1327" spans="1:5" x14ac:dyDescent="0.3">
      <c r="A1327" s="20" t="s">
        <v>160</v>
      </c>
      <c r="B1327" s="21" t="s">
        <v>369</v>
      </c>
      <c r="C1327" s="22">
        <v>30000</v>
      </c>
      <c r="D1327" s="23">
        <v>30000</v>
      </c>
      <c r="E1327" s="24">
        <v>0</v>
      </c>
    </row>
    <row r="1328" spans="1:5" x14ac:dyDescent="0.3">
      <c r="A1328" s="20" t="s">
        <v>160</v>
      </c>
      <c r="B1328" s="21" t="s">
        <v>370</v>
      </c>
      <c r="C1328" s="22">
        <v>30000</v>
      </c>
      <c r="D1328" s="23">
        <v>20000</v>
      </c>
      <c r="E1328" s="24">
        <v>0</v>
      </c>
    </row>
    <row r="1329" spans="1:5" x14ac:dyDescent="0.3">
      <c r="A1329" s="20" t="s">
        <v>160</v>
      </c>
      <c r="B1329" s="21" t="s">
        <v>371</v>
      </c>
      <c r="C1329" s="22">
        <v>30000</v>
      </c>
      <c r="D1329" s="23">
        <v>40000</v>
      </c>
      <c r="E1329" s="24">
        <v>0</v>
      </c>
    </row>
    <row r="1330" spans="1:5" x14ac:dyDescent="0.3">
      <c r="A1330" s="20" t="s">
        <v>160</v>
      </c>
      <c r="B1330" s="21" t="s">
        <v>373</v>
      </c>
      <c r="C1330" s="22">
        <v>30000</v>
      </c>
      <c r="D1330" s="23">
        <v>40000</v>
      </c>
      <c r="E1330" s="24">
        <v>0</v>
      </c>
    </row>
    <row r="1331" spans="1:5" x14ac:dyDescent="0.3">
      <c r="A1331" s="20" t="s">
        <v>160</v>
      </c>
      <c r="B1331" s="21" t="s">
        <v>374</v>
      </c>
      <c r="C1331" s="22">
        <v>20000</v>
      </c>
      <c r="D1331" s="23">
        <v>20000</v>
      </c>
      <c r="E1331" s="24">
        <v>0</v>
      </c>
    </row>
    <row r="1332" spans="1:5" x14ac:dyDescent="0.3">
      <c r="A1332" s="20" t="s">
        <v>160</v>
      </c>
      <c r="B1332" s="21" t="s">
        <v>375</v>
      </c>
      <c r="C1332" s="22">
        <v>30000</v>
      </c>
      <c r="D1332" s="23">
        <v>30000</v>
      </c>
      <c r="E1332" s="24">
        <v>0</v>
      </c>
    </row>
    <row r="1333" spans="1:5" x14ac:dyDescent="0.3">
      <c r="A1333" s="20" t="s">
        <v>160</v>
      </c>
      <c r="B1333" s="21" t="s">
        <v>376</v>
      </c>
      <c r="C1333" s="22">
        <v>30000</v>
      </c>
      <c r="D1333" s="23">
        <v>30000</v>
      </c>
      <c r="E1333" s="24">
        <v>0</v>
      </c>
    </row>
    <row r="1334" spans="1:5" x14ac:dyDescent="0.3">
      <c r="A1334" s="20" t="s">
        <v>160</v>
      </c>
      <c r="B1334" s="21" t="s">
        <v>377</v>
      </c>
      <c r="C1334" s="22">
        <v>20000</v>
      </c>
      <c r="D1334" s="23">
        <v>20000</v>
      </c>
      <c r="E1334" s="24">
        <v>0</v>
      </c>
    </row>
    <row r="1335" spans="1:5" x14ac:dyDescent="0.3">
      <c r="A1335" s="16" t="s">
        <v>164</v>
      </c>
      <c r="B1335" s="16" t="s">
        <v>367</v>
      </c>
      <c r="C1335" s="17">
        <v>0</v>
      </c>
      <c r="D1335" s="18">
        <v>0</v>
      </c>
      <c r="E1335" s="19">
        <v>0</v>
      </c>
    </row>
    <row r="1336" spans="1:5" x14ac:dyDescent="0.3">
      <c r="A1336" s="16" t="s">
        <v>165</v>
      </c>
      <c r="B1336" s="16" t="s">
        <v>367</v>
      </c>
      <c r="C1336" s="17">
        <v>0</v>
      </c>
      <c r="D1336" s="18">
        <v>0</v>
      </c>
      <c r="E1336" s="19">
        <v>0</v>
      </c>
    </row>
    <row r="1337" spans="1:5" x14ac:dyDescent="0.3">
      <c r="A1337" s="16" t="s">
        <v>408</v>
      </c>
      <c r="B1337" s="16" t="s">
        <v>366</v>
      </c>
      <c r="C1337" s="17">
        <v>0</v>
      </c>
      <c r="D1337" s="18">
        <v>0</v>
      </c>
      <c r="E1337" s="19">
        <v>0</v>
      </c>
    </row>
    <row r="1338" spans="1:5" x14ac:dyDescent="0.3">
      <c r="A1338" s="20" t="s">
        <v>408</v>
      </c>
      <c r="B1338" s="21" t="s">
        <v>367</v>
      </c>
      <c r="C1338" s="22">
        <v>0</v>
      </c>
      <c r="D1338" s="23">
        <v>0</v>
      </c>
      <c r="E1338" s="24">
        <v>0</v>
      </c>
    </row>
    <row r="1339" spans="1:5" x14ac:dyDescent="0.3">
      <c r="A1339" s="20" t="s">
        <v>408</v>
      </c>
      <c r="B1339" s="21" t="s">
        <v>369</v>
      </c>
      <c r="C1339" s="22">
        <v>0</v>
      </c>
      <c r="D1339" s="23">
        <v>0</v>
      </c>
      <c r="E1339" s="24">
        <v>0</v>
      </c>
    </row>
    <row r="1340" spans="1:5" x14ac:dyDescent="0.3">
      <c r="A1340" s="20" t="s">
        <v>408</v>
      </c>
      <c r="B1340" s="21" t="s">
        <v>370</v>
      </c>
      <c r="C1340" s="22">
        <v>0</v>
      </c>
      <c r="D1340" s="23">
        <v>0</v>
      </c>
      <c r="E1340" s="24">
        <v>0</v>
      </c>
    </row>
    <row r="1341" spans="1:5" x14ac:dyDescent="0.3">
      <c r="A1341" s="20" t="s">
        <v>408</v>
      </c>
      <c r="B1341" s="21" t="s">
        <v>371</v>
      </c>
      <c r="C1341" s="22">
        <v>0</v>
      </c>
      <c r="D1341" s="23">
        <v>0</v>
      </c>
      <c r="E1341" s="24">
        <v>0</v>
      </c>
    </row>
    <row r="1342" spans="1:5" x14ac:dyDescent="0.3">
      <c r="A1342" s="20" t="s">
        <v>408</v>
      </c>
      <c r="B1342" s="21" t="s">
        <v>374</v>
      </c>
      <c r="C1342" s="22">
        <v>0</v>
      </c>
      <c r="D1342" s="23">
        <v>0</v>
      </c>
      <c r="E1342" s="24">
        <v>0</v>
      </c>
    </row>
    <row r="1343" spans="1:5" x14ac:dyDescent="0.3">
      <c r="A1343" s="20" t="s">
        <v>408</v>
      </c>
      <c r="B1343" s="21" t="s">
        <v>375</v>
      </c>
      <c r="C1343" s="22">
        <v>0</v>
      </c>
      <c r="D1343" s="23">
        <v>0</v>
      </c>
      <c r="E1343" s="24">
        <v>0</v>
      </c>
    </row>
    <row r="1344" spans="1:5" x14ac:dyDescent="0.3">
      <c r="A1344" s="16" t="s">
        <v>409</v>
      </c>
      <c r="B1344" s="16" t="s">
        <v>366</v>
      </c>
      <c r="C1344" s="17">
        <v>0</v>
      </c>
      <c r="D1344" s="18">
        <v>0</v>
      </c>
      <c r="E1344" s="19">
        <v>0</v>
      </c>
    </row>
    <row r="1345" spans="1:5" x14ac:dyDescent="0.3">
      <c r="A1345" s="20" t="s">
        <v>409</v>
      </c>
      <c r="B1345" s="21" t="s">
        <v>367</v>
      </c>
      <c r="C1345" s="22">
        <v>0</v>
      </c>
      <c r="D1345" s="23">
        <v>0</v>
      </c>
      <c r="E1345" s="24">
        <v>0</v>
      </c>
    </row>
    <row r="1346" spans="1:5" x14ac:dyDescent="0.3">
      <c r="A1346" s="20" t="s">
        <v>409</v>
      </c>
      <c r="B1346" s="21" t="s">
        <v>369</v>
      </c>
      <c r="C1346" s="22">
        <v>0</v>
      </c>
      <c r="D1346" s="23">
        <v>0</v>
      </c>
      <c r="E1346" s="24">
        <v>0</v>
      </c>
    </row>
    <row r="1347" spans="1:5" x14ac:dyDescent="0.3">
      <c r="A1347" s="20" t="s">
        <v>409</v>
      </c>
      <c r="B1347" s="21" t="s">
        <v>370</v>
      </c>
      <c r="C1347" s="22">
        <v>0</v>
      </c>
      <c r="D1347" s="23">
        <v>0</v>
      </c>
      <c r="E1347" s="24">
        <v>0</v>
      </c>
    </row>
    <row r="1348" spans="1:5" x14ac:dyDescent="0.3">
      <c r="A1348" s="20" t="s">
        <v>409</v>
      </c>
      <c r="B1348" s="21" t="s">
        <v>371</v>
      </c>
      <c r="C1348" s="22">
        <v>0</v>
      </c>
      <c r="D1348" s="23">
        <v>0</v>
      </c>
      <c r="E1348" s="24">
        <v>0</v>
      </c>
    </row>
    <row r="1349" spans="1:5" x14ac:dyDescent="0.3">
      <c r="A1349" s="20" t="s">
        <v>409</v>
      </c>
      <c r="B1349" s="21" t="s">
        <v>374</v>
      </c>
      <c r="C1349" s="22">
        <v>0</v>
      </c>
      <c r="D1349" s="23">
        <v>0</v>
      </c>
      <c r="E1349" s="24">
        <v>0</v>
      </c>
    </row>
    <row r="1350" spans="1:5" x14ac:dyDescent="0.3">
      <c r="A1350" s="20" t="s">
        <v>409</v>
      </c>
      <c r="B1350" s="21" t="s">
        <v>375</v>
      </c>
      <c r="C1350" s="22">
        <v>0</v>
      </c>
      <c r="D1350" s="23">
        <v>0</v>
      </c>
      <c r="E1350" s="24">
        <v>0</v>
      </c>
    </row>
    <row r="1351" spans="1:5" x14ac:dyDescent="0.3">
      <c r="A1351" s="16" t="s">
        <v>410</v>
      </c>
      <c r="B1351" s="16" t="s">
        <v>366</v>
      </c>
      <c r="C1351" s="17">
        <v>0</v>
      </c>
      <c r="D1351" s="18">
        <v>0</v>
      </c>
      <c r="E1351" s="19">
        <v>0</v>
      </c>
    </row>
    <row r="1352" spans="1:5" x14ac:dyDescent="0.3">
      <c r="A1352" s="20" t="s">
        <v>410</v>
      </c>
      <c r="B1352" s="21" t="s">
        <v>367</v>
      </c>
      <c r="C1352" s="22">
        <v>0</v>
      </c>
      <c r="D1352" s="23">
        <v>0</v>
      </c>
      <c r="E1352" s="24">
        <v>0</v>
      </c>
    </row>
    <row r="1353" spans="1:5" x14ac:dyDescent="0.3">
      <c r="A1353" s="20" t="s">
        <v>410</v>
      </c>
      <c r="B1353" s="21" t="s">
        <v>369</v>
      </c>
      <c r="C1353" s="22">
        <v>0</v>
      </c>
      <c r="D1353" s="23">
        <v>0</v>
      </c>
      <c r="E1353" s="24">
        <v>0</v>
      </c>
    </row>
    <row r="1354" spans="1:5" x14ac:dyDescent="0.3">
      <c r="A1354" s="20" t="s">
        <v>410</v>
      </c>
      <c r="B1354" s="21" t="s">
        <v>370</v>
      </c>
      <c r="C1354" s="22">
        <v>0</v>
      </c>
      <c r="D1354" s="23">
        <v>0</v>
      </c>
      <c r="E1354" s="24">
        <v>0</v>
      </c>
    </row>
    <row r="1355" spans="1:5" x14ac:dyDescent="0.3">
      <c r="A1355" s="20" t="s">
        <v>410</v>
      </c>
      <c r="B1355" s="21" t="s">
        <v>371</v>
      </c>
      <c r="C1355" s="22">
        <v>0</v>
      </c>
      <c r="D1355" s="23">
        <v>0</v>
      </c>
      <c r="E1355" s="24">
        <v>0</v>
      </c>
    </row>
    <row r="1356" spans="1:5" x14ac:dyDescent="0.3">
      <c r="A1356" s="20" t="s">
        <v>410</v>
      </c>
      <c r="B1356" s="21" t="s">
        <v>374</v>
      </c>
      <c r="C1356" s="22">
        <v>0</v>
      </c>
      <c r="D1356" s="23">
        <v>0</v>
      </c>
      <c r="E1356" s="24">
        <v>0</v>
      </c>
    </row>
    <row r="1357" spans="1:5" x14ac:dyDescent="0.3">
      <c r="A1357" s="20" t="s">
        <v>410</v>
      </c>
      <c r="B1357" s="21" t="s">
        <v>375</v>
      </c>
      <c r="C1357" s="22">
        <v>0</v>
      </c>
      <c r="D1357" s="23">
        <v>0</v>
      </c>
      <c r="E1357" s="24">
        <v>0</v>
      </c>
    </row>
    <row r="1358" spans="1:5" x14ac:dyDescent="0.3">
      <c r="A1358" s="16" t="s">
        <v>411</v>
      </c>
      <c r="B1358" s="16" t="s">
        <v>366</v>
      </c>
      <c r="C1358" s="17">
        <v>0</v>
      </c>
      <c r="D1358" s="18">
        <v>0</v>
      </c>
      <c r="E1358" s="19">
        <v>0</v>
      </c>
    </row>
    <row r="1359" spans="1:5" x14ac:dyDescent="0.3">
      <c r="A1359" s="20" t="s">
        <v>411</v>
      </c>
      <c r="B1359" s="21" t="s">
        <v>367</v>
      </c>
      <c r="C1359" s="22">
        <v>0</v>
      </c>
      <c r="D1359" s="23">
        <v>0</v>
      </c>
      <c r="E1359" s="24">
        <v>0</v>
      </c>
    </row>
    <row r="1360" spans="1:5" x14ac:dyDescent="0.3">
      <c r="A1360" s="20" t="s">
        <v>411</v>
      </c>
      <c r="B1360" s="21" t="s">
        <v>369</v>
      </c>
      <c r="C1360" s="22">
        <v>0</v>
      </c>
      <c r="D1360" s="23">
        <v>0</v>
      </c>
      <c r="E1360" s="24">
        <v>0</v>
      </c>
    </row>
    <row r="1361" spans="1:5" x14ac:dyDescent="0.3">
      <c r="A1361" s="20" t="s">
        <v>411</v>
      </c>
      <c r="B1361" s="21" t="s">
        <v>370</v>
      </c>
      <c r="C1361" s="22">
        <v>0</v>
      </c>
      <c r="D1361" s="23">
        <v>0</v>
      </c>
      <c r="E1361" s="24">
        <v>0</v>
      </c>
    </row>
    <row r="1362" spans="1:5" x14ac:dyDescent="0.3">
      <c r="A1362" s="20" t="s">
        <v>411</v>
      </c>
      <c r="B1362" s="21" t="s">
        <v>371</v>
      </c>
      <c r="C1362" s="22">
        <v>0</v>
      </c>
      <c r="D1362" s="23">
        <v>0</v>
      </c>
      <c r="E1362" s="24">
        <v>0</v>
      </c>
    </row>
    <row r="1363" spans="1:5" x14ac:dyDescent="0.3">
      <c r="A1363" s="20" t="s">
        <v>411</v>
      </c>
      <c r="B1363" s="21" t="s">
        <v>374</v>
      </c>
      <c r="C1363" s="22">
        <v>0</v>
      </c>
      <c r="D1363" s="23">
        <v>0</v>
      </c>
      <c r="E1363" s="24">
        <v>0</v>
      </c>
    </row>
    <row r="1364" spans="1:5" x14ac:dyDescent="0.3">
      <c r="A1364" s="20" t="s">
        <v>411</v>
      </c>
      <c r="B1364" s="21" t="s">
        <v>375</v>
      </c>
      <c r="C1364" s="22">
        <v>0</v>
      </c>
      <c r="D1364" s="23">
        <v>0</v>
      </c>
      <c r="E1364" s="24">
        <v>0</v>
      </c>
    </row>
    <row r="1365" spans="1:5" x14ac:dyDescent="0.3">
      <c r="A1365" s="16" t="s">
        <v>10</v>
      </c>
      <c r="B1365" s="16" t="s">
        <v>366</v>
      </c>
      <c r="C1365" s="17">
        <v>0</v>
      </c>
      <c r="D1365" s="18">
        <v>10000</v>
      </c>
      <c r="E1365" s="19">
        <v>0</v>
      </c>
    </row>
    <row r="1366" spans="1:5" x14ac:dyDescent="0.3">
      <c r="A1366" s="20" t="s">
        <v>10</v>
      </c>
      <c r="B1366" s="21" t="s">
        <v>367</v>
      </c>
      <c r="C1366" s="22">
        <v>10000</v>
      </c>
      <c r="D1366" s="23">
        <v>0</v>
      </c>
      <c r="E1366" s="24">
        <v>0</v>
      </c>
    </row>
    <row r="1367" spans="1:5" x14ac:dyDescent="0.3">
      <c r="A1367" s="20" t="s">
        <v>10</v>
      </c>
      <c r="B1367" s="21" t="s">
        <v>375</v>
      </c>
      <c r="C1367" s="22">
        <v>10000</v>
      </c>
      <c r="D1367" s="23">
        <v>0</v>
      </c>
      <c r="E1367" s="24">
        <v>0</v>
      </c>
    </row>
    <row r="1368" spans="1:5" x14ac:dyDescent="0.3">
      <c r="A1368" s="16" t="s">
        <v>161</v>
      </c>
      <c r="B1368" s="16" t="s">
        <v>366</v>
      </c>
      <c r="C1368" s="17">
        <v>0</v>
      </c>
      <c r="D1368" s="18">
        <v>9000</v>
      </c>
      <c r="E1368" s="19">
        <v>0</v>
      </c>
    </row>
    <row r="1369" spans="1:5" x14ac:dyDescent="0.3">
      <c r="A1369" s="16" t="s">
        <v>214</v>
      </c>
      <c r="B1369" s="16" t="s">
        <v>366</v>
      </c>
      <c r="C1369" s="17">
        <v>68000</v>
      </c>
      <c r="D1369" s="18">
        <v>0</v>
      </c>
      <c r="E1369" s="19">
        <v>0</v>
      </c>
    </row>
    <row r="1370" spans="1:5" x14ac:dyDescent="0.3">
      <c r="A1370" s="20" t="s">
        <v>214</v>
      </c>
      <c r="B1370" s="21" t="s">
        <v>367</v>
      </c>
      <c r="C1370" s="22">
        <v>68000</v>
      </c>
      <c r="D1370" s="23">
        <v>150000</v>
      </c>
      <c r="E1370" s="24">
        <v>0</v>
      </c>
    </row>
    <row r="1371" spans="1:5" x14ac:dyDescent="0.3">
      <c r="A1371" s="20" t="s">
        <v>214</v>
      </c>
      <c r="B1371" s="21" t="s">
        <v>368</v>
      </c>
      <c r="C1371" s="22">
        <v>68000</v>
      </c>
      <c r="D1371" s="23">
        <v>0</v>
      </c>
      <c r="E1371" s="24">
        <v>0</v>
      </c>
    </row>
    <row r="1372" spans="1:5" x14ac:dyDescent="0.3">
      <c r="A1372" s="20" t="s">
        <v>214</v>
      </c>
      <c r="B1372" s="21" t="s">
        <v>369</v>
      </c>
      <c r="C1372" s="22">
        <v>68000</v>
      </c>
      <c r="D1372" s="23">
        <v>0</v>
      </c>
      <c r="E1372" s="24">
        <v>0</v>
      </c>
    </row>
    <row r="1373" spans="1:5" x14ac:dyDescent="0.3">
      <c r="A1373" s="20" t="s">
        <v>214</v>
      </c>
      <c r="B1373" s="21" t="s">
        <v>370</v>
      </c>
      <c r="C1373" s="22">
        <v>68000</v>
      </c>
      <c r="D1373" s="23">
        <v>0</v>
      </c>
      <c r="E1373" s="24">
        <v>0</v>
      </c>
    </row>
    <row r="1374" spans="1:5" x14ac:dyDescent="0.3">
      <c r="A1374" s="20" t="s">
        <v>214</v>
      </c>
      <c r="B1374" s="21" t="s">
        <v>371</v>
      </c>
      <c r="C1374" s="22">
        <v>68000</v>
      </c>
      <c r="D1374" s="23">
        <v>0</v>
      </c>
      <c r="E1374" s="24">
        <v>0</v>
      </c>
    </row>
    <row r="1375" spans="1:5" x14ac:dyDescent="0.3">
      <c r="A1375" s="20" t="s">
        <v>214</v>
      </c>
      <c r="B1375" s="21" t="s">
        <v>372</v>
      </c>
      <c r="C1375" s="22">
        <v>68000</v>
      </c>
      <c r="D1375" s="23">
        <v>0</v>
      </c>
      <c r="E1375" s="24">
        <v>0</v>
      </c>
    </row>
    <row r="1376" spans="1:5" x14ac:dyDescent="0.3">
      <c r="A1376" s="20" t="s">
        <v>214</v>
      </c>
      <c r="B1376" s="21" t="s">
        <v>373</v>
      </c>
      <c r="C1376" s="22">
        <v>68000</v>
      </c>
      <c r="D1376" s="23">
        <v>0</v>
      </c>
      <c r="E1376" s="24">
        <v>0</v>
      </c>
    </row>
    <row r="1377" spans="1:5" x14ac:dyDescent="0.3">
      <c r="A1377" s="20" t="s">
        <v>214</v>
      </c>
      <c r="B1377" s="21" t="s">
        <v>374</v>
      </c>
      <c r="C1377" s="22">
        <v>68000</v>
      </c>
      <c r="D1377" s="23">
        <v>0</v>
      </c>
      <c r="E1377" s="24">
        <v>0</v>
      </c>
    </row>
    <row r="1378" spans="1:5" x14ac:dyDescent="0.3">
      <c r="A1378" s="20" t="s">
        <v>214</v>
      </c>
      <c r="B1378" s="21" t="s">
        <v>375</v>
      </c>
      <c r="C1378" s="22">
        <v>68000</v>
      </c>
      <c r="D1378" s="23">
        <v>0</v>
      </c>
      <c r="E1378" s="24">
        <v>0</v>
      </c>
    </row>
    <row r="1379" spans="1:5" x14ac:dyDescent="0.3">
      <c r="A1379" s="20" t="s">
        <v>214</v>
      </c>
      <c r="B1379" s="21" t="s">
        <v>376</v>
      </c>
      <c r="C1379" s="22">
        <v>68000</v>
      </c>
      <c r="D1379" s="23">
        <v>0</v>
      </c>
      <c r="E1379" s="24">
        <v>0</v>
      </c>
    </row>
    <row r="1380" spans="1:5" x14ac:dyDescent="0.3">
      <c r="A1380" s="20" t="s">
        <v>214</v>
      </c>
      <c r="B1380" s="21" t="s">
        <v>377</v>
      </c>
      <c r="C1380" s="22">
        <v>68000</v>
      </c>
      <c r="D1380" s="23">
        <v>0</v>
      </c>
      <c r="E1380" s="24">
        <v>0</v>
      </c>
    </row>
    <row r="1381" spans="1:5" x14ac:dyDescent="0.3">
      <c r="A1381" s="16" t="s">
        <v>247</v>
      </c>
      <c r="B1381" s="16" t="s">
        <v>366</v>
      </c>
      <c r="C1381" s="17">
        <v>12000</v>
      </c>
      <c r="D1381" s="18">
        <v>0</v>
      </c>
      <c r="E1381" s="19">
        <v>0</v>
      </c>
    </row>
    <row r="1382" spans="1:5" x14ac:dyDescent="0.3">
      <c r="A1382" s="20" t="s">
        <v>247</v>
      </c>
      <c r="B1382" s="21" t="s">
        <v>367</v>
      </c>
      <c r="C1382" s="22">
        <v>12000</v>
      </c>
      <c r="D1382" s="23">
        <v>50000</v>
      </c>
      <c r="E1382" s="24">
        <v>0</v>
      </c>
    </row>
    <row r="1383" spans="1:5" x14ac:dyDescent="0.3">
      <c r="A1383" s="20" t="s">
        <v>247</v>
      </c>
      <c r="B1383" s="21" t="s">
        <v>368</v>
      </c>
      <c r="C1383" s="22">
        <v>12000</v>
      </c>
      <c r="D1383" s="23">
        <v>0</v>
      </c>
      <c r="E1383" s="24">
        <v>0</v>
      </c>
    </row>
    <row r="1384" spans="1:5" x14ac:dyDescent="0.3">
      <c r="A1384" s="20" t="s">
        <v>247</v>
      </c>
      <c r="B1384" s="21" t="s">
        <v>369</v>
      </c>
      <c r="C1384" s="22">
        <v>12000</v>
      </c>
      <c r="D1384" s="23">
        <v>0</v>
      </c>
      <c r="E1384" s="24">
        <v>0</v>
      </c>
    </row>
    <row r="1385" spans="1:5" x14ac:dyDescent="0.3">
      <c r="A1385" s="20" t="s">
        <v>247</v>
      </c>
      <c r="B1385" s="21" t="s">
        <v>370</v>
      </c>
      <c r="C1385" s="22">
        <v>12000</v>
      </c>
      <c r="D1385" s="23">
        <v>0</v>
      </c>
      <c r="E1385" s="24">
        <v>0</v>
      </c>
    </row>
    <row r="1386" spans="1:5" x14ac:dyDescent="0.3">
      <c r="A1386" s="20" t="s">
        <v>247</v>
      </c>
      <c r="B1386" s="21" t="s">
        <v>371</v>
      </c>
      <c r="C1386" s="22">
        <v>12000</v>
      </c>
      <c r="D1386" s="23">
        <v>0</v>
      </c>
      <c r="E1386" s="24">
        <v>0</v>
      </c>
    </row>
    <row r="1387" spans="1:5" x14ac:dyDescent="0.3">
      <c r="A1387" s="20" t="s">
        <v>247</v>
      </c>
      <c r="B1387" s="21" t="s">
        <v>372</v>
      </c>
      <c r="C1387" s="22">
        <v>12000</v>
      </c>
      <c r="D1387" s="23">
        <v>0</v>
      </c>
      <c r="E1387" s="24">
        <v>0</v>
      </c>
    </row>
    <row r="1388" spans="1:5" x14ac:dyDescent="0.3">
      <c r="A1388" s="20" t="s">
        <v>247</v>
      </c>
      <c r="B1388" s="21" t="s">
        <v>373</v>
      </c>
      <c r="C1388" s="22">
        <v>12000</v>
      </c>
      <c r="D1388" s="23">
        <v>0</v>
      </c>
      <c r="E1388" s="24">
        <v>0</v>
      </c>
    </row>
    <row r="1389" spans="1:5" x14ac:dyDescent="0.3">
      <c r="A1389" s="20" t="s">
        <v>247</v>
      </c>
      <c r="B1389" s="21" t="s">
        <v>374</v>
      </c>
      <c r="C1389" s="22">
        <v>12000</v>
      </c>
      <c r="D1389" s="23">
        <v>0</v>
      </c>
      <c r="E1389" s="24">
        <v>0</v>
      </c>
    </row>
    <row r="1390" spans="1:5" x14ac:dyDescent="0.3">
      <c r="A1390" s="20" t="s">
        <v>247</v>
      </c>
      <c r="B1390" s="21" t="s">
        <v>375</v>
      </c>
      <c r="C1390" s="22">
        <v>12000</v>
      </c>
      <c r="D1390" s="23">
        <v>0</v>
      </c>
      <c r="E1390" s="24">
        <v>0</v>
      </c>
    </row>
    <row r="1391" spans="1:5" x14ac:dyDescent="0.3">
      <c r="A1391" s="20" t="s">
        <v>247</v>
      </c>
      <c r="B1391" s="21" t="s">
        <v>376</v>
      </c>
      <c r="C1391" s="22">
        <v>12000</v>
      </c>
      <c r="D1391" s="23">
        <v>0</v>
      </c>
      <c r="E1391" s="24">
        <v>0</v>
      </c>
    </row>
    <row r="1392" spans="1:5" x14ac:dyDescent="0.3">
      <c r="A1392" s="20" t="s">
        <v>247</v>
      </c>
      <c r="B1392" s="21" t="s">
        <v>377</v>
      </c>
      <c r="C1392" s="22">
        <v>12000</v>
      </c>
      <c r="D1392" s="23">
        <v>0</v>
      </c>
      <c r="E1392" s="24">
        <v>0</v>
      </c>
    </row>
    <row r="1393" spans="1:5" x14ac:dyDescent="0.3">
      <c r="A1393" s="16" t="s">
        <v>12</v>
      </c>
      <c r="B1393" s="16" t="s">
        <v>366</v>
      </c>
      <c r="C1393" s="17">
        <v>1000</v>
      </c>
      <c r="D1393" s="18">
        <v>0</v>
      </c>
      <c r="E1393" s="19">
        <v>0</v>
      </c>
    </row>
    <row r="1394" spans="1:5" x14ac:dyDescent="0.3">
      <c r="A1394" s="20" t="s">
        <v>12</v>
      </c>
      <c r="B1394" s="21" t="s">
        <v>367</v>
      </c>
      <c r="C1394" s="22">
        <v>1000</v>
      </c>
      <c r="D1394" s="23">
        <v>0</v>
      </c>
      <c r="E1394" s="24">
        <v>0</v>
      </c>
    </row>
    <row r="1395" spans="1:5" x14ac:dyDescent="0.3">
      <c r="A1395" s="20" t="s">
        <v>12</v>
      </c>
      <c r="B1395" s="21" t="s">
        <v>368</v>
      </c>
      <c r="C1395" s="22">
        <v>1000</v>
      </c>
      <c r="D1395" s="23">
        <v>0</v>
      </c>
      <c r="E1395" s="24">
        <v>0</v>
      </c>
    </row>
    <row r="1396" spans="1:5" x14ac:dyDescent="0.3">
      <c r="A1396" s="20" t="s">
        <v>12</v>
      </c>
      <c r="B1396" s="21" t="s">
        <v>369</v>
      </c>
      <c r="C1396" s="22">
        <v>1000</v>
      </c>
      <c r="D1396" s="23">
        <v>0</v>
      </c>
      <c r="E1396" s="24">
        <v>0</v>
      </c>
    </row>
    <row r="1397" spans="1:5" x14ac:dyDescent="0.3">
      <c r="A1397" s="20" t="s">
        <v>12</v>
      </c>
      <c r="B1397" s="21" t="s">
        <v>370</v>
      </c>
      <c r="C1397" s="22">
        <v>1000</v>
      </c>
      <c r="D1397" s="23">
        <v>0</v>
      </c>
      <c r="E1397" s="24">
        <v>0</v>
      </c>
    </row>
    <row r="1398" spans="1:5" x14ac:dyDescent="0.3">
      <c r="A1398" s="20" t="s">
        <v>12</v>
      </c>
      <c r="B1398" s="21" t="s">
        <v>371</v>
      </c>
      <c r="C1398" s="22">
        <v>1000</v>
      </c>
      <c r="D1398" s="23">
        <v>0</v>
      </c>
      <c r="E1398" s="24">
        <v>0</v>
      </c>
    </row>
    <row r="1399" spans="1:5" x14ac:dyDescent="0.3">
      <c r="A1399" s="20" t="s">
        <v>12</v>
      </c>
      <c r="B1399" s="21" t="s">
        <v>372</v>
      </c>
      <c r="C1399" s="22">
        <v>1000</v>
      </c>
      <c r="D1399" s="23">
        <v>0</v>
      </c>
      <c r="E1399" s="24">
        <v>0</v>
      </c>
    </row>
    <row r="1400" spans="1:5" x14ac:dyDescent="0.3">
      <c r="A1400" s="20" t="s">
        <v>12</v>
      </c>
      <c r="B1400" s="21" t="s">
        <v>373</v>
      </c>
      <c r="C1400" s="22">
        <v>1000</v>
      </c>
      <c r="D1400" s="23">
        <v>0</v>
      </c>
      <c r="E1400" s="24">
        <v>0</v>
      </c>
    </row>
    <row r="1401" spans="1:5" x14ac:dyDescent="0.3">
      <c r="A1401" s="20" t="s">
        <v>12</v>
      </c>
      <c r="B1401" s="21" t="s">
        <v>374</v>
      </c>
      <c r="C1401" s="22">
        <v>1000</v>
      </c>
      <c r="D1401" s="23">
        <v>0</v>
      </c>
      <c r="E1401" s="24">
        <v>0</v>
      </c>
    </row>
    <row r="1402" spans="1:5" x14ac:dyDescent="0.3">
      <c r="A1402" s="20" t="s">
        <v>12</v>
      </c>
      <c r="B1402" s="21" t="s">
        <v>375</v>
      </c>
      <c r="C1402" s="22">
        <v>1000</v>
      </c>
      <c r="D1402" s="23">
        <v>0</v>
      </c>
      <c r="E1402" s="24">
        <v>0</v>
      </c>
    </row>
    <row r="1403" spans="1:5" x14ac:dyDescent="0.3">
      <c r="A1403" s="20" t="s">
        <v>12</v>
      </c>
      <c r="B1403" s="21" t="s">
        <v>376</v>
      </c>
      <c r="C1403" s="22">
        <v>1000</v>
      </c>
      <c r="D1403" s="23">
        <v>0</v>
      </c>
      <c r="E1403" s="24">
        <v>0</v>
      </c>
    </row>
    <row r="1404" spans="1:5" x14ac:dyDescent="0.3">
      <c r="A1404" s="20" t="s">
        <v>12</v>
      </c>
      <c r="B1404" s="21" t="s">
        <v>377</v>
      </c>
      <c r="C1404" s="22">
        <v>1000</v>
      </c>
      <c r="D1404" s="23">
        <v>0</v>
      </c>
      <c r="E1404" s="24">
        <v>0</v>
      </c>
    </row>
    <row r="1405" spans="1:5" x14ac:dyDescent="0.3">
      <c r="A1405" s="16" t="s">
        <v>11</v>
      </c>
      <c r="B1405" s="16" t="s">
        <v>374</v>
      </c>
      <c r="C1405" s="17">
        <v>0</v>
      </c>
      <c r="D1405" s="18">
        <v>0</v>
      </c>
      <c r="E1405" s="19">
        <v>0</v>
      </c>
    </row>
    <row r="1406" spans="1:5" x14ac:dyDescent="0.3">
      <c r="A1406" s="16" t="s">
        <v>150</v>
      </c>
      <c r="B1406" s="16" t="s">
        <v>367</v>
      </c>
      <c r="C1406" s="17">
        <v>0</v>
      </c>
      <c r="D1406" s="18">
        <v>76000</v>
      </c>
      <c r="E1406" s="19">
        <v>0</v>
      </c>
    </row>
    <row r="1407" spans="1:5" x14ac:dyDescent="0.3">
      <c r="A1407" s="20" t="s">
        <v>150</v>
      </c>
      <c r="B1407" s="21" t="s">
        <v>368</v>
      </c>
      <c r="C1407" s="22">
        <v>76000</v>
      </c>
      <c r="D1407" s="23">
        <v>0</v>
      </c>
      <c r="E1407" s="24">
        <v>0</v>
      </c>
    </row>
    <row r="1408" spans="1:5" x14ac:dyDescent="0.3">
      <c r="A1408" s="20" t="s">
        <v>150</v>
      </c>
      <c r="B1408" s="21" t="s">
        <v>369</v>
      </c>
      <c r="C1408" s="22">
        <v>0</v>
      </c>
      <c r="D1408" s="23">
        <v>76000</v>
      </c>
      <c r="E1408" s="24">
        <v>0</v>
      </c>
    </row>
    <row r="1409" spans="1:5" x14ac:dyDescent="0.3">
      <c r="A1409" s="20" t="s">
        <v>150</v>
      </c>
      <c r="B1409" s="21" t="s">
        <v>370</v>
      </c>
      <c r="C1409" s="22">
        <v>0</v>
      </c>
      <c r="D1409" s="23">
        <v>0</v>
      </c>
      <c r="E1409" s="24">
        <v>0</v>
      </c>
    </row>
    <row r="1410" spans="1:5" x14ac:dyDescent="0.3">
      <c r="A1410" s="20" t="s">
        <v>150</v>
      </c>
      <c r="B1410" s="21" t="s">
        <v>371</v>
      </c>
      <c r="C1410" s="22">
        <v>76000</v>
      </c>
      <c r="D1410" s="23">
        <v>0</v>
      </c>
      <c r="E1410" s="24">
        <v>0</v>
      </c>
    </row>
    <row r="1411" spans="1:5" x14ac:dyDescent="0.3">
      <c r="A1411" s="20" t="s">
        <v>150</v>
      </c>
      <c r="B1411" s="21" t="s">
        <v>373</v>
      </c>
      <c r="C1411" s="22">
        <v>0</v>
      </c>
      <c r="D1411" s="23">
        <v>0</v>
      </c>
      <c r="E1411" s="24">
        <v>0</v>
      </c>
    </row>
    <row r="1412" spans="1:5" x14ac:dyDescent="0.3">
      <c r="A1412" s="20" t="s">
        <v>150</v>
      </c>
      <c r="B1412" s="21" t="s">
        <v>374</v>
      </c>
      <c r="C1412" s="22">
        <v>76000</v>
      </c>
      <c r="D1412" s="23">
        <v>0</v>
      </c>
      <c r="E1412" s="24">
        <v>0</v>
      </c>
    </row>
    <row r="1413" spans="1:5" x14ac:dyDescent="0.3">
      <c r="A1413" s="20" t="s">
        <v>150</v>
      </c>
      <c r="B1413" s="21" t="s">
        <v>376</v>
      </c>
      <c r="C1413" s="22">
        <v>76000</v>
      </c>
      <c r="D1413" s="23">
        <v>0</v>
      </c>
      <c r="E1413" s="24">
        <v>0</v>
      </c>
    </row>
    <row r="1414" spans="1:5" x14ac:dyDescent="0.3">
      <c r="A1414" s="16" t="s">
        <v>152</v>
      </c>
      <c r="B1414" s="16" t="s">
        <v>367</v>
      </c>
      <c r="C1414" s="17">
        <v>0</v>
      </c>
      <c r="D1414" s="18">
        <v>76000</v>
      </c>
      <c r="E1414" s="19">
        <v>0</v>
      </c>
    </row>
    <row r="1415" spans="1:5" x14ac:dyDescent="0.3">
      <c r="A1415" s="20" t="s">
        <v>152</v>
      </c>
      <c r="B1415" s="21" t="s">
        <v>368</v>
      </c>
      <c r="C1415" s="22">
        <v>76000</v>
      </c>
      <c r="D1415" s="23">
        <v>0</v>
      </c>
      <c r="E1415" s="24">
        <v>0</v>
      </c>
    </row>
    <row r="1416" spans="1:5" x14ac:dyDescent="0.3">
      <c r="A1416" s="20" t="s">
        <v>152</v>
      </c>
      <c r="B1416" s="21" t="s">
        <v>369</v>
      </c>
      <c r="C1416" s="22">
        <v>0</v>
      </c>
      <c r="D1416" s="23">
        <v>76000</v>
      </c>
      <c r="E1416" s="24">
        <v>0</v>
      </c>
    </row>
    <row r="1417" spans="1:5" x14ac:dyDescent="0.3">
      <c r="A1417" s="20" t="s">
        <v>152</v>
      </c>
      <c r="B1417" s="21" t="s">
        <v>370</v>
      </c>
      <c r="C1417" s="22">
        <v>0</v>
      </c>
      <c r="D1417" s="23">
        <v>0</v>
      </c>
      <c r="E1417" s="24">
        <v>0</v>
      </c>
    </row>
    <row r="1418" spans="1:5" x14ac:dyDescent="0.3">
      <c r="A1418" s="20" t="s">
        <v>152</v>
      </c>
      <c r="B1418" s="21" t="s">
        <v>371</v>
      </c>
      <c r="C1418" s="22">
        <v>76000</v>
      </c>
      <c r="D1418" s="23">
        <v>0</v>
      </c>
      <c r="E1418" s="24">
        <v>0</v>
      </c>
    </row>
    <row r="1419" spans="1:5" x14ac:dyDescent="0.3">
      <c r="A1419" s="20" t="s">
        <v>152</v>
      </c>
      <c r="B1419" s="21" t="s">
        <v>373</v>
      </c>
      <c r="C1419" s="22">
        <v>0</v>
      </c>
      <c r="D1419" s="23">
        <v>0</v>
      </c>
      <c r="E1419" s="24">
        <v>0</v>
      </c>
    </row>
    <row r="1420" spans="1:5" x14ac:dyDescent="0.3">
      <c r="A1420" s="20" t="s">
        <v>152</v>
      </c>
      <c r="B1420" s="21" t="s">
        <v>374</v>
      </c>
      <c r="C1420" s="22">
        <v>76000</v>
      </c>
      <c r="D1420" s="23">
        <v>0</v>
      </c>
      <c r="E1420" s="24">
        <v>0</v>
      </c>
    </row>
    <row r="1421" spans="1:5" x14ac:dyDescent="0.3">
      <c r="A1421" s="20" t="s">
        <v>152</v>
      </c>
      <c r="B1421" s="21" t="s">
        <v>376</v>
      </c>
      <c r="C1421" s="22">
        <v>76000</v>
      </c>
      <c r="D1421" s="23">
        <v>0</v>
      </c>
      <c r="E1421" s="24">
        <v>0</v>
      </c>
    </row>
    <row r="1422" spans="1:5" x14ac:dyDescent="0.3">
      <c r="A1422" s="16" t="s">
        <v>150</v>
      </c>
      <c r="B1422" s="16" t="s">
        <v>372</v>
      </c>
      <c r="C1422" s="17">
        <v>0</v>
      </c>
      <c r="D1422" s="18">
        <v>0</v>
      </c>
      <c r="E1422" s="19">
        <v>0</v>
      </c>
    </row>
    <row r="1423" spans="1:5" x14ac:dyDescent="0.3">
      <c r="A1423" s="16" t="s">
        <v>152</v>
      </c>
      <c r="B1423" s="16" t="s">
        <v>372</v>
      </c>
      <c r="C1423" s="17">
        <v>0</v>
      </c>
      <c r="D1423" s="18">
        <v>0</v>
      </c>
      <c r="E1423" s="19">
        <v>0</v>
      </c>
    </row>
    <row r="1424" spans="1:5" x14ac:dyDescent="0.3">
      <c r="A1424" s="16" t="s">
        <v>13</v>
      </c>
      <c r="B1424" s="16" t="s">
        <v>367</v>
      </c>
      <c r="C1424" s="17">
        <v>0</v>
      </c>
      <c r="D1424" s="18">
        <v>0</v>
      </c>
      <c r="E1424" s="19">
        <v>0</v>
      </c>
    </row>
    <row r="1425" spans="1:5" x14ac:dyDescent="0.3">
      <c r="A1425" s="20" t="s">
        <v>13</v>
      </c>
      <c r="B1425" s="21" t="s">
        <v>371</v>
      </c>
      <c r="C1425" s="22">
        <v>180000</v>
      </c>
      <c r="D1425" s="23">
        <v>180000</v>
      </c>
      <c r="E1425" s="24">
        <v>0</v>
      </c>
    </row>
    <row r="1426" spans="1:5" x14ac:dyDescent="0.3">
      <c r="A1426" s="16" t="s">
        <v>14</v>
      </c>
      <c r="B1426" s="16" t="s">
        <v>367</v>
      </c>
      <c r="C1426" s="17">
        <v>0</v>
      </c>
      <c r="D1426" s="18">
        <v>0</v>
      </c>
      <c r="E1426" s="19">
        <v>0</v>
      </c>
    </row>
    <row r="1427" spans="1:5" x14ac:dyDescent="0.3">
      <c r="A1427" s="20" t="s">
        <v>14</v>
      </c>
      <c r="B1427" s="21" t="s">
        <v>371</v>
      </c>
      <c r="C1427" s="22">
        <v>30000</v>
      </c>
      <c r="D1427" s="23">
        <v>0</v>
      </c>
      <c r="E1427" s="24">
        <v>0</v>
      </c>
    </row>
    <row r="1428" spans="1:5" x14ac:dyDescent="0.3">
      <c r="A1428" s="16" t="s">
        <v>15</v>
      </c>
      <c r="B1428" s="16" t="s">
        <v>368</v>
      </c>
      <c r="C1428" s="17">
        <v>0</v>
      </c>
      <c r="D1428" s="18">
        <v>0</v>
      </c>
      <c r="E1428" s="19">
        <v>0</v>
      </c>
    </row>
    <row r="1429" spans="1:5" x14ac:dyDescent="0.3">
      <c r="A1429" s="20" t="s">
        <v>15</v>
      </c>
      <c r="B1429" s="21" t="s">
        <v>369</v>
      </c>
      <c r="C1429" s="22">
        <v>0</v>
      </c>
      <c r="D1429" s="23">
        <v>0</v>
      </c>
      <c r="E1429" s="24">
        <v>0</v>
      </c>
    </row>
    <row r="1430" spans="1:5" x14ac:dyDescent="0.3">
      <c r="A1430" s="16" t="s">
        <v>192</v>
      </c>
      <c r="B1430" s="16" t="s">
        <v>366</v>
      </c>
      <c r="C1430" s="17">
        <v>7000</v>
      </c>
      <c r="D1430" s="18">
        <v>0</v>
      </c>
      <c r="E1430" s="19">
        <v>0</v>
      </c>
    </row>
    <row r="1431" spans="1:5" x14ac:dyDescent="0.3">
      <c r="A1431" s="20" t="s">
        <v>192</v>
      </c>
      <c r="B1431" s="21" t="s">
        <v>367</v>
      </c>
      <c r="C1431" s="22">
        <v>7000</v>
      </c>
      <c r="D1431" s="23">
        <v>33440</v>
      </c>
      <c r="E1431" s="24">
        <v>0</v>
      </c>
    </row>
    <row r="1432" spans="1:5" x14ac:dyDescent="0.3">
      <c r="A1432" s="20" t="s">
        <v>192</v>
      </c>
      <c r="B1432" s="21" t="s">
        <v>368</v>
      </c>
      <c r="C1432" s="22">
        <v>7000</v>
      </c>
      <c r="D1432" s="23">
        <v>0</v>
      </c>
      <c r="E1432" s="24">
        <v>0</v>
      </c>
    </row>
    <row r="1433" spans="1:5" x14ac:dyDescent="0.3">
      <c r="A1433" s="20" t="s">
        <v>192</v>
      </c>
      <c r="B1433" s="21" t="s">
        <v>369</v>
      </c>
      <c r="C1433" s="22">
        <v>7000</v>
      </c>
      <c r="D1433" s="23">
        <v>0</v>
      </c>
      <c r="E1433" s="24">
        <v>0</v>
      </c>
    </row>
    <row r="1434" spans="1:5" x14ac:dyDescent="0.3">
      <c r="A1434" s="20" t="s">
        <v>192</v>
      </c>
      <c r="B1434" s="21" t="s">
        <v>370</v>
      </c>
      <c r="C1434" s="22">
        <v>7000</v>
      </c>
      <c r="D1434" s="23">
        <v>0</v>
      </c>
      <c r="E1434" s="24">
        <v>0</v>
      </c>
    </row>
    <row r="1435" spans="1:5" x14ac:dyDescent="0.3">
      <c r="A1435" s="20" t="s">
        <v>192</v>
      </c>
      <c r="B1435" s="21" t="s">
        <v>371</v>
      </c>
      <c r="C1435" s="22">
        <v>7000</v>
      </c>
      <c r="D1435" s="23">
        <v>0</v>
      </c>
      <c r="E1435" s="24">
        <v>0</v>
      </c>
    </row>
    <row r="1436" spans="1:5" x14ac:dyDescent="0.3">
      <c r="A1436" s="20" t="s">
        <v>192</v>
      </c>
      <c r="B1436" s="21" t="s">
        <v>372</v>
      </c>
      <c r="C1436" s="22">
        <v>7000</v>
      </c>
      <c r="D1436" s="23">
        <v>0</v>
      </c>
      <c r="E1436" s="24">
        <v>0</v>
      </c>
    </row>
    <row r="1437" spans="1:5" x14ac:dyDescent="0.3">
      <c r="A1437" s="20" t="s">
        <v>192</v>
      </c>
      <c r="B1437" s="21" t="s">
        <v>373</v>
      </c>
      <c r="C1437" s="22">
        <v>4000</v>
      </c>
      <c r="D1437" s="23">
        <v>0</v>
      </c>
      <c r="E1437" s="24">
        <v>0</v>
      </c>
    </row>
    <row r="1438" spans="1:5" x14ac:dyDescent="0.3">
      <c r="A1438" s="20" t="s">
        <v>192</v>
      </c>
      <c r="B1438" s="21" t="s">
        <v>374</v>
      </c>
      <c r="C1438" s="22">
        <v>7000</v>
      </c>
      <c r="D1438" s="23">
        <v>0</v>
      </c>
      <c r="E1438" s="24">
        <v>0</v>
      </c>
    </row>
    <row r="1439" spans="1:5" x14ac:dyDescent="0.3">
      <c r="A1439" s="20" t="s">
        <v>192</v>
      </c>
      <c r="B1439" s="21" t="s">
        <v>375</v>
      </c>
      <c r="C1439" s="22">
        <v>7000</v>
      </c>
      <c r="D1439" s="23">
        <v>0</v>
      </c>
      <c r="E1439" s="24">
        <v>0</v>
      </c>
    </row>
    <row r="1440" spans="1:5" x14ac:dyDescent="0.3">
      <c r="A1440" s="20" t="s">
        <v>192</v>
      </c>
      <c r="B1440" s="21" t="s">
        <v>376</v>
      </c>
      <c r="C1440" s="22">
        <v>7000</v>
      </c>
      <c r="D1440" s="23">
        <v>0</v>
      </c>
      <c r="E1440" s="24">
        <v>0</v>
      </c>
    </row>
    <row r="1441" spans="1:5" x14ac:dyDescent="0.3">
      <c r="A1441" s="20" t="s">
        <v>192</v>
      </c>
      <c r="B1441" s="21" t="s">
        <v>377</v>
      </c>
      <c r="C1441" s="22">
        <v>4000</v>
      </c>
      <c r="D1441" s="23">
        <v>0</v>
      </c>
      <c r="E1441" s="24">
        <v>0</v>
      </c>
    </row>
    <row r="1442" spans="1:5" x14ac:dyDescent="0.3">
      <c r="A1442" s="16" t="s">
        <v>215</v>
      </c>
      <c r="B1442" s="16" t="s">
        <v>366</v>
      </c>
      <c r="C1442" s="17">
        <v>100800</v>
      </c>
      <c r="D1442" s="18">
        <v>100800</v>
      </c>
      <c r="E1442" s="19">
        <v>0</v>
      </c>
    </row>
    <row r="1443" spans="1:5" x14ac:dyDescent="0.3">
      <c r="A1443" s="20" t="s">
        <v>215</v>
      </c>
      <c r="B1443" s="21" t="s">
        <v>367</v>
      </c>
      <c r="C1443" s="22">
        <v>100800</v>
      </c>
      <c r="D1443" s="23">
        <v>120960</v>
      </c>
      <c r="E1443" s="24">
        <v>0</v>
      </c>
    </row>
    <row r="1444" spans="1:5" x14ac:dyDescent="0.3">
      <c r="A1444" s="20" t="s">
        <v>215</v>
      </c>
      <c r="B1444" s="21" t="s">
        <v>368</v>
      </c>
      <c r="C1444" s="22">
        <v>201600</v>
      </c>
      <c r="D1444" s="23">
        <v>322560</v>
      </c>
      <c r="E1444" s="24">
        <v>0</v>
      </c>
    </row>
    <row r="1445" spans="1:5" x14ac:dyDescent="0.3">
      <c r="A1445" s="20" t="s">
        <v>215</v>
      </c>
      <c r="B1445" s="21" t="s">
        <v>369</v>
      </c>
      <c r="C1445" s="22">
        <v>100800</v>
      </c>
      <c r="D1445" s="23">
        <v>100800</v>
      </c>
      <c r="E1445" s="24">
        <v>0</v>
      </c>
    </row>
    <row r="1446" spans="1:5" x14ac:dyDescent="0.3">
      <c r="A1446" s="20" t="s">
        <v>215</v>
      </c>
      <c r="B1446" s="21" t="s">
        <v>370</v>
      </c>
      <c r="C1446" s="22">
        <v>100800</v>
      </c>
      <c r="D1446" s="23">
        <v>201600</v>
      </c>
      <c r="E1446" s="24">
        <v>0</v>
      </c>
    </row>
    <row r="1447" spans="1:5" x14ac:dyDescent="0.3">
      <c r="A1447" s="20" t="s">
        <v>215</v>
      </c>
      <c r="B1447" s="21" t="s">
        <v>371</v>
      </c>
      <c r="C1447" s="22">
        <v>201600</v>
      </c>
      <c r="D1447" s="23">
        <v>100800</v>
      </c>
      <c r="E1447" s="24">
        <v>0</v>
      </c>
    </row>
    <row r="1448" spans="1:5" x14ac:dyDescent="0.3">
      <c r="A1448" s="20" t="s">
        <v>215</v>
      </c>
      <c r="B1448" s="21" t="s">
        <v>372</v>
      </c>
      <c r="C1448" s="22">
        <v>100800</v>
      </c>
      <c r="D1448" s="23">
        <v>100800</v>
      </c>
      <c r="E1448" s="24">
        <v>0</v>
      </c>
    </row>
    <row r="1449" spans="1:5" x14ac:dyDescent="0.3">
      <c r="A1449" s="20" t="s">
        <v>215</v>
      </c>
      <c r="B1449" s="21" t="s">
        <v>373</v>
      </c>
      <c r="C1449" s="22">
        <v>100800</v>
      </c>
      <c r="D1449" s="23">
        <v>100800</v>
      </c>
      <c r="E1449" s="24">
        <v>0</v>
      </c>
    </row>
    <row r="1450" spans="1:5" x14ac:dyDescent="0.3">
      <c r="A1450" s="20" t="s">
        <v>215</v>
      </c>
      <c r="B1450" s="21" t="s">
        <v>374</v>
      </c>
      <c r="C1450" s="22">
        <v>201600</v>
      </c>
      <c r="D1450" s="23">
        <v>0</v>
      </c>
      <c r="E1450" s="24">
        <v>0</v>
      </c>
    </row>
    <row r="1451" spans="1:5" x14ac:dyDescent="0.3">
      <c r="A1451" s="20" t="s">
        <v>215</v>
      </c>
      <c r="B1451" s="21" t="s">
        <v>375</v>
      </c>
      <c r="C1451" s="22">
        <v>100800</v>
      </c>
      <c r="D1451" s="23">
        <v>0</v>
      </c>
      <c r="E1451" s="24">
        <v>0</v>
      </c>
    </row>
    <row r="1452" spans="1:5" x14ac:dyDescent="0.3">
      <c r="A1452" s="20" t="s">
        <v>215</v>
      </c>
      <c r="B1452" s="21" t="s">
        <v>376</v>
      </c>
      <c r="C1452" s="22">
        <v>100800</v>
      </c>
      <c r="D1452" s="23">
        <v>0</v>
      </c>
      <c r="E1452" s="24">
        <v>0</v>
      </c>
    </row>
    <row r="1453" spans="1:5" x14ac:dyDescent="0.3">
      <c r="A1453" s="20" t="s">
        <v>215</v>
      </c>
      <c r="B1453" s="21" t="s">
        <v>377</v>
      </c>
      <c r="C1453" s="22">
        <v>201600</v>
      </c>
      <c r="D1453" s="23">
        <v>0</v>
      </c>
      <c r="E1453" s="24">
        <v>0</v>
      </c>
    </row>
    <row r="1454" spans="1:5" x14ac:dyDescent="0.3">
      <c r="A1454" s="16" t="s">
        <v>216</v>
      </c>
      <c r="B1454" s="16" t="s">
        <v>366</v>
      </c>
      <c r="C1454" s="17">
        <v>0</v>
      </c>
      <c r="D1454" s="18">
        <v>0</v>
      </c>
      <c r="E1454" s="19">
        <v>0</v>
      </c>
    </row>
    <row r="1455" spans="1:5" x14ac:dyDescent="0.3">
      <c r="A1455" s="20" t="s">
        <v>216</v>
      </c>
      <c r="B1455" s="21" t="s">
        <v>367</v>
      </c>
      <c r="C1455" s="22">
        <v>0</v>
      </c>
      <c r="D1455" s="23">
        <v>0</v>
      </c>
      <c r="E1455" s="24">
        <v>0</v>
      </c>
    </row>
    <row r="1456" spans="1:5" x14ac:dyDescent="0.3">
      <c r="A1456" s="20" t="s">
        <v>216</v>
      </c>
      <c r="B1456" s="21" t="s">
        <v>368</v>
      </c>
      <c r="C1456" s="22">
        <v>0</v>
      </c>
      <c r="D1456" s="23">
        <v>0</v>
      </c>
      <c r="E1456" s="24">
        <v>0</v>
      </c>
    </row>
    <row r="1457" spans="1:5" x14ac:dyDescent="0.3">
      <c r="A1457" s="20" t="s">
        <v>216</v>
      </c>
      <c r="B1457" s="21" t="s">
        <v>369</v>
      </c>
      <c r="C1457" s="22">
        <v>0</v>
      </c>
      <c r="D1457" s="23">
        <v>0</v>
      </c>
      <c r="E1457" s="24">
        <v>0</v>
      </c>
    </row>
    <row r="1458" spans="1:5" x14ac:dyDescent="0.3">
      <c r="A1458" s="20" t="s">
        <v>216</v>
      </c>
      <c r="B1458" s="21" t="s">
        <v>370</v>
      </c>
      <c r="C1458" s="22">
        <v>0</v>
      </c>
      <c r="D1458" s="23">
        <v>0</v>
      </c>
      <c r="E1458" s="24">
        <v>0</v>
      </c>
    </row>
    <row r="1459" spans="1:5" x14ac:dyDescent="0.3">
      <c r="A1459" s="16" t="s">
        <v>317</v>
      </c>
      <c r="B1459" s="16" t="s">
        <v>367</v>
      </c>
      <c r="C1459" s="17">
        <v>0</v>
      </c>
      <c r="D1459" s="18">
        <v>0</v>
      </c>
      <c r="E1459" s="19">
        <v>0</v>
      </c>
    </row>
    <row r="1460" spans="1:5" x14ac:dyDescent="0.3">
      <c r="A1460" s="16" t="s">
        <v>412</v>
      </c>
      <c r="B1460" s="16" t="s">
        <v>367</v>
      </c>
      <c r="C1460" s="17">
        <v>0</v>
      </c>
      <c r="D1460" s="18">
        <v>0</v>
      </c>
      <c r="E1460" s="19">
        <v>0</v>
      </c>
    </row>
    <row r="1461" spans="1:5" x14ac:dyDescent="0.3">
      <c r="A1461" s="16" t="s">
        <v>318</v>
      </c>
      <c r="B1461" s="16" t="s">
        <v>369</v>
      </c>
      <c r="C1461" s="17">
        <v>0</v>
      </c>
      <c r="D1461" s="18">
        <v>0</v>
      </c>
      <c r="E1461" s="19">
        <v>0</v>
      </c>
    </row>
    <row r="1462" spans="1:5" x14ac:dyDescent="0.3">
      <c r="A1462" s="16" t="s">
        <v>88</v>
      </c>
      <c r="B1462" s="16" t="s">
        <v>367</v>
      </c>
      <c r="C1462" s="17">
        <v>0</v>
      </c>
      <c r="D1462" s="18">
        <v>0</v>
      </c>
      <c r="E1462" s="19">
        <v>0</v>
      </c>
    </row>
    <row r="1463" spans="1:5" x14ac:dyDescent="0.3">
      <c r="A1463" s="16" t="s">
        <v>413</v>
      </c>
      <c r="B1463" s="16" t="s">
        <v>369</v>
      </c>
      <c r="C1463" s="17">
        <v>0</v>
      </c>
      <c r="D1463" s="18">
        <v>0</v>
      </c>
      <c r="E1463" s="19">
        <v>0</v>
      </c>
    </row>
    <row r="1464" spans="1:5" x14ac:dyDescent="0.3">
      <c r="A1464" s="16" t="s">
        <v>414</v>
      </c>
      <c r="B1464" s="16" t="s">
        <v>369</v>
      </c>
      <c r="C1464" s="17">
        <v>0</v>
      </c>
      <c r="D1464" s="18">
        <v>0</v>
      </c>
      <c r="E1464" s="19">
        <v>0</v>
      </c>
    </row>
    <row r="1465" spans="1:5" x14ac:dyDescent="0.3">
      <c r="A1465" s="16" t="s">
        <v>89</v>
      </c>
      <c r="B1465" s="16" t="s">
        <v>368</v>
      </c>
      <c r="C1465" s="17">
        <v>0</v>
      </c>
      <c r="D1465" s="18">
        <v>0</v>
      </c>
      <c r="E1465" s="19">
        <v>0</v>
      </c>
    </row>
    <row r="1466" spans="1:5" x14ac:dyDescent="0.3">
      <c r="A1466" s="16" t="s">
        <v>90</v>
      </c>
      <c r="B1466" s="16" t="s">
        <v>367</v>
      </c>
      <c r="C1466" s="17">
        <v>0</v>
      </c>
      <c r="D1466" s="18">
        <v>0</v>
      </c>
      <c r="E1466" s="19">
        <v>0</v>
      </c>
    </row>
    <row r="1467" spans="1:5" x14ac:dyDescent="0.3">
      <c r="A1467" s="20" t="s">
        <v>90</v>
      </c>
      <c r="B1467" s="21" t="s">
        <v>368</v>
      </c>
      <c r="C1467" s="22">
        <v>0</v>
      </c>
      <c r="D1467" s="23">
        <v>0</v>
      </c>
      <c r="E1467" s="24">
        <v>0</v>
      </c>
    </row>
    <row r="1468" spans="1:5" x14ac:dyDescent="0.3">
      <c r="A1468" s="16" t="s">
        <v>415</v>
      </c>
      <c r="B1468" s="16" t="s">
        <v>367</v>
      </c>
      <c r="C1468" s="17">
        <v>0</v>
      </c>
      <c r="D1468" s="18">
        <v>0</v>
      </c>
      <c r="E1468" s="19">
        <v>0</v>
      </c>
    </row>
    <row r="1469" spans="1:5" x14ac:dyDescent="0.3">
      <c r="A1469" s="16" t="s">
        <v>91</v>
      </c>
      <c r="B1469" s="16" t="s">
        <v>368</v>
      </c>
      <c r="C1469" s="17">
        <v>0</v>
      </c>
      <c r="D1469" s="18">
        <v>0</v>
      </c>
      <c r="E1469" s="19">
        <v>0</v>
      </c>
    </row>
    <row r="1470" spans="1:5" x14ac:dyDescent="0.3">
      <c r="A1470" s="16" t="s">
        <v>416</v>
      </c>
      <c r="B1470" s="16" t="s">
        <v>367</v>
      </c>
      <c r="C1470" s="17">
        <v>0</v>
      </c>
      <c r="D1470" s="18">
        <v>0</v>
      </c>
      <c r="E1470" s="19">
        <v>0</v>
      </c>
    </row>
    <row r="1471" spans="1:5" x14ac:dyDescent="0.3">
      <c r="A1471" s="16" t="s">
        <v>321</v>
      </c>
      <c r="B1471" s="16" t="s">
        <v>368</v>
      </c>
      <c r="C1471" s="17">
        <v>0</v>
      </c>
      <c r="D1471" s="18">
        <v>0</v>
      </c>
      <c r="E1471" s="19">
        <v>0</v>
      </c>
    </row>
    <row r="1472" spans="1:5" x14ac:dyDescent="0.3">
      <c r="A1472" s="16" t="s">
        <v>322</v>
      </c>
      <c r="B1472" s="16" t="s">
        <v>366</v>
      </c>
      <c r="C1472" s="17">
        <v>0</v>
      </c>
      <c r="D1472" s="18">
        <v>0</v>
      </c>
      <c r="E1472" s="19">
        <v>0</v>
      </c>
    </row>
    <row r="1473" spans="1:5" x14ac:dyDescent="0.3">
      <c r="A1473" s="16" t="s">
        <v>92</v>
      </c>
      <c r="B1473" s="16" t="s">
        <v>366</v>
      </c>
      <c r="C1473" s="17">
        <v>0</v>
      </c>
      <c r="D1473" s="18">
        <v>0</v>
      </c>
      <c r="E1473" s="19">
        <v>0</v>
      </c>
    </row>
    <row r="1474" spans="1:5" x14ac:dyDescent="0.3">
      <c r="A1474" s="16" t="s">
        <v>93</v>
      </c>
      <c r="B1474" s="16" t="s">
        <v>367</v>
      </c>
      <c r="C1474" s="17">
        <v>0</v>
      </c>
      <c r="D1474" s="18">
        <v>0</v>
      </c>
      <c r="E1474" s="19">
        <v>0</v>
      </c>
    </row>
    <row r="1475" spans="1:5" x14ac:dyDescent="0.3">
      <c r="A1475" s="16" t="s">
        <v>417</v>
      </c>
      <c r="B1475" s="16" t="s">
        <v>369</v>
      </c>
      <c r="C1475" s="17">
        <v>0</v>
      </c>
      <c r="D1475" s="18">
        <v>0</v>
      </c>
      <c r="E1475" s="19">
        <v>0</v>
      </c>
    </row>
    <row r="1476" spans="1:5" x14ac:dyDescent="0.3">
      <c r="A1476" s="16" t="s">
        <v>94</v>
      </c>
      <c r="B1476" s="16" t="s">
        <v>367</v>
      </c>
      <c r="C1476" s="17">
        <v>0</v>
      </c>
      <c r="D1476" s="18">
        <v>0</v>
      </c>
      <c r="E1476" s="19">
        <v>0</v>
      </c>
    </row>
    <row r="1477" spans="1:5" x14ac:dyDescent="0.3">
      <c r="A1477" s="16" t="s">
        <v>95</v>
      </c>
      <c r="B1477" s="16" t="s">
        <v>366</v>
      </c>
      <c r="C1477" s="17">
        <v>0</v>
      </c>
      <c r="D1477" s="18">
        <v>0</v>
      </c>
      <c r="E1477" s="19">
        <v>0</v>
      </c>
    </row>
    <row r="1478" spans="1:5" x14ac:dyDescent="0.3">
      <c r="A1478" s="16" t="s">
        <v>334</v>
      </c>
      <c r="B1478" s="16" t="s">
        <v>366</v>
      </c>
      <c r="C1478" s="17">
        <v>0</v>
      </c>
      <c r="D1478" s="18">
        <v>0</v>
      </c>
      <c r="E1478" s="19">
        <v>0</v>
      </c>
    </row>
    <row r="1479" spans="1:5" x14ac:dyDescent="0.3">
      <c r="A1479" s="20" t="s">
        <v>334</v>
      </c>
      <c r="B1479" s="21" t="s">
        <v>367</v>
      </c>
      <c r="C1479" s="22">
        <v>0</v>
      </c>
      <c r="D1479" s="23">
        <v>0</v>
      </c>
      <c r="E1479" s="24">
        <v>0</v>
      </c>
    </row>
    <row r="1480" spans="1:5" x14ac:dyDescent="0.3">
      <c r="A1480" s="16" t="s">
        <v>136</v>
      </c>
      <c r="B1480" s="16" t="s">
        <v>366</v>
      </c>
      <c r="C1480" s="17">
        <v>0</v>
      </c>
      <c r="D1480" s="18">
        <v>0</v>
      </c>
      <c r="E1480" s="19">
        <v>0</v>
      </c>
    </row>
    <row r="1481" spans="1:5" x14ac:dyDescent="0.3">
      <c r="A1481" s="20" t="s">
        <v>136</v>
      </c>
      <c r="B1481" s="21" t="s">
        <v>372</v>
      </c>
      <c r="C1481" s="22">
        <v>0</v>
      </c>
      <c r="D1481" s="23">
        <v>0</v>
      </c>
      <c r="E1481" s="24">
        <v>0</v>
      </c>
    </row>
    <row r="1482" spans="1:5" x14ac:dyDescent="0.3">
      <c r="A1482" s="16" t="s">
        <v>138</v>
      </c>
      <c r="B1482" s="16" t="s">
        <v>366</v>
      </c>
      <c r="C1482" s="17">
        <v>0</v>
      </c>
      <c r="D1482" s="18">
        <v>0</v>
      </c>
      <c r="E1482" s="19">
        <v>0</v>
      </c>
    </row>
    <row r="1483" spans="1:5" x14ac:dyDescent="0.3">
      <c r="A1483" s="20" t="s">
        <v>138</v>
      </c>
      <c r="B1483" s="21" t="s">
        <v>368</v>
      </c>
      <c r="C1483" s="22">
        <v>0</v>
      </c>
      <c r="D1483" s="23">
        <v>0</v>
      </c>
      <c r="E1483" s="24">
        <v>0</v>
      </c>
    </row>
    <row r="1484" spans="1:5" x14ac:dyDescent="0.3">
      <c r="A1484" s="20" t="s">
        <v>138</v>
      </c>
      <c r="B1484" s="21" t="s">
        <v>370</v>
      </c>
      <c r="C1484" s="22">
        <v>0</v>
      </c>
      <c r="D1484" s="23">
        <v>0</v>
      </c>
      <c r="E1484" s="24">
        <v>0</v>
      </c>
    </row>
    <row r="1485" spans="1:5" x14ac:dyDescent="0.3">
      <c r="A1485" s="20" t="s">
        <v>138</v>
      </c>
      <c r="B1485" s="21" t="s">
        <v>372</v>
      </c>
      <c r="C1485" s="22">
        <v>0</v>
      </c>
      <c r="D1485" s="23">
        <v>0</v>
      </c>
      <c r="E1485" s="24">
        <v>0</v>
      </c>
    </row>
    <row r="1486" spans="1:5" x14ac:dyDescent="0.3">
      <c r="A1486" s="16" t="s">
        <v>354</v>
      </c>
      <c r="B1486" s="16" t="s">
        <v>372</v>
      </c>
      <c r="C1486" s="17">
        <v>0</v>
      </c>
      <c r="D1486" s="18">
        <v>0</v>
      </c>
      <c r="E1486" s="19">
        <v>0</v>
      </c>
    </row>
    <row r="1487" spans="1:5" x14ac:dyDescent="0.3">
      <c r="A1487" s="16" t="s">
        <v>39</v>
      </c>
      <c r="B1487" s="16" t="s">
        <v>366</v>
      </c>
      <c r="C1487" s="17">
        <v>18700</v>
      </c>
      <c r="D1487" s="18">
        <v>24000</v>
      </c>
      <c r="E1487" s="19">
        <v>0</v>
      </c>
    </row>
    <row r="1488" spans="1:5" x14ac:dyDescent="0.3">
      <c r="A1488" s="20" t="s">
        <v>39</v>
      </c>
      <c r="B1488" s="21" t="s">
        <v>367</v>
      </c>
      <c r="C1488" s="22">
        <v>18700</v>
      </c>
      <c r="D1488" s="23">
        <v>12000</v>
      </c>
      <c r="E1488" s="24">
        <v>0</v>
      </c>
    </row>
    <row r="1489" spans="1:5" x14ac:dyDescent="0.3">
      <c r="A1489" s="20" t="s">
        <v>39</v>
      </c>
      <c r="B1489" s="21" t="s">
        <v>368</v>
      </c>
      <c r="C1489" s="22">
        <v>18700</v>
      </c>
      <c r="D1489" s="23">
        <v>12000</v>
      </c>
      <c r="E1489" s="24">
        <v>0</v>
      </c>
    </row>
    <row r="1490" spans="1:5" x14ac:dyDescent="0.3">
      <c r="A1490" s="20" t="s">
        <v>39</v>
      </c>
      <c r="B1490" s="21" t="s">
        <v>369</v>
      </c>
      <c r="C1490" s="22">
        <v>18700</v>
      </c>
      <c r="D1490" s="23">
        <v>24000</v>
      </c>
      <c r="E1490" s="24">
        <v>0</v>
      </c>
    </row>
    <row r="1491" spans="1:5" x14ac:dyDescent="0.3">
      <c r="A1491" s="20" t="s">
        <v>39</v>
      </c>
      <c r="B1491" s="21" t="s">
        <v>370</v>
      </c>
      <c r="C1491" s="22">
        <v>18700</v>
      </c>
      <c r="D1491" s="23">
        <v>12000</v>
      </c>
      <c r="E1491" s="24">
        <v>0</v>
      </c>
    </row>
    <row r="1492" spans="1:5" x14ac:dyDescent="0.3">
      <c r="A1492" s="20" t="s">
        <v>39</v>
      </c>
      <c r="B1492" s="21" t="s">
        <v>371</v>
      </c>
      <c r="C1492" s="22">
        <v>18700</v>
      </c>
      <c r="D1492" s="23">
        <v>24000</v>
      </c>
      <c r="E1492" s="24">
        <v>0</v>
      </c>
    </row>
    <row r="1493" spans="1:5" x14ac:dyDescent="0.3">
      <c r="A1493" s="20" t="s">
        <v>39</v>
      </c>
      <c r="B1493" s="21" t="s">
        <v>372</v>
      </c>
      <c r="C1493" s="22">
        <v>18700</v>
      </c>
      <c r="D1493" s="23">
        <v>24000</v>
      </c>
      <c r="E1493" s="24">
        <v>0</v>
      </c>
    </row>
    <row r="1494" spans="1:5" x14ac:dyDescent="0.3">
      <c r="A1494" s="20" t="s">
        <v>39</v>
      </c>
      <c r="B1494" s="21" t="s">
        <v>373</v>
      </c>
      <c r="C1494" s="22">
        <v>9900</v>
      </c>
      <c r="D1494" s="23">
        <v>12000</v>
      </c>
      <c r="E1494" s="24">
        <v>0</v>
      </c>
    </row>
    <row r="1495" spans="1:5" x14ac:dyDescent="0.3">
      <c r="A1495" s="20" t="s">
        <v>39</v>
      </c>
      <c r="B1495" s="21" t="s">
        <v>374</v>
      </c>
      <c r="C1495" s="22">
        <v>18700</v>
      </c>
      <c r="D1495" s="23">
        <v>12000</v>
      </c>
      <c r="E1495" s="24">
        <v>0</v>
      </c>
    </row>
    <row r="1496" spans="1:5" x14ac:dyDescent="0.3">
      <c r="A1496" s="20" t="s">
        <v>39</v>
      </c>
      <c r="B1496" s="21" t="s">
        <v>375</v>
      </c>
      <c r="C1496" s="22">
        <v>18700</v>
      </c>
      <c r="D1496" s="23">
        <v>0</v>
      </c>
      <c r="E1496" s="24">
        <v>0</v>
      </c>
    </row>
    <row r="1497" spans="1:5" x14ac:dyDescent="0.3">
      <c r="A1497" s="20" t="s">
        <v>39</v>
      </c>
      <c r="B1497" s="21" t="s">
        <v>376</v>
      </c>
      <c r="C1497" s="22">
        <v>18700</v>
      </c>
      <c r="D1497" s="23">
        <v>24000</v>
      </c>
      <c r="E1497" s="24">
        <v>0</v>
      </c>
    </row>
    <row r="1498" spans="1:5" x14ac:dyDescent="0.3">
      <c r="A1498" s="20" t="s">
        <v>39</v>
      </c>
      <c r="B1498" s="21" t="s">
        <v>377</v>
      </c>
      <c r="C1498" s="22">
        <v>9900</v>
      </c>
      <c r="D1498" s="23">
        <v>0</v>
      </c>
      <c r="E1498" s="24">
        <v>0</v>
      </c>
    </row>
    <row r="1499" spans="1:5" x14ac:dyDescent="0.3">
      <c r="A1499" s="16" t="s">
        <v>135</v>
      </c>
      <c r="B1499" s="16" t="s">
        <v>375</v>
      </c>
      <c r="C1499" s="17">
        <v>0</v>
      </c>
      <c r="D1499" s="18">
        <v>0</v>
      </c>
      <c r="E1499" s="19">
        <v>0</v>
      </c>
    </row>
    <row r="1500" spans="1:5" x14ac:dyDescent="0.3">
      <c r="A1500" s="16" t="s">
        <v>183</v>
      </c>
      <c r="B1500" s="16" t="s">
        <v>372</v>
      </c>
      <c r="C1500" s="17">
        <v>0</v>
      </c>
      <c r="D1500" s="18">
        <v>24000</v>
      </c>
      <c r="E1500" s="19">
        <v>0</v>
      </c>
    </row>
    <row r="1501" spans="1:5" x14ac:dyDescent="0.3">
      <c r="A1501" s="20" t="s">
        <v>183</v>
      </c>
      <c r="B1501" s="21" t="s">
        <v>374</v>
      </c>
      <c r="C1501" s="22">
        <v>0</v>
      </c>
      <c r="D1501" s="23">
        <v>24000</v>
      </c>
      <c r="E1501" s="24">
        <v>0</v>
      </c>
    </row>
    <row r="1502" spans="1:5" x14ac:dyDescent="0.3">
      <c r="A1502" s="20" t="s">
        <v>183</v>
      </c>
      <c r="B1502" s="21" t="s">
        <v>376</v>
      </c>
      <c r="C1502" s="22">
        <v>0</v>
      </c>
      <c r="D1502" s="23">
        <v>24000</v>
      </c>
      <c r="E1502" s="24">
        <v>0</v>
      </c>
    </row>
    <row r="1503" spans="1:5" x14ac:dyDescent="0.3">
      <c r="A1503" s="16" t="s">
        <v>191</v>
      </c>
      <c r="B1503" s="16" t="s">
        <v>366</v>
      </c>
      <c r="C1503" s="17">
        <v>2200</v>
      </c>
      <c r="D1503" s="18">
        <v>0</v>
      </c>
      <c r="E1503" s="19">
        <v>0</v>
      </c>
    </row>
    <row r="1504" spans="1:5" x14ac:dyDescent="0.3">
      <c r="A1504" s="20" t="s">
        <v>191</v>
      </c>
      <c r="B1504" s="21" t="s">
        <v>367</v>
      </c>
      <c r="C1504" s="22">
        <v>2200</v>
      </c>
      <c r="D1504" s="23">
        <v>0</v>
      </c>
      <c r="E1504" s="24">
        <v>0</v>
      </c>
    </row>
    <row r="1505" spans="1:5" x14ac:dyDescent="0.3">
      <c r="A1505" s="20" t="s">
        <v>191</v>
      </c>
      <c r="B1505" s="21" t="s">
        <v>368</v>
      </c>
      <c r="C1505" s="22">
        <v>2200</v>
      </c>
      <c r="D1505" s="23">
        <v>0</v>
      </c>
      <c r="E1505" s="24">
        <v>0</v>
      </c>
    </row>
    <row r="1506" spans="1:5" x14ac:dyDescent="0.3">
      <c r="A1506" s="20" t="s">
        <v>191</v>
      </c>
      <c r="B1506" s="21" t="s">
        <v>369</v>
      </c>
      <c r="C1506" s="22">
        <v>2200</v>
      </c>
      <c r="D1506" s="23">
        <v>0</v>
      </c>
      <c r="E1506" s="24">
        <v>0</v>
      </c>
    </row>
    <row r="1507" spans="1:5" x14ac:dyDescent="0.3">
      <c r="A1507" s="20" t="s">
        <v>191</v>
      </c>
      <c r="B1507" s="21" t="s">
        <v>370</v>
      </c>
      <c r="C1507" s="22">
        <v>2200</v>
      </c>
      <c r="D1507" s="23">
        <v>0</v>
      </c>
      <c r="E1507" s="24">
        <v>0</v>
      </c>
    </row>
    <row r="1508" spans="1:5" x14ac:dyDescent="0.3">
      <c r="A1508" s="20" t="s">
        <v>191</v>
      </c>
      <c r="B1508" s="21" t="s">
        <v>371</v>
      </c>
      <c r="C1508" s="22">
        <v>2200</v>
      </c>
      <c r="D1508" s="23">
        <v>0</v>
      </c>
      <c r="E1508" s="24">
        <v>0</v>
      </c>
    </row>
    <row r="1509" spans="1:5" x14ac:dyDescent="0.3">
      <c r="A1509" s="20" t="s">
        <v>191</v>
      </c>
      <c r="B1509" s="21" t="s">
        <v>372</v>
      </c>
      <c r="C1509" s="22">
        <v>2200</v>
      </c>
      <c r="D1509" s="23">
        <v>0</v>
      </c>
      <c r="E1509" s="24">
        <v>0</v>
      </c>
    </row>
    <row r="1510" spans="1:5" x14ac:dyDescent="0.3">
      <c r="A1510" s="20" t="s">
        <v>191</v>
      </c>
      <c r="B1510" s="21" t="s">
        <v>373</v>
      </c>
      <c r="C1510" s="22">
        <v>1100</v>
      </c>
      <c r="D1510" s="23">
        <v>0</v>
      </c>
      <c r="E1510" s="24">
        <v>0</v>
      </c>
    </row>
    <row r="1511" spans="1:5" x14ac:dyDescent="0.3">
      <c r="A1511" s="20" t="s">
        <v>191</v>
      </c>
      <c r="B1511" s="21" t="s">
        <v>374</v>
      </c>
      <c r="C1511" s="22">
        <v>2200</v>
      </c>
      <c r="D1511" s="23">
        <v>0</v>
      </c>
      <c r="E1511" s="24">
        <v>0</v>
      </c>
    </row>
    <row r="1512" spans="1:5" x14ac:dyDescent="0.3">
      <c r="A1512" s="20" t="s">
        <v>191</v>
      </c>
      <c r="B1512" s="21" t="s">
        <v>375</v>
      </c>
      <c r="C1512" s="22">
        <v>2200</v>
      </c>
      <c r="D1512" s="23">
        <v>0</v>
      </c>
      <c r="E1512" s="24">
        <v>0</v>
      </c>
    </row>
    <row r="1513" spans="1:5" x14ac:dyDescent="0.3">
      <c r="A1513" s="20" t="s">
        <v>191</v>
      </c>
      <c r="B1513" s="21" t="s">
        <v>376</v>
      </c>
      <c r="C1513" s="22">
        <v>2200</v>
      </c>
      <c r="D1513" s="23">
        <v>0</v>
      </c>
      <c r="E1513" s="24">
        <v>0</v>
      </c>
    </row>
    <row r="1514" spans="1:5" x14ac:dyDescent="0.3">
      <c r="A1514" s="20" t="s">
        <v>191</v>
      </c>
      <c r="B1514" s="21" t="s">
        <v>377</v>
      </c>
      <c r="C1514" s="22">
        <v>1100</v>
      </c>
      <c r="D1514" s="23">
        <v>0</v>
      </c>
      <c r="E1514" s="24">
        <v>0</v>
      </c>
    </row>
    <row r="1515" spans="1:5" x14ac:dyDescent="0.3">
      <c r="A1515" s="16" t="s">
        <v>209</v>
      </c>
      <c r="B1515" s="16" t="s">
        <v>366</v>
      </c>
      <c r="C1515" s="17">
        <v>6600</v>
      </c>
      <c r="D1515" s="18">
        <v>0</v>
      </c>
      <c r="E1515" s="19">
        <v>0</v>
      </c>
    </row>
    <row r="1516" spans="1:5" x14ac:dyDescent="0.3">
      <c r="A1516" s="20" t="s">
        <v>209</v>
      </c>
      <c r="B1516" s="21" t="s">
        <v>367</v>
      </c>
      <c r="C1516" s="22">
        <v>6600</v>
      </c>
      <c r="D1516" s="23">
        <v>0</v>
      </c>
      <c r="E1516" s="24">
        <v>0</v>
      </c>
    </row>
    <row r="1517" spans="1:5" x14ac:dyDescent="0.3">
      <c r="A1517" s="20" t="s">
        <v>209</v>
      </c>
      <c r="B1517" s="21" t="s">
        <v>368</v>
      </c>
      <c r="C1517" s="22">
        <v>6600</v>
      </c>
      <c r="D1517" s="23">
        <v>0</v>
      </c>
      <c r="E1517" s="24">
        <v>0</v>
      </c>
    </row>
    <row r="1518" spans="1:5" x14ac:dyDescent="0.3">
      <c r="A1518" s="20" t="s">
        <v>209</v>
      </c>
      <c r="B1518" s="21" t="s">
        <v>369</v>
      </c>
      <c r="C1518" s="22">
        <v>6600</v>
      </c>
      <c r="D1518" s="23">
        <v>0</v>
      </c>
      <c r="E1518" s="24">
        <v>0</v>
      </c>
    </row>
    <row r="1519" spans="1:5" x14ac:dyDescent="0.3">
      <c r="A1519" s="20" t="s">
        <v>209</v>
      </c>
      <c r="B1519" s="21" t="s">
        <v>370</v>
      </c>
      <c r="C1519" s="22">
        <v>6600</v>
      </c>
      <c r="D1519" s="23">
        <v>0</v>
      </c>
      <c r="E1519" s="24">
        <v>0</v>
      </c>
    </row>
    <row r="1520" spans="1:5" x14ac:dyDescent="0.3">
      <c r="A1520" s="20" t="s">
        <v>209</v>
      </c>
      <c r="B1520" s="21" t="s">
        <v>371</v>
      </c>
      <c r="C1520" s="22">
        <v>6600</v>
      </c>
      <c r="D1520" s="23">
        <v>0</v>
      </c>
      <c r="E1520" s="24">
        <v>0</v>
      </c>
    </row>
    <row r="1521" spans="1:5" x14ac:dyDescent="0.3">
      <c r="A1521" s="20" t="s">
        <v>209</v>
      </c>
      <c r="B1521" s="21" t="s">
        <v>372</v>
      </c>
      <c r="C1521" s="22">
        <v>6600</v>
      </c>
      <c r="D1521" s="23">
        <v>0</v>
      </c>
      <c r="E1521" s="24">
        <v>0</v>
      </c>
    </row>
    <row r="1522" spans="1:5" x14ac:dyDescent="0.3">
      <c r="A1522" s="20" t="s">
        <v>209</v>
      </c>
      <c r="B1522" s="21" t="s">
        <v>373</v>
      </c>
      <c r="C1522" s="22">
        <v>3300</v>
      </c>
      <c r="D1522" s="23">
        <v>0</v>
      </c>
      <c r="E1522" s="24">
        <v>0</v>
      </c>
    </row>
    <row r="1523" spans="1:5" x14ac:dyDescent="0.3">
      <c r="A1523" s="20" t="s">
        <v>209</v>
      </c>
      <c r="B1523" s="21" t="s">
        <v>374</v>
      </c>
      <c r="C1523" s="22">
        <v>6600</v>
      </c>
      <c r="D1523" s="23">
        <v>0</v>
      </c>
      <c r="E1523" s="24">
        <v>0</v>
      </c>
    </row>
    <row r="1524" spans="1:5" x14ac:dyDescent="0.3">
      <c r="A1524" s="20" t="s">
        <v>209</v>
      </c>
      <c r="B1524" s="21" t="s">
        <v>375</v>
      </c>
      <c r="C1524" s="22">
        <v>6600</v>
      </c>
      <c r="D1524" s="23">
        <v>0</v>
      </c>
      <c r="E1524" s="24">
        <v>0</v>
      </c>
    </row>
    <row r="1525" spans="1:5" x14ac:dyDescent="0.3">
      <c r="A1525" s="20" t="s">
        <v>209</v>
      </c>
      <c r="B1525" s="21" t="s">
        <v>376</v>
      </c>
      <c r="C1525" s="22">
        <v>6600</v>
      </c>
      <c r="D1525" s="23">
        <v>12000</v>
      </c>
      <c r="E1525" s="24">
        <v>0</v>
      </c>
    </row>
    <row r="1526" spans="1:5" x14ac:dyDescent="0.3">
      <c r="A1526" s="20" t="s">
        <v>209</v>
      </c>
      <c r="B1526" s="21" t="s">
        <v>377</v>
      </c>
      <c r="C1526" s="22">
        <v>3300</v>
      </c>
      <c r="D1526" s="23">
        <v>0</v>
      </c>
      <c r="E1526" s="24">
        <v>0</v>
      </c>
    </row>
    <row r="1527" spans="1:5" x14ac:dyDescent="0.3">
      <c r="A1527" s="16" t="s">
        <v>240</v>
      </c>
      <c r="B1527" s="16" t="s">
        <v>366</v>
      </c>
      <c r="C1527" s="17">
        <v>14300</v>
      </c>
      <c r="D1527" s="18">
        <v>20400</v>
      </c>
      <c r="E1527" s="19">
        <v>0</v>
      </c>
    </row>
    <row r="1528" spans="1:5" x14ac:dyDescent="0.3">
      <c r="A1528" s="20" t="s">
        <v>240</v>
      </c>
      <c r="B1528" s="21" t="s">
        <v>367</v>
      </c>
      <c r="C1528" s="22">
        <v>14300</v>
      </c>
      <c r="D1528" s="23">
        <v>30600</v>
      </c>
      <c r="E1528" s="24">
        <v>0</v>
      </c>
    </row>
    <row r="1529" spans="1:5" x14ac:dyDescent="0.3">
      <c r="A1529" s="20" t="s">
        <v>240</v>
      </c>
      <c r="B1529" s="21" t="s">
        <v>368</v>
      </c>
      <c r="C1529" s="22">
        <v>14300</v>
      </c>
      <c r="D1529" s="23">
        <v>20400</v>
      </c>
      <c r="E1529" s="24">
        <v>0</v>
      </c>
    </row>
    <row r="1530" spans="1:5" x14ac:dyDescent="0.3">
      <c r="A1530" s="20" t="s">
        <v>240</v>
      </c>
      <c r="B1530" s="21" t="s">
        <v>369</v>
      </c>
      <c r="C1530" s="22">
        <v>14300</v>
      </c>
      <c r="D1530" s="23">
        <v>20400</v>
      </c>
      <c r="E1530" s="24">
        <v>0</v>
      </c>
    </row>
    <row r="1531" spans="1:5" x14ac:dyDescent="0.3">
      <c r="A1531" s="20" t="s">
        <v>240</v>
      </c>
      <c r="B1531" s="21" t="s">
        <v>370</v>
      </c>
      <c r="C1531" s="22">
        <v>14300</v>
      </c>
      <c r="D1531" s="23">
        <v>20400</v>
      </c>
      <c r="E1531" s="24">
        <v>0</v>
      </c>
    </row>
    <row r="1532" spans="1:5" x14ac:dyDescent="0.3">
      <c r="A1532" s="20" t="s">
        <v>240</v>
      </c>
      <c r="B1532" s="21" t="s">
        <v>371</v>
      </c>
      <c r="C1532" s="22">
        <v>14300</v>
      </c>
      <c r="D1532" s="23">
        <v>20400</v>
      </c>
      <c r="E1532" s="24">
        <v>0</v>
      </c>
    </row>
    <row r="1533" spans="1:5" x14ac:dyDescent="0.3">
      <c r="A1533" s="20" t="s">
        <v>240</v>
      </c>
      <c r="B1533" s="21" t="s">
        <v>372</v>
      </c>
      <c r="C1533" s="22">
        <v>14300</v>
      </c>
      <c r="D1533" s="23">
        <v>30600</v>
      </c>
      <c r="E1533" s="24">
        <v>0</v>
      </c>
    </row>
    <row r="1534" spans="1:5" x14ac:dyDescent="0.3">
      <c r="A1534" s="20" t="s">
        <v>240</v>
      </c>
      <c r="B1534" s="21" t="s">
        <v>373</v>
      </c>
      <c r="C1534" s="22">
        <v>6600</v>
      </c>
      <c r="D1534" s="23">
        <v>20400</v>
      </c>
      <c r="E1534" s="24">
        <v>0</v>
      </c>
    </row>
    <row r="1535" spans="1:5" x14ac:dyDescent="0.3">
      <c r="A1535" s="20" t="s">
        <v>240</v>
      </c>
      <c r="B1535" s="21" t="s">
        <v>374</v>
      </c>
      <c r="C1535" s="22">
        <v>14300</v>
      </c>
      <c r="D1535" s="23">
        <v>20400</v>
      </c>
      <c r="E1535" s="24">
        <v>0</v>
      </c>
    </row>
    <row r="1536" spans="1:5" x14ac:dyDescent="0.3">
      <c r="A1536" s="20" t="s">
        <v>240</v>
      </c>
      <c r="B1536" s="21" t="s">
        <v>375</v>
      </c>
      <c r="C1536" s="22">
        <v>14300</v>
      </c>
      <c r="D1536" s="23">
        <v>10200</v>
      </c>
      <c r="E1536" s="24">
        <v>0</v>
      </c>
    </row>
    <row r="1537" spans="1:5" x14ac:dyDescent="0.3">
      <c r="A1537" s="20" t="s">
        <v>240</v>
      </c>
      <c r="B1537" s="21" t="s">
        <v>376</v>
      </c>
      <c r="C1537" s="22">
        <v>14300</v>
      </c>
      <c r="D1537" s="23">
        <v>20400</v>
      </c>
      <c r="E1537" s="24">
        <v>0</v>
      </c>
    </row>
    <row r="1538" spans="1:5" x14ac:dyDescent="0.3">
      <c r="A1538" s="20" t="s">
        <v>240</v>
      </c>
      <c r="B1538" s="21" t="s">
        <v>377</v>
      </c>
      <c r="C1538" s="22">
        <v>6600</v>
      </c>
      <c r="D1538" s="23">
        <v>0</v>
      </c>
      <c r="E1538" s="24">
        <v>0</v>
      </c>
    </row>
    <row r="1539" spans="1:5" x14ac:dyDescent="0.3">
      <c r="A1539" s="16" t="s">
        <v>255</v>
      </c>
      <c r="B1539" s="16" t="s">
        <v>366</v>
      </c>
      <c r="C1539" s="17">
        <v>2200</v>
      </c>
      <c r="D1539" s="18">
        <v>0</v>
      </c>
      <c r="E1539" s="19">
        <v>0</v>
      </c>
    </row>
    <row r="1540" spans="1:5" x14ac:dyDescent="0.3">
      <c r="A1540" s="20" t="s">
        <v>255</v>
      </c>
      <c r="B1540" s="21" t="s">
        <v>367</v>
      </c>
      <c r="C1540" s="22">
        <v>2200</v>
      </c>
      <c r="D1540" s="23">
        <v>0</v>
      </c>
      <c r="E1540" s="24">
        <v>0</v>
      </c>
    </row>
    <row r="1541" spans="1:5" x14ac:dyDescent="0.3">
      <c r="A1541" s="20" t="s">
        <v>255</v>
      </c>
      <c r="B1541" s="21" t="s">
        <v>368</v>
      </c>
      <c r="C1541" s="22">
        <v>2200</v>
      </c>
      <c r="D1541" s="23">
        <v>0</v>
      </c>
      <c r="E1541" s="24">
        <v>0</v>
      </c>
    </row>
    <row r="1542" spans="1:5" x14ac:dyDescent="0.3">
      <c r="A1542" s="20" t="s">
        <v>255</v>
      </c>
      <c r="B1542" s="21" t="s">
        <v>369</v>
      </c>
      <c r="C1542" s="22">
        <v>2200</v>
      </c>
      <c r="D1542" s="23">
        <v>0</v>
      </c>
      <c r="E1542" s="24">
        <v>0</v>
      </c>
    </row>
    <row r="1543" spans="1:5" x14ac:dyDescent="0.3">
      <c r="A1543" s="20" t="s">
        <v>255</v>
      </c>
      <c r="B1543" s="21" t="s">
        <v>370</v>
      </c>
      <c r="C1543" s="22">
        <v>2200</v>
      </c>
      <c r="D1543" s="23">
        <v>0</v>
      </c>
      <c r="E1543" s="24">
        <v>0</v>
      </c>
    </row>
    <row r="1544" spans="1:5" x14ac:dyDescent="0.3">
      <c r="A1544" s="20" t="s">
        <v>255</v>
      </c>
      <c r="B1544" s="21" t="s">
        <v>371</v>
      </c>
      <c r="C1544" s="22">
        <v>2200</v>
      </c>
      <c r="D1544" s="23">
        <v>0</v>
      </c>
      <c r="E1544" s="24">
        <v>0</v>
      </c>
    </row>
    <row r="1545" spans="1:5" x14ac:dyDescent="0.3">
      <c r="A1545" s="20" t="s">
        <v>255</v>
      </c>
      <c r="B1545" s="21" t="s">
        <v>372</v>
      </c>
      <c r="C1545" s="22">
        <v>2200</v>
      </c>
      <c r="D1545" s="23">
        <v>0</v>
      </c>
      <c r="E1545" s="24">
        <v>0</v>
      </c>
    </row>
    <row r="1546" spans="1:5" x14ac:dyDescent="0.3">
      <c r="A1546" s="20" t="s">
        <v>255</v>
      </c>
      <c r="B1546" s="21" t="s">
        <v>373</v>
      </c>
      <c r="C1546" s="22">
        <v>1100</v>
      </c>
      <c r="D1546" s="23">
        <v>0</v>
      </c>
      <c r="E1546" s="24">
        <v>0</v>
      </c>
    </row>
    <row r="1547" spans="1:5" x14ac:dyDescent="0.3">
      <c r="A1547" s="20" t="s">
        <v>255</v>
      </c>
      <c r="B1547" s="21" t="s">
        <v>374</v>
      </c>
      <c r="C1547" s="22">
        <v>2200</v>
      </c>
      <c r="D1547" s="23">
        <v>0</v>
      </c>
      <c r="E1547" s="24">
        <v>0</v>
      </c>
    </row>
    <row r="1548" spans="1:5" x14ac:dyDescent="0.3">
      <c r="A1548" s="20" t="s">
        <v>255</v>
      </c>
      <c r="B1548" s="21" t="s">
        <v>375</v>
      </c>
      <c r="C1548" s="22">
        <v>2200</v>
      </c>
      <c r="D1548" s="23">
        <v>20000</v>
      </c>
      <c r="E1548" s="24">
        <v>0</v>
      </c>
    </row>
    <row r="1549" spans="1:5" x14ac:dyDescent="0.3">
      <c r="A1549" s="20" t="s">
        <v>255</v>
      </c>
      <c r="B1549" s="21" t="s">
        <v>376</v>
      </c>
      <c r="C1549" s="22">
        <v>2200</v>
      </c>
      <c r="D1549" s="23">
        <v>0</v>
      </c>
      <c r="E1549" s="24">
        <v>0</v>
      </c>
    </row>
    <row r="1550" spans="1:5" x14ac:dyDescent="0.3">
      <c r="A1550" s="20" t="s">
        <v>255</v>
      </c>
      <c r="B1550" s="21" t="s">
        <v>377</v>
      </c>
      <c r="C1550" s="22">
        <v>1100</v>
      </c>
      <c r="D1550" s="23">
        <v>0</v>
      </c>
      <c r="E1550" s="24">
        <v>0</v>
      </c>
    </row>
    <row r="1551" spans="1:5" x14ac:dyDescent="0.3">
      <c r="A1551" s="16" t="s">
        <v>269</v>
      </c>
      <c r="B1551" s="16" t="s">
        <v>366</v>
      </c>
      <c r="C1551" s="17">
        <v>70400</v>
      </c>
      <c r="D1551" s="18">
        <v>39600</v>
      </c>
      <c r="E1551" s="19">
        <v>0</v>
      </c>
    </row>
    <row r="1552" spans="1:5" x14ac:dyDescent="0.3">
      <c r="A1552" s="20" t="s">
        <v>269</v>
      </c>
      <c r="B1552" s="21" t="s">
        <v>367</v>
      </c>
      <c r="C1552" s="22">
        <v>70400</v>
      </c>
      <c r="D1552" s="23">
        <v>52800</v>
      </c>
      <c r="E1552" s="24">
        <v>0</v>
      </c>
    </row>
    <row r="1553" spans="1:5" x14ac:dyDescent="0.3">
      <c r="A1553" s="20" t="s">
        <v>269</v>
      </c>
      <c r="B1553" s="21" t="s">
        <v>368</v>
      </c>
      <c r="C1553" s="22">
        <v>70400</v>
      </c>
      <c r="D1553" s="23">
        <v>39600</v>
      </c>
      <c r="E1553" s="24">
        <v>0</v>
      </c>
    </row>
    <row r="1554" spans="1:5" x14ac:dyDescent="0.3">
      <c r="A1554" s="20" t="s">
        <v>269</v>
      </c>
      <c r="B1554" s="21" t="s">
        <v>369</v>
      </c>
      <c r="C1554" s="22">
        <v>70400</v>
      </c>
      <c r="D1554" s="23">
        <v>52800</v>
      </c>
      <c r="E1554" s="24">
        <v>0</v>
      </c>
    </row>
    <row r="1555" spans="1:5" x14ac:dyDescent="0.3">
      <c r="A1555" s="20" t="s">
        <v>269</v>
      </c>
      <c r="B1555" s="21" t="s">
        <v>370</v>
      </c>
      <c r="C1555" s="22">
        <v>70400</v>
      </c>
      <c r="D1555" s="23">
        <v>66000</v>
      </c>
      <c r="E1555" s="24">
        <v>0</v>
      </c>
    </row>
    <row r="1556" spans="1:5" x14ac:dyDescent="0.3">
      <c r="A1556" s="20" t="s">
        <v>269</v>
      </c>
      <c r="B1556" s="21" t="s">
        <v>371</v>
      </c>
      <c r="C1556" s="22">
        <v>70400</v>
      </c>
      <c r="D1556" s="23">
        <v>13200</v>
      </c>
      <c r="E1556" s="24">
        <v>0</v>
      </c>
    </row>
    <row r="1557" spans="1:5" x14ac:dyDescent="0.3">
      <c r="A1557" s="20" t="s">
        <v>269</v>
      </c>
      <c r="B1557" s="21" t="s">
        <v>372</v>
      </c>
      <c r="C1557" s="22">
        <v>70400</v>
      </c>
      <c r="D1557" s="23">
        <v>66000</v>
      </c>
      <c r="E1557" s="24">
        <v>0</v>
      </c>
    </row>
    <row r="1558" spans="1:5" x14ac:dyDescent="0.3">
      <c r="A1558" s="20" t="s">
        <v>269</v>
      </c>
      <c r="B1558" s="21" t="s">
        <v>373</v>
      </c>
      <c r="C1558" s="22">
        <v>35200</v>
      </c>
      <c r="D1558" s="23">
        <v>39600</v>
      </c>
      <c r="E1558" s="24">
        <v>0</v>
      </c>
    </row>
    <row r="1559" spans="1:5" x14ac:dyDescent="0.3">
      <c r="A1559" s="20" t="s">
        <v>269</v>
      </c>
      <c r="B1559" s="21" t="s">
        <v>374</v>
      </c>
      <c r="C1559" s="22">
        <v>70400</v>
      </c>
      <c r="D1559" s="23">
        <v>52800</v>
      </c>
      <c r="E1559" s="24">
        <v>0</v>
      </c>
    </row>
    <row r="1560" spans="1:5" x14ac:dyDescent="0.3">
      <c r="A1560" s="20" t="s">
        <v>269</v>
      </c>
      <c r="B1560" s="21" t="s">
        <v>375</v>
      </c>
      <c r="C1560" s="22">
        <v>70400</v>
      </c>
      <c r="D1560" s="23">
        <v>26400</v>
      </c>
      <c r="E1560" s="24">
        <v>0</v>
      </c>
    </row>
    <row r="1561" spans="1:5" x14ac:dyDescent="0.3">
      <c r="A1561" s="20" t="s">
        <v>269</v>
      </c>
      <c r="B1561" s="21" t="s">
        <v>376</v>
      </c>
      <c r="C1561" s="22">
        <v>70400</v>
      </c>
      <c r="D1561" s="23">
        <v>26400</v>
      </c>
      <c r="E1561" s="24">
        <v>0</v>
      </c>
    </row>
    <row r="1562" spans="1:5" x14ac:dyDescent="0.3">
      <c r="A1562" s="20" t="s">
        <v>269</v>
      </c>
      <c r="B1562" s="21" t="s">
        <v>377</v>
      </c>
      <c r="C1562" s="22">
        <v>35200</v>
      </c>
      <c r="D1562" s="23">
        <v>0</v>
      </c>
      <c r="E1562" s="24">
        <v>0</v>
      </c>
    </row>
    <row r="1563" spans="1:5" x14ac:dyDescent="0.3">
      <c r="A1563" s="16" t="s">
        <v>356</v>
      </c>
      <c r="B1563" s="16" t="s">
        <v>366</v>
      </c>
      <c r="C1563" s="17">
        <v>1100</v>
      </c>
      <c r="D1563" s="18">
        <v>0</v>
      </c>
      <c r="E1563" s="19">
        <v>0</v>
      </c>
    </row>
    <row r="1564" spans="1:5" x14ac:dyDescent="0.3">
      <c r="A1564" s="20" t="s">
        <v>356</v>
      </c>
      <c r="B1564" s="21" t="s">
        <v>367</v>
      </c>
      <c r="C1564" s="22">
        <v>1100</v>
      </c>
      <c r="D1564" s="23">
        <v>3520</v>
      </c>
      <c r="E1564" s="24">
        <v>0</v>
      </c>
    </row>
    <row r="1565" spans="1:5" x14ac:dyDescent="0.3">
      <c r="A1565" s="20" t="s">
        <v>356</v>
      </c>
      <c r="B1565" s="21" t="s">
        <v>368</v>
      </c>
      <c r="C1565" s="22">
        <v>1100</v>
      </c>
      <c r="D1565" s="23">
        <v>0</v>
      </c>
      <c r="E1565" s="24">
        <v>0</v>
      </c>
    </row>
    <row r="1566" spans="1:5" x14ac:dyDescent="0.3">
      <c r="A1566" s="20" t="s">
        <v>356</v>
      </c>
      <c r="B1566" s="21" t="s">
        <v>369</v>
      </c>
      <c r="C1566" s="22">
        <v>1100</v>
      </c>
      <c r="D1566" s="23">
        <v>3520</v>
      </c>
      <c r="E1566" s="24">
        <v>0</v>
      </c>
    </row>
    <row r="1567" spans="1:5" x14ac:dyDescent="0.3">
      <c r="A1567" s="20" t="s">
        <v>356</v>
      </c>
      <c r="B1567" s="21" t="s">
        <v>370</v>
      </c>
      <c r="C1567" s="22">
        <v>1100</v>
      </c>
      <c r="D1567" s="23">
        <v>3520</v>
      </c>
      <c r="E1567" s="24">
        <v>0</v>
      </c>
    </row>
    <row r="1568" spans="1:5" x14ac:dyDescent="0.3">
      <c r="A1568" s="20" t="s">
        <v>356</v>
      </c>
      <c r="B1568" s="21" t="s">
        <v>371</v>
      </c>
      <c r="C1568" s="22">
        <v>1100</v>
      </c>
      <c r="D1568" s="23">
        <v>3520</v>
      </c>
      <c r="E1568" s="24">
        <v>0</v>
      </c>
    </row>
    <row r="1569" spans="1:5" x14ac:dyDescent="0.3">
      <c r="A1569" s="20" t="s">
        <v>356</v>
      </c>
      <c r="B1569" s="21" t="s">
        <v>372</v>
      </c>
      <c r="C1569" s="22">
        <v>1100</v>
      </c>
      <c r="D1569" s="23">
        <v>3520</v>
      </c>
      <c r="E1569" s="24">
        <v>0</v>
      </c>
    </row>
    <row r="1570" spans="1:5" x14ac:dyDescent="0.3">
      <c r="A1570" s="20" t="s">
        <v>356</v>
      </c>
      <c r="B1570" s="21" t="s">
        <v>373</v>
      </c>
      <c r="C1570" s="22">
        <v>1100</v>
      </c>
      <c r="D1570" s="23">
        <v>0</v>
      </c>
      <c r="E1570" s="24">
        <v>0</v>
      </c>
    </row>
    <row r="1571" spans="1:5" x14ac:dyDescent="0.3">
      <c r="A1571" s="20" t="s">
        <v>356</v>
      </c>
      <c r="B1571" s="21" t="s">
        <v>374</v>
      </c>
      <c r="C1571" s="22">
        <v>1100</v>
      </c>
      <c r="D1571" s="23">
        <v>3520</v>
      </c>
      <c r="E1571" s="24">
        <v>0</v>
      </c>
    </row>
    <row r="1572" spans="1:5" x14ac:dyDescent="0.3">
      <c r="A1572" s="20" t="s">
        <v>356</v>
      </c>
      <c r="B1572" s="21" t="s">
        <v>375</v>
      </c>
      <c r="C1572" s="22">
        <v>1100</v>
      </c>
      <c r="D1572" s="23">
        <v>3520</v>
      </c>
      <c r="E1572" s="24">
        <v>0</v>
      </c>
    </row>
    <row r="1573" spans="1:5" x14ac:dyDescent="0.3">
      <c r="A1573" s="20" t="s">
        <v>356</v>
      </c>
      <c r="B1573" s="21" t="s">
        <v>376</v>
      </c>
      <c r="C1573" s="22">
        <v>1100</v>
      </c>
      <c r="D1573" s="23">
        <v>0</v>
      </c>
      <c r="E1573" s="24">
        <v>0</v>
      </c>
    </row>
    <row r="1574" spans="1:5" x14ac:dyDescent="0.3">
      <c r="A1574" s="20" t="s">
        <v>356</v>
      </c>
      <c r="B1574" s="21" t="s">
        <v>377</v>
      </c>
      <c r="C1574" s="22">
        <v>1100</v>
      </c>
      <c r="D1574" s="23">
        <v>0</v>
      </c>
      <c r="E1574" s="24">
        <v>0</v>
      </c>
    </row>
    <row r="1575" spans="1:5" x14ac:dyDescent="0.3">
      <c r="A1575" s="16" t="s">
        <v>282</v>
      </c>
      <c r="B1575" s="16" t="s">
        <v>370</v>
      </c>
      <c r="C1575" s="17">
        <v>0</v>
      </c>
      <c r="D1575" s="18">
        <v>28800</v>
      </c>
      <c r="E1575" s="19">
        <v>0</v>
      </c>
    </row>
    <row r="1576" spans="1:5" x14ac:dyDescent="0.3">
      <c r="A1576" s="20" t="s">
        <v>282</v>
      </c>
      <c r="B1576" s="21" t="s">
        <v>372</v>
      </c>
      <c r="C1576" s="22">
        <v>0</v>
      </c>
      <c r="D1576" s="23">
        <v>28800</v>
      </c>
      <c r="E1576" s="24">
        <v>0</v>
      </c>
    </row>
    <row r="1577" spans="1:5" x14ac:dyDescent="0.3">
      <c r="A1577" s="20" t="s">
        <v>282</v>
      </c>
      <c r="B1577" s="21" t="s">
        <v>374</v>
      </c>
      <c r="C1577" s="22">
        <v>0</v>
      </c>
      <c r="D1577" s="23">
        <v>28800</v>
      </c>
      <c r="E1577" s="24">
        <v>0</v>
      </c>
    </row>
    <row r="1578" spans="1:5" x14ac:dyDescent="0.3">
      <c r="A1578" s="20" t="s">
        <v>282</v>
      </c>
      <c r="B1578" s="21" t="s">
        <v>375</v>
      </c>
      <c r="C1578" s="22">
        <v>0</v>
      </c>
      <c r="D1578" s="23">
        <v>28800</v>
      </c>
      <c r="E1578" s="24">
        <v>0</v>
      </c>
    </row>
    <row r="1579" spans="1:5" x14ac:dyDescent="0.3">
      <c r="A1579" s="16" t="s">
        <v>357</v>
      </c>
      <c r="B1579" s="16" t="s">
        <v>366</v>
      </c>
      <c r="C1579" s="17">
        <v>6600</v>
      </c>
      <c r="D1579" s="18">
        <v>0</v>
      </c>
      <c r="E1579" s="19">
        <v>0</v>
      </c>
    </row>
    <row r="1580" spans="1:5" x14ac:dyDescent="0.3">
      <c r="A1580" s="20" t="s">
        <v>357</v>
      </c>
      <c r="B1580" s="21" t="s">
        <v>367</v>
      </c>
      <c r="C1580" s="22">
        <v>6600</v>
      </c>
      <c r="D1580" s="23">
        <v>0</v>
      </c>
      <c r="E1580" s="24">
        <v>0</v>
      </c>
    </row>
    <row r="1581" spans="1:5" x14ac:dyDescent="0.3">
      <c r="A1581" s="20" t="s">
        <v>357</v>
      </c>
      <c r="B1581" s="21" t="s">
        <v>368</v>
      </c>
      <c r="C1581" s="22">
        <v>6600</v>
      </c>
      <c r="D1581" s="23">
        <v>0</v>
      </c>
      <c r="E1581" s="24">
        <v>0</v>
      </c>
    </row>
    <row r="1582" spans="1:5" x14ac:dyDescent="0.3">
      <c r="A1582" s="20" t="s">
        <v>357</v>
      </c>
      <c r="B1582" s="21" t="s">
        <v>369</v>
      </c>
      <c r="C1582" s="22">
        <v>6600</v>
      </c>
      <c r="D1582" s="23">
        <v>0</v>
      </c>
      <c r="E1582" s="24">
        <v>0</v>
      </c>
    </row>
    <row r="1583" spans="1:5" x14ac:dyDescent="0.3">
      <c r="A1583" s="20" t="s">
        <v>357</v>
      </c>
      <c r="B1583" s="21" t="s">
        <v>370</v>
      </c>
      <c r="C1583" s="22">
        <v>6600</v>
      </c>
      <c r="D1583" s="23">
        <v>0</v>
      </c>
      <c r="E1583" s="24">
        <v>0</v>
      </c>
    </row>
    <row r="1584" spans="1:5" x14ac:dyDescent="0.3">
      <c r="A1584" s="20" t="s">
        <v>357</v>
      </c>
      <c r="B1584" s="21" t="s">
        <v>371</v>
      </c>
      <c r="C1584" s="22">
        <v>6600</v>
      </c>
      <c r="D1584" s="23">
        <v>0</v>
      </c>
      <c r="E1584" s="24">
        <v>0</v>
      </c>
    </row>
    <row r="1585" spans="1:5" x14ac:dyDescent="0.3">
      <c r="A1585" s="20" t="s">
        <v>357</v>
      </c>
      <c r="B1585" s="21" t="s">
        <v>372</v>
      </c>
      <c r="C1585" s="22">
        <v>6600</v>
      </c>
      <c r="D1585" s="23">
        <v>0</v>
      </c>
      <c r="E1585" s="24">
        <v>0</v>
      </c>
    </row>
    <row r="1586" spans="1:5" x14ac:dyDescent="0.3">
      <c r="A1586" s="20" t="s">
        <v>357</v>
      </c>
      <c r="B1586" s="21" t="s">
        <v>373</v>
      </c>
      <c r="C1586" s="22">
        <v>3300</v>
      </c>
      <c r="D1586" s="23">
        <v>0</v>
      </c>
      <c r="E1586" s="24">
        <v>0</v>
      </c>
    </row>
    <row r="1587" spans="1:5" x14ac:dyDescent="0.3">
      <c r="A1587" s="20" t="s">
        <v>357</v>
      </c>
      <c r="B1587" s="21" t="s">
        <v>374</v>
      </c>
      <c r="C1587" s="22">
        <v>6600</v>
      </c>
      <c r="D1587" s="23">
        <v>0</v>
      </c>
      <c r="E1587" s="24">
        <v>0</v>
      </c>
    </row>
    <row r="1588" spans="1:5" x14ac:dyDescent="0.3">
      <c r="A1588" s="20" t="s">
        <v>357</v>
      </c>
      <c r="B1588" s="21" t="s">
        <v>375</v>
      </c>
      <c r="C1588" s="22">
        <v>6600</v>
      </c>
      <c r="D1588" s="23">
        <v>0</v>
      </c>
      <c r="E1588" s="24">
        <v>0</v>
      </c>
    </row>
    <row r="1589" spans="1:5" x14ac:dyDescent="0.3">
      <c r="A1589" s="20" t="s">
        <v>357</v>
      </c>
      <c r="B1589" s="21" t="s">
        <v>376</v>
      </c>
      <c r="C1589" s="22">
        <v>6600</v>
      </c>
      <c r="D1589" s="23">
        <v>0</v>
      </c>
      <c r="E1589" s="24">
        <v>0</v>
      </c>
    </row>
    <row r="1590" spans="1:5" x14ac:dyDescent="0.3">
      <c r="A1590" s="20" t="s">
        <v>357</v>
      </c>
      <c r="B1590" s="21" t="s">
        <v>377</v>
      </c>
      <c r="C1590" s="22">
        <v>3300</v>
      </c>
      <c r="D1590" s="23">
        <v>0</v>
      </c>
      <c r="E1590" s="24">
        <v>0</v>
      </c>
    </row>
    <row r="1591" spans="1:5" x14ac:dyDescent="0.3">
      <c r="A1591" s="16" t="s">
        <v>286</v>
      </c>
      <c r="B1591" s="16" t="s">
        <v>366</v>
      </c>
      <c r="C1591" s="17">
        <v>12100</v>
      </c>
      <c r="D1591" s="18">
        <v>12000</v>
      </c>
      <c r="E1591" s="19">
        <v>0</v>
      </c>
    </row>
    <row r="1592" spans="1:5" x14ac:dyDescent="0.3">
      <c r="A1592" s="20" t="s">
        <v>286</v>
      </c>
      <c r="B1592" s="21" t="s">
        <v>367</v>
      </c>
      <c r="C1592" s="22">
        <v>12100</v>
      </c>
      <c r="D1592" s="23">
        <v>24000</v>
      </c>
      <c r="E1592" s="24">
        <v>0</v>
      </c>
    </row>
    <row r="1593" spans="1:5" x14ac:dyDescent="0.3">
      <c r="A1593" s="20" t="s">
        <v>286</v>
      </c>
      <c r="B1593" s="21" t="s">
        <v>368</v>
      </c>
      <c r="C1593" s="22">
        <v>12100</v>
      </c>
      <c r="D1593" s="23">
        <v>12000</v>
      </c>
      <c r="E1593" s="24">
        <v>0</v>
      </c>
    </row>
    <row r="1594" spans="1:5" x14ac:dyDescent="0.3">
      <c r="A1594" s="20" t="s">
        <v>286</v>
      </c>
      <c r="B1594" s="21" t="s">
        <v>369</v>
      </c>
      <c r="C1594" s="22">
        <v>12100</v>
      </c>
      <c r="D1594" s="23">
        <v>24000</v>
      </c>
      <c r="E1594" s="24">
        <v>0</v>
      </c>
    </row>
    <row r="1595" spans="1:5" x14ac:dyDescent="0.3">
      <c r="A1595" s="20" t="s">
        <v>286</v>
      </c>
      <c r="B1595" s="21" t="s">
        <v>370</v>
      </c>
      <c r="C1595" s="22">
        <v>12100</v>
      </c>
      <c r="D1595" s="23">
        <v>12000</v>
      </c>
      <c r="E1595" s="24">
        <v>0</v>
      </c>
    </row>
    <row r="1596" spans="1:5" x14ac:dyDescent="0.3">
      <c r="A1596" s="20" t="s">
        <v>286</v>
      </c>
      <c r="B1596" s="21" t="s">
        <v>371</v>
      </c>
      <c r="C1596" s="22">
        <v>12100</v>
      </c>
      <c r="D1596" s="23">
        <v>12000</v>
      </c>
      <c r="E1596" s="24">
        <v>0</v>
      </c>
    </row>
    <row r="1597" spans="1:5" x14ac:dyDescent="0.3">
      <c r="A1597" s="20" t="s">
        <v>286</v>
      </c>
      <c r="B1597" s="21" t="s">
        <v>372</v>
      </c>
      <c r="C1597" s="22">
        <v>12100</v>
      </c>
      <c r="D1597" s="23">
        <v>24000</v>
      </c>
      <c r="E1597" s="24">
        <v>0</v>
      </c>
    </row>
    <row r="1598" spans="1:5" x14ac:dyDescent="0.3">
      <c r="A1598" s="20" t="s">
        <v>286</v>
      </c>
      <c r="B1598" s="21" t="s">
        <v>373</v>
      </c>
      <c r="C1598" s="22">
        <v>5500</v>
      </c>
      <c r="D1598" s="23">
        <v>12000</v>
      </c>
      <c r="E1598" s="24">
        <v>0</v>
      </c>
    </row>
    <row r="1599" spans="1:5" x14ac:dyDescent="0.3">
      <c r="A1599" s="20" t="s">
        <v>286</v>
      </c>
      <c r="B1599" s="21" t="s">
        <v>374</v>
      </c>
      <c r="C1599" s="22">
        <v>12100</v>
      </c>
      <c r="D1599" s="23">
        <v>12000</v>
      </c>
      <c r="E1599" s="24">
        <v>0</v>
      </c>
    </row>
    <row r="1600" spans="1:5" x14ac:dyDescent="0.3">
      <c r="A1600" s="20" t="s">
        <v>286</v>
      </c>
      <c r="B1600" s="21" t="s">
        <v>375</v>
      </c>
      <c r="C1600" s="22">
        <v>12100</v>
      </c>
      <c r="D1600" s="23">
        <v>12000</v>
      </c>
      <c r="E1600" s="24">
        <v>0</v>
      </c>
    </row>
    <row r="1601" spans="1:5" x14ac:dyDescent="0.3">
      <c r="A1601" s="20" t="s">
        <v>286</v>
      </c>
      <c r="B1601" s="21" t="s">
        <v>376</v>
      </c>
      <c r="C1601" s="22">
        <v>12100</v>
      </c>
      <c r="D1601" s="23">
        <v>24000</v>
      </c>
      <c r="E1601" s="24">
        <v>0</v>
      </c>
    </row>
    <row r="1602" spans="1:5" x14ac:dyDescent="0.3">
      <c r="A1602" s="20" t="s">
        <v>286</v>
      </c>
      <c r="B1602" s="21" t="s">
        <v>377</v>
      </c>
      <c r="C1602" s="22">
        <v>5500</v>
      </c>
      <c r="D1602" s="23">
        <v>0</v>
      </c>
      <c r="E1602" s="24">
        <v>0</v>
      </c>
    </row>
    <row r="1603" spans="1:5" x14ac:dyDescent="0.3">
      <c r="A1603" s="16" t="s">
        <v>289</v>
      </c>
      <c r="B1603" s="16" t="s">
        <v>373</v>
      </c>
      <c r="C1603" s="17">
        <v>0</v>
      </c>
      <c r="D1603" s="18">
        <v>100000</v>
      </c>
      <c r="E1603" s="19">
        <v>0</v>
      </c>
    </row>
    <row r="1604" spans="1:5" x14ac:dyDescent="0.3">
      <c r="A1604" s="16" t="s">
        <v>307</v>
      </c>
      <c r="B1604" s="16" t="s">
        <v>366</v>
      </c>
      <c r="C1604" s="17">
        <v>6600</v>
      </c>
      <c r="D1604" s="18">
        <v>4400</v>
      </c>
      <c r="E1604" s="19">
        <v>0</v>
      </c>
    </row>
    <row r="1605" spans="1:5" x14ac:dyDescent="0.3">
      <c r="A1605" s="20" t="s">
        <v>307</v>
      </c>
      <c r="B1605" s="21" t="s">
        <v>367</v>
      </c>
      <c r="C1605" s="22">
        <v>6600</v>
      </c>
      <c r="D1605" s="23">
        <v>4400</v>
      </c>
      <c r="E1605" s="24">
        <v>0</v>
      </c>
    </row>
    <row r="1606" spans="1:5" x14ac:dyDescent="0.3">
      <c r="A1606" s="20" t="s">
        <v>307</v>
      </c>
      <c r="B1606" s="21" t="s">
        <v>368</v>
      </c>
      <c r="C1606" s="22">
        <v>6600</v>
      </c>
      <c r="D1606" s="23">
        <v>4400</v>
      </c>
      <c r="E1606" s="24">
        <v>0</v>
      </c>
    </row>
    <row r="1607" spans="1:5" x14ac:dyDescent="0.3">
      <c r="A1607" s="20" t="s">
        <v>307</v>
      </c>
      <c r="B1607" s="21" t="s">
        <v>369</v>
      </c>
      <c r="C1607" s="22">
        <v>6600</v>
      </c>
      <c r="D1607" s="23">
        <v>4400</v>
      </c>
      <c r="E1607" s="24">
        <v>0</v>
      </c>
    </row>
    <row r="1608" spans="1:5" x14ac:dyDescent="0.3">
      <c r="A1608" s="20" t="s">
        <v>307</v>
      </c>
      <c r="B1608" s="21" t="s">
        <v>370</v>
      </c>
      <c r="C1608" s="22">
        <v>6600</v>
      </c>
      <c r="D1608" s="23">
        <v>4400</v>
      </c>
      <c r="E1608" s="24">
        <v>0</v>
      </c>
    </row>
    <row r="1609" spans="1:5" x14ac:dyDescent="0.3">
      <c r="A1609" s="20" t="s">
        <v>307</v>
      </c>
      <c r="B1609" s="21" t="s">
        <v>371</v>
      </c>
      <c r="C1609" s="22">
        <v>6600</v>
      </c>
      <c r="D1609" s="23">
        <v>0</v>
      </c>
      <c r="E1609" s="24">
        <v>0</v>
      </c>
    </row>
    <row r="1610" spans="1:5" x14ac:dyDescent="0.3">
      <c r="A1610" s="20" t="s">
        <v>307</v>
      </c>
      <c r="B1610" s="21" t="s">
        <v>372</v>
      </c>
      <c r="C1610" s="22">
        <v>6600</v>
      </c>
      <c r="D1610" s="23">
        <v>4400</v>
      </c>
      <c r="E1610" s="24">
        <v>0</v>
      </c>
    </row>
    <row r="1611" spans="1:5" x14ac:dyDescent="0.3">
      <c r="A1611" s="20" t="s">
        <v>307</v>
      </c>
      <c r="B1611" s="21" t="s">
        <v>373</v>
      </c>
      <c r="C1611" s="22">
        <v>3300</v>
      </c>
      <c r="D1611" s="23">
        <v>4400</v>
      </c>
      <c r="E1611" s="24">
        <v>0</v>
      </c>
    </row>
    <row r="1612" spans="1:5" x14ac:dyDescent="0.3">
      <c r="A1612" s="20" t="s">
        <v>307</v>
      </c>
      <c r="B1612" s="21" t="s">
        <v>374</v>
      </c>
      <c r="C1612" s="22">
        <v>6600</v>
      </c>
      <c r="D1612" s="23">
        <v>4400</v>
      </c>
      <c r="E1612" s="24">
        <v>0</v>
      </c>
    </row>
    <row r="1613" spans="1:5" x14ac:dyDescent="0.3">
      <c r="A1613" s="20" t="s">
        <v>307</v>
      </c>
      <c r="B1613" s="21" t="s">
        <v>375</v>
      </c>
      <c r="C1613" s="22">
        <v>6600</v>
      </c>
      <c r="D1613" s="23">
        <v>4400</v>
      </c>
      <c r="E1613" s="24">
        <v>0</v>
      </c>
    </row>
    <row r="1614" spans="1:5" x14ac:dyDescent="0.3">
      <c r="A1614" s="20" t="s">
        <v>307</v>
      </c>
      <c r="B1614" s="21" t="s">
        <v>376</v>
      </c>
      <c r="C1614" s="22">
        <v>6600</v>
      </c>
      <c r="D1614" s="23">
        <v>8800</v>
      </c>
      <c r="E1614" s="24">
        <v>0</v>
      </c>
    </row>
    <row r="1615" spans="1:5" x14ac:dyDescent="0.3">
      <c r="A1615" s="20" t="s">
        <v>307</v>
      </c>
      <c r="B1615" s="21" t="s">
        <v>377</v>
      </c>
      <c r="C1615" s="22">
        <v>3300</v>
      </c>
      <c r="D1615" s="23">
        <v>0</v>
      </c>
      <c r="E1615" s="24">
        <v>0</v>
      </c>
    </row>
    <row r="1616" spans="1:5" x14ac:dyDescent="0.3">
      <c r="A1616" s="16" t="s">
        <v>418</v>
      </c>
      <c r="B1616" s="16" t="s">
        <v>374</v>
      </c>
      <c r="C1616" s="17">
        <v>0</v>
      </c>
      <c r="D1616" s="18">
        <v>0</v>
      </c>
      <c r="E1616" s="19">
        <v>0</v>
      </c>
    </row>
    <row r="1617" spans="1:5" x14ac:dyDescent="0.3">
      <c r="A1617" s="16" t="s">
        <v>312</v>
      </c>
      <c r="B1617" s="16" t="s">
        <v>366</v>
      </c>
      <c r="C1617" s="17">
        <v>0</v>
      </c>
      <c r="D1617" s="18">
        <v>0</v>
      </c>
      <c r="E1617" s="19">
        <v>0</v>
      </c>
    </row>
    <row r="1618" spans="1:5" x14ac:dyDescent="0.3">
      <c r="A1618" s="16" t="s">
        <v>44</v>
      </c>
      <c r="B1618" s="16" t="s">
        <v>370</v>
      </c>
      <c r="C1618" s="17">
        <v>0</v>
      </c>
      <c r="D1618" s="18">
        <v>0</v>
      </c>
      <c r="E1618" s="19">
        <v>0</v>
      </c>
    </row>
    <row r="1619" spans="1:5" x14ac:dyDescent="0.3">
      <c r="A1619" s="16" t="s">
        <v>46</v>
      </c>
      <c r="B1619" s="16" t="s">
        <v>368</v>
      </c>
      <c r="C1619" s="17">
        <v>0</v>
      </c>
      <c r="D1619" s="18">
        <v>0</v>
      </c>
      <c r="E1619" s="19">
        <v>0</v>
      </c>
    </row>
    <row r="1620" spans="1:5" x14ac:dyDescent="0.3">
      <c r="A1620" s="16" t="s">
        <v>419</v>
      </c>
      <c r="B1620" s="16" t="s">
        <v>366</v>
      </c>
      <c r="C1620" s="17">
        <v>1100</v>
      </c>
      <c r="D1620" s="18">
        <v>0</v>
      </c>
      <c r="E1620" s="19">
        <v>0</v>
      </c>
    </row>
    <row r="1621" spans="1:5" x14ac:dyDescent="0.3">
      <c r="A1621" s="20" t="s">
        <v>419</v>
      </c>
      <c r="B1621" s="21" t="s">
        <v>367</v>
      </c>
      <c r="C1621" s="22">
        <v>1100</v>
      </c>
      <c r="D1621" s="23">
        <v>0</v>
      </c>
      <c r="E1621" s="24">
        <v>0</v>
      </c>
    </row>
    <row r="1622" spans="1:5" x14ac:dyDescent="0.3">
      <c r="A1622" s="20" t="s">
        <v>419</v>
      </c>
      <c r="B1622" s="21" t="s">
        <v>368</v>
      </c>
      <c r="C1622" s="22">
        <v>1100</v>
      </c>
      <c r="D1622" s="23">
        <v>0</v>
      </c>
      <c r="E1622" s="24">
        <v>0</v>
      </c>
    </row>
    <row r="1623" spans="1:5" x14ac:dyDescent="0.3">
      <c r="A1623" s="20" t="s">
        <v>419</v>
      </c>
      <c r="B1623" s="21" t="s">
        <v>369</v>
      </c>
      <c r="C1623" s="22">
        <v>1100</v>
      </c>
      <c r="D1623" s="23">
        <v>0</v>
      </c>
      <c r="E1623" s="24">
        <v>0</v>
      </c>
    </row>
    <row r="1624" spans="1:5" x14ac:dyDescent="0.3">
      <c r="A1624" s="20" t="s">
        <v>419</v>
      </c>
      <c r="B1624" s="21" t="s">
        <v>370</v>
      </c>
      <c r="C1624" s="22">
        <v>1100</v>
      </c>
      <c r="D1624" s="23">
        <v>0</v>
      </c>
      <c r="E1624" s="24">
        <v>0</v>
      </c>
    </row>
    <row r="1625" spans="1:5" x14ac:dyDescent="0.3">
      <c r="A1625" s="20" t="s">
        <v>419</v>
      </c>
      <c r="B1625" s="21" t="s">
        <v>371</v>
      </c>
      <c r="C1625" s="22">
        <v>1100</v>
      </c>
      <c r="D1625" s="23">
        <v>0</v>
      </c>
      <c r="E1625" s="24">
        <v>0</v>
      </c>
    </row>
    <row r="1626" spans="1:5" x14ac:dyDescent="0.3">
      <c r="A1626" s="20" t="s">
        <v>419</v>
      </c>
      <c r="B1626" s="21" t="s">
        <v>372</v>
      </c>
      <c r="C1626" s="22">
        <v>1100</v>
      </c>
      <c r="D1626" s="23">
        <v>0</v>
      </c>
      <c r="E1626" s="24">
        <v>0</v>
      </c>
    </row>
    <row r="1627" spans="1:5" x14ac:dyDescent="0.3">
      <c r="A1627" s="20" t="s">
        <v>419</v>
      </c>
      <c r="B1627" s="21" t="s">
        <v>373</v>
      </c>
      <c r="C1627" s="22">
        <v>1100</v>
      </c>
      <c r="D1627" s="23">
        <v>0</v>
      </c>
      <c r="E1627" s="24">
        <v>0</v>
      </c>
    </row>
    <row r="1628" spans="1:5" x14ac:dyDescent="0.3">
      <c r="A1628" s="20" t="s">
        <v>419</v>
      </c>
      <c r="B1628" s="21" t="s">
        <v>374</v>
      </c>
      <c r="C1628" s="22">
        <v>1100</v>
      </c>
      <c r="D1628" s="23">
        <v>0</v>
      </c>
      <c r="E1628" s="24">
        <v>0</v>
      </c>
    </row>
    <row r="1629" spans="1:5" x14ac:dyDescent="0.3">
      <c r="A1629" s="20" t="s">
        <v>419</v>
      </c>
      <c r="B1629" s="21" t="s">
        <v>375</v>
      </c>
      <c r="C1629" s="22">
        <v>1100</v>
      </c>
      <c r="D1629" s="23">
        <v>0</v>
      </c>
      <c r="E1629" s="24">
        <v>0</v>
      </c>
    </row>
    <row r="1630" spans="1:5" x14ac:dyDescent="0.3">
      <c r="A1630" s="20" t="s">
        <v>419</v>
      </c>
      <c r="B1630" s="21" t="s">
        <v>376</v>
      </c>
      <c r="C1630" s="22">
        <v>1100</v>
      </c>
      <c r="D1630" s="23">
        <v>0</v>
      </c>
      <c r="E1630" s="24">
        <v>0</v>
      </c>
    </row>
    <row r="1631" spans="1:5" x14ac:dyDescent="0.3">
      <c r="A1631" s="20" t="s">
        <v>419</v>
      </c>
      <c r="B1631" s="21" t="s">
        <v>377</v>
      </c>
      <c r="C1631" s="22">
        <v>1100</v>
      </c>
      <c r="D1631" s="23">
        <v>0</v>
      </c>
      <c r="E1631" s="24">
        <v>0</v>
      </c>
    </row>
    <row r="1632" spans="1:5" x14ac:dyDescent="0.3">
      <c r="A1632" s="16" t="s">
        <v>49</v>
      </c>
      <c r="B1632" s="16" t="s">
        <v>366</v>
      </c>
      <c r="C1632" s="17">
        <v>2200</v>
      </c>
      <c r="D1632" s="18">
        <v>0</v>
      </c>
      <c r="E1632" s="19">
        <v>0</v>
      </c>
    </row>
    <row r="1633" spans="1:5" x14ac:dyDescent="0.3">
      <c r="A1633" s="20" t="s">
        <v>49</v>
      </c>
      <c r="B1633" s="21" t="s">
        <v>367</v>
      </c>
      <c r="C1633" s="22">
        <v>2200</v>
      </c>
      <c r="D1633" s="23">
        <v>0</v>
      </c>
      <c r="E1633" s="24">
        <v>0</v>
      </c>
    </row>
    <row r="1634" spans="1:5" x14ac:dyDescent="0.3">
      <c r="A1634" s="20" t="s">
        <v>49</v>
      </c>
      <c r="B1634" s="21" t="s">
        <v>368</v>
      </c>
      <c r="C1634" s="22">
        <v>2200</v>
      </c>
      <c r="D1634" s="23">
        <v>0</v>
      </c>
      <c r="E1634" s="24">
        <v>0</v>
      </c>
    </row>
    <row r="1635" spans="1:5" x14ac:dyDescent="0.3">
      <c r="A1635" s="20" t="s">
        <v>49</v>
      </c>
      <c r="B1635" s="21" t="s">
        <v>369</v>
      </c>
      <c r="C1635" s="22">
        <v>2200</v>
      </c>
      <c r="D1635" s="23">
        <v>0</v>
      </c>
      <c r="E1635" s="24">
        <v>0</v>
      </c>
    </row>
    <row r="1636" spans="1:5" x14ac:dyDescent="0.3">
      <c r="A1636" s="20" t="s">
        <v>49</v>
      </c>
      <c r="B1636" s="21" t="s">
        <v>370</v>
      </c>
      <c r="C1636" s="22">
        <v>2200</v>
      </c>
      <c r="D1636" s="23">
        <v>0</v>
      </c>
      <c r="E1636" s="24">
        <v>0</v>
      </c>
    </row>
    <row r="1637" spans="1:5" x14ac:dyDescent="0.3">
      <c r="A1637" s="20" t="s">
        <v>49</v>
      </c>
      <c r="B1637" s="21" t="s">
        <v>371</v>
      </c>
      <c r="C1637" s="22">
        <v>2200</v>
      </c>
      <c r="D1637" s="23">
        <v>0</v>
      </c>
      <c r="E1637" s="24">
        <v>0</v>
      </c>
    </row>
    <row r="1638" spans="1:5" x14ac:dyDescent="0.3">
      <c r="A1638" s="20" t="s">
        <v>49</v>
      </c>
      <c r="B1638" s="21" t="s">
        <v>372</v>
      </c>
      <c r="C1638" s="22">
        <v>2200</v>
      </c>
      <c r="D1638" s="23">
        <v>0</v>
      </c>
      <c r="E1638" s="24">
        <v>0</v>
      </c>
    </row>
    <row r="1639" spans="1:5" x14ac:dyDescent="0.3">
      <c r="A1639" s="20" t="s">
        <v>49</v>
      </c>
      <c r="B1639" s="21" t="s">
        <v>373</v>
      </c>
      <c r="C1639" s="22">
        <v>1100</v>
      </c>
      <c r="D1639" s="23">
        <v>0</v>
      </c>
      <c r="E1639" s="24">
        <v>0</v>
      </c>
    </row>
    <row r="1640" spans="1:5" x14ac:dyDescent="0.3">
      <c r="A1640" s="20" t="s">
        <v>49</v>
      </c>
      <c r="B1640" s="21" t="s">
        <v>374</v>
      </c>
      <c r="C1640" s="22">
        <v>2200</v>
      </c>
      <c r="D1640" s="23">
        <v>0</v>
      </c>
      <c r="E1640" s="24">
        <v>0</v>
      </c>
    </row>
    <row r="1641" spans="1:5" x14ac:dyDescent="0.3">
      <c r="A1641" s="20" t="s">
        <v>49</v>
      </c>
      <c r="B1641" s="21" t="s">
        <v>375</v>
      </c>
      <c r="C1641" s="22">
        <v>2200</v>
      </c>
      <c r="D1641" s="23">
        <v>0</v>
      </c>
      <c r="E1641" s="24">
        <v>0</v>
      </c>
    </row>
    <row r="1642" spans="1:5" x14ac:dyDescent="0.3">
      <c r="A1642" s="20" t="s">
        <v>49</v>
      </c>
      <c r="B1642" s="21" t="s">
        <v>376</v>
      </c>
      <c r="C1642" s="22">
        <v>2200</v>
      </c>
      <c r="D1642" s="23">
        <v>0</v>
      </c>
      <c r="E1642" s="24">
        <v>0</v>
      </c>
    </row>
    <row r="1643" spans="1:5" x14ac:dyDescent="0.3">
      <c r="A1643" s="20" t="s">
        <v>49</v>
      </c>
      <c r="B1643" s="21" t="s">
        <v>377</v>
      </c>
      <c r="C1643" s="22">
        <v>1100</v>
      </c>
      <c r="D1643" s="23">
        <v>0</v>
      </c>
      <c r="E1643" s="24">
        <v>0</v>
      </c>
    </row>
    <row r="1644" spans="1:5" x14ac:dyDescent="0.3">
      <c r="A1644" s="16" t="s">
        <v>50</v>
      </c>
      <c r="B1644" s="16" t="s">
        <v>366</v>
      </c>
      <c r="C1644" s="17">
        <v>1100</v>
      </c>
      <c r="D1644" s="18">
        <v>0</v>
      </c>
      <c r="E1644" s="19">
        <v>0</v>
      </c>
    </row>
    <row r="1645" spans="1:5" x14ac:dyDescent="0.3">
      <c r="A1645" s="20" t="s">
        <v>50</v>
      </c>
      <c r="B1645" s="21" t="s">
        <v>367</v>
      </c>
      <c r="C1645" s="22">
        <v>1100</v>
      </c>
      <c r="D1645" s="23">
        <v>0</v>
      </c>
      <c r="E1645" s="24">
        <v>0</v>
      </c>
    </row>
    <row r="1646" spans="1:5" x14ac:dyDescent="0.3">
      <c r="A1646" s="20" t="s">
        <v>50</v>
      </c>
      <c r="B1646" s="21" t="s">
        <v>368</v>
      </c>
      <c r="C1646" s="22">
        <v>1100</v>
      </c>
      <c r="D1646" s="23">
        <v>0</v>
      </c>
      <c r="E1646" s="24">
        <v>0</v>
      </c>
    </row>
    <row r="1647" spans="1:5" x14ac:dyDescent="0.3">
      <c r="A1647" s="20" t="s">
        <v>50</v>
      </c>
      <c r="B1647" s="21" t="s">
        <v>369</v>
      </c>
      <c r="C1647" s="22">
        <v>1100</v>
      </c>
      <c r="D1647" s="23">
        <v>0</v>
      </c>
      <c r="E1647" s="24">
        <v>0</v>
      </c>
    </row>
    <row r="1648" spans="1:5" x14ac:dyDescent="0.3">
      <c r="A1648" s="20" t="s">
        <v>50</v>
      </c>
      <c r="B1648" s="21" t="s">
        <v>370</v>
      </c>
      <c r="C1648" s="22">
        <v>1100</v>
      </c>
      <c r="D1648" s="23">
        <v>0</v>
      </c>
      <c r="E1648" s="24">
        <v>0</v>
      </c>
    </row>
    <row r="1649" spans="1:5" x14ac:dyDescent="0.3">
      <c r="A1649" s="20" t="s">
        <v>50</v>
      </c>
      <c r="B1649" s="21" t="s">
        <v>371</v>
      </c>
      <c r="C1649" s="22">
        <v>1100</v>
      </c>
      <c r="D1649" s="23">
        <v>0</v>
      </c>
      <c r="E1649" s="24">
        <v>0</v>
      </c>
    </row>
    <row r="1650" spans="1:5" x14ac:dyDescent="0.3">
      <c r="A1650" s="20" t="s">
        <v>50</v>
      </c>
      <c r="B1650" s="21" t="s">
        <v>372</v>
      </c>
      <c r="C1650" s="22">
        <v>1100</v>
      </c>
      <c r="D1650" s="23">
        <v>0</v>
      </c>
      <c r="E1650" s="24">
        <v>0</v>
      </c>
    </row>
    <row r="1651" spans="1:5" x14ac:dyDescent="0.3">
      <c r="A1651" s="20" t="s">
        <v>50</v>
      </c>
      <c r="B1651" s="21" t="s">
        <v>373</v>
      </c>
      <c r="C1651" s="22">
        <v>1100</v>
      </c>
      <c r="D1651" s="23">
        <v>0</v>
      </c>
      <c r="E1651" s="24">
        <v>0</v>
      </c>
    </row>
    <row r="1652" spans="1:5" x14ac:dyDescent="0.3">
      <c r="A1652" s="20" t="s">
        <v>50</v>
      </c>
      <c r="B1652" s="21" t="s">
        <v>374</v>
      </c>
      <c r="C1652" s="22">
        <v>1100</v>
      </c>
      <c r="D1652" s="23">
        <v>0</v>
      </c>
      <c r="E1652" s="24">
        <v>0</v>
      </c>
    </row>
    <row r="1653" spans="1:5" x14ac:dyDescent="0.3">
      <c r="A1653" s="20" t="s">
        <v>50</v>
      </c>
      <c r="B1653" s="21" t="s">
        <v>375</v>
      </c>
      <c r="C1653" s="22">
        <v>1100</v>
      </c>
      <c r="D1653" s="23">
        <v>0</v>
      </c>
      <c r="E1653" s="24">
        <v>0</v>
      </c>
    </row>
    <row r="1654" spans="1:5" x14ac:dyDescent="0.3">
      <c r="A1654" s="20" t="s">
        <v>50</v>
      </c>
      <c r="B1654" s="21" t="s">
        <v>376</v>
      </c>
      <c r="C1654" s="22">
        <v>1100</v>
      </c>
      <c r="D1654" s="23">
        <v>0</v>
      </c>
      <c r="E1654" s="24">
        <v>0</v>
      </c>
    </row>
    <row r="1655" spans="1:5" x14ac:dyDescent="0.3">
      <c r="A1655" s="20" t="s">
        <v>50</v>
      </c>
      <c r="B1655" s="21" t="s">
        <v>377</v>
      </c>
      <c r="C1655" s="22">
        <v>1100</v>
      </c>
      <c r="D1655" s="23">
        <v>0</v>
      </c>
      <c r="E1655" s="24">
        <v>0</v>
      </c>
    </row>
    <row r="1656" spans="1:5" x14ac:dyDescent="0.3">
      <c r="A1656" s="16" t="s">
        <v>51</v>
      </c>
      <c r="B1656" s="16" t="s">
        <v>366</v>
      </c>
      <c r="C1656" s="17">
        <v>0</v>
      </c>
      <c r="D1656" s="18">
        <v>0</v>
      </c>
      <c r="E1656" s="19">
        <v>0</v>
      </c>
    </row>
    <row r="1657" spans="1:5" x14ac:dyDescent="0.3">
      <c r="A1657" s="16" t="s">
        <v>313</v>
      </c>
      <c r="B1657" s="16" t="s">
        <v>366</v>
      </c>
      <c r="C1657" s="17">
        <v>4400</v>
      </c>
      <c r="D1657" s="18">
        <v>0</v>
      </c>
      <c r="E1657" s="19">
        <v>0</v>
      </c>
    </row>
    <row r="1658" spans="1:5" x14ac:dyDescent="0.3">
      <c r="A1658" s="20" t="s">
        <v>313</v>
      </c>
      <c r="B1658" s="21" t="s">
        <v>367</v>
      </c>
      <c r="C1658" s="22">
        <v>4400</v>
      </c>
      <c r="D1658" s="23">
        <v>0</v>
      </c>
      <c r="E1658" s="24">
        <v>0</v>
      </c>
    </row>
    <row r="1659" spans="1:5" x14ac:dyDescent="0.3">
      <c r="A1659" s="20" t="s">
        <v>313</v>
      </c>
      <c r="B1659" s="21" t="s">
        <v>368</v>
      </c>
      <c r="C1659" s="22">
        <v>4400</v>
      </c>
      <c r="D1659" s="23">
        <v>0</v>
      </c>
      <c r="E1659" s="24">
        <v>0</v>
      </c>
    </row>
    <row r="1660" spans="1:5" x14ac:dyDescent="0.3">
      <c r="A1660" s="20" t="s">
        <v>313</v>
      </c>
      <c r="B1660" s="21" t="s">
        <v>369</v>
      </c>
      <c r="C1660" s="22">
        <v>4400</v>
      </c>
      <c r="D1660" s="23">
        <v>0</v>
      </c>
      <c r="E1660" s="24">
        <v>0</v>
      </c>
    </row>
    <row r="1661" spans="1:5" x14ac:dyDescent="0.3">
      <c r="A1661" s="20" t="s">
        <v>313</v>
      </c>
      <c r="B1661" s="21" t="s">
        <v>370</v>
      </c>
      <c r="C1661" s="22">
        <v>4400</v>
      </c>
      <c r="D1661" s="23">
        <v>0</v>
      </c>
      <c r="E1661" s="24">
        <v>0</v>
      </c>
    </row>
    <row r="1662" spans="1:5" x14ac:dyDescent="0.3">
      <c r="A1662" s="20" t="s">
        <v>313</v>
      </c>
      <c r="B1662" s="21" t="s">
        <v>371</v>
      </c>
      <c r="C1662" s="22">
        <v>4400</v>
      </c>
      <c r="D1662" s="23">
        <v>0</v>
      </c>
      <c r="E1662" s="24">
        <v>0</v>
      </c>
    </row>
    <row r="1663" spans="1:5" x14ac:dyDescent="0.3">
      <c r="A1663" s="20" t="s">
        <v>313</v>
      </c>
      <c r="B1663" s="21" t="s">
        <v>372</v>
      </c>
      <c r="C1663" s="22">
        <v>4400</v>
      </c>
      <c r="D1663" s="23">
        <v>0</v>
      </c>
      <c r="E1663" s="24">
        <v>0</v>
      </c>
    </row>
    <row r="1664" spans="1:5" x14ac:dyDescent="0.3">
      <c r="A1664" s="20" t="s">
        <v>313</v>
      </c>
      <c r="B1664" s="21" t="s">
        <v>373</v>
      </c>
      <c r="C1664" s="22">
        <v>2200</v>
      </c>
      <c r="D1664" s="23">
        <v>0</v>
      </c>
      <c r="E1664" s="24">
        <v>0</v>
      </c>
    </row>
    <row r="1665" spans="1:5" x14ac:dyDescent="0.3">
      <c r="A1665" s="20" t="s">
        <v>313</v>
      </c>
      <c r="B1665" s="21" t="s">
        <v>374</v>
      </c>
      <c r="C1665" s="22">
        <v>4400</v>
      </c>
      <c r="D1665" s="23">
        <v>0</v>
      </c>
      <c r="E1665" s="24">
        <v>0</v>
      </c>
    </row>
    <row r="1666" spans="1:5" x14ac:dyDescent="0.3">
      <c r="A1666" s="20" t="s">
        <v>313</v>
      </c>
      <c r="B1666" s="21" t="s">
        <v>375</v>
      </c>
      <c r="C1666" s="22">
        <v>4400</v>
      </c>
      <c r="D1666" s="23">
        <v>0</v>
      </c>
      <c r="E1666" s="24">
        <v>0</v>
      </c>
    </row>
    <row r="1667" spans="1:5" x14ac:dyDescent="0.3">
      <c r="A1667" s="20" t="s">
        <v>313</v>
      </c>
      <c r="B1667" s="21" t="s">
        <v>376</v>
      </c>
      <c r="C1667" s="22">
        <v>4400</v>
      </c>
      <c r="D1667" s="23">
        <v>0</v>
      </c>
      <c r="E1667" s="24">
        <v>0</v>
      </c>
    </row>
    <row r="1668" spans="1:5" x14ac:dyDescent="0.3">
      <c r="A1668" s="20" t="s">
        <v>313</v>
      </c>
      <c r="B1668" s="21" t="s">
        <v>377</v>
      </c>
      <c r="C1668" s="22">
        <v>2200</v>
      </c>
      <c r="D1668" s="23">
        <v>0</v>
      </c>
      <c r="E1668" s="24">
        <v>0</v>
      </c>
    </row>
    <row r="1669" spans="1:5" x14ac:dyDescent="0.3">
      <c r="A1669" s="16" t="s">
        <v>54</v>
      </c>
      <c r="B1669" s="16" t="s">
        <v>366</v>
      </c>
      <c r="C1669" s="17">
        <v>1100</v>
      </c>
      <c r="D1669" s="18">
        <v>0</v>
      </c>
      <c r="E1669" s="19">
        <v>0</v>
      </c>
    </row>
    <row r="1670" spans="1:5" x14ac:dyDescent="0.3">
      <c r="A1670" s="20" t="s">
        <v>54</v>
      </c>
      <c r="B1670" s="21" t="s">
        <v>367</v>
      </c>
      <c r="C1670" s="22">
        <v>1100</v>
      </c>
      <c r="D1670" s="23">
        <v>0</v>
      </c>
      <c r="E1670" s="24">
        <v>0</v>
      </c>
    </row>
    <row r="1671" spans="1:5" x14ac:dyDescent="0.3">
      <c r="A1671" s="20" t="s">
        <v>54</v>
      </c>
      <c r="B1671" s="21" t="s">
        <v>368</v>
      </c>
      <c r="C1671" s="22">
        <v>1100</v>
      </c>
      <c r="D1671" s="23">
        <v>0</v>
      </c>
      <c r="E1671" s="24">
        <v>0</v>
      </c>
    </row>
    <row r="1672" spans="1:5" x14ac:dyDescent="0.3">
      <c r="A1672" s="20" t="s">
        <v>54</v>
      </c>
      <c r="B1672" s="21" t="s">
        <v>369</v>
      </c>
      <c r="C1672" s="22">
        <v>1100</v>
      </c>
      <c r="D1672" s="23">
        <v>0</v>
      </c>
      <c r="E1672" s="24">
        <v>0</v>
      </c>
    </row>
    <row r="1673" spans="1:5" x14ac:dyDescent="0.3">
      <c r="A1673" s="20" t="s">
        <v>54</v>
      </c>
      <c r="B1673" s="21" t="s">
        <v>370</v>
      </c>
      <c r="C1673" s="22">
        <v>1100</v>
      </c>
      <c r="D1673" s="23">
        <v>0</v>
      </c>
      <c r="E1673" s="24">
        <v>0</v>
      </c>
    </row>
    <row r="1674" spans="1:5" x14ac:dyDescent="0.3">
      <c r="A1674" s="20" t="s">
        <v>54</v>
      </c>
      <c r="B1674" s="21" t="s">
        <v>371</v>
      </c>
      <c r="C1674" s="22">
        <v>1100</v>
      </c>
      <c r="D1674" s="23">
        <v>0</v>
      </c>
      <c r="E1674" s="24">
        <v>0</v>
      </c>
    </row>
    <row r="1675" spans="1:5" x14ac:dyDescent="0.3">
      <c r="A1675" s="20" t="s">
        <v>54</v>
      </c>
      <c r="B1675" s="21" t="s">
        <v>372</v>
      </c>
      <c r="C1675" s="22">
        <v>1100</v>
      </c>
      <c r="D1675" s="23">
        <v>0</v>
      </c>
      <c r="E1675" s="24">
        <v>0</v>
      </c>
    </row>
    <row r="1676" spans="1:5" x14ac:dyDescent="0.3">
      <c r="A1676" s="20" t="s">
        <v>54</v>
      </c>
      <c r="B1676" s="21" t="s">
        <v>373</v>
      </c>
      <c r="C1676" s="22">
        <v>1100</v>
      </c>
      <c r="D1676" s="23">
        <v>0</v>
      </c>
      <c r="E1676" s="24">
        <v>0</v>
      </c>
    </row>
    <row r="1677" spans="1:5" x14ac:dyDescent="0.3">
      <c r="A1677" s="20" t="s">
        <v>54</v>
      </c>
      <c r="B1677" s="21" t="s">
        <v>374</v>
      </c>
      <c r="C1677" s="22">
        <v>1100</v>
      </c>
      <c r="D1677" s="23">
        <v>0</v>
      </c>
      <c r="E1677" s="24">
        <v>0</v>
      </c>
    </row>
    <row r="1678" spans="1:5" x14ac:dyDescent="0.3">
      <c r="A1678" s="20" t="s">
        <v>54</v>
      </c>
      <c r="B1678" s="21" t="s">
        <v>375</v>
      </c>
      <c r="C1678" s="22">
        <v>1100</v>
      </c>
      <c r="D1678" s="23">
        <v>0</v>
      </c>
      <c r="E1678" s="24">
        <v>0</v>
      </c>
    </row>
    <row r="1679" spans="1:5" x14ac:dyDescent="0.3">
      <c r="A1679" s="20" t="s">
        <v>54</v>
      </c>
      <c r="B1679" s="21" t="s">
        <v>376</v>
      </c>
      <c r="C1679" s="22">
        <v>1100</v>
      </c>
      <c r="D1679" s="23">
        <v>0</v>
      </c>
      <c r="E1679" s="24">
        <v>0</v>
      </c>
    </row>
    <row r="1680" spans="1:5" x14ac:dyDescent="0.3">
      <c r="A1680" s="20" t="s">
        <v>54</v>
      </c>
      <c r="B1680" s="21" t="s">
        <v>377</v>
      </c>
      <c r="C1680" s="22">
        <v>1100</v>
      </c>
      <c r="D1680" s="23">
        <v>0</v>
      </c>
      <c r="E1680" s="24">
        <v>0</v>
      </c>
    </row>
    <row r="1681" spans="1:5" x14ac:dyDescent="0.3">
      <c r="A1681" s="16" t="s">
        <v>420</v>
      </c>
      <c r="B1681" s="16" t="s">
        <v>374</v>
      </c>
      <c r="C1681" s="17">
        <v>0</v>
      </c>
      <c r="D1681" s="18">
        <v>0</v>
      </c>
      <c r="E1681" s="19">
        <v>0</v>
      </c>
    </row>
    <row r="1682" spans="1:5" x14ac:dyDescent="0.3">
      <c r="A1682" s="16" t="s">
        <v>126</v>
      </c>
      <c r="B1682" s="16" t="s">
        <v>366</v>
      </c>
      <c r="C1682" s="17">
        <v>2200</v>
      </c>
      <c r="D1682" s="18">
        <v>0</v>
      </c>
      <c r="E1682" s="19">
        <v>0</v>
      </c>
    </row>
    <row r="1683" spans="1:5" x14ac:dyDescent="0.3">
      <c r="A1683" s="20" t="s">
        <v>126</v>
      </c>
      <c r="B1683" s="21" t="s">
        <v>367</v>
      </c>
      <c r="C1683" s="22">
        <v>2200</v>
      </c>
      <c r="D1683" s="23">
        <v>0</v>
      </c>
      <c r="E1683" s="24">
        <v>0</v>
      </c>
    </row>
    <row r="1684" spans="1:5" x14ac:dyDescent="0.3">
      <c r="A1684" s="20" t="s">
        <v>126</v>
      </c>
      <c r="B1684" s="21" t="s">
        <v>368</v>
      </c>
      <c r="C1684" s="22">
        <v>2200</v>
      </c>
      <c r="D1684" s="23">
        <v>0</v>
      </c>
      <c r="E1684" s="24">
        <v>0</v>
      </c>
    </row>
    <row r="1685" spans="1:5" x14ac:dyDescent="0.3">
      <c r="A1685" s="20" t="s">
        <v>126</v>
      </c>
      <c r="B1685" s="21" t="s">
        <v>369</v>
      </c>
      <c r="C1685" s="22">
        <v>2200</v>
      </c>
      <c r="D1685" s="23">
        <v>0</v>
      </c>
      <c r="E1685" s="24">
        <v>0</v>
      </c>
    </row>
    <row r="1686" spans="1:5" x14ac:dyDescent="0.3">
      <c r="A1686" s="20" t="s">
        <v>126</v>
      </c>
      <c r="B1686" s="21" t="s">
        <v>370</v>
      </c>
      <c r="C1686" s="22">
        <v>2200</v>
      </c>
      <c r="D1686" s="23">
        <v>0</v>
      </c>
      <c r="E1686" s="24">
        <v>0</v>
      </c>
    </row>
    <row r="1687" spans="1:5" x14ac:dyDescent="0.3">
      <c r="A1687" s="20" t="s">
        <v>126</v>
      </c>
      <c r="B1687" s="21" t="s">
        <v>371</v>
      </c>
      <c r="C1687" s="22">
        <v>2200</v>
      </c>
      <c r="D1687" s="23">
        <v>0</v>
      </c>
      <c r="E1687" s="24">
        <v>0</v>
      </c>
    </row>
    <row r="1688" spans="1:5" x14ac:dyDescent="0.3">
      <c r="A1688" s="20" t="s">
        <v>126</v>
      </c>
      <c r="B1688" s="21" t="s">
        <v>372</v>
      </c>
      <c r="C1688" s="22">
        <v>2200</v>
      </c>
      <c r="D1688" s="23">
        <v>0</v>
      </c>
      <c r="E1688" s="24">
        <v>0</v>
      </c>
    </row>
    <row r="1689" spans="1:5" x14ac:dyDescent="0.3">
      <c r="A1689" s="20" t="s">
        <v>126</v>
      </c>
      <c r="B1689" s="21" t="s">
        <v>373</v>
      </c>
      <c r="C1689" s="22">
        <v>1100</v>
      </c>
      <c r="D1689" s="23">
        <v>0</v>
      </c>
      <c r="E1689" s="24">
        <v>0</v>
      </c>
    </row>
    <row r="1690" spans="1:5" x14ac:dyDescent="0.3">
      <c r="A1690" s="20" t="s">
        <v>126</v>
      </c>
      <c r="B1690" s="21" t="s">
        <v>374</v>
      </c>
      <c r="C1690" s="22">
        <v>2200</v>
      </c>
      <c r="D1690" s="23">
        <v>0</v>
      </c>
      <c r="E1690" s="24">
        <v>0</v>
      </c>
    </row>
    <row r="1691" spans="1:5" x14ac:dyDescent="0.3">
      <c r="A1691" s="20" t="s">
        <v>126</v>
      </c>
      <c r="B1691" s="21" t="s">
        <v>375</v>
      </c>
      <c r="C1691" s="22">
        <v>2200</v>
      </c>
      <c r="D1691" s="23">
        <v>0</v>
      </c>
      <c r="E1691" s="24">
        <v>0</v>
      </c>
    </row>
    <row r="1692" spans="1:5" x14ac:dyDescent="0.3">
      <c r="A1692" s="20" t="s">
        <v>126</v>
      </c>
      <c r="B1692" s="21" t="s">
        <v>376</v>
      </c>
      <c r="C1692" s="22">
        <v>2200</v>
      </c>
      <c r="D1692" s="23">
        <v>0</v>
      </c>
      <c r="E1692" s="24">
        <v>0</v>
      </c>
    </row>
    <row r="1693" spans="1:5" x14ac:dyDescent="0.3">
      <c r="A1693" s="20" t="s">
        <v>126</v>
      </c>
      <c r="B1693" s="21" t="s">
        <v>377</v>
      </c>
      <c r="C1693" s="22">
        <v>1100</v>
      </c>
      <c r="D1693" s="23">
        <v>0</v>
      </c>
      <c r="E1693" s="24">
        <v>0</v>
      </c>
    </row>
    <row r="1694" spans="1:5" x14ac:dyDescent="0.3">
      <c r="A1694" s="16" t="s">
        <v>127</v>
      </c>
      <c r="B1694" s="16" t="s">
        <v>366</v>
      </c>
      <c r="C1694" s="17">
        <v>2200</v>
      </c>
      <c r="D1694" s="18">
        <v>0</v>
      </c>
      <c r="E1694" s="19">
        <v>0</v>
      </c>
    </row>
    <row r="1695" spans="1:5" x14ac:dyDescent="0.3">
      <c r="A1695" s="20" t="s">
        <v>127</v>
      </c>
      <c r="B1695" s="21" t="s">
        <v>367</v>
      </c>
      <c r="C1695" s="22">
        <v>2200</v>
      </c>
      <c r="D1695" s="23">
        <v>0</v>
      </c>
      <c r="E1695" s="24">
        <v>0</v>
      </c>
    </row>
    <row r="1696" spans="1:5" x14ac:dyDescent="0.3">
      <c r="A1696" s="20" t="s">
        <v>127</v>
      </c>
      <c r="B1696" s="21" t="s">
        <v>368</v>
      </c>
      <c r="C1696" s="22">
        <v>2200</v>
      </c>
      <c r="D1696" s="23">
        <v>0</v>
      </c>
      <c r="E1696" s="24">
        <v>0</v>
      </c>
    </row>
    <row r="1697" spans="1:5" x14ac:dyDescent="0.3">
      <c r="A1697" s="20" t="s">
        <v>127</v>
      </c>
      <c r="B1697" s="21" t="s">
        <v>369</v>
      </c>
      <c r="C1697" s="22">
        <v>2200</v>
      </c>
      <c r="D1697" s="23">
        <v>0</v>
      </c>
      <c r="E1697" s="24">
        <v>0</v>
      </c>
    </row>
    <row r="1698" spans="1:5" x14ac:dyDescent="0.3">
      <c r="A1698" s="20" t="s">
        <v>127</v>
      </c>
      <c r="B1698" s="21" t="s">
        <v>370</v>
      </c>
      <c r="C1698" s="22">
        <v>2200</v>
      </c>
      <c r="D1698" s="23">
        <v>0</v>
      </c>
      <c r="E1698" s="24">
        <v>0</v>
      </c>
    </row>
    <row r="1699" spans="1:5" x14ac:dyDescent="0.3">
      <c r="A1699" s="20" t="s">
        <v>127</v>
      </c>
      <c r="B1699" s="21" t="s">
        <v>371</v>
      </c>
      <c r="C1699" s="22">
        <v>2200</v>
      </c>
      <c r="D1699" s="23">
        <v>0</v>
      </c>
      <c r="E1699" s="24">
        <v>0</v>
      </c>
    </row>
    <row r="1700" spans="1:5" x14ac:dyDescent="0.3">
      <c r="A1700" s="20" t="s">
        <v>127</v>
      </c>
      <c r="B1700" s="21" t="s">
        <v>372</v>
      </c>
      <c r="C1700" s="22">
        <v>2200</v>
      </c>
      <c r="D1700" s="23">
        <v>0</v>
      </c>
      <c r="E1700" s="24">
        <v>0</v>
      </c>
    </row>
    <row r="1701" spans="1:5" x14ac:dyDescent="0.3">
      <c r="A1701" s="20" t="s">
        <v>127</v>
      </c>
      <c r="B1701" s="21" t="s">
        <v>373</v>
      </c>
      <c r="C1701" s="22">
        <v>1100</v>
      </c>
      <c r="D1701" s="23">
        <v>0</v>
      </c>
      <c r="E1701" s="24">
        <v>0</v>
      </c>
    </row>
    <row r="1702" spans="1:5" x14ac:dyDescent="0.3">
      <c r="A1702" s="20" t="s">
        <v>127</v>
      </c>
      <c r="B1702" s="21" t="s">
        <v>374</v>
      </c>
      <c r="C1702" s="22">
        <v>2200</v>
      </c>
      <c r="D1702" s="23">
        <v>0</v>
      </c>
      <c r="E1702" s="24">
        <v>0</v>
      </c>
    </row>
    <row r="1703" spans="1:5" x14ac:dyDescent="0.3">
      <c r="A1703" s="20" t="s">
        <v>127</v>
      </c>
      <c r="B1703" s="21" t="s">
        <v>375</v>
      </c>
      <c r="C1703" s="22">
        <v>2200</v>
      </c>
      <c r="D1703" s="23">
        <v>0</v>
      </c>
      <c r="E1703" s="24">
        <v>0</v>
      </c>
    </row>
    <row r="1704" spans="1:5" x14ac:dyDescent="0.3">
      <c r="A1704" s="20" t="s">
        <v>127</v>
      </c>
      <c r="B1704" s="21" t="s">
        <v>376</v>
      </c>
      <c r="C1704" s="22">
        <v>2200</v>
      </c>
      <c r="D1704" s="23">
        <v>0</v>
      </c>
      <c r="E1704" s="24">
        <v>0</v>
      </c>
    </row>
    <row r="1705" spans="1:5" x14ac:dyDescent="0.3">
      <c r="A1705" s="20" t="s">
        <v>127</v>
      </c>
      <c r="B1705" s="21" t="s">
        <v>377</v>
      </c>
      <c r="C1705" s="22">
        <v>1100</v>
      </c>
      <c r="D1705" s="23">
        <v>0</v>
      </c>
      <c r="E1705" s="24">
        <v>0</v>
      </c>
    </row>
    <row r="1706" spans="1:5" x14ac:dyDescent="0.3">
      <c r="A1706" s="16" t="s">
        <v>421</v>
      </c>
      <c r="B1706" s="16" t="s">
        <v>366</v>
      </c>
      <c r="C1706" s="17">
        <v>0</v>
      </c>
      <c r="D1706" s="18">
        <v>0</v>
      </c>
      <c r="E1706" s="19">
        <v>0</v>
      </c>
    </row>
    <row r="1707" spans="1:5" x14ac:dyDescent="0.3">
      <c r="A1707" s="16" t="s">
        <v>181</v>
      </c>
      <c r="B1707" s="16" t="s">
        <v>372</v>
      </c>
      <c r="C1707" s="17">
        <v>0</v>
      </c>
      <c r="D1707" s="18">
        <v>0</v>
      </c>
      <c r="E1707" s="19">
        <v>0</v>
      </c>
    </row>
    <row r="1708" spans="1:5" x14ac:dyDescent="0.3">
      <c r="A1708" s="16" t="s">
        <v>191</v>
      </c>
      <c r="B1708" s="16" t="s">
        <v>371</v>
      </c>
      <c r="C1708" s="17">
        <v>0</v>
      </c>
      <c r="D1708" s="18">
        <v>0</v>
      </c>
      <c r="E1708" s="19">
        <v>0</v>
      </c>
    </row>
    <row r="1709" spans="1:5" x14ac:dyDescent="0.3">
      <c r="A1709" s="16" t="s">
        <v>240</v>
      </c>
      <c r="B1709" s="16" t="s">
        <v>366</v>
      </c>
      <c r="C1709" s="17">
        <v>5500</v>
      </c>
      <c r="D1709" s="18">
        <v>0</v>
      </c>
      <c r="E1709" s="19">
        <v>0</v>
      </c>
    </row>
    <row r="1710" spans="1:5" x14ac:dyDescent="0.3">
      <c r="A1710" s="20" t="s">
        <v>240</v>
      </c>
      <c r="B1710" s="21" t="s">
        <v>367</v>
      </c>
      <c r="C1710" s="22">
        <v>5500</v>
      </c>
      <c r="D1710" s="23">
        <v>0</v>
      </c>
      <c r="E1710" s="24">
        <v>0</v>
      </c>
    </row>
    <row r="1711" spans="1:5" x14ac:dyDescent="0.3">
      <c r="A1711" s="20" t="s">
        <v>240</v>
      </c>
      <c r="B1711" s="21" t="s">
        <v>368</v>
      </c>
      <c r="C1711" s="22">
        <v>5500</v>
      </c>
      <c r="D1711" s="23">
        <v>0</v>
      </c>
      <c r="E1711" s="24">
        <v>0</v>
      </c>
    </row>
    <row r="1712" spans="1:5" x14ac:dyDescent="0.3">
      <c r="A1712" s="20" t="s">
        <v>240</v>
      </c>
      <c r="B1712" s="21" t="s">
        <v>369</v>
      </c>
      <c r="C1712" s="22">
        <v>5500</v>
      </c>
      <c r="D1712" s="23">
        <v>0</v>
      </c>
      <c r="E1712" s="24">
        <v>0</v>
      </c>
    </row>
    <row r="1713" spans="1:5" x14ac:dyDescent="0.3">
      <c r="A1713" s="20" t="s">
        <v>240</v>
      </c>
      <c r="B1713" s="21" t="s">
        <v>370</v>
      </c>
      <c r="C1713" s="22">
        <v>5500</v>
      </c>
      <c r="D1713" s="23">
        <v>0</v>
      </c>
      <c r="E1713" s="24">
        <v>0</v>
      </c>
    </row>
    <row r="1714" spans="1:5" x14ac:dyDescent="0.3">
      <c r="A1714" s="20" t="s">
        <v>240</v>
      </c>
      <c r="B1714" s="21" t="s">
        <v>371</v>
      </c>
      <c r="C1714" s="22">
        <v>5500</v>
      </c>
      <c r="D1714" s="23">
        <v>0</v>
      </c>
      <c r="E1714" s="24">
        <v>0</v>
      </c>
    </row>
    <row r="1715" spans="1:5" x14ac:dyDescent="0.3">
      <c r="A1715" s="20" t="s">
        <v>240</v>
      </c>
      <c r="B1715" s="21" t="s">
        <v>372</v>
      </c>
      <c r="C1715" s="22">
        <v>5500</v>
      </c>
      <c r="D1715" s="23">
        <v>0</v>
      </c>
      <c r="E1715" s="24">
        <v>0</v>
      </c>
    </row>
    <row r="1716" spans="1:5" x14ac:dyDescent="0.3">
      <c r="A1716" s="20" t="s">
        <v>240</v>
      </c>
      <c r="B1716" s="21" t="s">
        <v>373</v>
      </c>
      <c r="C1716" s="22">
        <v>3300</v>
      </c>
      <c r="D1716" s="23">
        <v>0</v>
      </c>
      <c r="E1716" s="24">
        <v>0</v>
      </c>
    </row>
    <row r="1717" spans="1:5" x14ac:dyDescent="0.3">
      <c r="A1717" s="20" t="s">
        <v>240</v>
      </c>
      <c r="B1717" s="21" t="s">
        <v>374</v>
      </c>
      <c r="C1717" s="22">
        <v>5500</v>
      </c>
      <c r="D1717" s="23">
        <v>0</v>
      </c>
      <c r="E1717" s="24">
        <v>0</v>
      </c>
    </row>
    <row r="1718" spans="1:5" x14ac:dyDescent="0.3">
      <c r="A1718" s="20" t="s">
        <v>240</v>
      </c>
      <c r="B1718" s="21" t="s">
        <v>375</v>
      </c>
      <c r="C1718" s="22">
        <v>5500</v>
      </c>
      <c r="D1718" s="23">
        <v>0</v>
      </c>
      <c r="E1718" s="24">
        <v>0</v>
      </c>
    </row>
    <row r="1719" spans="1:5" x14ac:dyDescent="0.3">
      <c r="A1719" s="20" t="s">
        <v>240</v>
      </c>
      <c r="B1719" s="21" t="s">
        <v>376</v>
      </c>
      <c r="C1719" s="22">
        <v>5500</v>
      </c>
      <c r="D1719" s="23">
        <v>0</v>
      </c>
      <c r="E1719" s="24">
        <v>0</v>
      </c>
    </row>
    <row r="1720" spans="1:5" x14ac:dyDescent="0.3">
      <c r="A1720" s="20" t="s">
        <v>240</v>
      </c>
      <c r="B1720" s="21" t="s">
        <v>377</v>
      </c>
      <c r="C1720" s="22">
        <v>3300</v>
      </c>
      <c r="D1720" s="23">
        <v>0</v>
      </c>
      <c r="E1720" s="24">
        <v>0</v>
      </c>
    </row>
    <row r="1721" spans="1:5" x14ac:dyDescent="0.3">
      <c r="A1721" s="16" t="s">
        <v>259</v>
      </c>
      <c r="B1721" s="16" t="s">
        <v>370</v>
      </c>
      <c r="C1721" s="17">
        <v>0</v>
      </c>
      <c r="D1721" s="18">
        <v>0</v>
      </c>
      <c r="E1721" s="19">
        <v>0</v>
      </c>
    </row>
    <row r="1722" spans="1:5" x14ac:dyDescent="0.3">
      <c r="A1722" s="16" t="s">
        <v>280</v>
      </c>
      <c r="B1722" s="16" t="s">
        <v>368</v>
      </c>
      <c r="C1722" s="17">
        <v>0</v>
      </c>
      <c r="D1722" s="18">
        <v>0</v>
      </c>
      <c r="E1722" s="19">
        <v>0</v>
      </c>
    </row>
    <row r="1723" spans="1:5" x14ac:dyDescent="0.3">
      <c r="A1723" s="16" t="s">
        <v>298</v>
      </c>
      <c r="B1723" s="16" t="s">
        <v>368</v>
      </c>
      <c r="C1723" s="17">
        <v>0</v>
      </c>
      <c r="D1723" s="18">
        <v>0</v>
      </c>
      <c r="E1723" s="19">
        <v>0</v>
      </c>
    </row>
    <row r="1724" spans="1:5" x14ac:dyDescent="0.3">
      <c r="A1724" s="16" t="s">
        <v>307</v>
      </c>
      <c r="B1724" s="16" t="s">
        <v>375</v>
      </c>
      <c r="C1724" s="17">
        <v>0</v>
      </c>
      <c r="D1724" s="18">
        <v>0</v>
      </c>
      <c r="E1724" s="19">
        <v>0</v>
      </c>
    </row>
    <row r="1725" spans="1:5" x14ac:dyDescent="0.3">
      <c r="A1725" s="16" t="s">
        <v>38</v>
      </c>
      <c r="B1725" s="16" t="s">
        <v>371</v>
      </c>
      <c r="C1725" s="17">
        <v>0</v>
      </c>
      <c r="D1725" s="18">
        <v>0</v>
      </c>
      <c r="E1725" s="19">
        <v>0</v>
      </c>
    </row>
    <row r="1726" spans="1:5" x14ac:dyDescent="0.3">
      <c r="A1726" s="20" t="s">
        <v>38</v>
      </c>
      <c r="B1726" s="21" t="s">
        <v>372</v>
      </c>
      <c r="C1726" s="22">
        <v>0</v>
      </c>
      <c r="D1726" s="23">
        <v>0</v>
      </c>
      <c r="E1726" s="24">
        <v>0</v>
      </c>
    </row>
    <row r="1727" spans="1:5" x14ac:dyDescent="0.3">
      <c r="A1727" s="20" t="s">
        <v>38</v>
      </c>
      <c r="B1727" s="21" t="s">
        <v>375</v>
      </c>
      <c r="C1727" s="22">
        <v>0</v>
      </c>
      <c r="D1727" s="23">
        <v>0</v>
      </c>
      <c r="E1727" s="24">
        <v>0</v>
      </c>
    </row>
    <row r="1728" spans="1:5" x14ac:dyDescent="0.3">
      <c r="A1728" s="16" t="s">
        <v>274</v>
      </c>
      <c r="B1728" s="16" t="s">
        <v>366</v>
      </c>
      <c r="C1728" s="17">
        <v>2200</v>
      </c>
      <c r="D1728" s="18">
        <v>0</v>
      </c>
      <c r="E1728" s="19">
        <v>0</v>
      </c>
    </row>
    <row r="1729" spans="1:5" x14ac:dyDescent="0.3">
      <c r="A1729" s="20" t="s">
        <v>274</v>
      </c>
      <c r="B1729" s="21" t="s">
        <v>367</v>
      </c>
      <c r="C1729" s="22">
        <v>2200</v>
      </c>
      <c r="D1729" s="23">
        <v>0</v>
      </c>
      <c r="E1729" s="24">
        <v>0</v>
      </c>
    </row>
    <row r="1730" spans="1:5" x14ac:dyDescent="0.3">
      <c r="A1730" s="20" t="s">
        <v>274</v>
      </c>
      <c r="B1730" s="21" t="s">
        <v>368</v>
      </c>
      <c r="C1730" s="22">
        <v>2200</v>
      </c>
      <c r="D1730" s="23">
        <v>0</v>
      </c>
      <c r="E1730" s="24">
        <v>0</v>
      </c>
    </row>
    <row r="1731" spans="1:5" x14ac:dyDescent="0.3">
      <c r="A1731" s="20" t="s">
        <v>274</v>
      </c>
      <c r="B1731" s="21" t="s">
        <v>369</v>
      </c>
      <c r="C1731" s="22">
        <v>2200</v>
      </c>
      <c r="D1731" s="23">
        <v>0</v>
      </c>
      <c r="E1731" s="24">
        <v>0</v>
      </c>
    </row>
    <row r="1732" spans="1:5" x14ac:dyDescent="0.3">
      <c r="A1732" s="20" t="s">
        <v>274</v>
      </c>
      <c r="B1732" s="21" t="s">
        <v>370</v>
      </c>
      <c r="C1732" s="22">
        <v>2200</v>
      </c>
      <c r="D1732" s="23">
        <v>0</v>
      </c>
      <c r="E1732" s="24">
        <v>0</v>
      </c>
    </row>
    <row r="1733" spans="1:5" x14ac:dyDescent="0.3">
      <c r="A1733" s="20" t="s">
        <v>274</v>
      </c>
      <c r="B1733" s="21" t="s">
        <v>371</v>
      </c>
      <c r="C1733" s="22">
        <v>2200</v>
      </c>
      <c r="D1733" s="23">
        <v>0</v>
      </c>
      <c r="E1733" s="24">
        <v>0</v>
      </c>
    </row>
    <row r="1734" spans="1:5" x14ac:dyDescent="0.3">
      <c r="A1734" s="20" t="s">
        <v>274</v>
      </c>
      <c r="B1734" s="21" t="s">
        <v>372</v>
      </c>
      <c r="C1734" s="22">
        <v>2200</v>
      </c>
      <c r="D1734" s="23">
        <v>0</v>
      </c>
      <c r="E1734" s="24">
        <v>0</v>
      </c>
    </row>
    <row r="1735" spans="1:5" x14ac:dyDescent="0.3">
      <c r="A1735" s="20" t="s">
        <v>274</v>
      </c>
      <c r="B1735" s="21" t="s">
        <v>373</v>
      </c>
      <c r="C1735" s="22">
        <v>1100</v>
      </c>
      <c r="D1735" s="23">
        <v>0</v>
      </c>
      <c r="E1735" s="24">
        <v>0</v>
      </c>
    </row>
    <row r="1736" spans="1:5" x14ac:dyDescent="0.3">
      <c r="A1736" s="20" t="s">
        <v>274</v>
      </c>
      <c r="B1736" s="21" t="s">
        <v>374</v>
      </c>
      <c r="C1736" s="22">
        <v>2200</v>
      </c>
      <c r="D1736" s="23">
        <v>0</v>
      </c>
      <c r="E1736" s="24">
        <v>0</v>
      </c>
    </row>
    <row r="1737" spans="1:5" x14ac:dyDescent="0.3">
      <c r="A1737" s="20" t="s">
        <v>274</v>
      </c>
      <c r="B1737" s="21" t="s">
        <v>375</v>
      </c>
      <c r="C1737" s="22">
        <v>2200</v>
      </c>
      <c r="D1737" s="23">
        <v>0</v>
      </c>
      <c r="E1737" s="24">
        <v>0</v>
      </c>
    </row>
    <row r="1738" spans="1:5" x14ac:dyDescent="0.3">
      <c r="A1738" s="20" t="s">
        <v>274</v>
      </c>
      <c r="B1738" s="21" t="s">
        <v>376</v>
      </c>
      <c r="C1738" s="22">
        <v>2200</v>
      </c>
      <c r="D1738" s="23">
        <v>0</v>
      </c>
      <c r="E1738" s="24">
        <v>0</v>
      </c>
    </row>
    <row r="1739" spans="1:5" x14ac:dyDescent="0.3">
      <c r="A1739" s="20" t="s">
        <v>274</v>
      </c>
      <c r="B1739" s="21" t="s">
        <v>377</v>
      </c>
      <c r="C1739" s="22">
        <v>1100</v>
      </c>
      <c r="D1739" s="23">
        <v>0</v>
      </c>
      <c r="E1739" s="24">
        <v>0</v>
      </c>
    </row>
    <row r="1740" spans="1:5" x14ac:dyDescent="0.3">
      <c r="A1740" s="16" t="s">
        <v>275</v>
      </c>
      <c r="B1740" s="16" t="s">
        <v>366</v>
      </c>
      <c r="C1740" s="17">
        <v>3300</v>
      </c>
      <c r="D1740" s="18">
        <v>0</v>
      </c>
      <c r="E1740" s="19">
        <v>0</v>
      </c>
    </row>
    <row r="1741" spans="1:5" x14ac:dyDescent="0.3">
      <c r="A1741" s="20" t="s">
        <v>275</v>
      </c>
      <c r="B1741" s="21" t="s">
        <v>367</v>
      </c>
      <c r="C1741" s="22">
        <v>3300</v>
      </c>
      <c r="D1741" s="23">
        <v>0</v>
      </c>
      <c r="E1741" s="24">
        <v>0</v>
      </c>
    </row>
    <row r="1742" spans="1:5" x14ac:dyDescent="0.3">
      <c r="A1742" s="20" t="s">
        <v>275</v>
      </c>
      <c r="B1742" s="21" t="s">
        <v>368</v>
      </c>
      <c r="C1742" s="22">
        <v>3300</v>
      </c>
      <c r="D1742" s="23">
        <v>0</v>
      </c>
      <c r="E1742" s="24">
        <v>0</v>
      </c>
    </row>
    <row r="1743" spans="1:5" x14ac:dyDescent="0.3">
      <c r="A1743" s="20" t="s">
        <v>275</v>
      </c>
      <c r="B1743" s="21" t="s">
        <v>369</v>
      </c>
      <c r="C1743" s="22">
        <v>3300</v>
      </c>
      <c r="D1743" s="23">
        <v>0</v>
      </c>
      <c r="E1743" s="24">
        <v>0</v>
      </c>
    </row>
    <row r="1744" spans="1:5" x14ac:dyDescent="0.3">
      <c r="A1744" s="20" t="s">
        <v>275</v>
      </c>
      <c r="B1744" s="21" t="s">
        <v>370</v>
      </c>
      <c r="C1744" s="22">
        <v>3300</v>
      </c>
      <c r="D1744" s="23">
        <v>0</v>
      </c>
      <c r="E1744" s="24">
        <v>0</v>
      </c>
    </row>
    <row r="1745" spans="1:5" x14ac:dyDescent="0.3">
      <c r="A1745" s="20" t="s">
        <v>275</v>
      </c>
      <c r="B1745" s="21" t="s">
        <v>371</v>
      </c>
      <c r="C1745" s="22">
        <v>3300</v>
      </c>
      <c r="D1745" s="23">
        <v>0</v>
      </c>
      <c r="E1745" s="24">
        <v>0</v>
      </c>
    </row>
    <row r="1746" spans="1:5" x14ac:dyDescent="0.3">
      <c r="A1746" s="20" t="s">
        <v>275</v>
      </c>
      <c r="B1746" s="21" t="s">
        <v>372</v>
      </c>
      <c r="C1746" s="22">
        <v>3300</v>
      </c>
      <c r="D1746" s="23">
        <v>0</v>
      </c>
      <c r="E1746" s="24">
        <v>0</v>
      </c>
    </row>
    <row r="1747" spans="1:5" x14ac:dyDescent="0.3">
      <c r="A1747" s="20" t="s">
        <v>275</v>
      </c>
      <c r="B1747" s="21" t="s">
        <v>373</v>
      </c>
      <c r="C1747" s="22">
        <v>1100</v>
      </c>
      <c r="D1747" s="23">
        <v>0</v>
      </c>
      <c r="E1747" s="24">
        <v>0</v>
      </c>
    </row>
    <row r="1748" spans="1:5" x14ac:dyDescent="0.3">
      <c r="A1748" s="20" t="s">
        <v>275</v>
      </c>
      <c r="B1748" s="21" t="s">
        <v>374</v>
      </c>
      <c r="C1748" s="22">
        <v>3300</v>
      </c>
      <c r="D1748" s="23">
        <v>0</v>
      </c>
      <c r="E1748" s="24">
        <v>0</v>
      </c>
    </row>
    <row r="1749" spans="1:5" x14ac:dyDescent="0.3">
      <c r="A1749" s="20" t="s">
        <v>275</v>
      </c>
      <c r="B1749" s="21" t="s">
        <v>375</v>
      </c>
      <c r="C1749" s="22">
        <v>3300</v>
      </c>
      <c r="D1749" s="23">
        <v>0</v>
      </c>
      <c r="E1749" s="24">
        <v>0</v>
      </c>
    </row>
    <row r="1750" spans="1:5" x14ac:dyDescent="0.3">
      <c r="A1750" s="20" t="s">
        <v>275</v>
      </c>
      <c r="B1750" s="21" t="s">
        <v>376</v>
      </c>
      <c r="C1750" s="22">
        <v>3300</v>
      </c>
      <c r="D1750" s="23">
        <v>0</v>
      </c>
      <c r="E1750" s="24">
        <v>0</v>
      </c>
    </row>
    <row r="1751" spans="1:5" x14ac:dyDescent="0.3">
      <c r="A1751" s="20" t="s">
        <v>275</v>
      </c>
      <c r="B1751" s="21" t="s">
        <v>377</v>
      </c>
      <c r="C1751" s="22">
        <v>1100</v>
      </c>
      <c r="D1751" s="23">
        <v>0</v>
      </c>
      <c r="E1751" s="24">
        <v>0</v>
      </c>
    </row>
    <row r="1752" spans="1:5" x14ac:dyDescent="0.3">
      <c r="A1752" s="16" t="s">
        <v>281</v>
      </c>
      <c r="B1752" s="16" t="s">
        <v>366</v>
      </c>
      <c r="C1752" s="17">
        <v>0</v>
      </c>
      <c r="D1752" s="18">
        <v>7800</v>
      </c>
      <c r="E1752" s="19">
        <v>0</v>
      </c>
    </row>
    <row r="1753" spans="1:5" x14ac:dyDescent="0.3">
      <c r="A1753" s="20" t="s">
        <v>281</v>
      </c>
      <c r="B1753" s="21" t="s">
        <v>370</v>
      </c>
      <c r="C1753" s="22">
        <v>0</v>
      </c>
      <c r="D1753" s="23">
        <v>0</v>
      </c>
      <c r="E1753" s="24">
        <v>0</v>
      </c>
    </row>
    <row r="1754" spans="1:5" x14ac:dyDescent="0.3">
      <c r="A1754" s="16" t="s">
        <v>38</v>
      </c>
      <c r="B1754" s="16" t="s">
        <v>371</v>
      </c>
      <c r="C1754" s="17">
        <v>0</v>
      </c>
      <c r="D1754" s="18">
        <v>0</v>
      </c>
      <c r="E1754" s="19">
        <v>0</v>
      </c>
    </row>
    <row r="1755" spans="1:5" x14ac:dyDescent="0.3">
      <c r="A1755" s="16" t="s">
        <v>356</v>
      </c>
      <c r="B1755" s="16" t="s">
        <v>366</v>
      </c>
      <c r="C1755" s="17">
        <v>0</v>
      </c>
      <c r="D1755" s="18">
        <v>3520</v>
      </c>
      <c r="E1755" s="19">
        <v>0</v>
      </c>
    </row>
    <row r="1756" spans="1:5" x14ac:dyDescent="0.3">
      <c r="A1756" s="20" t="s">
        <v>356</v>
      </c>
      <c r="B1756" s="21" t="s">
        <v>367</v>
      </c>
      <c r="C1756" s="22">
        <v>0</v>
      </c>
      <c r="D1756" s="23">
        <v>3520</v>
      </c>
      <c r="E1756" s="24">
        <v>0</v>
      </c>
    </row>
    <row r="1757" spans="1:5" x14ac:dyDescent="0.3">
      <c r="A1757" s="20" t="s">
        <v>356</v>
      </c>
      <c r="B1757" s="21" t="s">
        <v>368</v>
      </c>
      <c r="C1757" s="22">
        <v>0</v>
      </c>
      <c r="D1757" s="23">
        <v>3520</v>
      </c>
      <c r="E1757" s="24">
        <v>0</v>
      </c>
    </row>
    <row r="1758" spans="1:5" x14ac:dyDescent="0.3">
      <c r="A1758" s="20" t="s">
        <v>356</v>
      </c>
      <c r="B1758" s="21" t="s">
        <v>369</v>
      </c>
      <c r="C1758" s="22">
        <v>0</v>
      </c>
      <c r="D1758" s="23">
        <v>42240</v>
      </c>
      <c r="E1758" s="24">
        <v>0</v>
      </c>
    </row>
    <row r="1759" spans="1:5" x14ac:dyDescent="0.3">
      <c r="A1759" s="20" t="s">
        <v>356</v>
      </c>
      <c r="B1759" s="21" t="s">
        <v>375</v>
      </c>
      <c r="C1759" s="22">
        <v>0</v>
      </c>
      <c r="D1759" s="23">
        <v>0</v>
      </c>
      <c r="E1759" s="24">
        <v>0</v>
      </c>
    </row>
    <row r="1760" spans="1:5" x14ac:dyDescent="0.3">
      <c r="A1760" s="16" t="s">
        <v>270</v>
      </c>
      <c r="B1760" s="16" t="s">
        <v>366</v>
      </c>
      <c r="C1760" s="17">
        <v>11000</v>
      </c>
      <c r="D1760" s="18">
        <v>0</v>
      </c>
      <c r="E1760" s="19">
        <v>0</v>
      </c>
    </row>
    <row r="1761" spans="1:5" x14ac:dyDescent="0.3">
      <c r="A1761" s="20" t="s">
        <v>270</v>
      </c>
      <c r="B1761" s="21" t="s">
        <v>367</v>
      </c>
      <c r="C1761" s="22">
        <v>11000</v>
      </c>
      <c r="D1761" s="23">
        <v>0</v>
      </c>
      <c r="E1761" s="24">
        <v>0</v>
      </c>
    </row>
    <row r="1762" spans="1:5" x14ac:dyDescent="0.3">
      <c r="A1762" s="20" t="s">
        <v>270</v>
      </c>
      <c r="B1762" s="21" t="s">
        <v>368</v>
      </c>
      <c r="C1762" s="22">
        <v>11000</v>
      </c>
      <c r="D1762" s="23">
        <v>0</v>
      </c>
      <c r="E1762" s="24">
        <v>0</v>
      </c>
    </row>
    <row r="1763" spans="1:5" x14ac:dyDescent="0.3">
      <c r="A1763" s="20" t="s">
        <v>270</v>
      </c>
      <c r="B1763" s="21" t="s">
        <v>369</v>
      </c>
      <c r="C1763" s="22">
        <v>11000</v>
      </c>
      <c r="D1763" s="23">
        <v>0</v>
      </c>
      <c r="E1763" s="24">
        <v>0</v>
      </c>
    </row>
    <row r="1764" spans="1:5" x14ac:dyDescent="0.3">
      <c r="A1764" s="20" t="s">
        <v>270</v>
      </c>
      <c r="B1764" s="21" t="s">
        <v>370</v>
      </c>
      <c r="C1764" s="22">
        <v>11000</v>
      </c>
      <c r="D1764" s="23">
        <v>0</v>
      </c>
      <c r="E1764" s="24">
        <v>0</v>
      </c>
    </row>
    <row r="1765" spans="1:5" x14ac:dyDescent="0.3">
      <c r="A1765" s="20" t="s">
        <v>270</v>
      </c>
      <c r="B1765" s="21" t="s">
        <v>371</v>
      </c>
      <c r="C1765" s="22">
        <v>11000</v>
      </c>
      <c r="D1765" s="23">
        <v>0</v>
      </c>
      <c r="E1765" s="24">
        <v>0</v>
      </c>
    </row>
    <row r="1766" spans="1:5" x14ac:dyDescent="0.3">
      <c r="A1766" s="20" t="s">
        <v>270</v>
      </c>
      <c r="B1766" s="21" t="s">
        <v>372</v>
      </c>
      <c r="C1766" s="22">
        <v>11000</v>
      </c>
      <c r="D1766" s="23">
        <v>0</v>
      </c>
      <c r="E1766" s="24">
        <v>0</v>
      </c>
    </row>
    <row r="1767" spans="1:5" x14ac:dyDescent="0.3">
      <c r="A1767" s="20" t="s">
        <v>270</v>
      </c>
      <c r="B1767" s="21" t="s">
        <v>373</v>
      </c>
      <c r="C1767" s="22">
        <v>5500</v>
      </c>
      <c r="D1767" s="23">
        <v>0</v>
      </c>
      <c r="E1767" s="24">
        <v>0</v>
      </c>
    </row>
    <row r="1768" spans="1:5" x14ac:dyDescent="0.3">
      <c r="A1768" s="20" t="s">
        <v>270</v>
      </c>
      <c r="B1768" s="21" t="s">
        <v>374</v>
      </c>
      <c r="C1768" s="22">
        <v>11000</v>
      </c>
      <c r="D1768" s="23">
        <v>0</v>
      </c>
      <c r="E1768" s="24">
        <v>0</v>
      </c>
    </row>
    <row r="1769" spans="1:5" x14ac:dyDescent="0.3">
      <c r="A1769" s="20" t="s">
        <v>270</v>
      </c>
      <c r="B1769" s="21" t="s">
        <v>375</v>
      </c>
      <c r="C1769" s="22">
        <v>11000</v>
      </c>
      <c r="D1769" s="23">
        <v>0</v>
      </c>
      <c r="E1769" s="24">
        <v>0</v>
      </c>
    </row>
    <row r="1770" spans="1:5" x14ac:dyDescent="0.3">
      <c r="A1770" s="20" t="s">
        <v>270</v>
      </c>
      <c r="B1770" s="21" t="s">
        <v>376</v>
      </c>
      <c r="C1770" s="22">
        <v>11000</v>
      </c>
      <c r="D1770" s="23">
        <v>0</v>
      </c>
      <c r="E1770" s="24">
        <v>0</v>
      </c>
    </row>
    <row r="1771" spans="1:5" x14ac:dyDescent="0.3">
      <c r="A1771" s="20" t="s">
        <v>270</v>
      </c>
      <c r="B1771" s="21" t="s">
        <v>377</v>
      </c>
      <c r="C1771" s="22">
        <v>5500</v>
      </c>
      <c r="D1771" s="23">
        <v>0</v>
      </c>
      <c r="E1771" s="24">
        <v>0</v>
      </c>
    </row>
    <row r="1772" spans="1:5" x14ac:dyDescent="0.3">
      <c r="A1772" s="16" t="s">
        <v>422</v>
      </c>
      <c r="B1772" s="16" t="s">
        <v>366</v>
      </c>
      <c r="C1772" s="17">
        <v>17600</v>
      </c>
      <c r="D1772" s="18">
        <v>0</v>
      </c>
      <c r="E1772" s="19">
        <v>0</v>
      </c>
    </row>
    <row r="1773" spans="1:5" x14ac:dyDescent="0.3">
      <c r="A1773" s="20" t="s">
        <v>422</v>
      </c>
      <c r="B1773" s="21" t="s">
        <v>367</v>
      </c>
      <c r="C1773" s="22">
        <v>17600</v>
      </c>
      <c r="D1773" s="23">
        <v>48000</v>
      </c>
      <c r="E1773" s="24">
        <v>0</v>
      </c>
    </row>
    <row r="1774" spans="1:5" x14ac:dyDescent="0.3">
      <c r="A1774" s="20" t="s">
        <v>422</v>
      </c>
      <c r="B1774" s="21" t="s">
        <v>368</v>
      </c>
      <c r="C1774" s="22">
        <v>17600</v>
      </c>
      <c r="D1774" s="23">
        <v>48000</v>
      </c>
      <c r="E1774" s="24">
        <v>0</v>
      </c>
    </row>
    <row r="1775" spans="1:5" x14ac:dyDescent="0.3">
      <c r="A1775" s="20" t="s">
        <v>422</v>
      </c>
      <c r="B1775" s="21" t="s">
        <v>369</v>
      </c>
      <c r="C1775" s="22">
        <v>17600</v>
      </c>
      <c r="D1775" s="23">
        <v>0</v>
      </c>
      <c r="E1775" s="24">
        <v>0</v>
      </c>
    </row>
    <row r="1776" spans="1:5" x14ac:dyDescent="0.3">
      <c r="A1776" s="20" t="s">
        <v>422</v>
      </c>
      <c r="B1776" s="21" t="s">
        <v>370</v>
      </c>
      <c r="C1776" s="22">
        <v>17600</v>
      </c>
      <c r="D1776" s="23">
        <v>0</v>
      </c>
      <c r="E1776" s="24">
        <v>0</v>
      </c>
    </row>
    <row r="1777" spans="1:5" x14ac:dyDescent="0.3">
      <c r="A1777" s="20" t="s">
        <v>422</v>
      </c>
      <c r="B1777" s="21" t="s">
        <v>371</v>
      </c>
      <c r="C1777" s="22">
        <v>17600</v>
      </c>
      <c r="D1777" s="23">
        <v>0</v>
      </c>
      <c r="E1777" s="24">
        <v>0</v>
      </c>
    </row>
    <row r="1778" spans="1:5" x14ac:dyDescent="0.3">
      <c r="A1778" s="20" t="s">
        <v>422</v>
      </c>
      <c r="B1778" s="21" t="s">
        <v>372</v>
      </c>
      <c r="C1778" s="22">
        <v>17600</v>
      </c>
      <c r="D1778" s="23">
        <v>0</v>
      </c>
      <c r="E1778" s="24">
        <v>0</v>
      </c>
    </row>
    <row r="1779" spans="1:5" x14ac:dyDescent="0.3">
      <c r="A1779" s="20" t="s">
        <v>422</v>
      </c>
      <c r="B1779" s="21" t="s">
        <v>373</v>
      </c>
      <c r="C1779" s="22">
        <v>8800</v>
      </c>
      <c r="D1779" s="23">
        <v>0</v>
      </c>
      <c r="E1779" s="24">
        <v>0</v>
      </c>
    </row>
    <row r="1780" spans="1:5" x14ac:dyDescent="0.3">
      <c r="A1780" s="20" t="s">
        <v>422</v>
      </c>
      <c r="B1780" s="21" t="s">
        <v>374</v>
      </c>
      <c r="C1780" s="22">
        <v>17600</v>
      </c>
      <c r="D1780" s="23">
        <v>0</v>
      </c>
      <c r="E1780" s="24">
        <v>0</v>
      </c>
    </row>
    <row r="1781" spans="1:5" x14ac:dyDescent="0.3">
      <c r="A1781" s="20" t="s">
        <v>422</v>
      </c>
      <c r="B1781" s="21" t="s">
        <v>375</v>
      </c>
      <c r="C1781" s="22">
        <v>17600</v>
      </c>
      <c r="D1781" s="23">
        <v>0</v>
      </c>
      <c r="E1781" s="24">
        <v>0</v>
      </c>
    </row>
    <row r="1782" spans="1:5" x14ac:dyDescent="0.3">
      <c r="A1782" s="20" t="s">
        <v>422</v>
      </c>
      <c r="B1782" s="21" t="s">
        <v>376</v>
      </c>
      <c r="C1782" s="22">
        <v>17600</v>
      </c>
      <c r="D1782" s="23">
        <v>0</v>
      </c>
      <c r="E1782" s="24">
        <v>0</v>
      </c>
    </row>
    <row r="1783" spans="1:5" x14ac:dyDescent="0.3">
      <c r="A1783" s="20" t="s">
        <v>422</v>
      </c>
      <c r="B1783" s="21" t="s">
        <v>377</v>
      </c>
      <c r="C1783" s="22">
        <v>8800</v>
      </c>
      <c r="D1783" s="23">
        <v>0</v>
      </c>
      <c r="E1783" s="24">
        <v>0</v>
      </c>
    </row>
    <row r="1784" spans="1:5" x14ac:dyDescent="0.3">
      <c r="A1784" s="16" t="s">
        <v>287</v>
      </c>
      <c r="B1784" s="16" t="s">
        <v>369</v>
      </c>
      <c r="C1784" s="17">
        <v>0</v>
      </c>
      <c r="D1784" s="18">
        <v>20000</v>
      </c>
      <c r="E1784" s="19">
        <v>0</v>
      </c>
    </row>
    <row r="1785" spans="1:5" x14ac:dyDescent="0.3">
      <c r="A1785" s="20" t="s">
        <v>287</v>
      </c>
      <c r="B1785" s="21" t="s">
        <v>374</v>
      </c>
      <c r="C1785" s="22">
        <v>0</v>
      </c>
      <c r="D1785" s="23">
        <v>20000</v>
      </c>
      <c r="E1785" s="24">
        <v>0</v>
      </c>
    </row>
    <row r="1786" spans="1:5" x14ac:dyDescent="0.3">
      <c r="A1786" s="16" t="s">
        <v>359</v>
      </c>
      <c r="B1786" s="16" t="s">
        <v>366</v>
      </c>
      <c r="C1786" s="17">
        <v>2200</v>
      </c>
      <c r="D1786" s="18">
        <v>20000</v>
      </c>
      <c r="E1786" s="19">
        <v>0</v>
      </c>
    </row>
    <row r="1787" spans="1:5" x14ac:dyDescent="0.3">
      <c r="A1787" s="20" t="s">
        <v>359</v>
      </c>
      <c r="B1787" s="21" t="s">
        <v>367</v>
      </c>
      <c r="C1787" s="22">
        <v>2200</v>
      </c>
      <c r="D1787" s="23">
        <v>0</v>
      </c>
      <c r="E1787" s="24">
        <v>0</v>
      </c>
    </row>
    <row r="1788" spans="1:5" x14ac:dyDescent="0.3">
      <c r="A1788" s="20" t="s">
        <v>359</v>
      </c>
      <c r="B1788" s="21" t="s">
        <v>368</v>
      </c>
      <c r="C1788" s="22">
        <v>2200</v>
      </c>
      <c r="D1788" s="23">
        <v>20000</v>
      </c>
      <c r="E1788" s="24">
        <v>0</v>
      </c>
    </row>
    <row r="1789" spans="1:5" x14ac:dyDescent="0.3">
      <c r="A1789" s="20" t="s">
        <v>359</v>
      </c>
      <c r="B1789" s="21" t="s">
        <v>369</v>
      </c>
      <c r="C1789" s="22">
        <v>2200</v>
      </c>
      <c r="D1789" s="23">
        <v>0</v>
      </c>
      <c r="E1789" s="24">
        <v>0</v>
      </c>
    </row>
    <row r="1790" spans="1:5" x14ac:dyDescent="0.3">
      <c r="A1790" s="20" t="s">
        <v>359</v>
      </c>
      <c r="B1790" s="21" t="s">
        <v>370</v>
      </c>
      <c r="C1790" s="22">
        <v>2200</v>
      </c>
      <c r="D1790" s="23">
        <v>0</v>
      </c>
      <c r="E1790" s="24">
        <v>0</v>
      </c>
    </row>
    <row r="1791" spans="1:5" x14ac:dyDescent="0.3">
      <c r="A1791" s="20" t="s">
        <v>359</v>
      </c>
      <c r="B1791" s="21" t="s">
        <v>371</v>
      </c>
      <c r="C1791" s="22">
        <v>2200</v>
      </c>
      <c r="D1791" s="23">
        <v>0</v>
      </c>
      <c r="E1791" s="24">
        <v>0</v>
      </c>
    </row>
    <row r="1792" spans="1:5" x14ac:dyDescent="0.3">
      <c r="A1792" s="20" t="s">
        <v>359</v>
      </c>
      <c r="B1792" s="21" t="s">
        <v>372</v>
      </c>
      <c r="C1792" s="22">
        <v>2200</v>
      </c>
      <c r="D1792" s="23">
        <v>0</v>
      </c>
      <c r="E1792" s="24">
        <v>0</v>
      </c>
    </row>
    <row r="1793" spans="1:5" x14ac:dyDescent="0.3">
      <c r="A1793" s="20" t="s">
        <v>359</v>
      </c>
      <c r="B1793" s="21" t="s">
        <v>373</v>
      </c>
      <c r="C1793" s="22">
        <v>1100</v>
      </c>
      <c r="D1793" s="23">
        <v>0</v>
      </c>
      <c r="E1793" s="24">
        <v>0</v>
      </c>
    </row>
    <row r="1794" spans="1:5" x14ac:dyDescent="0.3">
      <c r="A1794" s="20" t="s">
        <v>359</v>
      </c>
      <c r="B1794" s="21" t="s">
        <v>374</v>
      </c>
      <c r="C1794" s="22">
        <v>2200</v>
      </c>
      <c r="D1794" s="23">
        <v>0</v>
      </c>
      <c r="E1794" s="24">
        <v>0</v>
      </c>
    </row>
    <row r="1795" spans="1:5" x14ac:dyDescent="0.3">
      <c r="A1795" s="20" t="s">
        <v>359</v>
      </c>
      <c r="B1795" s="21" t="s">
        <v>375</v>
      </c>
      <c r="C1795" s="22">
        <v>2200</v>
      </c>
      <c r="D1795" s="23">
        <v>0</v>
      </c>
      <c r="E1795" s="24">
        <v>0</v>
      </c>
    </row>
    <row r="1796" spans="1:5" x14ac:dyDescent="0.3">
      <c r="A1796" s="20" t="s">
        <v>359</v>
      </c>
      <c r="B1796" s="21" t="s">
        <v>376</v>
      </c>
      <c r="C1796" s="22">
        <v>2200</v>
      </c>
      <c r="D1796" s="23">
        <v>0</v>
      </c>
      <c r="E1796" s="24">
        <v>0</v>
      </c>
    </row>
    <row r="1797" spans="1:5" x14ac:dyDescent="0.3">
      <c r="A1797" s="20" t="s">
        <v>359</v>
      </c>
      <c r="B1797" s="21" t="s">
        <v>377</v>
      </c>
      <c r="C1797" s="22">
        <v>1100</v>
      </c>
      <c r="D1797" s="23">
        <v>0</v>
      </c>
      <c r="E1797" s="24">
        <v>0</v>
      </c>
    </row>
    <row r="1798" spans="1:5" x14ac:dyDescent="0.3">
      <c r="A1798" s="16" t="s">
        <v>38</v>
      </c>
      <c r="B1798" s="16" t="s">
        <v>371</v>
      </c>
      <c r="C1798" s="17">
        <v>0</v>
      </c>
      <c r="D1798" s="18">
        <v>0</v>
      </c>
      <c r="E1798" s="19">
        <v>0</v>
      </c>
    </row>
    <row r="1799" spans="1:5" x14ac:dyDescent="0.3">
      <c r="A1799" s="16" t="s">
        <v>45</v>
      </c>
      <c r="B1799" s="16" t="s">
        <v>366</v>
      </c>
      <c r="C1799" s="17">
        <v>46200</v>
      </c>
      <c r="D1799" s="18">
        <v>40800</v>
      </c>
      <c r="E1799" s="19">
        <v>0</v>
      </c>
    </row>
    <row r="1800" spans="1:5" x14ac:dyDescent="0.3">
      <c r="A1800" s="20" t="s">
        <v>45</v>
      </c>
      <c r="B1800" s="21" t="s">
        <v>367</v>
      </c>
      <c r="C1800" s="22">
        <v>46200</v>
      </c>
      <c r="D1800" s="23">
        <v>40800</v>
      </c>
      <c r="E1800" s="24">
        <v>0</v>
      </c>
    </row>
    <row r="1801" spans="1:5" x14ac:dyDescent="0.3">
      <c r="A1801" s="20" t="s">
        <v>45</v>
      </c>
      <c r="B1801" s="21" t="s">
        <v>368</v>
      </c>
      <c r="C1801" s="22">
        <v>46200</v>
      </c>
      <c r="D1801" s="23">
        <v>40800</v>
      </c>
      <c r="E1801" s="24">
        <v>0</v>
      </c>
    </row>
    <row r="1802" spans="1:5" x14ac:dyDescent="0.3">
      <c r="A1802" s="20" t="s">
        <v>45</v>
      </c>
      <c r="B1802" s="21" t="s">
        <v>369</v>
      </c>
      <c r="C1802" s="22">
        <v>46200</v>
      </c>
      <c r="D1802" s="23">
        <v>40800</v>
      </c>
      <c r="E1802" s="24">
        <v>0</v>
      </c>
    </row>
    <row r="1803" spans="1:5" x14ac:dyDescent="0.3">
      <c r="A1803" s="20" t="s">
        <v>45</v>
      </c>
      <c r="B1803" s="21" t="s">
        <v>370</v>
      </c>
      <c r="C1803" s="22">
        <v>46200</v>
      </c>
      <c r="D1803" s="23">
        <v>40800</v>
      </c>
      <c r="E1803" s="24">
        <v>0</v>
      </c>
    </row>
    <row r="1804" spans="1:5" x14ac:dyDescent="0.3">
      <c r="A1804" s="20" t="s">
        <v>45</v>
      </c>
      <c r="B1804" s="21" t="s">
        <v>371</v>
      </c>
      <c r="C1804" s="22">
        <v>46200</v>
      </c>
      <c r="D1804" s="23">
        <v>40800</v>
      </c>
      <c r="E1804" s="24">
        <v>0</v>
      </c>
    </row>
    <row r="1805" spans="1:5" x14ac:dyDescent="0.3">
      <c r="A1805" s="20" t="s">
        <v>45</v>
      </c>
      <c r="B1805" s="21" t="s">
        <v>372</v>
      </c>
      <c r="C1805" s="22">
        <v>46200</v>
      </c>
      <c r="D1805" s="23">
        <v>40800</v>
      </c>
      <c r="E1805" s="24">
        <v>0</v>
      </c>
    </row>
    <row r="1806" spans="1:5" x14ac:dyDescent="0.3">
      <c r="A1806" s="20" t="s">
        <v>45</v>
      </c>
      <c r="B1806" s="21" t="s">
        <v>373</v>
      </c>
      <c r="C1806" s="22">
        <v>23100</v>
      </c>
      <c r="D1806" s="23">
        <v>30600</v>
      </c>
      <c r="E1806" s="24">
        <v>0</v>
      </c>
    </row>
    <row r="1807" spans="1:5" x14ac:dyDescent="0.3">
      <c r="A1807" s="20" t="s">
        <v>45</v>
      </c>
      <c r="B1807" s="21" t="s">
        <v>374</v>
      </c>
      <c r="C1807" s="22">
        <v>46200</v>
      </c>
      <c r="D1807" s="23">
        <v>0</v>
      </c>
      <c r="E1807" s="24">
        <v>0</v>
      </c>
    </row>
    <row r="1808" spans="1:5" x14ac:dyDescent="0.3">
      <c r="A1808" s="20" t="s">
        <v>45</v>
      </c>
      <c r="B1808" s="21" t="s">
        <v>375</v>
      </c>
      <c r="C1808" s="22">
        <v>46200</v>
      </c>
      <c r="D1808" s="23">
        <v>0</v>
      </c>
      <c r="E1808" s="24">
        <v>0</v>
      </c>
    </row>
    <row r="1809" spans="1:5" x14ac:dyDescent="0.3">
      <c r="A1809" s="20" t="s">
        <v>45</v>
      </c>
      <c r="B1809" s="21" t="s">
        <v>376</v>
      </c>
      <c r="C1809" s="22">
        <v>46200</v>
      </c>
      <c r="D1809" s="23">
        <v>0</v>
      </c>
      <c r="E1809" s="24">
        <v>0</v>
      </c>
    </row>
    <row r="1810" spans="1:5" x14ac:dyDescent="0.3">
      <c r="A1810" s="20" t="s">
        <v>45</v>
      </c>
      <c r="B1810" s="21" t="s">
        <v>377</v>
      </c>
      <c r="C1810" s="22">
        <v>23100</v>
      </c>
      <c r="D1810" s="23">
        <v>0</v>
      </c>
      <c r="E1810" s="24">
        <v>0</v>
      </c>
    </row>
    <row r="1811" spans="1:5" x14ac:dyDescent="0.3">
      <c r="A1811" s="16" t="s">
        <v>50</v>
      </c>
      <c r="B1811" s="16" t="s">
        <v>367</v>
      </c>
      <c r="C1811" s="17">
        <v>0</v>
      </c>
      <c r="D1811" s="18">
        <v>0</v>
      </c>
      <c r="E1811" s="19">
        <v>0</v>
      </c>
    </row>
    <row r="1812" spans="1:5" x14ac:dyDescent="0.3">
      <c r="A1812" s="16" t="s">
        <v>220</v>
      </c>
      <c r="B1812" s="16" t="s">
        <v>366</v>
      </c>
      <c r="C1812" s="17">
        <v>12100</v>
      </c>
      <c r="D1812" s="18">
        <v>10200</v>
      </c>
      <c r="E1812" s="19">
        <v>0</v>
      </c>
    </row>
    <row r="1813" spans="1:5" x14ac:dyDescent="0.3">
      <c r="A1813" s="20" t="s">
        <v>220</v>
      </c>
      <c r="B1813" s="21" t="s">
        <v>367</v>
      </c>
      <c r="C1813" s="22">
        <v>12100</v>
      </c>
      <c r="D1813" s="23">
        <v>20400</v>
      </c>
      <c r="E1813" s="24">
        <v>0</v>
      </c>
    </row>
    <row r="1814" spans="1:5" x14ac:dyDescent="0.3">
      <c r="A1814" s="20" t="s">
        <v>220</v>
      </c>
      <c r="B1814" s="21" t="s">
        <v>368</v>
      </c>
      <c r="C1814" s="22">
        <v>12100</v>
      </c>
      <c r="D1814" s="23">
        <v>30600</v>
      </c>
      <c r="E1814" s="24">
        <v>0</v>
      </c>
    </row>
    <row r="1815" spans="1:5" x14ac:dyDescent="0.3">
      <c r="A1815" s="20" t="s">
        <v>220</v>
      </c>
      <c r="B1815" s="21" t="s">
        <v>369</v>
      </c>
      <c r="C1815" s="22">
        <v>12100</v>
      </c>
      <c r="D1815" s="23">
        <v>10200</v>
      </c>
      <c r="E1815" s="24">
        <v>0</v>
      </c>
    </row>
    <row r="1816" spans="1:5" x14ac:dyDescent="0.3">
      <c r="A1816" s="20" t="s">
        <v>220</v>
      </c>
      <c r="B1816" s="21" t="s">
        <v>370</v>
      </c>
      <c r="C1816" s="22">
        <v>12100</v>
      </c>
      <c r="D1816" s="23">
        <v>30600</v>
      </c>
      <c r="E1816" s="24">
        <v>0</v>
      </c>
    </row>
    <row r="1817" spans="1:5" x14ac:dyDescent="0.3">
      <c r="A1817" s="20" t="s">
        <v>220</v>
      </c>
      <c r="B1817" s="21" t="s">
        <v>371</v>
      </c>
      <c r="C1817" s="22">
        <v>12100</v>
      </c>
      <c r="D1817" s="23">
        <v>20400</v>
      </c>
      <c r="E1817" s="24">
        <v>0</v>
      </c>
    </row>
    <row r="1818" spans="1:5" x14ac:dyDescent="0.3">
      <c r="A1818" s="20" t="s">
        <v>220</v>
      </c>
      <c r="B1818" s="21" t="s">
        <v>372</v>
      </c>
      <c r="C1818" s="22">
        <v>12100</v>
      </c>
      <c r="D1818" s="23">
        <v>30600</v>
      </c>
      <c r="E1818" s="24">
        <v>0</v>
      </c>
    </row>
    <row r="1819" spans="1:5" x14ac:dyDescent="0.3">
      <c r="A1819" s="20" t="s">
        <v>220</v>
      </c>
      <c r="B1819" s="21" t="s">
        <v>373</v>
      </c>
      <c r="C1819" s="22">
        <v>6600</v>
      </c>
      <c r="D1819" s="23">
        <v>20400</v>
      </c>
      <c r="E1819" s="24">
        <v>0</v>
      </c>
    </row>
    <row r="1820" spans="1:5" x14ac:dyDescent="0.3">
      <c r="A1820" s="20" t="s">
        <v>220</v>
      </c>
      <c r="B1820" s="21" t="s">
        <v>374</v>
      </c>
      <c r="C1820" s="22">
        <v>12100</v>
      </c>
      <c r="D1820" s="23">
        <v>0</v>
      </c>
      <c r="E1820" s="24">
        <v>0</v>
      </c>
    </row>
    <row r="1821" spans="1:5" x14ac:dyDescent="0.3">
      <c r="A1821" s="20" t="s">
        <v>220</v>
      </c>
      <c r="B1821" s="21" t="s">
        <v>375</v>
      </c>
      <c r="C1821" s="22">
        <v>12100</v>
      </c>
      <c r="D1821" s="23">
        <v>0</v>
      </c>
      <c r="E1821" s="24">
        <v>0</v>
      </c>
    </row>
    <row r="1822" spans="1:5" x14ac:dyDescent="0.3">
      <c r="A1822" s="20" t="s">
        <v>220</v>
      </c>
      <c r="B1822" s="21" t="s">
        <v>376</v>
      </c>
      <c r="C1822" s="22">
        <v>12100</v>
      </c>
      <c r="D1822" s="23">
        <v>0</v>
      </c>
      <c r="E1822" s="24">
        <v>0</v>
      </c>
    </row>
    <row r="1823" spans="1:5" x14ac:dyDescent="0.3">
      <c r="A1823" s="20" t="s">
        <v>220</v>
      </c>
      <c r="B1823" s="21" t="s">
        <v>377</v>
      </c>
      <c r="C1823" s="22">
        <v>6600</v>
      </c>
      <c r="D1823" s="23">
        <v>0</v>
      </c>
      <c r="E1823" s="24">
        <v>0</v>
      </c>
    </row>
    <row r="1824" spans="1:5" x14ac:dyDescent="0.3">
      <c r="A1824" s="16" t="s">
        <v>38</v>
      </c>
      <c r="B1824" s="16" t="s">
        <v>372</v>
      </c>
      <c r="C1824" s="17">
        <v>0</v>
      </c>
      <c r="D1824" s="18">
        <v>0</v>
      </c>
      <c r="E1824" s="19">
        <v>0</v>
      </c>
    </row>
    <row r="1825" spans="1:5" x14ac:dyDescent="0.3">
      <c r="A1825" s="20" t="s">
        <v>38</v>
      </c>
      <c r="B1825" s="21" t="s">
        <v>375</v>
      </c>
      <c r="C1825" s="22">
        <v>0</v>
      </c>
      <c r="D1825" s="23">
        <v>0</v>
      </c>
      <c r="E1825" s="24">
        <v>0</v>
      </c>
    </row>
    <row r="1826" spans="1:5" x14ac:dyDescent="0.3">
      <c r="A1826" s="16" t="s">
        <v>45</v>
      </c>
      <c r="B1826" s="16" t="s">
        <v>366</v>
      </c>
      <c r="C1826" s="17">
        <v>0</v>
      </c>
      <c r="D1826" s="18">
        <v>100</v>
      </c>
      <c r="E1826" s="19">
        <v>0</v>
      </c>
    </row>
    <row r="1827" spans="1:5" x14ac:dyDescent="0.3">
      <c r="A1827" s="16" t="s">
        <v>220</v>
      </c>
      <c r="B1827" s="16" t="s">
        <v>366</v>
      </c>
      <c r="C1827" s="17">
        <v>18700</v>
      </c>
      <c r="D1827" s="18">
        <v>51000</v>
      </c>
      <c r="E1827" s="19">
        <v>0</v>
      </c>
    </row>
    <row r="1828" spans="1:5" x14ac:dyDescent="0.3">
      <c r="A1828" s="20" t="s">
        <v>220</v>
      </c>
      <c r="B1828" s="21" t="s">
        <v>367</v>
      </c>
      <c r="C1828" s="22">
        <v>18700</v>
      </c>
      <c r="D1828" s="23">
        <v>0</v>
      </c>
      <c r="E1828" s="24">
        <v>0</v>
      </c>
    </row>
    <row r="1829" spans="1:5" x14ac:dyDescent="0.3">
      <c r="A1829" s="20" t="s">
        <v>220</v>
      </c>
      <c r="B1829" s="21" t="s">
        <v>368</v>
      </c>
      <c r="C1829" s="22">
        <v>18700</v>
      </c>
      <c r="D1829" s="23">
        <v>0</v>
      </c>
      <c r="E1829" s="24">
        <v>0</v>
      </c>
    </row>
    <row r="1830" spans="1:5" x14ac:dyDescent="0.3">
      <c r="A1830" s="20" t="s">
        <v>220</v>
      </c>
      <c r="B1830" s="21" t="s">
        <v>369</v>
      </c>
      <c r="C1830" s="22">
        <v>18700</v>
      </c>
      <c r="D1830" s="23">
        <v>51000</v>
      </c>
      <c r="E1830" s="24">
        <v>0</v>
      </c>
    </row>
    <row r="1831" spans="1:5" x14ac:dyDescent="0.3">
      <c r="A1831" s="20" t="s">
        <v>220</v>
      </c>
      <c r="B1831" s="21" t="s">
        <v>370</v>
      </c>
      <c r="C1831" s="22">
        <v>18700</v>
      </c>
      <c r="D1831" s="23">
        <v>0</v>
      </c>
      <c r="E1831" s="24">
        <v>0</v>
      </c>
    </row>
    <row r="1832" spans="1:5" x14ac:dyDescent="0.3">
      <c r="A1832" s="20" t="s">
        <v>220</v>
      </c>
      <c r="B1832" s="21" t="s">
        <v>371</v>
      </c>
      <c r="C1832" s="22">
        <v>18700</v>
      </c>
      <c r="D1832" s="23">
        <v>0</v>
      </c>
      <c r="E1832" s="24">
        <v>0</v>
      </c>
    </row>
    <row r="1833" spans="1:5" x14ac:dyDescent="0.3">
      <c r="A1833" s="20" t="s">
        <v>220</v>
      </c>
      <c r="B1833" s="21" t="s">
        <v>372</v>
      </c>
      <c r="C1833" s="22">
        <v>18700</v>
      </c>
      <c r="D1833" s="23">
        <v>0</v>
      </c>
      <c r="E1833" s="24">
        <v>0</v>
      </c>
    </row>
    <row r="1834" spans="1:5" x14ac:dyDescent="0.3">
      <c r="A1834" s="20" t="s">
        <v>220</v>
      </c>
      <c r="B1834" s="21" t="s">
        <v>373</v>
      </c>
      <c r="C1834" s="22">
        <v>9900</v>
      </c>
      <c r="D1834" s="23">
        <v>0</v>
      </c>
      <c r="E1834" s="24">
        <v>0</v>
      </c>
    </row>
    <row r="1835" spans="1:5" x14ac:dyDescent="0.3">
      <c r="A1835" s="20" t="s">
        <v>220</v>
      </c>
      <c r="B1835" s="21" t="s">
        <v>374</v>
      </c>
      <c r="C1835" s="22">
        <v>18700</v>
      </c>
      <c r="D1835" s="23">
        <v>0</v>
      </c>
      <c r="E1835" s="24">
        <v>0</v>
      </c>
    </row>
    <row r="1836" spans="1:5" x14ac:dyDescent="0.3">
      <c r="A1836" s="20" t="s">
        <v>220</v>
      </c>
      <c r="B1836" s="21" t="s">
        <v>375</v>
      </c>
      <c r="C1836" s="22">
        <v>18700</v>
      </c>
      <c r="D1836" s="23">
        <v>0</v>
      </c>
      <c r="E1836" s="24">
        <v>0</v>
      </c>
    </row>
    <row r="1837" spans="1:5" x14ac:dyDescent="0.3">
      <c r="A1837" s="20" t="s">
        <v>220</v>
      </c>
      <c r="B1837" s="21" t="s">
        <v>376</v>
      </c>
      <c r="C1837" s="22">
        <v>18700</v>
      </c>
      <c r="D1837" s="23">
        <v>0</v>
      </c>
      <c r="E1837" s="24">
        <v>0</v>
      </c>
    </row>
    <row r="1838" spans="1:5" x14ac:dyDescent="0.3">
      <c r="A1838" s="20" t="s">
        <v>220</v>
      </c>
      <c r="B1838" s="21" t="s">
        <v>377</v>
      </c>
      <c r="C1838" s="22">
        <v>9900</v>
      </c>
      <c r="D1838" s="23">
        <v>0</v>
      </c>
      <c r="E1838" s="24">
        <v>0</v>
      </c>
    </row>
    <row r="1839" spans="1:5" x14ac:dyDescent="0.3">
      <c r="A1839" s="16" t="s">
        <v>38</v>
      </c>
      <c r="B1839" s="16" t="s">
        <v>372</v>
      </c>
      <c r="C1839" s="17">
        <v>0</v>
      </c>
      <c r="D1839" s="18">
        <v>0</v>
      </c>
      <c r="E1839" s="19">
        <v>0</v>
      </c>
    </row>
    <row r="1840" spans="1:5" x14ac:dyDescent="0.3">
      <c r="A1840" s="20" t="s">
        <v>38</v>
      </c>
      <c r="B1840" s="21" t="s">
        <v>375</v>
      </c>
      <c r="C1840" s="22">
        <v>0</v>
      </c>
      <c r="D1840" s="23">
        <v>0</v>
      </c>
      <c r="E1840" s="24">
        <v>0</v>
      </c>
    </row>
    <row r="1841" spans="1:5" x14ac:dyDescent="0.3">
      <c r="A1841" s="16" t="s">
        <v>37</v>
      </c>
      <c r="B1841" s="16" t="s">
        <v>366</v>
      </c>
      <c r="C1841" s="17">
        <v>19800</v>
      </c>
      <c r="D1841" s="18">
        <v>28320</v>
      </c>
      <c r="E1841" s="19">
        <v>0</v>
      </c>
    </row>
    <row r="1842" spans="1:5" x14ac:dyDescent="0.3">
      <c r="A1842" s="20" t="s">
        <v>37</v>
      </c>
      <c r="B1842" s="21" t="s">
        <v>367</v>
      </c>
      <c r="C1842" s="22">
        <v>19800</v>
      </c>
      <c r="D1842" s="23">
        <v>14160</v>
      </c>
      <c r="E1842" s="24">
        <v>0</v>
      </c>
    </row>
    <row r="1843" spans="1:5" x14ac:dyDescent="0.3">
      <c r="A1843" s="20" t="s">
        <v>37</v>
      </c>
      <c r="B1843" s="21" t="s">
        <v>368</v>
      </c>
      <c r="C1843" s="22">
        <v>19800</v>
      </c>
      <c r="D1843" s="23">
        <v>14160</v>
      </c>
      <c r="E1843" s="24">
        <v>0</v>
      </c>
    </row>
    <row r="1844" spans="1:5" x14ac:dyDescent="0.3">
      <c r="A1844" s="20" t="s">
        <v>37</v>
      </c>
      <c r="B1844" s="21" t="s">
        <v>369</v>
      </c>
      <c r="C1844" s="22">
        <v>19800</v>
      </c>
      <c r="D1844" s="23">
        <v>21240</v>
      </c>
      <c r="E1844" s="24">
        <v>0</v>
      </c>
    </row>
    <row r="1845" spans="1:5" x14ac:dyDescent="0.3">
      <c r="A1845" s="20" t="s">
        <v>37</v>
      </c>
      <c r="B1845" s="21" t="s">
        <v>370</v>
      </c>
      <c r="C1845" s="22">
        <v>19800</v>
      </c>
      <c r="D1845" s="23">
        <v>21240</v>
      </c>
      <c r="E1845" s="24">
        <v>0</v>
      </c>
    </row>
    <row r="1846" spans="1:5" x14ac:dyDescent="0.3">
      <c r="A1846" s="20" t="s">
        <v>37</v>
      </c>
      <c r="B1846" s="21" t="s">
        <v>371</v>
      </c>
      <c r="C1846" s="22">
        <v>19800</v>
      </c>
      <c r="D1846" s="23">
        <v>14160</v>
      </c>
      <c r="E1846" s="24">
        <v>0</v>
      </c>
    </row>
    <row r="1847" spans="1:5" x14ac:dyDescent="0.3">
      <c r="A1847" s="20" t="s">
        <v>37</v>
      </c>
      <c r="B1847" s="21" t="s">
        <v>372</v>
      </c>
      <c r="C1847" s="22">
        <v>19800</v>
      </c>
      <c r="D1847" s="23">
        <v>21240</v>
      </c>
      <c r="E1847" s="24">
        <v>0</v>
      </c>
    </row>
    <row r="1848" spans="1:5" x14ac:dyDescent="0.3">
      <c r="A1848" s="20" t="s">
        <v>37</v>
      </c>
      <c r="B1848" s="21" t="s">
        <v>373</v>
      </c>
      <c r="C1848" s="22">
        <v>9900</v>
      </c>
      <c r="D1848" s="23">
        <v>21240</v>
      </c>
      <c r="E1848" s="24">
        <v>0</v>
      </c>
    </row>
    <row r="1849" spans="1:5" x14ac:dyDescent="0.3">
      <c r="A1849" s="20" t="s">
        <v>37</v>
      </c>
      <c r="B1849" s="21" t="s">
        <v>374</v>
      </c>
      <c r="C1849" s="22">
        <v>19800</v>
      </c>
      <c r="D1849" s="23">
        <v>0</v>
      </c>
      <c r="E1849" s="24">
        <v>0</v>
      </c>
    </row>
    <row r="1850" spans="1:5" x14ac:dyDescent="0.3">
      <c r="A1850" s="20" t="s">
        <v>37</v>
      </c>
      <c r="B1850" s="21" t="s">
        <v>375</v>
      </c>
      <c r="C1850" s="22">
        <v>19800</v>
      </c>
      <c r="D1850" s="23">
        <v>0</v>
      </c>
      <c r="E1850" s="24">
        <v>0</v>
      </c>
    </row>
    <row r="1851" spans="1:5" x14ac:dyDescent="0.3">
      <c r="A1851" s="20" t="s">
        <v>37</v>
      </c>
      <c r="B1851" s="21" t="s">
        <v>376</v>
      </c>
      <c r="C1851" s="22">
        <v>19800</v>
      </c>
      <c r="D1851" s="23">
        <v>0</v>
      </c>
      <c r="E1851" s="24">
        <v>0</v>
      </c>
    </row>
    <row r="1852" spans="1:5" x14ac:dyDescent="0.3">
      <c r="A1852" s="20" t="s">
        <v>37</v>
      </c>
      <c r="B1852" s="21" t="s">
        <v>377</v>
      </c>
      <c r="C1852" s="22">
        <v>9900</v>
      </c>
      <c r="D1852" s="23">
        <v>0</v>
      </c>
      <c r="E1852" s="24">
        <v>0</v>
      </c>
    </row>
    <row r="1853" spans="1:5" x14ac:dyDescent="0.3">
      <c r="A1853" s="16" t="s">
        <v>45</v>
      </c>
      <c r="B1853" s="16" t="s">
        <v>366</v>
      </c>
      <c r="C1853" s="17">
        <v>82500</v>
      </c>
      <c r="D1853" s="18">
        <v>81600</v>
      </c>
      <c r="E1853" s="19">
        <v>0</v>
      </c>
    </row>
    <row r="1854" spans="1:5" x14ac:dyDescent="0.3">
      <c r="A1854" s="20" t="s">
        <v>45</v>
      </c>
      <c r="B1854" s="21" t="s">
        <v>367</v>
      </c>
      <c r="C1854" s="22">
        <v>82500</v>
      </c>
      <c r="D1854" s="23">
        <v>61200</v>
      </c>
      <c r="E1854" s="24">
        <v>0</v>
      </c>
    </row>
    <row r="1855" spans="1:5" x14ac:dyDescent="0.3">
      <c r="A1855" s="20" t="s">
        <v>45</v>
      </c>
      <c r="B1855" s="21" t="s">
        <v>368</v>
      </c>
      <c r="C1855" s="22">
        <v>82500</v>
      </c>
      <c r="D1855" s="23">
        <v>40800</v>
      </c>
      <c r="E1855" s="24">
        <v>0</v>
      </c>
    </row>
    <row r="1856" spans="1:5" x14ac:dyDescent="0.3">
      <c r="A1856" s="20" t="s">
        <v>45</v>
      </c>
      <c r="B1856" s="21" t="s">
        <v>369</v>
      </c>
      <c r="C1856" s="22">
        <v>82500</v>
      </c>
      <c r="D1856" s="23">
        <v>71400</v>
      </c>
      <c r="E1856" s="24">
        <v>0</v>
      </c>
    </row>
    <row r="1857" spans="1:5" x14ac:dyDescent="0.3">
      <c r="A1857" s="20" t="s">
        <v>45</v>
      </c>
      <c r="B1857" s="21" t="s">
        <v>370</v>
      </c>
      <c r="C1857" s="22">
        <v>82500</v>
      </c>
      <c r="D1857" s="23">
        <v>71400</v>
      </c>
      <c r="E1857" s="24">
        <v>0</v>
      </c>
    </row>
    <row r="1858" spans="1:5" x14ac:dyDescent="0.3">
      <c r="A1858" s="20" t="s">
        <v>45</v>
      </c>
      <c r="B1858" s="21" t="s">
        <v>371</v>
      </c>
      <c r="C1858" s="22">
        <v>82500</v>
      </c>
      <c r="D1858" s="23">
        <v>61200</v>
      </c>
      <c r="E1858" s="24">
        <v>0</v>
      </c>
    </row>
    <row r="1859" spans="1:5" x14ac:dyDescent="0.3">
      <c r="A1859" s="20" t="s">
        <v>45</v>
      </c>
      <c r="B1859" s="21" t="s">
        <v>372</v>
      </c>
      <c r="C1859" s="22">
        <v>82500</v>
      </c>
      <c r="D1859" s="23">
        <v>81600</v>
      </c>
      <c r="E1859" s="24">
        <v>0</v>
      </c>
    </row>
    <row r="1860" spans="1:5" x14ac:dyDescent="0.3">
      <c r="A1860" s="20" t="s">
        <v>45</v>
      </c>
      <c r="B1860" s="21" t="s">
        <v>373</v>
      </c>
      <c r="C1860" s="22">
        <v>40700</v>
      </c>
      <c r="D1860" s="23">
        <v>61200</v>
      </c>
      <c r="E1860" s="24">
        <v>0</v>
      </c>
    </row>
    <row r="1861" spans="1:5" x14ac:dyDescent="0.3">
      <c r="A1861" s="20" t="s">
        <v>45</v>
      </c>
      <c r="B1861" s="21" t="s">
        <v>374</v>
      </c>
      <c r="C1861" s="22">
        <v>82500</v>
      </c>
      <c r="D1861" s="23">
        <v>0</v>
      </c>
      <c r="E1861" s="24">
        <v>0</v>
      </c>
    </row>
    <row r="1862" spans="1:5" x14ac:dyDescent="0.3">
      <c r="A1862" s="20" t="s">
        <v>45</v>
      </c>
      <c r="B1862" s="21" t="s">
        <v>375</v>
      </c>
      <c r="C1862" s="22">
        <v>82500</v>
      </c>
      <c r="D1862" s="23">
        <v>0</v>
      </c>
      <c r="E1862" s="24">
        <v>0</v>
      </c>
    </row>
    <row r="1863" spans="1:5" x14ac:dyDescent="0.3">
      <c r="A1863" s="20" t="s">
        <v>45</v>
      </c>
      <c r="B1863" s="21" t="s">
        <v>376</v>
      </c>
      <c r="C1863" s="22">
        <v>82500</v>
      </c>
      <c r="D1863" s="23">
        <v>0</v>
      </c>
      <c r="E1863" s="24">
        <v>0</v>
      </c>
    </row>
    <row r="1864" spans="1:5" x14ac:dyDescent="0.3">
      <c r="A1864" s="20" t="s">
        <v>45</v>
      </c>
      <c r="B1864" s="21" t="s">
        <v>377</v>
      </c>
      <c r="C1864" s="22">
        <v>40700</v>
      </c>
      <c r="D1864" s="23">
        <v>0</v>
      </c>
      <c r="E1864" s="24">
        <v>0</v>
      </c>
    </row>
    <row r="1865" spans="1:5" x14ac:dyDescent="0.3">
      <c r="A1865" s="16" t="s">
        <v>38</v>
      </c>
      <c r="B1865" s="16" t="s">
        <v>372</v>
      </c>
      <c r="C1865" s="17">
        <v>0</v>
      </c>
      <c r="D1865" s="18">
        <v>0</v>
      </c>
      <c r="E1865" s="19">
        <v>0</v>
      </c>
    </row>
    <row r="1866" spans="1:5" x14ac:dyDescent="0.3">
      <c r="A1866" s="20" t="s">
        <v>38</v>
      </c>
      <c r="B1866" s="21" t="s">
        <v>375</v>
      </c>
      <c r="C1866" s="22">
        <v>0</v>
      </c>
      <c r="D1866" s="23">
        <v>0</v>
      </c>
      <c r="E1866" s="24">
        <v>0</v>
      </c>
    </row>
    <row r="1867" spans="1:5" x14ac:dyDescent="0.3">
      <c r="A1867" s="16" t="s">
        <v>193</v>
      </c>
      <c r="B1867" s="16" t="s">
        <v>366</v>
      </c>
      <c r="C1867" s="17">
        <v>40700</v>
      </c>
      <c r="D1867" s="18">
        <v>40040</v>
      </c>
      <c r="E1867" s="19">
        <v>0</v>
      </c>
    </row>
    <row r="1868" spans="1:5" x14ac:dyDescent="0.3">
      <c r="A1868" s="20" t="s">
        <v>193</v>
      </c>
      <c r="B1868" s="21" t="s">
        <v>367</v>
      </c>
      <c r="C1868" s="22">
        <v>40700</v>
      </c>
      <c r="D1868" s="23">
        <v>40040</v>
      </c>
      <c r="E1868" s="24">
        <v>0</v>
      </c>
    </row>
    <row r="1869" spans="1:5" x14ac:dyDescent="0.3">
      <c r="A1869" s="20" t="s">
        <v>193</v>
      </c>
      <c r="B1869" s="21" t="s">
        <v>368</v>
      </c>
      <c r="C1869" s="22">
        <v>40700</v>
      </c>
      <c r="D1869" s="23">
        <v>40040</v>
      </c>
      <c r="E1869" s="24">
        <v>0</v>
      </c>
    </row>
    <row r="1870" spans="1:5" x14ac:dyDescent="0.3">
      <c r="A1870" s="20" t="s">
        <v>193</v>
      </c>
      <c r="B1870" s="21" t="s">
        <v>369</v>
      </c>
      <c r="C1870" s="22">
        <v>40700</v>
      </c>
      <c r="D1870" s="23">
        <v>40040</v>
      </c>
      <c r="E1870" s="24">
        <v>0</v>
      </c>
    </row>
    <row r="1871" spans="1:5" x14ac:dyDescent="0.3">
      <c r="A1871" s="20" t="s">
        <v>193</v>
      </c>
      <c r="B1871" s="21" t="s">
        <v>370</v>
      </c>
      <c r="C1871" s="22">
        <v>40700</v>
      </c>
      <c r="D1871" s="23">
        <v>30030</v>
      </c>
      <c r="E1871" s="24">
        <v>0</v>
      </c>
    </row>
    <row r="1872" spans="1:5" x14ac:dyDescent="0.3">
      <c r="A1872" s="20" t="s">
        <v>193</v>
      </c>
      <c r="B1872" s="21" t="s">
        <v>371</v>
      </c>
      <c r="C1872" s="22">
        <v>40700</v>
      </c>
      <c r="D1872" s="23">
        <v>40040</v>
      </c>
      <c r="E1872" s="24">
        <v>0</v>
      </c>
    </row>
    <row r="1873" spans="1:5" x14ac:dyDescent="0.3">
      <c r="A1873" s="20" t="s">
        <v>193</v>
      </c>
      <c r="B1873" s="21" t="s">
        <v>372</v>
      </c>
      <c r="C1873" s="22">
        <v>40700</v>
      </c>
      <c r="D1873" s="23">
        <v>30030</v>
      </c>
      <c r="E1873" s="24">
        <v>0</v>
      </c>
    </row>
    <row r="1874" spans="1:5" x14ac:dyDescent="0.3">
      <c r="A1874" s="20" t="s">
        <v>193</v>
      </c>
      <c r="B1874" s="21" t="s">
        <v>373</v>
      </c>
      <c r="C1874" s="22">
        <v>19800</v>
      </c>
      <c r="D1874" s="23">
        <v>40040</v>
      </c>
      <c r="E1874" s="24">
        <v>0</v>
      </c>
    </row>
    <row r="1875" spans="1:5" x14ac:dyDescent="0.3">
      <c r="A1875" s="20" t="s">
        <v>193</v>
      </c>
      <c r="B1875" s="21" t="s">
        <v>374</v>
      </c>
      <c r="C1875" s="22">
        <v>40700</v>
      </c>
      <c r="D1875" s="23">
        <v>30030</v>
      </c>
      <c r="E1875" s="24">
        <v>0</v>
      </c>
    </row>
    <row r="1876" spans="1:5" x14ac:dyDescent="0.3">
      <c r="A1876" s="20" t="s">
        <v>193</v>
      </c>
      <c r="B1876" s="21" t="s">
        <v>375</v>
      </c>
      <c r="C1876" s="22">
        <v>40700</v>
      </c>
      <c r="D1876" s="23">
        <v>40040</v>
      </c>
      <c r="E1876" s="24">
        <v>0</v>
      </c>
    </row>
    <row r="1877" spans="1:5" x14ac:dyDescent="0.3">
      <c r="A1877" s="20" t="s">
        <v>193</v>
      </c>
      <c r="B1877" s="21" t="s">
        <v>376</v>
      </c>
      <c r="C1877" s="22">
        <v>40700</v>
      </c>
      <c r="D1877" s="23">
        <v>20020</v>
      </c>
      <c r="E1877" s="24">
        <v>0</v>
      </c>
    </row>
    <row r="1878" spans="1:5" x14ac:dyDescent="0.3">
      <c r="A1878" s="20" t="s">
        <v>193</v>
      </c>
      <c r="B1878" s="21" t="s">
        <v>377</v>
      </c>
      <c r="C1878" s="22">
        <v>19800</v>
      </c>
      <c r="D1878" s="23">
        <v>30030</v>
      </c>
      <c r="E1878" s="24">
        <v>0</v>
      </c>
    </row>
    <row r="1879" spans="1:5" x14ac:dyDescent="0.3">
      <c r="A1879" s="16" t="s">
        <v>201</v>
      </c>
      <c r="B1879" s="16" t="s">
        <v>366</v>
      </c>
      <c r="C1879" s="17">
        <v>3300</v>
      </c>
      <c r="D1879" s="18">
        <v>8100</v>
      </c>
      <c r="E1879" s="19">
        <v>0</v>
      </c>
    </row>
    <row r="1880" spans="1:5" x14ac:dyDescent="0.3">
      <c r="A1880" s="20" t="s">
        <v>201</v>
      </c>
      <c r="B1880" s="21" t="s">
        <v>367</v>
      </c>
      <c r="C1880" s="22">
        <v>3300</v>
      </c>
      <c r="D1880" s="23">
        <v>0</v>
      </c>
      <c r="E1880" s="24">
        <v>0</v>
      </c>
    </row>
    <row r="1881" spans="1:5" x14ac:dyDescent="0.3">
      <c r="A1881" s="20" t="s">
        <v>201</v>
      </c>
      <c r="B1881" s="21" t="s">
        <v>368</v>
      </c>
      <c r="C1881" s="22">
        <v>3300</v>
      </c>
      <c r="D1881" s="23">
        <v>0</v>
      </c>
      <c r="E1881" s="24">
        <v>0</v>
      </c>
    </row>
    <row r="1882" spans="1:5" x14ac:dyDescent="0.3">
      <c r="A1882" s="20" t="s">
        <v>201</v>
      </c>
      <c r="B1882" s="21" t="s">
        <v>369</v>
      </c>
      <c r="C1882" s="22">
        <v>3300</v>
      </c>
      <c r="D1882" s="23">
        <v>0</v>
      </c>
      <c r="E1882" s="24">
        <v>0</v>
      </c>
    </row>
    <row r="1883" spans="1:5" x14ac:dyDescent="0.3">
      <c r="A1883" s="20" t="s">
        <v>201</v>
      </c>
      <c r="B1883" s="21" t="s">
        <v>370</v>
      </c>
      <c r="C1883" s="22">
        <v>3300</v>
      </c>
      <c r="D1883" s="23">
        <v>0</v>
      </c>
      <c r="E1883" s="24">
        <v>0</v>
      </c>
    </row>
    <row r="1884" spans="1:5" x14ac:dyDescent="0.3">
      <c r="A1884" s="20" t="s">
        <v>201</v>
      </c>
      <c r="B1884" s="21" t="s">
        <v>371</v>
      </c>
      <c r="C1884" s="22">
        <v>3300</v>
      </c>
      <c r="D1884" s="23">
        <v>8100</v>
      </c>
      <c r="E1884" s="24">
        <v>0</v>
      </c>
    </row>
    <row r="1885" spans="1:5" x14ac:dyDescent="0.3">
      <c r="A1885" s="20" t="s">
        <v>201</v>
      </c>
      <c r="B1885" s="21" t="s">
        <v>372</v>
      </c>
      <c r="C1885" s="22">
        <v>3300</v>
      </c>
      <c r="D1885" s="23">
        <v>0</v>
      </c>
      <c r="E1885" s="24">
        <v>0</v>
      </c>
    </row>
    <row r="1886" spans="1:5" x14ac:dyDescent="0.3">
      <c r="A1886" s="20" t="s">
        <v>201</v>
      </c>
      <c r="B1886" s="21" t="s">
        <v>373</v>
      </c>
      <c r="C1886" s="22">
        <v>1100</v>
      </c>
      <c r="D1886" s="23">
        <v>0</v>
      </c>
      <c r="E1886" s="24">
        <v>0</v>
      </c>
    </row>
    <row r="1887" spans="1:5" x14ac:dyDescent="0.3">
      <c r="A1887" s="20" t="s">
        <v>201</v>
      </c>
      <c r="B1887" s="21" t="s">
        <v>374</v>
      </c>
      <c r="C1887" s="22">
        <v>3300</v>
      </c>
      <c r="D1887" s="23">
        <v>0</v>
      </c>
      <c r="E1887" s="24">
        <v>0</v>
      </c>
    </row>
    <row r="1888" spans="1:5" x14ac:dyDescent="0.3">
      <c r="A1888" s="20" t="s">
        <v>201</v>
      </c>
      <c r="B1888" s="21" t="s">
        <v>375</v>
      </c>
      <c r="C1888" s="22">
        <v>3300</v>
      </c>
      <c r="D1888" s="23">
        <v>0</v>
      </c>
      <c r="E1888" s="24">
        <v>0</v>
      </c>
    </row>
    <row r="1889" spans="1:5" x14ac:dyDescent="0.3">
      <c r="A1889" s="20" t="s">
        <v>201</v>
      </c>
      <c r="B1889" s="21" t="s">
        <v>376</v>
      </c>
      <c r="C1889" s="22">
        <v>3300</v>
      </c>
      <c r="D1889" s="23">
        <v>0</v>
      </c>
      <c r="E1889" s="24">
        <v>0</v>
      </c>
    </row>
    <row r="1890" spans="1:5" x14ac:dyDescent="0.3">
      <c r="A1890" s="20" t="s">
        <v>201</v>
      </c>
      <c r="B1890" s="21" t="s">
        <v>377</v>
      </c>
      <c r="C1890" s="22">
        <v>1100</v>
      </c>
      <c r="D1890" s="23">
        <v>0</v>
      </c>
      <c r="E1890" s="24">
        <v>0</v>
      </c>
    </row>
    <row r="1891" spans="1:5" x14ac:dyDescent="0.3">
      <c r="A1891" s="16" t="s">
        <v>38</v>
      </c>
      <c r="B1891" s="16" t="s">
        <v>371</v>
      </c>
      <c r="C1891" s="17">
        <v>0</v>
      </c>
      <c r="D1891" s="18">
        <v>0</v>
      </c>
      <c r="E1891" s="19">
        <v>0</v>
      </c>
    </row>
    <row r="1892" spans="1:5" x14ac:dyDescent="0.3">
      <c r="A1892" s="20" t="s">
        <v>38</v>
      </c>
      <c r="B1892" s="21" t="s">
        <v>372</v>
      </c>
      <c r="C1892" s="22">
        <v>0</v>
      </c>
      <c r="D1892" s="23">
        <v>0</v>
      </c>
      <c r="E1892" s="24">
        <v>0</v>
      </c>
    </row>
    <row r="1893" spans="1:5" x14ac:dyDescent="0.3">
      <c r="A1893" s="20" t="s">
        <v>38</v>
      </c>
      <c r="B1893" s="21" t="s">
        <v>375</v>
      </c>
      <c r="C1893" s="22">
        <v>0</v>
      </c>
      <c r="D1893" s="23">
        <v>0</v>
      </c>
      <c r="E1893" s="24">
        <v>0</v>
      </c>
    </row>
    <row r="1894" spans="1:5" x14ac:dyDescent="0.3">
      <c r="A1894" s="16" t="s">
        <v>42</v>
      </c>
      <c r="B1894" s="16" t="s">
        <v>369</v>
      </c>
      <c r="C1894" s="17">
        <v>0</v>
      </c>
      <c r="D1894" s="18">
        <v>0</v>
      </c>
      <c r="E1894" s="19">
        <v>0</v>
      </c>
    </row>
    <row r="1895" spans="1:5" x14ac:dyDescent="0.3">
      <c r="A1895" s="20" t="s">
        <v>42</v>
      </c>
      <c r="B1895" s="21" t="s">
        <v>373</v>
      </c>
      <c r="C1895" s="22">
        <v>0</v>
      </c>
      <c r="D1895" s="23">
        <v>20000</v>
      </c>
      <c r="E1895" s="24">
        <v>0</v>
      </c>
    </row>
    <row r="1896" spans="1:5" x14ac:dyDescent="0.3">
      <c r="A1896" s="16" t="s">
        <v>423</v>
      </c>
      <c r="B1896" s="16" t="s">
        <v>369</v>
      </c>
      <c r="C1896" s="17">
        <v>0</v>
      </c>
      <c r="D1896" s="18">
        <v>0</v>
      </c>
      <c r="E1896" s="19">
        <v>0</v>
      </c>
    </row>
    <row r="1897" spans="1:5" x14ac:dyDescent="0.3">
      <c r="A1897" s="16" t="s">
        <v>240</v>
      </c>
      <c r="B1897" s="16" t="s">
        <v>366</v>
      </c>
      <c r="C1897" s="17">
        <v>40700</v>
      </c>
      <c r="D1897" s="18">
        <v>51000</v>
      </c>
      <c r="E1897" s="19">
        <v>0</v>
      </c>
    </row>
    <row r="1898" spans="1:5" x14ac:dyDescent="0.3">
      <c r="A1898" s="20" t="s">
        <v>240</v>
      </c>
      <c r="B1898" s="21" t="s">
        <v>367</v>
      </c>
      <c r="C1898" s="22">
        <v>40700</v>
      </c>
      <c r="D1898" s="23">
        <v>51000</v>
      </c>
      <c r="E1898" s="24">
        <v>0</v>
      </c>
    </row>
    <row r="1899" spans="1:5" x14ac:dyDescent="0.3">
      <c r="A1899" s="20" t="s">
        <v>240</v>
      </c>
      <c r="B1899" s="21" t="s">
        <v>368</v>
      </c>
      <c r="C1899" s="22">
        <v>40700</v>
      </c>
      <c r="D1899" s="23">
        <v>51000</v>
      </c>
      <c r="E1899" s="24">
        <v>0</v>
      </c>
    </row>
    <row r="1900" spans="1:5" x14ac:dyDescent="0.3">
      <c r="A1900" s="20" t="s">
        <v>240</v>
      </c>
      <c r="B1900" s="21" t="s">
        <v>369</v>
      </c>
      <c r="C1900" s="22">
        <v>40700</v>
      </c>
      <c r="D1900" s="23">
        <v>51000</v>
      </c>
      <c r="E1900" s="24">
        <v>0</v>
      </c>
    </row>
    <row r="1901" spans="1:5" x14ac:dyDescent="0.3">
      <c r="A1901" s="20" t="s">
        <v>240</v>
      </c>
      <c r="B1901" s="21" t="s">
        <v>370</v>
      </c>
      <c r="C1901" s="22">
        <v>40700</v>
      </c>
      <c r="D1901" s="23">
        <v>40800</v>
      </c>
      <c r="E1901" s="24">
        <v>0</v>
      </c>
    </row>
    <row r="1902" spans="1:5" x14ac:dyDescent="0.3">
      <c r="A1902" s="20" t="s">
        <v>240</v>
      </c>
      <c r="B1902" s="21" t="s">
        <v>371</v>
      </c>
      <c r="C1902" s="22">
        <v>40700</v>
      </c>
      <c r="D1902" s="23">
        <v>102000</v>
      </c>
      <c r="E1902" s="24">
        <v>0</v>
      </c>
    </row>
    <row r="1903" spans="1:5" x14ac:dyDescent="0.3">
      <c r="A1903" s="20" t="s">
        <v>240</v>
      </c>
      <c r="B1903" s="21" t="s">
        <v>372</v>
      </c>
      <c r="C1903" s="22">
        <v>40700</v>
      </c>
      <c r="D1903" s="23">
        <v>40800</v>
      </c>
      <c r="E1903" s="24">
        <v>0</v>
      </c>
    </row>
    <row r="1904" spans="1:5" x14ac:dyDescent="0.3">
      <c r="A1904" s="20" t="s">
        <v>240</v>
      </c>
      <c r="B1904" s="21" t="s">
        <v>373</v>
      </c>
      <c r="C1904" s="22">
        <v>19800</v>
      </c>
      <c r="D1904" s="23">
        <v>51000</v>
      </c>
      <c r="E1904" s="24">
        <v>0</v>
      </c>
    </row>
    <row r="1905" spans="1:5" x14ac:dyDescent="0.3">
      <c r="A1905" s="20" t="s">
        <v>240</v>
      </c>
      <c r="B1905" s="21" t="s">
        <v>374</v>
      </c>
      <c r="C1905" s="22">
        <v>40700</v>
      </c>
      <c r="D1905" s="23">
        <v>40800</v>
      </c>
      <c r="E1905" s="24">
        <v>0</v>
      </c>
    </row>
    <row r="1906" spans="1:5" x14ac:dyDescent="0.3">
      <c r="A1906" s="20" t="s">
        <v>240</v>
      </c>
      <c r="B1906" s="21" t="s">
        <v>375</v>
      </c>
      <c r="C1906" s="22">
        <v>40700</v>
      </c>
      <c r="D1906" s="23">
        <v>0</v>
      </c>
      <c r="E1906" s="24">
        <v>0</v>
      </c>
    </row>
    <row r="1907" spans="1:5" x14ac:dyDescent="0.3">
      <c r="A1907" s="20" t="s">
        <v>240</v>
      </c>
      <c r="B1907" s="21" t="s">
        <v>376</v>
      </c>
      <c r="C1907" s="22">
        <v>40700</v>
      </c>
      <c r="D1907" s="23">
        <v>51000</v>
      </c>
      <c r="E1907" s="24">
        <v>0</v>
      </c>
    </row>
    <row r="1908" spans="1:5" x14ac:dyDescent="0.3">
      <c r="A1908" s="20" t="s">
        <v>240</v>
      </c>
      <c r="B1908" s="21" t="s">
        <v>377</v>
      </c>
      <c r="C1908" s="22">
        <v>19800</v>
      </c>
      <c r="D1908" s="23">
        <v>40800</v>
      </c>
      <c r="E1908" s="24">
        <v>0</v>
      </c>
    </row>
    <row r="1909" spans="1:5" x14ac:dyDescent="0.3">
      <c r="A1909" s="16" t="s">
        <v>303</v>
      </c>
      <c r="B1909" s="16" t="s">
        <v>370</v>
      </c>
      <c r="C1909" s="17">
        <v>0</v>
      </c>
      <c r="D1909" s="18">
        <v>0</v>
      </c>
      <c r="E1909" s="19">
        <v>0</v>
      </c>
    </row>
    <row r="1910" spans="1:5" x14ac:dyDescent="0.3">
      <c r="A1910" s="16" t="s">
        <v>307</v>
      </c>
      <c r="B1910" s="16" t="s">
        <v>370</v>
      </c>
      <c r="C1910" s="17">
        <v>0</v>
      </c>
      <c r="D1910" s="18">
        <v>0</v>
      </c>
      <c r="E1910" s="19">
        <v>0</v>
      </c>
    </row>
    <row r="1911" spans="1:5" x14ac:dyDescent="0.3">
      <c r="A1911" s="16" t="s">
        <v>38</v>
      </c>
      <c r="B1911" s="16" t="s">
        <v>371</v>
      </c>
      <c r="C1911" s="17">
        <v>0</v>
      </c>
      <c r="D1911" s="18">
        <v>0</v>
      </c>
      <c r="E1911" s="19">
        <v>0</v>
      </c>
    </row>
    <row r="1912" spans="1:5" x14ac:dyDescent="0.3">
      <c r="A1912" s="20" t="s">
        <v>38</v>
      </c>
      <c r="B1912" s="21" t="s">
        <v>372</v>
      </c>
      <c r="C1912" s="22">
        <v>0</v>
      </c>
      <c r="D1912" s="23">
        <v>0</v>
      </c>
      <c r="E1912" s="24">
        <v>0</v>
      </c>
    </row>
    <row r="1913" spans="1:5" x14ac:dyDescent="0.3">
      <c r="A1913" s="20" t="s">
        <v>38</v>
      </c>
      <c r="B1913" s="21" t="s">
        <v>375</v>
      </c>
      <c r="C1913" s="22">
        <v>0</v>
      </c>
      <c r="D1913" s="23">
        <v>0</v>
      </c>
      <c r="E1913" s="24">
        <v>0</v>
      </c>
    </row>
    <row r="1914" spans="1:5" x14ac:dyDescent="0.3">
      <c r="A1914" s="16" t="s">
        <v>37</v>
      </c>
      <c r="B1914" s="16" t="s">
        <v>366</v>
      </c>
      <c r="C1914" s="17">
        <v>42900</v>
      </c>
      <c r="D1914" s="18">
        <v>106200</v>
      </c>
      <c r="E1914" s="19">
        <v>0</v>
      </c>
    </row>
    <row r="1915" spans="1:5" x14ac:dyDescent="0.3">
      <c r="A1915" s="20" t="s">
        <v>37</v>
      </c>
      <c r="B1915" s="21" t="s">
        <v>367</v>
      </c>
      <c r="C1915" s="22">
        <v>42900</v>
      </c>
      <c r="D1915" s="23">
        <v>42480</v>
      </c>
      <c r="E1915" s="24">
        <v>0</v>
      </c>
    </row>
    <row r="1916" spans="1:5" x14ac:dyDescent="0.3">
      <c r="A1916" s="20" t="s">
        <v>37</v>
      </c>
      <c r="B1916" s="21" t="s">
        <v>368</v>
      </c>
      <c r="C1916" s="22">
        <v>42900</v>
      </c>
      <c r="D1916" s="23">
        <v>63720</v>
      </c>
      <c r="E1916" s="24">
        <v>0</v>
      </c>
    </row>
    <row r="1917" spans="1:5" x14ac:dyDescent="0.3">
      <c r="A1917" s="20" t="s">
        <v>37</v>
      </c>
      <c r="B1917" s="21" t="s">
        <v>369</v>
      </c>
      <c r="C1917" s="22">
        <v>42900</v>
      </c>
      <c r="D1917" s="23">
        <v>42480</v>
      </c>
      <c r="E1917" s="24">
        <v>0</v>
      </c>
    </row>
    <row r="1918" spans="1:5" x14ac:dyDescent="0.3">
      <c r="A1918" s="20" t="s">
        <v>37</v>
      </c>
      <c r="B1918" s="21" t="s">
        <v>370</v>
      </c>
      <c r="C1918" s="22">
        <v>42900</v>
      </c>
      <c r="D1918" s="23">
        <v>42480</v>
      </c>
      <c r="E1918" s="24">
        <v>0</v>
      </c>
    </row>
    <row r="1919" spans="1:5" x14ac:dyDescent="0.3">
      <c r="A1919" s="20" t="s">
        <v>37</v>
      </c>
      <c r="B1919" s="21" t="s">
        <v>371</v>
      </c>
      <c r="C1919" s="22">
        <v>42900</v>
      </c>
      <c r="D1919" s="23">
        <v>21240</v>
      </c>
      <c r="E1919" s="24">
        <v>0</v>
      </c>
    </row>
    <row r="1920" spans="1:5" x14ac:dyDescent="0.3">
      <c r="A1920" s="20" t="s">
        <v>37</v>
      </c>
      <c r="B1920" s="21" t="s">
        <v>372</v>
      </c>
      <c r="C1920" s="22">
        <v>42900</v>
      </c>
      <c r="D1920" s="23">
        <v>42480</v>
      </c>
      <c r="E1920" s="24">
        <v>0</v>
      </c>
    </row>
    <row r="1921" spans="1:5" x14ac:dyDescent="0.3">
      <c r="A1921" s="20" t="s">
        <v>37</v>
      </c>
      <c r="B1921" s="21" t="s">
        <v>373</v>
      </c>
      <c r="C1921" s="22">
        <v>20900</v>
      </c>
      <c r="D1921" s="23">
        <v>0</v>
      </c>
      <c r="E1921" s="24">
        <v>0</v>
      </c>
    </row>
    <row r="1922" spans="1:5" x14ac:dyDescent="0.3">
      <c r="A1922" s="20" t="s">
        <v>37</v>
      </c>
      <c r="B1922" s="21" t="s">
        <v>374</v>
      </c>
      <c r="C1922" s="22">
        <v>42900</v>
      </c>
      <c r="D1922" s="23">
        <v>63720</v>
      </c>
      <c r="E1922" s="24">
        <v>0</v>
      </c>
    </row>
    <row r="1923" spans="1:5" x14ac:dyDescent="0.3">
      <c r="A1923" s="20" t="s">
        <v>37</v>
      </c>
      <c r="B1923" s="21" t="s">
        <v>375</v>
      </c>
      <c r="C1923" s="22">
        <v>42900</v>
      </c>
      <c r="D1923" s="23">
        <v>42480</v>
      </c>
      <c r="E1923" s="24">
        <v>0</v>
      </c>
    </row>
    <row r="1924" spans="1:5" x14ac:dyDescent="0.3">
      <c r="A1924" s="20" t="s">
        <v>37</v>
      </c>
      <c r="B1924" s="21" t="s">
        <v>376</v>
      </c>
      <c r="C1924" s="22">
        <v>42900</v>
      </c>
      <c r="D1924" s="23">
        <v>0</v>
      </c>
      <c r="E1924" s="24">
        <v>0</v>
      </c>
    </row>
    <row r="1925" spans="1:5" x14ac:dyDescent="0.3">
      <c r="A1925" s="20" t="s">
        <v>37</v>
      </c>
      <c r="B1925" s="21" t="s">
        <v>377</v>
      </c>
      <c r="C1925" s="22">
        <v>20900</v>
      </c>
      <c r="D1925" s="23">
        <v>84960</v>
      </c>
      <c r="E1925" s="24">
        <v>0</v>
      </c>
    </row>
    <row r="1926" spans="1:5" x14ac:dyDescent="0.3">
      <c r="A1926" s="16" t="s">
        <v>39</v>
      </c>
      <c r="B1926" s="16" t="s">
        <v>366</v>
      </c>
      <c r="C1926" s="17">
        <v>25300</v>
      </c>
      <c r="D1926" s="18">
        <v>72000</v>
      </c>
      <c r="E1926" s="19">
        <v>0</v>
      </c>
    </row>
    <row r="1927" spans="1:5" x14ac:dyDescent="0.3">
      <c r="A1927" s="20" t="s">
        <v>39</v>
      </c>
      <c r="B1927" s="21" t="s">
        <v>367</v>
      </c>
      <c r="C1927" s="22">
        <v>25300</v>
      </c>
      <c r="D1927" s="23">
        <v>24000</v>
      </c>
      <c r="E1927" s="24">
        <v>0</v>
      </c>
    </row>
    <row r="1928" spans="1:5" x14ac:dyDescent="0.3">
      <c r="A1928" s="20" t="s">
        <v>39</v>
      </c>
      <c r="B1928" s="21" t="s">
        <v>368</v>
      </c>
      <c r="C1928" s="22">
        <v>25300</v>
      </c>
      <c r="D1928" s="23">
        <v>24000</v>
      </c>
      <c r="E1928" s="24">
        <v>0</v>
      </c>
    </row>
    <row r="1929" spans="1:5" x14ac:dyDescent="0.3">
      <c r="A1929" s="20" t="s">
        <v>39</v>
      </c>
      <c r="B1929" s="21" t="s">
        <v>369</v>
      </c>
      <c r="C1929" s="22">
        <v>25300</v>
      </c>
      <c r="D1929" s="23">
        <v>24000</v>
      </c>
      <c r="E1929" s="24">
        <v>0</v>
      </c>
    </row>
    <row r="1930" spans="1:5" x14ac:dyDescent="0.3">
      <c r="A1930" s="20" t="s">
        <v>39</v>
      </c>
      <c r="B1930" s="21" t="s">
        <v>370</v>
      </c>
      <c r="C1930" s="22">
        <v>25300</v>
      </c>
      <c r="D1930" s="23">
        <v>24000</v>
      </c>
      <c r="E1930" s="24">
        <v>0</v>
      </c>
    </row>
    <row r="1931" spans="1:5" x14ac:dyDescent="0.3">
      <c r="A1931" s="20" t="s">
        <v>39</v>
      </c>
      <c r="B1931" s="21" t="s">
        <v>371</v>
      </c>
      <c r="C1931" s="22">
        <v>25300</v>
      </c>
      <c r="D1931" s="23">
        <v>12000</v>
      </c>
      <c r="E1931" s="24">
        <v>0</v>
      </c>
    </row>
    <row r="1932" spans="1:5" x14ac:dyDescent="0.3">
      <c r="A1932" s="20" t="s">
        <v>39</v>
      </c>
      <c r="B1932" s="21" t="s">
        <v>372</v>
      </c>
      <c r="C1932" s="22">
        <v>25300</v>
      </c>
      <c r="D1932" s="23">
        <v>36000</v>
      </c>
      <c r="E1932" s="24">
        <v>0</v>
      </c>
    </row>
    <row r="1933" spans="1:5" x14ac:dyDescent="0.3">
      <c r="A1933" s="20" t="s">
        <v>39</v>
      </c>
      <c r="B1933" s="21" t="s">
        <v>373</v>
      </c>
      <c r="C1933" s="22">
        <v>13200</v>
      </c>
      <c r="D1933" s="23">
        <v>0</v>
      </c>
      <c r="E1933" s="24">
        <v>0</v>
      </c>
    </row>
    <row r="1934" spans="1:5" x14ac:dyDescent="0.3">
      <c r="A1934" s="20" t="s">
        <v>39</v>
      </c>
      <c r="B1934" s="21" t="s">
        <v>374</v>
      </c>
      <c r="C1934" s="22">
        <v>25300</v>
      </c>
      <c r="D1934" s="23">
        <v>36000</v>
      </c>
      <c r="E1934" s="24">
        <v>0</v>
      </c>
    </row>
    <row r="1935" spans="1:5" x14ac:dyDescent="0.3">
      <c r="A1935" s="20" t="s">
        <v>39</v>
      </c>
      <c r="B1935" s="21" t="s">
        <v>375</v>
      </c>
      <c r="C1935" s="22">
        <v>25300</v>
      </c>
      <c r="D1935" s="23">
        <v>24000</v>
      </c>
      <c r="E1935" s="24">
        <v>0</v>
      </c>
    </row>
    <row r="1936" spans="1:5" x14ac:dyDescent="0.3">
      <c r="A1936" s="20" t="s">
        <v>39</v>
      </c>
      <c r="B1936" s="21" t="s">
        <v>376</v>
      </c>
      <c r="C1936" s="22">
        <v>25300</v>
      </c>
      <c r="D1936" s="23">
        <v>0</v>
      </c>
      <c r="E1936" s="24">
        <v>0</v>
      </c>
    </row>
    <row r="1937" spans="1:5" x14ac:dyDescent="0.3">
      <c r="A1937" s="20" t="s">
        <v>39</v>
      </c>
      <c r="B1937" s="21" t="s">
        <v>377</v>
      </c>
      <c r="C1937" s="22">
        <v>13200</v>
      </c>
      <c r="D1937" s="23">
        <v>72000</v>
      </c>
      <c r="E1937" s="24">
        <v>0</v>
      </c>
    </row>
    <row r="1938" spans="1:5" x14ac:dyDescent="0.3">
      <c r="A1938" s="16" t="s">
        <v>46</v>
      </c>
      <c r="B1938" s="16" t="s">
        <v>366</v>
      </c>
      <c r="C1938" s="17">
        <v>8800</v>
      </c>
      <c r="D1938" s="18">
        <v>54000</v>
      </c>
      <c r="E1938" s="19">
        <v>0</v>
      </c>
    </row>
    <row r="1939" spans="1:5" x14ac:dyDescent="0.3">
      <c r="A1939" s="20" t="s">
        <v>46</v>
      </c>
      <c r="B1939" s="21" t="s">
        <v>367</v>
      </c>
      <c r="C1939" s="22">
        <v>8800</v>
      </c>
      <c r="D1939" s="23">
        <v>18000</v>
      </c>
      <c r="E1939" s="24">
        <v>0</v>
      </c>
    </row>
    <row r="1940" spans="1:5" x14ac:dyDescent="0.3">
      <c r="A1940" s="20" t="s">
        <v>46</v>
      </c>
      <c r="B1940" s="21" t="s">
        <v>368</v>
      </c>
      <c r="C1940" s="22">
        <v>8800</v>
      </c>
      <c r="D1940" s="23">
        <v>18000</v>
      </c>
      <c r="E1940" s="24">
        <v>0</v>
      </c>
    </row>
    <row r="1941" spans="1:5" x14ac:dyDescent="0.3">
      <c r="A1941" s="20" t="s">
        <v>46</v>
      </c>
      <c r="B1941" s="21" t="s">
        <v>369</v>
      </c>
      <c r="C1941" s="22">
        <v>8800</v>
      </c>
      <c r="D1941" s="23">
        <v>36000</v>
      </c>
      <c r="E1941" s="24">
        <v>0</v>
      </c>
    </row>
    <row r="1942" spans="1:5" x14ac:dyDescent="0.3">
      <c r="A1942" s="20" t="s">
        <v>46</v>
      </c>
      <c r="B1942" s="21" t="s">
        <v>370</v>
      </c>
      <c r="C1942" s="22">
        <v>8800</v>
      </c>
      <c r="D1942" s="23">
        <v>18000</v>
      </c>
      <c r="E1942" s="24">
        <v>0</v>
      </c>
    </row>
    <row r="1943" spans="1:5" x14ac:dyDescent="0.3">
      <c r="A1943" s="20" t="s">
        <v>46</v>
      </c>
      <c r="B1943" s="21" t="s">
        <v>371</v>
      </c>
      <c r="C1943" s="22">
        <v>8800</v>
      </c>
      <c r="D1943" s="23">
        <v>18000</v>
      </c>
      <c r="E1943" s="24">
        <v>0</v>
      </c>
    </row>
    <row r="1944" spans="1:5" x14ac:dyDescent="0.3">
      <c r="A1944" s="20" t="s">
        <v>46</v>
      </c>
      <c r="B1944" s="21" t="s">
        <v>372</v>
      </c>
      <c r="C1944" s="22">
        <v>8800</v>
      </c>
      <c r="D1944" s="23">
        <v>36000</v>
      </c>
      <c r="E1944" s="24">
        <v>0</v>
      </c>
    </row>
    <row r="1945" spans="1:5" x14ac:dyDescent="0.3">
      <c r="A1945" s="20" t="s">
        <v>46</v>
      </c>
      <c r="B1945" s="21" t="s">
        <v>373</v>
      </c>
      <c r="C1945" s="22">
        <v>4400</v>
      </c>
      <c r="D1945" s="23">
        <v>0</v>
      </c>
      <c r="E1945" s="24">
        <v>0</v>
      </c>
    </row>
    <row r="1946" spans="1:5" x14ac:dyDescent="0.3">
      <c r="A1946" s="20" t="s">
        <v>46</v>
      </c>
      <c r="B1946" s="21" t="s">
        <v>374</v>
      </c>
      <c r="C1946" s="22">
        <v>8800</v>
      </c>
      <c r="D1946" s="23">
        <v>36000</v>
      </c>
      <c r="E1946" s="24">
        <v>0</v>
      </c>
    </row>
    <row r="1947" spans="1:5" x14ac:dyDescent="0.3">
      <c r="A1947" s="20" t="s">
        <v>46</v>
      </c>
      <c r="B1947" s="21" t="s">
        <v>375</v>
      </c>
      <c r="C1947" s="22">
        <v>8800</v>
      </c>
      <c r="D1947" s="23">
        <v>18000</v>
      </c>
      <c r="E1947" s="24">
        <v>0</v>
      </c>
    </row>
    <row r="1948" spans="1:5" x14ac:dyDescent="0.3">
      <c r="A1948" s="20" t="s">
        <v>46</v>
      </c>
      <c r="B1948" s="21" t="s">
        <v>376</v>
      </c>
      <c r="C1948" s="22">
        <v>8800</v>
      </c>
      <c r="D1948" s="23">
        <v>0</v>
      </c>
      <c r="E1948" s="24">
        <v>0</v>
      </c>
    </row>
    <row r="1949" spans="1:5" x14ac:dyDescent="0.3">
      <c r="A1949" s="20" t="s">
        <v>46</v>
      </c>
      <c r="B1949" s="21" t="s">
        <v>377</v>
      </c>
      <c r="C1949" s="22">
        <v>4400</v>
      </c>
      <c r="D1949" s="23">
        <v>18000</v>
      </c>
      <c r="E1949" s="24">
        <v>0</v>
      </c>
    </row>
    <row r="1950" spans="1:5" x14ac:dyDescent="0.3">
      <c r="A1950" s="16" t="s">
        <v>48</v>
      </c>
      <c r="B1950" s="16" t="s">
        <v>366</v>
      </c>
      <c r="C1950" s="17">
        <v>2200</v>
      </c>
      <c r="D1950" s="18">
        <v>0</v>
      </c>
      <c r="E1950" s="19">
        <v>0</v>
      </c>
    </row>
    <row r="1951" spans="1:5" x14ac:dyDescent="0.3">
      <c r="A1951" s="20" t="s">
        <v>48</v>
      </c>
      <c r="B1951" s="21" t="s">
        <v>367</v>
      </c>
      <c r="C1951" s="22">
        <v>2200</v>
      </c>
      <c r="D1951" s="23">
        <v>0</v>
      </c>
      <c r="E1951" s="24">
        <v>0</v>
      </c>
    </row>
    <row r="1952" spans="1:5" x14ac:dyDescent="0.3">
      <c r="A1952" s="20" t="s">
        <v>48</v>
      </c>
      <c r="B1952" s="21" t="s">
        <v>368</v>
      </c>
      <c r="C1952" s="22">
        <v>2200</v>
      </c>
      <c r="D1952" s="23">
        <v>0</v>
      </c>
      <c r="E1952" s="24">
        <v>0</v>
      </c>
    </row>
    <row r="1953" spans="1:5" x14ac:dyDescent="0.3">
      <c r="A1953" s="20" t="s">
        <v>48</v>
      </c>
      <c r="B1953" s="21" t="s">
        <v>369</v>
      </c>
      <c r="C1953" s="22">
        <v>2200</v>
      </c>
      <c r="D1953" s="23">
        <v>0</v>
      </c>
      <c r="E1953" s="24">
        <v>0</v>
      </c>
    </row>
    <row r="1954" spans="1:5" x14ac:dyDescent="0.3">
      <c r="A1954" s="20" t="s">
        <v>48</v>
      </c>
      <c r="B1954" s="21" t="s">
        <v>370</v>
      </c>
      <c r="C1954" s="22">
        <v>2200</v>
      </c>
      <c r="D1954" s="23">
        <v>0</v>
      </c>
      <c r="E1954" s="24">
        <v>0</v>
      </c>
    </row>
    <row r="1955" spans="1:5" x14ac:dyDescent="0.3">
      <c r="A1955" s="20" t="s">
        <v>48</v>
      </c>
      <c r="B1955" s="21" t="s">
        <v>371</v>
      </c>
      <c r="C1955" s="22">
        <v>2200</v>
      </c>
      <c r="D1955" s="23">
        <v>0</v>
      </c>
      <c r="E1955" s="24">
        <v>0</v>
      </c>
    </row>
    <row r="1956" spans="1:5" x14ac:dyDescent="0.3">
      <c r="A1956" s="20" t="s">
        <v>48</v>
      </c>
      <c r="B1956" s="21" t="s">
        <v>372</v>
      </c>
      <c r="C1956" s="22">
        <v>2200</v>
      </c>
      <c r="D1956" s="23">
        <v>0</v>
      </c>
      <c r="E1956" s="24">
        <v>0</v>
      </c>
    </row>
    <row r="1957" spans="1:5" x14ac:dyDescent="0.3">
      <c r="A1957" s="20" t="s">
        <v>48</v>
      </c>
      <c r="B1957" s="21" t="s">
        <v>373</v>
      </c>
      <c r="C1957" s="22">
        <v>1100</v>
      </c>
      <c r="D1957" s="23">
        <v>0</v>
      </c>
      <c r="E1957" s="24">
        <v>0</v>
      </c>
    </row>
    <row r="1958" spans="1:5" x14ac:dyDescent="0.3">
      <c r="A1958" s="20" t="s">
        <v>48</v>
      </c>
      <c r="B1958" s="21" t="s">
        <v>374</v>
      </c>
      <c r="C1958" s="22">
        <v>2200</v>
      </c>
      <c r="D1958" s="23">
        <v>0</v>
      </c>
      <c r="E1958" s="24">
        <v>0</v>
      </c>
    </row>
    <row r="1959" spans="1:5" x14ac:dyDescent="0.3">
      <c r="A1959" s="20" t="s">
        <v>48</v>
      </c>
      <c r="B1959" s="21" t="s">
        <v>375</v>
      </c>
      <c r="C1959" s="22">
        <v>2200</v>
      </c>
      <c r="D1959" s="23">
        <v>0</v>
      </c>
      <c r="E1959" s="24">
        <v>0</v>
      </c>
    </row>
    <row r="1960" spans="1:5" x14ac:dyDescent="0.3">
      <c r="A1960" s="20" t="s">
        <v>48</v>
      </c>
      <c r="B1960" s="21" t="s">
        <v>376</v>
      </c>
      <c r="C1960" s="22">
        <v>2200</v>
      </c>
      <c r="D1960" s="23">
        <v>0</v>
      </c>
      <c r="E1960" s="24">
        <v>0</v>
      </c>
    </row>
    <row r="1961" spans="1:5" x14ac:dyDescent="0.3">
      <c r="A1961" s="20" t="s">
        <v>48</v>
      </c>
      <c r="B1961" s="21" t="s">
        <v>377</v>
      </c>
      <c r="C1961" s="22">
        <v>1100</v>
      </c>
      <c r="D1961" s="23">
        <v>0</v>
      </c>
      <c r="E1961" s="24">
        <v>0</v>
      </c>
    </row>
    <row r="1962" spans="1:5" x14ac:dyDescent="0.3">
      <c r="A1962" s="16" t="s">
        <v>55</v>
      </c>
      <c r="B1962" s="16" t="s">
        <v>366</v>
      </c>
      <c r="C1962" s="17">
        <v>7700</v>
      </c>
      <c r="D1962" s="18">
        <v>0</v>
      </c>
      <c r="E1962" s="19">
        <v>0</v>
      </c>
    </row>
    <row r="1963" spans="1:5" x14ac:dyDescent="0.3">
      <c r="A1963" s="20" t="s">
        <v>55</v>
      </c>
      <c r="B1963" s="21" t="s">
        <v>367</v>
      </c>
      <c r="C1963" s="22">
        <v>7700</v>
      </c>
      <c r="D1963" s="23">
        <v>0</v>
      </c>
      <c r="E1963" s="24">
        <v>0</v>
      </c>
    </row>
    <row r="1964" spans="1:5" x14ac:dyDescent="0.3">
      <c r="A1964" s="20" t="s">
        <v>55</v>
      </c>
      <c r="B1964" s="21" t="s">
        <v>368</v>
      </c>
      <c r="C1964" s="22">
        <v>7700</v>
      </c>
      <c r="D1964" s="23">
        <v>24000</v>
      </c>
      <c r="E1964" s="24">
        <v>0</v>
      </c>
    </row>
    <row r="1965" spans="1:5" x14ac:dyDescent="0.3">
      <c r="A1965" s="20" t="s">
        <v>55</v>
      </c>
      <c r="B1965" s="21" t="s">
        <v>369</v>
      </c>
      <c r="C1965" s="22">
        <v>7700</v>
      </c>
      <c r="D1965" s="23">
        <v>0</v>
      </c>
      <c r="E1965" s="24">
        <v>0</v>
      </c>
    </row>
    <row r="1966" spans="1:5" x14ac:dyDescent="0.3">
      <c r="A1966" s="20" t="s">
        <v>55</v>
      </c>
      <c r="B1966" s="21" t="s">
        <v>370</v>
      </c>
      <c r="C1966" s="22">
        <v>7700</v>
      </c>
      <c r="D1966" s="23">
        <v>0</v>
      </c>
      <c r="E1966" s="24">
        <v>0</v>
      </c>
    </row>
    <row r="1967" spans="1:5" x14ac:dyDescent="0.3">
      <c r="A1967" s="20" t="s">
        <v>55</v>
      </c>
      <c r="B1967" s="21" t="s">
        <v>371</v>
      </c>
      <c r="C1967" s="22">
        <v>7700</v>
      </c>
      <c r="D1967" s="23">
        <v>0</v>
      </c>
      <c r="E1967" s="24">
        <v>0</v>
      </c>
    </row>
    <row r="1968" spans="1:5" x14ac:dyDescent="0.3">
      <c r="A1968" s="20" t="s">
        <v>55</v>
      </c>
      <c r="B1968" s="21" t="s">
        <v>372</v>
      </c>
      <c r="C1968" s="22">
        <v>7700</v>
      </c>
      <c r="D1968" s="23">
        <v>0</v>
      </c>
      <c r="E1968" s="24">
        <v>0</v>
      </c>
    </row>
    <row r="1969" spans="1:5" x14ac:dyDescent="0.3">
      <c r="A1969" s="20" t="s">
        <v>55</v>
      </c>
      <c r="B1969" s="21" t="s">
        <v>373</v>
      </c>
      <c r="C1969" s="22">
        <v>3300</v>
      </c>
      <c r="D1969" s="23">
        <v>0</v>
      </c>
      <c r="E1969" s="24">
        <v>0</v>
      </c>
    </row>
    <row r="1970" spans="1:5" x14ac:dyDescent="0.3">
      <c r="A1970" s="20" t="s">
        <v>55</v>
      </c>
      <c r="B1970" s="21" t="s">
        <v>374</v>
      </c>
      <c r="C1970" s="22">
        <v>7700</v>
      </c>
      <c r="D1970" s="23">
        <v>0</v>
      </c>
      <c r="E1970" s="24">
        <v>0</v>
      </c>
    </row>
    <row r="1971" spans="1:5" x14ac:dyDescent="0.3">
      <c r="A1971" s="20" t="s">
        <v>55</v>
      </c>
      <c r="B1971" s="21" t="s">
        <v>375</v>
      </c>
      <c r="C1971" s="22">
        <v>7700</v>
      </c>
      <c r="D1971" s="23">
        <v>0</v>
      </c>
      <c r="E1971" s="24">
        <v>0</v>
      </c>
    </row>
    <row r="1972" spans="1:5" x14ac:dyDescent="0.3">
      <c r="A1972" s="20" t="s">
        <v>55</v>
      </c>
      <c r="B1972" s="21" t="s">
        <v>376</v>
      </c>
      <c r="C1972" s="22">
        <v>7700</v>
      </c>
      <c r="D1972" s="23">
        <v>0</v>
      </c>
      <c r="E1972" s="24">
        <v>0</v>
      </c>
    </row>
    <row r="1973" spans="1:5" x14ac:dyDescent="0.3">
      <c r="A1973" s="20" t="s">
        <v>55</v>
      </c>
      <c r="B1973" s="21" t="s">
        <v>377</v>
      </c>
      <c r="C1973" s="22">
        <v>3300</v>
      </c>
      <c r="D1973" s="23">
        <v>0</v>
      </c>
      <c r="E1973" s="24">
        <v>0</v>
      </c>
    </row>
    <row r="1974" spans="1:5" x14ac:dyDescent="0.3">
      <c r="A1974" s="16" t="s">
        <v>179</v>
      </c>
      <c r="B1974" s="16" t="s">
        <v>366</v>
      </c>
      <c r="C1974" s="17">
        <v>28600</v>
      </c>
      <c r="D1974" s="18">
        <v>40560</v>
      </c>
      <c r="E1974" s="19">
        <v>0</v>
      </c>
    </row>
    <row r="1975" spans="1:5" x14ac:dyDescent="0.3">
      <c r="A1975" s="20" t="s">
        <v>179</v>
      </c>
      <c r="B1975" s="21" t="s">
        <v>367</v>
      </c>
      <c r="C1975" s="22">
        <v>28600</v>
      </c>
      <c r="D1975" s="23">
        <v>40560</v>
      </c>
      <c r="E1975" s="24">
        <v>0</v>
      </c>
    </row>
    <row r="1976" spans="1:5" x14ac:dyDescent="0.3">
      <c r="A1976" s="20" t="s">
        <v>179</v>
      </c>
      <c r="B1976" s="21" t="s">
        <v>368</v>
      </c>
      <c r="C1976" s="22">
        <v>28600</v>
      </c>
      <c r="D1976" s="23">
        <v>40560</v>
      </c>
      <c r="E1976" s="24">
        <v>0</v>
      </c>
    </row>
    <row r="1977" spans="1:5" x14ac:dyDescent="0.3">
      <c r="A1977" s="20" t="s">
        <v>179</v>
      </c>
      <c r="B1977" s="21" t="s">
        <v>369</v>
      </c>
      <c r="C1977" s="22">
        <v>28600</v>
      </c>
      <c r="D1977" s="23">
        <v>0</v>
      </c>
      <c r="E1977" s="24">
        <v>0</v>
      </c>
    </row>
    <row r="1978" spans="1:5" x14ac:dyDescent="0.3">
      <c r="A1978" s="20" t="s">
        <v>179</v>
      </c>
      <c r="B1978" s="21" t="s">
        <v>370</v>
      </c>
      <c r="C1978" s="22">
        <v>28600</v>
      </c>
      <c r="D1978" s="23">
        <v>0</v>
      </c>
      <c r="E1978" s="24">
        <v>0</v>
      </c>
    </row>
    <row r="1979" spans="1:5" x14ac:dyDescent="0.3">
      <c r="A1979" s="20" t="s">
        <v>179</v>
      </c>
      <c r="B1979" s="21" t="s">
        <v>371</v>
      </c>
      <c r="C1979" s="22">
        <v>28600</v>
      </c>
      <c r="D1979" s="23">
        <v>40560</v>
      </c>
      <c r="E1979" s="24">
        <v>0</v>
      </c>
    </row>
    <row r="1980" spans="1:5" x14ac:dyDescent="0.3">
      <c r="A1980" s="20" t="s">
        <v>179</v>
      </c>
      <c r="B1980" s="21" t="s">
        <v>372</v>
      </c>
      <c r="C1980" s="22">
        <v>28600</v>
      </c>
      <c r="D1980" s="23">
        <v>0</v>
      </c>
      <c r="E1980" s="24">
        <v>0</v>
      </c>
    </row>
    <row r="1981" spans="1:5" x14ac:dyDescent="0.3">
      <c r="A1981" s="20" t="s">
        <v>179</v>
      </c>
      <c r="B1981" s="21" t="s">
        <v>373</v>
      </c>
      <c r="C1981" s="22">
        <v>14300</v>
      </c>
      <c r="D1981" s="23">
        <v>0</v>
      </c>
      <c r="E1981" s="24">
        <v>0</v>
      </c>
    </row>
    <row r="1982" spans="1:5" x14ac:dyDescent="0.3">
      <c r="A1982" s="20" t="s">
        <v>179</v>
      </c>
      <c r="B1982" s="21" t="s">
        <v>374</v>
      </c>
      <c r="C1982" s="22">
        <v>28600</v>
      </c>
      <c r="D1982" s="23">
        <v>40560</v>
      </c>
      <c r="E1982" s="24">
        <v>0</v>
      </c>
    </row>
    <row r="1983" spans="1:5" x14ac:dyDescent="0.3">
      <c r="A1983" s="20" t="s">
        <v>179</v>
      </c>
      <c r="B1983" s="21" t="s">
        <v>375</v>
      </c>
      <c r="C1983" s="22">
        <v>28600</v>
      </c>
      <c r="D1983" s="23">
        <v>0</v>
      </c>
      <c r="E1983" s="24">
        <v>0</v>
      </c>
    </row>
    <row r="1984" spans="1:5" x14ac:dyDescent="0.3">
      <c r="A1984" s="20" t="s">
        <v>179</v>
      </c>
      <c r="B1984" s="21" t="s">
        <v>376</v>
      </c>
      <c r="C1984" s="22">
        <v>28600</v>
      </c>
      <c r="D1984" s="23">
        <v>0</v>
      </c>
      <c r="E1984" s="24">
        <v>0</v>
      </c>
    </row>
    <row r="1985" spans="1:5" x14ac:dyDescent="0.3">
      <c r="A1985" s="20" t="s">
        <v>179</v>
      </c>
      <c r="B1985" s="21" t="s">
        <v>377</v>
      </c>
      <c r="C1985" s="22">
        <v>14300</v>
      </c>
      <c r="D1985" s="23">
        <v>40560</v>
      </c>
      <c r="E1985" s="24">
        <v>0</v>
      </c>
    </row>
    <row r="1986" spans="1:5" x14ac:dyDescent="0.3">
      <c r="A1986" s="16" t="s">
        <v>181</v>
      </c>
      <c r="B1986" s="16" t="s">
        <v>366</v>
      </c>
      <c r="C1986" s="17">
        <v>1100</v>
      </c>
      <c r="D1986" s="18">
        <v>0</v>
      </c>
      <c r="E1986" s="19">
        <v>0</v>
      </c>
    </row>
    <row r="1987" spans="1:5" x14ac:dyDescent="0.3">
      <c r="A1987" s="20" t="s">
        <v>181</v>
      </c>
      <c r="B1987" s="21" t="s">
        <v>367</v>
      </c>
      <c r="C1987" s="22">
        <v>1100</v>
      </c>
      <c r="D1987" s="23">
        <v>6000</v>
      </c>
      <c r="E1987" s="24">
        <v>0</v>
      </c>
    </row>
    <row r="1988" spans="1:5" x14ac:dyDescent="0.3">
      <c r="A1988" s="20" t="s">
        <v>181</v>
      </c>
      <c r="B1988" s="21" t="s">
        <v>368</v>
      </c>
      <c r="C1988" s="22">
        <v>1100</v>
      </c>
      <c r="D1988" s="23">
        <v>0</v>
      </c>
      <c r="E1988" s="24">
        <v>0</v>
      </c>
    </row>
    <row r="1989" spans="1:5" x14ac:dyDescent="0.3">
      <c r="A1989" s="20" t="s">
        <v>181</v>
      </c>
      <c r="B1989" s="21" t="s">
        <v>369</v>
      </c>
      <c r="C1989" s="22">
        <v>1100</v>
      </c>
      <c r="D1989" s="23">
        <v>6000</v>
      </c>
      <c r="E1989" s="24">
        <v>0</v>
      </c>
    </row>
    <row r="1990" spans="1:5" x14ac:dyDescent="0.3">
      <c r="A1990" s="20" t="s">
        <v>181</v>
      </c>
      <c r="B1990" s="21" t="s">
        <v>370</v>
      </c>
      <c r="C1990" s="22">
        <v>1100</v>
      </c>
      <c r="D1990" s="23">
        <v>6000</v>
      </c>
      <c r="E1990" s="24">
        <v>0</v>
      </c>
    </row>
    <row r="1991" spans="1:5" x14ac:dyDescent="0.3">
      <c r="A1991" s="20" t="s">
        <v>181</v>
      </c>
      <c r="B1991" s="21" t="s">
        <v>371</v>
      </c>
      <c r="C1991" s="22">
        <v>1100</v>
      </c>
      <c r="D1991" s="23">
        <v>6000</v>
      </c>
      <c r="E1991" s="24">
        <v>0</v>
      </c>
    </row>
    <row r="1992" spans="1:5" x14ac:dyDescent="0.3">
      <c r="A1992" s="20" t="s">
        <v>181</v>
      </c>
      <c r="B1992" s="21" t="s">
        <v>372</v>
      </c>
      <c r="C1992" s="22">
        <v>1100</v>
      </c>
      <c r="D1992" s="23">
        <v>6000</v>
      </c>
      <c r="E1992" s="24">
        <v>0</v>
      </c>
    </row>
    <row r="1993" spans="1:5" x14ac:dyDescent="0.3">
      <c r="A1993" s="20" t="s">
        <v>181</v>
      </c>
      <c r="B1993" s="21" t="s">
        <v>373</v>
      </c>
      <c r="C1993" s="22">
        <v>1100</v>
      </c>
      <c r="D1993" s="23">
        <v>0</v>
      </c>
      <c r="E1993" s="24">
        <v>0</v>
      </c>
    </row>
    <row r="1994" spans="1:5" x14ac:dyDescent="0.3">
      <c r="A1994" s="20" t="s">
        <v>181</v>
      </c>
      <c r="B1994" s="21" t="s">
        <v>374</v>
      </c>
      <c r="C1994" s="22">
        <v>1100</v>
      </c>
      <c r="D1994" s="23">
        <v>0</v>
      </c>
      <c r="E1994" s="24">
        <v>0</v>
      </c>
    </row>
    <row r="1995" spans="1:5" x14ac:dyDescent="0.3">
      <c r="A1995" s="20" t="s">
        <v>181</v>
      </c>
      <c r="B1995" s="21" t="s">
        <v>375</v>
      </c>
      <c r="C1995" s="22">
        <v>1100</v>
      </c>
      <c r="D1995" s="23">
        <v>0</v>
      </c>
      <c r="E1995" s="24">
        <v>0</v>
      </c>
    </row>
    <row r="1996" spans="1:5" x14ac:dyDescent="0.3">
      <c r="A1996" s="20" t="s">
        <v>181</v>
      </c>
      <c r="B1996" s="21" t="s">
        <v>376</v>
      </c>
      <c r="C1996" s="22">
        <v>1100</v>
      </c>
      <c r="D1996" s="23">
        <v>0</v>
      </c>
      <c r="E1996" s="24">
        <v>0</v>
      </c>
    </row>
    <row r="1997" spans="1:5" x14ac:dyDescent="0.3">
      <c r="A1997" s="20" t="s">
        <v>181</v>
      </c>
      <c r="B1997" s="21" t="s">
        <v>377</v>
      </c>
      <c r="C1997" s="22">
        <v>1100</v>
      </c>
      <c r="D1997" s="23">
        <v>0</v>
      </c>
      <c r="E1997" s="24">
        <v>0</v>
      </c>
    </row>
    <row r="1998" spans="1:5" x14ac:dyDescent="0.3">
      <c r="A1998" s="16" t="s">
        <v>182</v>
      </c>
      <c r="B1998" s="16" t="s">
        <v>366</v>
      </c>
      <c r="C1998" s="17">
        <v>102300</v>
      </c>
      <c r="D1998" s="18">
        <v>210000</v>
      </c>
      <c r="E1998" s="19">
        <v>0</v>
      </c>
    </row>
    <row r="1999" spans="1:5" x14ac:dyDescent="0.3">
      <c r="A1999" s="20" t="s">
        <v>182</v>
      </c>
      <c r="B1999" s="21" t="s">
        <v>367</v>
      </c>
      <c r="C1999" s="22">
        <v>102300</v>
      </c>
      <c r="D1999" s="23">
        <v>105000</v>
      </c>
      <c r="E1999" s="24">
        <v>0</v>
      </c>
    </row>
    <row r="2000" spans="1:5" x14ac:dyDescent="0.3">
      <c r="A2000" s="20" t="s">
        <v>182</v>
      </c>
      <c r="B2000" s="21" t="s">
        <v>368</v>
      </c>
      <c r="C2000" s="22">
        <v>102300</v>
      </c>
      <c r="D2000" s="23">
        <v>84000</v>
      </c>
      <c r="E2000" s="24">
        <v>0</v>
      </c>
    </row>
    <row r="2001" spans="1:5" x14ac:dyDescent="0.3">
      <c r="A2001" s="20" t="s">
        <v>182</v>
      </c>
      <c r="B2001" s="21" t="s">
        <v>369</v>
      </c>
      <c r="C2001" s="22">
        <v>102300</v>
      </c>
      <c r="D2001" s="23">
        <v>105000</v>
      </c>
      <c r="E2001" s="24">
        <v>0</v>
      </c>
    </row>
    <row r="2002" spans="1:5" x14ac:dyDescent="0.3">
      <c r="A2002" s="20" t="s">
        <v>182</v>
      </c>
      <c r="B2002" s="21" t="s">
        <v>370</v>
      </c>
      <c r="C2002" s="22">
        <v>102300</v>
      </c>
      <c r="D2002" s="23">
        <v>84000</v>
      </c>
      <c r="E2002" s="24">
        <v>0</v>
      </c>
    </row>
    <row r="2003" spans="1:5" x14ac:dyDescent="0.3">
      <c r="A2003" s="20" t="s">
        <v>182</v>
      </c>
      <c r="B2003" s="21" t="s">
        <v>371</v>
      </c>
      <c r="C2003" s="22">
        <v>102300</v>
      </c>
      <c r="D2003" s="23">
        <v>84000</v>
      </c>
      <c r="E2003" s="24">
        <v>0</v>
      </c>
    </row>
    <row r="2004" spans="1:5" x14ac:dyDescent="0.3">
      <c r="A2004" s="20" t="s">
        <v>182</v>
      </c>
      <c r="B2004" s="21" t="s">
        <v>372</v>
      </c>
      <c r="C2004" s="22">
        <v>102300</v>
      </c>
      <c r="D2004" s="23">
        <v>105000</v>
      </c>
      <c r="E2004" s="24">
        <v>0</v>
      </c>
    </row>
    <row r="2005" spans="1:5" x14ac:dyDescent="0.3">
      <c r="A2005" s="20" t="s">
        <v>182</v>
      </c>
      <c r="B2005" s="21" t="s">
        <v>373</v>
      </c>
      <c r="C2005" s="22">
        <v>51700</v>
      </c>
      <c r="D2005" s="23">
        <v>0</v>
      </c>
      <c r="E2005" s="24">
        <v>0</v>
      </c>
    </row>
    <row r="2006" spans="1:5" x14ac:dyDescent="0.3">
      <c r="A2006" s="20" t="s">
        <v>182</v>
      </c>
      <c r="B2006" s="21" t="s">
        <v>374</v>
      </c>
      <c r="C2006" s="22">
        <v>102300</v>
      </c>
      <c r="D2006" s="23">
        <v>189000</v>
      </c>
      <c r="E2006" s="24">
        <v>0</v>
      </c>
    </row>
    <row r="2007" spans="1:5" x14ac:dyDescent="0.3">
      <c r="A2007" s="20" t="s">
        <v>182</v>
      </c>
      <c r="B2007" s="21" t="s">
        <v>375</v>
      </c>
      <c r="C2007" s="22">
        <v>102300</v>
      </c>
      <c r="D2007" s="23">
        <v>63000</v>
      </c>
      <c r="E2007" s="24">
        <v>0</v>
      </c>
    </row>
    <row r="2008" spans="1:5" x14ac:dyDescent="0.3">
      <c r="A2008" s="20" t="s">
        <v>182</v>
      </c>
      <c r="B2008" s="21" t="s">
        <v>376</v>
      </c>
      <c r="C2008" s="22">
        <v>102300</v>
      </c>
      <c r="D2008" s="23">
        <v>0</v>
      </c>
      <c r="E2008" s="24">
        <v>0</v>
      </c>
    </row>
    <row r="2009" spans="1:5" x14ac:dyDescent="0.3">
      <c r="A2009" s="20" t="s">
        <v>182</v>
      </c>
      <c r="B2009" s="21" t="s">
        <v>377</v>
      </c>
      <c r="C2009" s="22">
        <v>51700</v>
      </c>
      <c r="D2009" s="23">
        <v>147000</v>
      </c>
      <c r="E2009" s="24">
        <v>0</v>
      </c>
    </row>
    <row r="2010" spans="1:5" x14ac:dyDescent="0.3">
      <c r="A2010" s="16" t="s">
        <v>184</v>
      </c>
      <c r="B2010" s="16" t="s">
        <v>366</v>
      </c>
      <c r="C2010" s="17">
        <v>7700</v>
      </c>
      <c r="D2010" s="18">
        <v>12000</v>
      </c>
      <c r="E2010" s="19">
        <v>0</v>
      </c>
    </row>
    <row r="2011" spans="1:5" x14ac:dyDescent="0.3">
      <c r="A2011" s="20" t="s">
        <v>184</v>
      </c>
      <c r="B2011" s="21" t="s">
        <v>367</v>
      </c>
      <c r="C2011" s="22">
        <v>7700</v>
      </c>
      <c r="D2011" s="23">
        <v>20000</v>
      </c>
      <c r="E2011" s="24">
        <v>0</v>
      </c>
    </row>
    <row r="2012" spans="1:5" x14ac:dyDescent="0.3">
      <c r="A2012" s="20" t="s">
        <v>184</v>
      </c>
      <c r="B2012" s="21" t="s">
        <v>368</v>
      </c>
      <c r="C2012" s="22">
        <v>7700</v>
      </c>
      <c r="D2012" s="23">
        <v>12000</v>
      </c>
      <c r="E2012" s="24">
        <v>0</v>
      </c>
    </row>
    <row r="2013" spans="1:5" x14ac:dyDescent="0.3">
      <c r="A2013" s="20" t="s">
        <v>184</v>
      </c>
      <c r="B2013" s="21" t="s">
        <v>369</v>
      </c>
      <c r="C2013" s="22">
        <v>7700</v>
      </c>
      <c r="D2013" s="23">
        <v>12000</v>
      </c>
      <c r="E2013" s="24">
        <v>0</v>
      </c>
    </row>
    <row r="2014" spans="1:5" x14ac:dyDescent="0.3">
      <c r="A2014" s="20" t="s">
        <v>184</v>
      </c>
      <c r="B2014" s="21" t="s">
        <v>370</v>
      </c>
      <c r="C2014" s="22">
        <v>7700</v>
      </c>
      <c r="D2014" s="23">
        <v>12000</v>
      </c>
      <c r="E2014" s="24">
        <v>0</v>
      </c>
    </row>
    <row r="2015" spans="1:5" x14ac:dyDescent="0.3">
      <c r="A2015" s="20" t="s">
        <v>184</v>
      </c>
      <c r="B2015" s="21" t="s">
        <v>371</v>
      </c>
      <c r="C2015" s="22">
        <v>7700</v>
      </c>
      <c r="D2015" s="23">
        <v>12000</v>
      </c>
      <c r="E2015" s="24">
        <v>0</v>
      </c>
    </row>
    <row r="2016" spans="1:5" x14ac:dyDescent="0.3">
      <c r="A2016" s="20" t="s">
        <v>184</v>
      </c>
      <c r="B2016" s="21" t="s">
        <v>372</v>
      </c>
      <c r="C2016" s="22">
        <v>7700</v>
      </c>
      <c r="D2016" s="23">
        <v>20000</v>
      </c>
      <c r="E2016" s="24">
        <v>0</v>
      </c>
    </row>
    <row r="2017" spans="1:5" x14ac:dyDescent="0.3">
      <c r="A2017" s="20" t="s">
        <v>184</v>
      </c>
      <c r="B2017" s="21" t="s">
        <v>373</v>
      </c>
      <c r="C2017" s="22">
        <v>4400</v>
      </c>
      <c r="D2017" s="23">
        <v>0</v>
      </c>
      <c r="E2017" s="24">
        <v>0</v>
      </c>
    </row>
    <row r="2018" spans="1:5" x14ac:dyDescent="0.3">
      <c r="A2018" s="20" t="s">
        <v>184</v>
      </c>
      <c r="B2018" s="21" t="s">
        <v>374</v>
      </c>
      <c r="C2018" s="22">
        <v>7700</v>
      </c>
      <c r="D2018" s="23">
        <v>24000</v>
      </c>
      <c r="E2018" s="24">
        <v>0</v>
      </c>
    </row>
    <row r="2019" spans="1:5" x14ac:dyDescent="0.3">
      <c r="A2019" s="20" t="s">
        <v>184</v>
      </c>
      <c r="B2019" s="21" t="s">
        <v>375</v>
      </c>
      <c r="C2019" s="22">
        <v>7700</v>
      </c>
      <c r="D2019" s="23">
        <v>12000</v>
      </c>
      <c r="E2019" s="24">
        <v>0</v>
      </c>
    </row>
    <row r="2020" spans="1:5" x14ac:dyDescent="0.3">
      <c r="A2020" s="20" t="s">
        <v>184</v>
      </c>
      <c r="B2020" s="21" t="s">
        <v>376</v>
      </c>
      <c r="C2020" s="22">
        <v>7700</v>
      </c>
      <c r="D2020" s="23">
        <v>0</v>
      </c>
      <c r="E2020" s="24">
        <v>0</v>
      </c>
    </row>
    <row r="2021" spans="1:5" x14ac:dyDescent="0.3">
      <c r="A2021" s="20" t="s">
        <v>184</v>
      </c>
      <c r="B2021" s="21" t="s">
        <v>377</v>
      </c>
      <c r="C2021" s="22">
        <v>4400</v>
      </c>
      <c r="D2021" s="23">
        <v>48000</v>
      </c>
      <c r="E2021" s="24">
        <v>0</v>
      </c>
    </row>
    <row r="2022" spans="1:5" x14ac:dyDescent="0.3">
      <c r="A2022" s="16" t="s">
        <v>191</v>
      </c>
      <c r="B2022" s="16" t="s">
        <v>366</v>
      </c>
      <c r="C2022" s="17">
        <v>30800</v>
      </c>
      <c r="D2022" s="18">
        <v>98175</v>
      </c>
      <c r="E2022" s="19">
        <v>0</v>
      </c>
    </row>
    <row r="2023" spans="1:5" x14ac:dyDescent="0.3">
      <c r="A2023" s="20" t="s">
        <v>191</v>
      </c>
      <c r="B2023" s="21" t="s">
        <v>367</v>
      </c>
      <c r="C2023" s="22">
        <v>30800</v>
      </c>
      <c r="D2023" s="23">
        <v>39270</v>
      </c>
      <c r="E2023" s="24">
        <v>0</v>
      </c>
    </row>
    <row r="2024" spans="1:5" x14ac:dyDescent="0.3">
      <c r="A2024" s="20" t="s">
        <v>191</v>
      </c>
      <c r="B2024" s="21" t="s">
        <v>368</v>
      </c>
      <c r="C2024" s="22">
        <v>30800</v>
      </c>
      <c r="D2024" s="23">
        <v>39270</v>
      </c>
      <c r="E2024" s="24">
        <v>0</v>
      </c>
    </row>
    <row r="2025" spans="1:5" x14ac:dyDescent="0.3">
      <c r="A2025" s="20" t="s">
        <v>191</v>
      </c>
      <c r="B2025" s="21" t="s">
        <v>369</v>
      </c>
      <c r="C2025" s="22">
        <v>30800</v>
      </c>
      <c r="D2025" s="23">
        <v>39270</v>
      </c>
      <c r="E2025" s="24">
        <v>0</v>
      </c>
    </row>
    <row r="2026" spans="1:5" x14ac:dyDescent="0.3">
      <c r="A2026" s="20" t="s">
        <v>191</v>
      </c>
      <c r="B2026" s="21" t="s">
        <v>370</v>
      </c>
      <c r="C2026" s="22">
        <v>30800</v>
      </c>
      <c r="D2026" s="23">
        <v>58905</v>
      </c>
      <c r="E2026" s="24">
        <v>0</v>
      </c>
    </row>
    <row r="2027" spans="1:5" x14ac:dyDescent="0.3">
      <c r="A2027" s="20" t="s">
        <v>191</v>
      </c>
      <c r="B2027" s="21" t="s">
        <v>371</v>
      </c>
      <c r="C2027" s="22">
        <v>30800</v>
      </c>
      <c r="D2027" s="23">
        <v>39270</v>
      </c>
      <c r="E2027" s="24">
        <v>0</v>
      </c>
    </row>
    <row r="2028" spans="1:5" x14ac:dyDescent="0.3">
      <c r="A2028" s="20" t="s">
        <v>191</v>
      </c>
      <c r="B2028" s="21" t="s">
        <v>372</v>
      </c>
      <c r="C2028" s="22">
        <v>30800</v>
      </c>
      <c r="D2028" s="23">
        <v>58905</v>
      </c>
      <c r="E2028" s="24">
        <v>0</v>
      </c>
    </row>
    <row r="2029" spans="1:5" x14ac:dyDescent="0.3">
      <c r="A2029" s="20" t="s">
        <v>191</v>
      </c>
      <c r="B2029" s="21" t="s">
        <v>373</v>
      </c>
      <c r="C2029" s="22">
        <v>15400</v>
      </c>
      <c r="D2029" s="23">
        <v>0</v>
      </c>
      <c r="E2029" s="24">
        <v>0</v>
      </c>
    </row>
    <row r="2030" spans="1:5" x14ac:dyDescent="0.3">
      <c r="A2030" s="20" t="s">
        <v>191</v>
      </c>
      <c r="B2030" s="21" t="s">
        <v>374</v>
      </c>
      <c r="C2030" s="22">
        <v>30800</v>
      </c>
      <c r="D2030" s="23">
        <v>78540</v>
      </c>
      <c r="E2030" s="24">
        <v>0</v>
      </c>
    </row>
    <row r="2031" spans="1:5" x14ac:dyDescent="0.3">
      <c r="A2031" s="20" t="s">
        <v>191</v>
      </c>
      <c r="B2031" s="21" t="s">
        <v>375</v>
      </c>
      <c r="C2031" s="22">
        <v>30800</v>
      </c>
      <c r="D2031" s="23">
        <v>39270</v>
      </c>
      <c r="E2031" s="24">
        <v>0</v>
      </c>
    </row>
    <row r="2032" spans="1:5" x14ac:dyDescent="0.3">
      <c r="A2032" s="20" t="s">
        <v>191</v>
      </c>
      <c r="B2032" s="21" t="s">
        <v>376</v>
      </c>
      <c r="C2032" s="22">
        <v>30800</v>
      </c>
      <c r="D2032" s="23">
        <v>0</v>
      </c>
      <c r="E2032" s="24">
        <v>0</v>
      </c>
    </row>
    <row r="2033" spans="1:5" x14ac:dyDescent="0.3">
      <c r="A2033" s="20" t="s">
        <v>191</v>
      </c>
      <c r="B2033" s="21" t="s">
        <v>377</v>
      </c>
      <c r="C2033" s="22">
        <v>15400</v>
      </c>
      <c r="D2033" s="23">
        <v>98175</v>
      </c>
      <c r="E2033" s="24">
        <v>0</v>
      </c>
    </row>
    <row r="2034" spans="1:5" x14ac:dyDescent="0.3">
      <c r="A2034" s="16" t="s">
        <v>208</v>
      </c>
      <c r="B2034" s="16" t="s">
        <v>366</v>
      </c>
      <c r="C2034" s="17">
        <v>5500</v>
      </c>
      <c r="D2034" s="18">
        <v>12000</v>
      </c>
      <c r="E2034" s="19">
        <v>0</v>
      </c>
    </row>
    <row r="2035" spans="1:5" x14ac:dyDescent="0.3">
      <c r="A2035" s="20" t="s">
        <v>208</v>
      </c>
      <c r="B2035" s="21" t="s">
        <v>367</v>
      </c>
      <c r="C2035" s="22">
        <v>5500</v>
      </c>
      <c r="D2035" s="23">
        <v>12000</v>
      </c>
      <c r="E2035" s="24">
        <v>0</v>
      </c>
    </row>
    <row r="2036" spans="1:5" x14ac:dyDescent="0.3">
      <c r="A2036" s="20" t="s">
        <v>208</v>
      </c>
      <c r="B2036" s="21" t="s">
        <v>368</v>
      </c>
      <c r="C2036" s="22">
        <v>5500</v>
      </c>
      <c r="D2036" s="23">
        <v>12000</v>
      </c>
      <c r="E2036" s="24">
        <v>0</v>
      </c>
    </row>
    <row r="2037" spans="1:5" x14ac:dyDescent="0.3">
      <c r="A2037" s="20" t="s">
        <v>208</v>
      </c>
      <c r="B2037" s="21" t="s">
        <v>369</v>
      </c>
      <c r="C2037" s="22">
        <v>5500</v>
      </c>
      <c r="D2037" s="23">
        <v>0</v>
      </c>
      <c r="E2037" s="24">
        <v>0</v>
      </c>
    </row>
    <row r="2038" spans="1:5" x14ac:dyDescent="0.3">
      <c r="A2038" s="20" t="s">
        <v>208</v>
      </c>
      <c r="B2038" s="21" t="s">
        <v>370</v>
      </c>
      <c r="C2038" s="22">
        <v>5500</v>
      </c>
      <c r="D2038" s="23">
        <v>12000</v>
      </c>
      <c r="E2038" s="24">
        <v>0</v>
      </c>
    </row>
    <row r="2039" spans="1:5" x14ac:dyDescent="0.3">
      <c r="A2039" s="20" t="s">
        <v>208</v>
      </c>
      <c r="B2039" s="21" t="s">
        <v>371</v>
      </c>
      <c r="C2039" s="22">
        <v>5500</v>
      </c>
      <c r="D2039" s="23">
        <v>12000</v>
      </c>
      <c r="E2039" s="24">
        <v>0</v>
      </c>
    </row>
    <row r="2040" spans="1:5" x14ac:dyDescent="0.3">
      <c r="A2040" s="20" t="s">
        <v>208</v>
      </c>
      <c r="B2040" s="21" t="s">
        <v>372</v>
      </c>
      <c r="C2040" s="22">
        <v>5500</v>
      </c>
      <c r="D2040" s="23">
        <v>12000</v>
      </c>
      <c r="E2040" s="24">
        <v>0</v>
      </c>
    </row>
    <row r="2041" spans="1:5" x14ac:dyDescent="0.3">
      <c r="A2041" s="20" t="s">
        <v>208</v>
      </c>
      <c r="B2041" s="21" t="s">
        <v>373</v>
      </c>
      <c r="C2041" s="22">
        <v>2200</v>
      </c>
      <c r="D2041" s="23">
        <v>0</v>
      </c>
      <c r="E2041" s="24">
        <v>0</v>
      </c>
    </row>
    <row r="2042" spans="1:5" x14ac:dyDescent="0.3">
      <c r="A2042" s="20" t="s">
        <v>208</v>
      </c>
      <c r="B2042" s="21" t="s">
        <v>374</v>
      </c>
      <c r="C2042" s="22">
        <v>5500</v>
      </c>
      <c r="D2042" s="23">
        <v>24000</v>
      </c>
      <c r="E2042" s="24">
        <v>0</v>
      </c>
    </row>
    <row r="2043" spans="1:5" x14ac:dyDescent="0.3">
      <c r="A2043" s="20" t="s">
        <v>208</v>
      </c>
      <c r="B2043" s="21" t="s">
        <v>375</v>
      </c>
      <c r="C2043" s="22">
        <v>5500</v>
      </c>
      <c r="D2043" s="23">
        <v>12000</v>
      </c>
      <c r="E2043" s="24">
        <v>0</v>
      </c>
    </row>
    <row r="2044" spans="1:5" x14ac:dyDescent="0.3">
      <c r="A2044" s="20" t="s">
        <v>208</v>
      </c>
      <c r="B2044" s="21" t="s">
        <v>376</v>
      </c>
      <c r="C2044" s="22">
        <v>5500</v>
      </c>
      <c r="D2044" s="23">
        <v>0</v>
      </c>
      <c r="E2044" s="24">
        <v>0</v>
      </c>
    </row>
    <row r="2045" spans="1:5" x14ac:dyDescent="0.3">
      <c r="A2045" s="20" t="s">
        <v>208</v>
      </c>
      <c r="B2045" s="21" t="s">
        <v>377</v>
      </c>
      <c r="C2045" s="22">
        <v>2200</v>
      </c>
      <c r="D2045" s="23">
        <v>36000</v>
      </c>
      <c r="E2045" s="24">
        <v>0</v>
      </c>
    </row>
    <row r="2046" spans="1:5" x14ac:dyDescent="0.3">
      <c r="A2046" s="16" t="s">
        <v>233</v>
      </c>
      <c r="B2046" s="16" t="s">
        <v>366</v>
      </c>
      <c r="C2046" s="17">
        <v>24200</v>
      </c>
      <c r="D2046" s="18">
        <v>20800</v>
      </c>
      <c r="E2046" s="19">
        <v>0</v>
      </c>
    </row>
    <row r="2047" spans="1:5" x14ac:dyDescent="0.3">
      <c r="A2047" s="20" t="s">
        <v>233</v>
      </c>
      <c r="B2047" s="21" t="s">
        <v>367</v>
      </c>
      <c r="C2047" s="22">
        <v>24200</v>
      </c>
      <c r="D2047" s="23">
        <v>0</v>
      </c>
      <c r="E2047" s="24">
        <v>0</v>
      </c>
    </row>
    <row r="2048" spans="1:5" x14ac:dyDescent="0.3">
      <c r="A2048" s="20" t="s">
        <v>233</v>
      </c>
      <c r="B2048" s="21" t="s">
        <v>368</v>
      </c>
      <c r="C2048" s="22">
        <v>24200</v>
      </c>
      <c r="D2048" s="23">
        <v>20800</v>
      </c>
      <c r="E2048" s="24">
        <v>0</v>
      </c>
    </row>
    <row r="2049" spans="1:5" x14ac:dyDescent="0.3">
      <c r="A2049" s="20" t="s">
        <v>233</v>
      </c>
      <c r="B2049" s="21" t="s">
        <v>369</v>
      </c>
      <c r="C2049" s="22">
        <v>24200</v>
      </c>
      <c r="D2049" s="23">
        <v>20800</v>
      </c>
      <c r="E2049" s="24">
        <v>0</v>
      </c>
    </row>
    <row r="2050" spans="1:5" x14ac:dyDescent="0.3">
      <c r="A2050" s="20" t="s">
        <v>233</v>
      </c>
      <c r="B2050" s="21" t="s">
        <v>370</v>
      </c>
      <c r="C2050" s="22">
        <v>24200</v>
      </c>
      <c r="D2050" s="23">
        <v>20800</v>
      </c>
      <c r="E2050" s="24">
        <v>0</v>
      </c>
    </row>
    <row r="2051" spans="1:5" x14ac:dyDescent="0.3">
      <c r="A2051" s="20" t="s">
        <v>233</v>
      </c>
      <c r="B2051" s="21" t="s">
        <v>371</v>
      </c>
      <c r="C2051" s="22">
        <v>24200</v>
      </c>
      <c r="D2051" s="23">
        <v>20800</v>
      </c>
      <c r="E2051" s="24">
        <v>0</v>
      </c>
    </row>
    <row r="2052" spans="1:5" x14ac:dyDescent="0.3">
      <c r="A2052" s="20" t="s">
        <v>233</v>
      </c>
      <c r="B2052" s="21" t="s">
        <v>372</v>
      </c>
      <c r="C2052" s="22">
        <v>24200</v>
      </c>
      <c r="D2052" s="23">
        <v>0</v>
      </c>
      <c r="E2052" s="24">
        <v>0</v>
      </c>
    </row>
    <row r="2053" spans="1:5" x14ac:dyDescent="0.3">
      <c r="A2053" s="20" t="s">
        <v>233</v>
      </c>
      <c r="B2053" s="21" t="s">
        <v>373</v>
      </c>
      <c r="C2053" s="22">
        <v>12100</v>
      </c>
      <c r="D2053" s="23">
        <v>0</v>
      </c>
      <c r="E2053" s="24">
        <v>0</v>
      </c>
    </row>
    <row r="2054" spans="1:5" x14ac:dyDescent="0.3">
      <c r="A2054" s="20" t="s">
        <v>233</v>
      </c>
      <c r="B2054" s="21" t="s">
        <v>374</v>
      </c>
      <c r="C2054" s="22">
        <v>24200</v>
      </c>
      <c r="D2054" s="23">
        <v>20800</v>
      </c>
      <c r="E2054" s="24">
        <v>0</v>
      </c>
    </row>
    <row r="2055" spans="1:5" x14ac:dyDescent="0.3">
      <c r="A2055" s="20" t="s">
        <v>233</v>
      </c>
      <c r="B2055" s="21" t="s">
        <v>375</v>
      </c>
      <c r="C2055" s="22">
        <v>24200</v>
      </c>
      <c r="D2055" s="23">
        <v>20800</v>
      </c>
      <c r="E2055" s="24">
        <v>0</v>
      </c>
    </row>
    <row r="2056" spans="1:5" x14ac:dyDescent="0.3">
      <c r="A2056" s="20" t="s">
        <v>233</v>
      </c>
      <c r="B2056" s="21" t="s">
        <v>376</v>
      </c>
      <c r="C2056" s="22">
        <v>24200</v>
      </c>
      <c r="D2056" s="23">
        <v>0</v>
      </c>
      <c r="E2056" s="24">
        <v>0</v>
      </c>
    </row>
    <row r="2057" spans="1:5" x14ac:dyDescent="0.3">
      <c r="A2057" s="20" t="s">
        <v>233</v>
      </c>
      <c r="B2057" s="21" t="s">
        <v>377</v>
      </c>
      <c r="C2057" s="22">
        <v>12100</v>
      </c>
      <c r="D2057" s="23">
        <v>0</v>
      </c>
      <c r="E2057" s="24">
        <v>0</v>
      </c>
    </row>
    <row r="2058" spans="1:5" x14ac:dyDescent="0.3">
      <c r="A2058" s="16" t="s">
        <v>352</v>
      </c>
      <c r="B2058" s="16" t="s">
        <v>366</v>
      </c>
      <c r="C2058" s="17">
        <v>0</v>
      </c>
      <c r="D2058" s="18">
        <v>15000</v>
      </c>
      <c r="E2058" s="19">
        <v>0</v>
      </c>
    </row>
    <row r="2059" spans="1:5" x14ac:dyDescent="0.3">
      <c r="A2059" s="20" t="s">
        <v>352</v>
      </c>
      <c r="B2059" s="21" t="s">
        <v>377</v>
      </c>
      <c r="C2059" s="22">
        <v>0</v>
      </c>
      <c r="D2059" s="23">
        <v>15000</v>
      </c>
      <c r="E2059" s="24">
        <v>0</v>
      </c>
    </row>
    <row r="2060" spans="1:5" x14ac:dyDescent="0.3">
      <c r="A2060" s="16" t="s">
        <v>240</v>
      </c>
      <c r="B2060" s="16" t="s">
        <v>366</v>
      </c>
      <c r="C2060" s="17">
        <v>20900</v>
      </c>
      <c r="D2060" s="18">
        <v>40800</v>
      </c>
      <c r="E2060" s="19">
        <v>0</v>
      </c>
    </row>
    <row r="2061" spans="1:5" x14ac:dyDescent="0.3">
      <c r="A2061" s="20" t="s">
        <v>240</v>
      </c>
      <c r="B2061" s="21" t="s">
        <v>367</v>
      </c>
      <c r="C2061" s="22">
        <v>20900</v>
      </c>
      <c r="D2061" s="23">
        <v>30600</v>
      </c>
      <c r="E2061" s="24">
        <v>0</v>
      </c>
    </row>
    <row r="2062" spans="1:5" x14ac:dyDescent="0.3">
      <c r="A2062" s="20" t="s">
        <v>240</v>
      </c>
      <c r="B2062" s="21" t="s">
        <v>368</v>
      </c>
      <c r="C2062" s="22">
        <v>20900</v>
      </c>
      <c r="D2062" s="23">
        <v>20400</v>
      </c>
      <c r="E2062" s="24">
        <v>0</v>
      </c>
    </row>
    <row r="2063" spans="1:5" x14ac:dyDescent="0.3">
      <c r="A2063" s="20" t="s">
        <v>240</v>
      </c>
      <c r="B2063" s="21" t="s">
        <v>369</v>
      </c>
      <c r="C2063" s="22">
        <v>20900</v>
      </c>
      <c r="D2063" s="23">
        <v>20400</v>
      </c>
      <c r="E2063" s="24">
        <v>0</v>
      </c>
    </row>
    <row r="2064" spans="1:5" x14ac:dyDescent="0.3">
      <c r="A2064" s="20" t="s">
        <v>240</v>
      </c>
      <c r="B2064" s="21" t="s">
        <v>370</v>
      </c>
      <c r="C2064" s="22">
        <v>20900</v>
      </c>
      <c r="D2064" s="23">
        <v>20400</v>
      </c>
      <c r="E2064" s="24">
        <v>0</v>
      </c>
    </row>
    <row r="2065" spans="1:5" x14ac:dyDescent="0.3">
      <c r="A2065" s="20" t="s">
        <v>240</v>
      </c>
      <c r="B2065" s="21" t="s">
        <v>371</v>
      </c>
      <c r="C2065" s="22">
        <v>20900</v>
      </c>
      <c r="D2065" s="23">
        <v>20400</v>
      </c>
      <c r="E2065" s="24">
        <v>0</v>
      </c>
    </row>
    <row r="2066" spans="1:5" x14ac:dyDescent="0.3">
      <c r="A2066" s="20" t="s">
        <v>240</v>
      </c>
      <c r="B2066" s="21" t="s">
        <v>372</v>
      </c>
      <c r="C2066" s="22">
        <v>20900</v>
      </c>
      <c r="D2066" s="23">
        <v>30600</v>
      </c>
      <c r="E2066" s="24">
        <v>0</v>
      </c>
    </row>
    <row r="2067" spans="1:5" x14ac:dyDescent="0.3">
      <c r="A2067" s="20" t="s">
        <v>240</v>
      </c>
      <c r="B2067" s="21" t="s">
        <v>373</v>
      </c>
      <c r="C2067" s="22">
        <v>11000</v>
      </c>
      <c r="D2067" s="23">
        <v>0</v>
      </c>
      <c r="E2067" s="24">
        <v>0</v>
      </c>
    </row>
    <row r="2068" spans="1:5" x14ac:dyDescent="0.3">
      <c r="A2068" s="20" t="s">
        <v>240</v>
      </c>
      <c r="B2068" s="21" t="s">
        <v>374</v>
      </c>
      <c r="C2068" s="22">
        <v>20900</v>
      </c>
      <c r="D2068" s="23">
        <v>30600</v>
      </c>
      <c r="E2068" s="24">
        <v>0</v>
      </c>
    </row>
    <row r="2069" spans="1:5" x14ac:dyDescent="0.3">
      <c r="A2069" s="20" t="s">
        <v>240</v>
      </c>
      <c r="B2069" s="21" t="s">
        <v>375</v>
      </c>
      <c r="C2069" s="22">
        <v>20900</v>
      </c>
      <c r="D2069" s="23">
        <v>10200</v>
      </c>
      <c r="E2069" s="24">
        <v>0</v>
      </c>
    </row>
    <row r="2070" spans="1:5" x14ac:dyDescent="0.3">
      <c r="A2070" s="20" t="s">
        <v>240</v>
      </c>
      <c r="B2070" s="21" t="s">
        <v>376</v>
      </c>
      <c r="C2070" s="22">
        <v>20900</v>
      </c>
      <c r="D2070" s="23">
        <v>0</v>
      </c>
      <c r="E2070" s="24">
        <v>0</v>
      </c>
    </row>
    <row r="2071" spans="1:5" x14ac:dyDescent="0.3">
      <c r="A2071" s="20" t="s">
        <v>240</v>
      </c>
      <c r="B2071" s="21" t="s">
        <v>377</v>
      </c>
      <c r="C2071" s="22">
        <v>11000</v>
      </c>
      <c r="D2071" s="23">
        <v>40800</v>
      </c>
      <c r="E2071" s="24">
        <v>0</v>
      </c>
    </row>
    <row r="2072" spans="1:5" x14ac:dyDescent="0.3">
      <c r="A2072" s="16" t="s">
        <v>255</v>
      </c>
      <c r="B2072" s="16" t="s">
        <v>366</v>
      </c>
      <c r="C2072" s="17">
        <v>0</v>
      </c>
      <c r="D2072" s="18">
        <v>20000</v>
      </c>
      <c r="E2072" s="19">
        <v>0</v>
      </c>
    </row>
    <row r="2073" spans="1:5" x14ac:dyDescent="0.3">
      <c r="A2073" s="20" t="s">
        <v>255</v>
      </c>
      <c r="B2073" s="21" t="s">
        <v>367</v>
      </c>
      <c r="C2073" s="22">
        <v>0</v>
      </c>
      <c r="D2073" s="23">
        <v>20000</v>
      </c>
      <c r="E2073" s="24">
        <v>0</v>
      </c>
    </row>
    <row r="2074" spans="1:5" x14ac:dyDescent="0.3">
      <c r="A2074" s="20" t="s">
        <v>255</v>
      </c>
      <c r="B2074" s="21" t="s">
        <v>368</v>
      </c>
      <c r="C2074" s="22">
        <v>0</v>
      </c>
      <c r="D2074" s="23">
        <v>40000</v>
      </c>
      <c r="E2074" s="24">
        <v>0</v>
      </c>
    </row>
    <row r="2075" spans="1:5" x14ac:dyDescent="0.3">
      <c r="A2075" s="20" t="s">
        <v>255</v>
      </c>
      <c r="B2075" s="21" t="s">
        <v>369</v>
      </c>
      <c r="C2075" s="22">
        <v>0</v>
      </c>
      <c r="D2075" s="23">
        <v>20000</v>
      </c>
      <c r="E2075" s="24">
        <v>0</v>
      </c>
    </row>
    <row r="2076" spans="1:5" x14ac:dyDescent="0.3">
      <c r="A2076" s="20" t="s">
        <v>255</v>
      </c>
      <c r="B2076" s="21" t="s">
        <v>370</v>
      </c>
      <c r="C2076" s="22">
        <v>0</v>
      </c>
      <c r="D2076" s="23">
        <v>20000</v>
      </c>
      <c r="E2076" s="24">
        <v>0</v>
      </c>
    </row>
    <row r="2077" spans="1:5" x14ac:dyDescent="0.3">
      <c r="A2077" s="20" t="s">
        <v>255</v>
      </c>
      <c r="B2077" s="21" t="s">
        <v>371</v>
      </c>
      <c r="C2077" s="22">
        <v>0</v>
      </c>
      <c r="D2077" s="23">
        <v>40000</v>
      </c>
      <c r="E2077" s="24">
        <v>0</v>
      </c>
    </row>
    <row r="2078" spans="1:5" x14ac:dyDescent="0.3">
      <c r="A2078" s="20" t="s">
        <v>255</v>
      </c>
      <c r="B2078" s="21" t="s">
        <v>372</v>
      </c>
      <c r="C2078" s="22">
        <v>0</v>
      </c>
      <c r="D2078" s="23">
        <v>40000</v>
      </c>
      <c r="E2078" s="24">
        <v>0</v>
      </c>
    </row>
    <row r="2079" spans="1:5" x14ac:dyDescent="0.3">
      <c r="A2079" s="20" t="s">
        <v>255</v>
      </c>
      <c r="B2079" s="21" t="s">
        <v>374</v>
      </c>
      <c r="C2079" s="22">
        <v>0</v>
      </c>
      <c r="D2079" s="23">
        <v>40000</v>
      </c>
      <c r="E2079" s="24">
        <v>0</v>
      </c>
    </row>
    <row r="2080" spans="1:5" x14ac:dyDescent="0.3">
      <c r="A2080" s="20" t="s">
        <v>255</v>
      </c>
      <c r="B2080" s="21" t="s">
        <v>375</v>
      </c>
      <c r="C2080" s="22">
        <v>0</v>
      </c>
      <c r="D2080" s="23">
        <v>40000</v>
      </c>
      <c r="E2080" s="24">
        <v>0</v>
      </c>
    </row>
    <row r="2081" spans="1:5" x14ac:dyDescent="0.3">
      <c r="A2081" s="20" t="s">
        <v>255</v>
      </c>
      <c r="B2081" s="21" t="s">
        <v>377</v>
      </c>
      <c r="C2081" s="22">
        <v>0</v>
      </c>
      <c r="D2081" s="23">
        <v>60000</v>
      </c>
      <c r="E2081" s="24">
        <v>0</v>
      </c>
    </row>
    <row r="2082" spans="1:5" x14ac:dyDescent="0.3">
      <c r="A2082" s="16" t="s">
        <v>265</v>
      </c>
      <c r="B2082" s="16" t="s">
        <v>366</v>
      </c>
      <c r="C2082" s="17">
        <v>8800</v>
      </c>
      <c r="D2082" s="18">
        <v>13000</v>
      </c>
      <c r="E2082" s="19">
        <v>0</v>
      </c>
    </row>
    <row r="2083" spans="1:5" x14ac:dyDescent="0.3">
      <c r="A2083" s="20" t="s">
        <v>265</v>
      </c>
      <c r="B2083" s="21" t="s">
        <v>367</v>
      </c>
      <c r="C2083" s="22">
        <v>8800</v>
      </c>
      <c r="D2083" s="23">
        <v>19500</v>
      </c>
      <c r="E2083" s="24">
        <v>0</v>
      </c>
    </row>
    <row r="2084" spans="1:5" x14ac:dyDescent="0.3">
      <c r="A2084" s="20" t="s">
        <v>265</v>
      </c>
      <c r="B2084" s="21" t="s">
        <v>368</v>
      </c>
      <c r="C2084" s="22">
        <v>8800</v>
      </c>
      <c r="D2084" s="23">
        <v>13000</v>
      </c>
      <c r="E2084" s="24">
        <v>0</v>
      </c>
    </row>
    <row r="2085" spans="1:5" x14ac:dyDescent="0.3">
      <c r="A2085" s="20" t="s">
        <v>265</v>
      </c>
      <c r="B2085" s="21" t="s">
        <v>369</v>
      </c>
      <c r="C2085" s="22">
        <v>8800</v>
      </c>
      <c r="D2085" s="23">
        <v>13000</v>
      </c>
      <c r="E2085" s="24">
        <v>0</v>
      </c>
    </row>
    <row r="2086" spans="1:5" x14ac:dyDescent="0.3">
      <c r="A2086" s="20" t="s">
        <v>265</v>
      </c>
      <c r="B2086" s="21" t="s">
        <v>370</v>
      </c>
      <c r="C2086" s="22">
        <v>8800</v>
      </c>
      <c r="D2086" s="23">
        <v>13000</v>
      </c>
      <c r="E2086" s="24">
        <v>0</v>
      </c>
    </row>
    <row r="2087" spans="1:5" x14ac:dyDescent="0.3">
      <c r="A2087" s="20" t="s">
        <v>265</v>
      </c>
      <c r="B2087" s="21" t="s">
        <v>371</v>
      </c>
      <c r="C2087" s="22">
        <v>8800</v>
      </c>
      <c r="D2087" s="23">
        <v>13000</v>
      </c>
      <c r="E2087" s="24">
        <v>0</v>
      </c>
    </row>
    <row r="2088" spans="1:5" x14ac:dyDescent="0.3">
      <c r="A2088" s="20" t="s">
        <v>265</v>
      </c>
      <c r="B2088" s="21" t="s">
        <v>372</v>
      </c>
      <c r="C2088" s="22">
        <v>8800</v>
      </c>
      <c r="D2088" s="23">
        <v>26000</v>
      </c>
      <c r="E2088" s="24">
        <v>0</v>
      </c>
    </row>
    <row r="2089" spans="1:5" x14ac:dyDescent="0.3">
      <c r="A2089" s="20" t="s">
        <v>265</v>
      </c>
      <c r="B2089" s="21" t="s">
        <v>373</v>
      </c>
      <c r="C2089" s="22">
        <v>4400</v>
      </c>
      <c r="D2089" s="23">
        <v>0</v>
      </c>
      <c r="E2089" s="24">
        <v>0</v>
      </c>
    </row>
    <row r="2090" spans="1:5" x14ac:dyDescent="0.3">
      <c r="A2090" s="20" t="s">
        <v>265</v>
      </c>
      <c r="B2090" s="21" t="s">
        <v>374</v>
      </c>
      <c r="C2090" s="22">
        <v>8800</v>
      </c>
      <c r="D2090" s="23">
        <v>26000</v>
      </c>
      <c r="E2090" s="24">
        <v>0</v>
      </c>
    </row>
    <row r="2091" spans="1:5" x14ac:dyDescent="0.3">
      <c r="A2091" s="20" t="s">
        <v>265</v>
      </c>
      <c r="B2091" s="21" t="s">
        <v>375</v>
      </c>
      <c r="C2091" s="22">
        <v>8800</v>
      </c>
      <c r="D2091" s="23">
        <v>13000</v>
      </c>
      <c r="E2091" s="24">
        <v>0</v>
      </c>
    </row>
    <row r="2092" spans="1:5" x14ac:dyDescent="0.3">
      <c r="A2092" s="20" t="s">
        <v>265</v>
      </c>
      <c r="B2092" s="21" t="s">
        <v>376</v>
      </c>
      <c r="C2092" s="22">
        <v>8800</v>
      </c>
      <c r="D2092" s="23">
        <v>0</v>
      </c>
      <c r="E2092" s="24">
        <v>0</v>
      </c>
    </row>
    <row r="2093" spans="1:5" x14ac:dyDescent="0.3">
      <c r="A2093" s="20" t="s">
        <v>265</v>
      </c>
      <c r="B2093" s="21" t="s">
        <v>377</v>
      </c>
      <c r="C2093" s="22">
        <v>4400</v>
      </c>
      <c r="D2093" s="23">
        <v>45500</v>
      </c>
      <c r="E2093" s="24">
        <v>0</v>
      </c>
    </row>
    <row r="2094" spans="1:5" x14ac:dyDescent="0.3">
      <c r="A2094" s="16" t="s">
        <v>269</v>
      </c>
      <c r="B2094" s="16" t="s">
        <v>367</v>
      </c>
      <c r="C2094" s="17">
        <v>0</v>
      </c>
      <c r="D2094" s="18">
        <v>13200</v>
      </c>
      <c r="E2094" s="19">
        <v>0</v>
      </c>
    </row>
    <row r="2095" spans="1:5" x14ac:dyDescent="0.3">
      <c r="A2095" s="20" t="s">
        <v>269</v>
      </c>
      <c r="B2095" s="21" t="s">
        <v>372</v>
      </c>
      <c r="C2095" s="22">
        <v>0</v>
      </c>
      <c r="D2095" s="23">
        <v>13200</v>
      </c>
      <c r="E2095" s="24">
        <v>0</v>
      </c>
    </row>
    <row r="2096" spans="1:5" x14ac:dyDescent="0.3">
      <c r="A2096" s="20" t="s">
        <v>269</v>
      </c>
      <c r="B2096" s="21" t="s">
        <v>377</v>
      </c>
      <c r="C2096" s="22">
        <v>0</v>
      </c>
      <c r="D2096" s="23">
        <v>13200</v>
      </c>
      <c r="E2096" s="24">
        <v>0</v>
      </c>
    </row>
    <row r="2097" spans="1:5" x14ac:dyDescent="0.3">
      <c r="A2097" s="16" t="s">
        <v>281</v>
      </c>
      <c r="B2097" s="16" t="s">
        <v>366</v>
      </c>
      <c r="C2097" s="17">
        <v>4400</v>
      </c>
      <c r="D2097" s="18">
        <v>15600</v>
      </c>
      <c r="E2097" s="19">
        <v>0</v>
      </c>
    </row>
    <row r="2098" spans="1:5" x14ac:dyDescent="0.3">
      <c r="A2098" s="20" t="s">
        <v>281</v>
      </c>
      <c r="B2098" s="21" t="s">
        <v>367</v>
      </c>
      <c r="C2098" s="22">
        <v>4400</v>
      </c>
      <c r="D2098" s="23">
        <v>7800</v>
      </c>
      <c r="E2098" s="24">
        <v>0</v>
      </c>
    </row>
    <row r="2099" spans="1:5" x14ac:dyDescent="0.3">
      <c r="A2099" s="20" t="s">
        <v>281</v>
      </c>
      <c r="B2099" s="21" t="s">
        <v>368</v>
      </c>
      <c r="C2099" s="22">
        <v>4400</v>
      </c>
      <c r="D2099" s="23">
        <v>7800</v>
      </c>
      <c r="E2099" s="24">
        <v>0</v>
      </c>
    </row>
    <row r="2100" spans="1:5" x14ac:dyDescent="0.3">
      <c r="A2100" s="20" t="s">
        <v>281</v>
      </c>
      <c r="B2100" s="21" t="s">
        <v>369</v>
      </c>
      <c r="C2100" s="22">
        <v>4400</v>
      </c>
      <c r="D2100" s="23">
        <v>0</v>
      </c>
      <c r="E2100" s="24">
        <v>0</v>
      </c>
    </row>
    <row r="2101" spans="1:5" x14ac:dyDescent="0.3">
      <c r="A2101" s="20" t="s">
        <v>281</v>
      </c>
      <c r="B2101" s="21" t="s">
        <v>370</v>
      </c>
      <c r="C2101" s="22">
        <v>4400</v>
      </c>
      <c r="D2101" s="23">
        <v>7800</v>
      </c>
      <c r="E2101" s="24">
        <v>0</v>
      </c>
    </row>
    <row r="2102" spans="1:5" x14ac:dyDescent="0.3">
      <c r="A2102" s="20" t="s">
        <v>281</v>
      </c>
      <c r="B2102" s="21" t="s">
        <v>371</v>
      </c>
      <c r="C2102" s="22">
        <v>4400</v>
      </c>
      <c r="D2102" s="23">
        <v>7800</v>
      </c>
      <c r="E2102" s="24">
        <v>0</v>
      </c>
    </row>
    <row r="2103" spans="1:5" x14ac:dyDescent="0.3">
      <c r="A2103" s="20" t="s">
        <v>281</v>
      </c>
      <c r="B2103" s="21" t="s">
        <v>372</v>
      </c>
      <c r="C2103" s="22">
        <v>4400</v>
      </c>
      <c r="D2103" s="23">
        <v>7800</v>
      </c>
      <c r="E2103" s="24">
        <v>0</v>
      </c>
    </row>
    <row r="2104" spans="1:5" x14ac:dyDescent="0.3">
      <c r="A2104" s="20" t="s">
        <v>281</v>
      </c>
      <c r="B2104" s="21" t="s">
        <v>373</v>
      </c>
      <c r="C2104" s="22">
        <v>2200</v>
      </c>
      <c r="D2104" s="23">
        <v>0</v>
      </c>
      <c r="E2104" s="24">
        <v>0</v>
      </c>
    </row>
    <row r="2105" spans="1:5" x14ac:dyDescent="0.3">
      <c r="A2105" s="20" t="s">
        <v>281</v>
      </c>
      <c r="B2105" s="21" t="s">
        <v>374</v>
      </c>
      <c r="C2105" s="22">
        <v>4400</v>
      </c>
      <c r="D2105" s="23">
        <v>15600</v>
      </c>
      <c r="E2105" s="24">
        <v>0</v>
      </c>
    </row>
    <row r="2106" spans="1:5" x14ac:dyDescent="0.3">
      <c r="A2106" s="20" t="s">
        <v>281</v>
      </c>
      <c r="B2106" s="21" t="s">
        <v>375</v>
      </c>
      <c r="C2106" s="22">
        <v>4400</v>
      </c>
      <c r="D2106" s="23">
        <v>7800</v>
      </c>
      <c r="E2106" s="24">
        <v>0</v>
      </c>
    </row>
    <row r="2107" spans="1:5" x14ac:dyDescent="0.3">
      <c r="A2107" s="20" t="s">
        <v>281</v>
      </c>
      <c r="B2107" s="21" t="s">
        <v>376</v>
      </c>
      <c r="C2107" s="22">
        <v>4400</v>
      </c>
      <c r="D2107" s="23">
        <v>0</v>
      </c>
      <c r="E2107" s="24">
        <v>0</v>
      </c>
    </row>
    <row r="2108" spans="1:5" x14ac:dyDescent="0.3">
      <c r="A2108" s="20" t="s">
        <v>281</v>
      </c>
      <c r="B2108" s="21" t="s">
        <v>377</v>
      </c>
      <c r="C2108" s="22">
        <v>2200</v>
      </c>
      <c r="D2108" s="23">
        <v>15600</v>
      </c>
      <c r="E2108" s="24">
        <v>0</v>
      </c>
    </row>
    <row r="2109" spans="1:5" x14ac:dyDescent="0.3">
      <c r="A2109" s="16" t="s">
        <v>282</v>
      </c>
      <c r="B2109" s="16" t="s">
        <v>366</v>
      </c>
      <c r="C2109" s="17">
        <v>24200</v>
      </c>
      <c r="D2109" s="18">
        <v>28800</v>
      </c>
      <c r="E2109" s="19">
        <v>0</v>
      </c>
    </row>
    <row r="2110" spans="1:5" x14ac:dyDescent="0.3">
      <c r="A2110" s="20" t="s">
        <v>282</v>
      </c>
      <c r="B2110" s="21" t="s">
        <v>367</v>
      </c>
      <c r="C2110" s="22">
        <v>24200</v>
      </c>
      <c r="D2110" s="23">
        <v>28800</v>
      </c>
      <c r="E2110" s="24">
        <v>0</v>
      </c>
    </row>
    <row r="2111" spans="1:5" x14ac:dyDescent="0.3">
      <c r="A2111" s="20" t="s">
        <v>282</v>
      </c>
      <c r="B2111" s="21" t="s">
        <v>368</v>
      </c>
      <c r="C2111" s="22">
        <v>24200</v>
      </c>
      <c r="D2111" s="23">
        <v>28800</v>
      </c>
      <c r="E2111" s="24">
        <v>0</v>
      </c>
    </row>
    <row r="2112" spans="1:5" x14ac:dyDescent="0.3">
      <c r="A2112" s="20" t="s">
        <v>282</v>
      </c>
      <c r="B2112" s="21" t="s">
        <v>369</v>
      </c>
      <c r="C2112" s="22">
        <v>24200</v>
      </c>
      <c r="D2112" s="23">
        <v>28800</v>
      </c>
      <c r="E2112" s="24">
        <v>0</v>
      </c>
    </row>
    <row r="2113" spans="1:5" x14ac:dyDescent="0.3">
      <c r="A2113" s="20" t="s">
        <v>282</v>
      </c>
      <c r="B2113" s="21" t="s">
        <v>370</v>
      </c>
      <c r="C2113" s="22">
        <v>24200</v>
      </c>
      <c r="D2113" s="23">
        <v>0</v>
      </c>
      <c r="E2113" s="24">
        <v>0</v>
      </c>
    </row>
    <row r="2114" spans="1:5" x14ac:dyDescent="0.3">
      <c r="A2114" s="20" t="s">
        <v>282</v>
      </c>
      <c r="B2114" s="21" t="s">
        <v>371</v>
      </c>
      <c r="C2114" s="22">
        <v>24200</v>
      </c>
      <c r="D2114" s="23">
        <v>28800</v>
      </c>
      <c r="E2114" s="24">
        <v>0</v>
      </c>
    </row>
    <row r="2115" spans="1:5" x14ac:dyDescent="0.3">
      <c r="A2115" s="20" t="s">
        <v>282</v>
      </c>
      <c r="B2115" s="21" t="s">
        <v>372</v>
      </c>
      <c r="C2115" s="22">
        <v>24200</v>
      </c>
      <c r="D2115" s="23">
        <v>28800</v>
      </c>
      <c r="E2115" s="24">
        <v>0</v>
      </c>
    </row>
    <row r="2116" spans="1:5" x14ac:dyDescent="0.3">
      <c r="A2116" s="20" t="s">
        <v>282</v>
      </c>
      <c r="B2116" s="21" t="s">
        <v>373</v>
      </c>
      <c r="C2116" s="22">
        <v>12100</v>
      </c>
      <c r="D2116" s="23">
        <v>0</v>
      </c>
      <c r="E2116" s="24">
        <v>0</v>
      </c>
    </row>
    <row r="2117" spans="1:5" x14ac:dyDescent="0.3">
      <c r="A2117" s="20" t="s">
        <v>282</v>
      </c>
      <c r="B2117" s="21" t="s">
        <v>374</v>
      </c>
      <c r="C2117" s="22">
        <v>24200</v>
      </c>
      <c r="D2117" s="23">
        <v>28800</v>
      </c>
      <c r="E2117" s="24">
        <v>0</v>
      </c>
    </row>
    <row r="2118" spans="1:5" x14ac:dyDescent="0.3">
      <c r="A2118" s="20" t="s">
        <v>282</v>
      </c>
      <c r="B2118" s="21" t="s">
        <v>375</v>
      </c>
      <c r="C2118" s="22">
        <v>24200</v>
      </c>
      <c r="D2118" s="23">
        <v>28800</v>
      </c>
      <c r="E2118" s="24">
        <v>0</v>
      </c>
    </row>
    <row r="2119" spans="1:5" x14ac:dyDescent="0.3">
      <c r="A2119" s="20" t="s">
        <v>282</v>
      </c>
      <c r="B2119" s="21" t="s">
        <v>376</v>
      </c>
      <c r="C2119" s="22">
        <v>24200</v>
      </c>
      <c r="D2119" s="23">
        <v>0</v>
      </c>
      <c r="E2119" s="24">
        <v>0</v>
      </c>
    </row>
    <row r="2120" spans="1:5" x14ac:dyDescent="0.3">
      <c r="A2120" s="20" t="s">
        <v>282</v>
      </c>
      <c r="B2120" s="21" t="s">
        <v>377</v>
      </c>
      <c r="C2120" s="22">
        <v>12100</v>
      </c>
      <c r="D2120" s="23">
        <v>28800</v>
      </c>
      <c r="E2120" s="24">
        <v>0</v>
      </c>
    </row>
    <row r="2121" spans="1:5" x14ac:dyDescent="0.3">
      <c r="A2121" s="16" t="s">
        <v>357</v>
      </c>
      <c r="B2121" s="16" t="s">
        <v>366</v>
      </c>
      <c r="C2121" s="17">
        <v>4400</v>
      </c>
      <c r="D2121" s="18">
        <v>20000</v>
      </c>
      <c r="E2121" s="19">
        <v>0</v>
      </c>
    </row>
    <row r="2122" spans="1:5" x14ac:dyDescent="0.3">
      <c r="A2122" s="20" t="s">
        <v>357</v>
      </c>
      <c r="B2122" s="21" t="s">
        <v>367</v>
      </c>
      <c r="C2122" s="22">
        <v>4400</v>
      </c>
      <c r="D2122" s="23">
        <v>0</v>
      </c>
      <c r="E2122" s="24">
        <v>0</v>
      </c>
    </row>
    <row r="2123" spans="1:5" x14ac:dyDescent="0.3">
      <c r="A2123" s="20" t="s">
        <v>357</v>
      </c>
      <c r="B2123" s="21" t="s">
        <v>368</v>
      </c>
      <c r="C2123" s="22">
        <v>4400</v>
      </c>
      <c r="D2123" s="23">
        <v>0</v>
      </c>
      <c r="E2123" s="24">
        <v>0</v>
      </c>
    </row>
    <row r="2124" spans="1:5" x14ac:dyDescent="0.3">
      <c r="A2124" s="20" t="s">
        <v>357</v>
      </c>
      <c r="B2124" s="21" t="s">
        <v>369</v>
      </c>
      <c r="C2124" s="22">
        <v>4400</v>
      </c>
      <c r="D2124" s="23">
        <v>0</v>
      </c>
      <c r="E2124" s="24">
        <v>0</v>
      </c>
    </row>
    <row r="2125" spans="1:5" x14ac:dyDescent="0.3">
      <c r="A2125" s="20" t="s">
        <v>357</v>
      </c>
      <c r="B2125" s="21" t="s">
        <v>370</v>
      </c>
      <c r="C2125" s="22">
        <v>4400</v>
      </c>
      <c r="D2125" s="23">
        <v>0</v>
      </c>
      <c r="E2125" s="24">
        <v>0</v>
      </c>
    </row>
    <row r="2126" spans="1:5" x14ac:dyDescent="0.3">
      <c r="A2126" s="20" t="s">
        <v>357</v>
      </c>
      <c r="B2126" s="21" t="s">
        <v>371</v>
      </c>
      <c r="C2126" s="22">
        <v>4400</v>
      </c>
      <c r="D2126" s="23">
        <v>0</v>
      </c>
      <c r="E2126" s="24">
        <v>0</v>
      </c>
    </row>
    <row r="2127" spans="1:5" x14ac:dyDescent="0.3">
      <c r="A2127" s="20" t="s">
        <v>357</v>
      </c>
      <c r="B2127" s="21" t="s">
        <v>372</v>
      </c>
      <c r="C2127" s="22">
        <v>4400</v>
      </c>
      <c r="D2127" s="23">
        <v>20000</v>
      </c>
      <c r="E2127" s="24">
        <v>0</v>
      </c>
    </row>
    <row r="2128" spans="1:5" x14ac:dyDescent="0.3">
      <c r="A2128" s="20" t="s">
        <v>357</v>
      </c>
      <c r="B2128" s="21" t="s">
        <v>373</v>
      </c>
      <c r="C2128" s="22">
        <v>2200</v>
      </c>
      <c r="D2128" s="23">
        <v>0</v>
      </c>
      <c r="E2128" s="24">
        <v>0</v>
      </c>
    </row>
    <row r="2129" spans="1:5" x14ac:dyDescent="0.3">
      <c r="A2129" s="20" t="s">
        <v>357</v>
      </c>
      <c r="B2129" s="21" t="s">
        <v>374</v>
      </c>
      <c r="C2129" s="22">
        <v>4400</v>
      </c>
      <c r="D2129" s="23">
        <v>0</v>
      </c>
      <c r="E2129" s="24">
        <v>0</v>
      </c>
    </row>
    <row r="2130" spans="1:5" x14ac:dyDescent="0.3">
      <c r="A2130" s="20" t="s">
        <v>357</v>
      </c>
      <c r="B2130" s="21" t="s">
        <v>375</v>
      </c>
      <c r="C2130" s="22">
        <v>4400</v>
      </c>
      <c r="D2130" s="23">
        <v>0</v>
      </c>
      <c r="E2130" s="24">
        <v>0</v>
      </c>
    </row>
    <row r="2131" spans="1:5" x14ac:dyDescent="0.3">
      <c r="A2131" s="20" t="s">
        <v>357</v>
      </c>
      <c r="B2131" s="21" t="s">
        <v>376</v>
      </c>
      <c r="C2131" s="22">
        <v>4400</v>
      </c>
      <c r="D2131" s="23">
        <v>0</v>
      </c>
      <c r="E2131" s="24">
        <v>0</v>
      </c>
    </row>
    <row r="2132" spans="1:5" x14ac:dyDescent="0.3">
      <c r="A2132" s="20" t="s">
        <v>357</v>
      </c>
      <c r="B2132" s="21" t="s">
        <v>377</v>
      </c>
      <c r="C2132" s="22">
        <v>2200</v>
      </c>
      <c r="D2132" s="23">
        <v>0</v>
      </c>
      <c r="E2132" s="24">
        <v>0</v>
      </c>
    </row>
    <row r="2133" spans="1:5" x14ac:dyDescent="0.3">
      <c r="A2133" s="16" t="s">
        <v>286</v>
      </c>
      <c r="B2133" s="16" t="s">
        <v>366</v>
      </c>
      <c r="C2133" s="17">
        <v>1100</v>
      </c>
      <c r="D2133" s="18">
        <v>0</v>
      </c>
      <c r="E2133" s="19">
        <v>0</v>
      </c>
    </row>
    <row r="2134" spans="1:5" x14ac:dyDescent="0.3">
      <c r="A2134" s="20" t="s">
        <v>286</v>
      </c>
      <c r="B2134" s="21" t="s">
        <v>367</v>
      </c>
      <c r="C2134" s="22">
        <v>1100</v>
      </c>
      <c r="D2134" s="23">
        <v>0</v>
      </c>
      <c r="E2134" s="24">
        <v>0</v>
      </c>
    </row>
    <row r="2135" spans="1:5" x14ac:dyDescent="0.3">
      <c r="A2135" s="20" t="s">
        <v>286</v>
      </c>
      <c r="B2135" s="21" t="s">
        <v>368</v>
      </c>
      <c r="C2135" s="22">
        <v>1100</v>
      </c>
      <c r="D2135" s="23">
        <v>0</v>
      </c>
      <c r="E2135" s="24">
        <v>0</v>
      </c>
    </row>
    <row r="2136" spans="1:5" x14ac:dyDescent="0.3">
      <c r="A2136" s="20" t="s">
        <v>286</v>
      </c>
      <c r="B2136" s="21" t="s">
        <v>369</v>
      </c>
      <c r="C2136" s="22">
        <v>1100</v>
      </c>
      <c r="D2136" s="23">
        <v>0</v>
      </c>
      <c r="E2136" s="24">
        <v>0</v>
      </c>
    </row>
    <row r="2137" spans="1:5" x14ac:dyDescent="0.3">
      <c r="A2137" s="20" t="s">
        <v>286</v>
      </c>
      <c r="B2137" s="21" t="s">
        <v>370</v>
      </c>
      <c r="C2137" s="22">
        <v>1100</v>
      </c>
      <c r="D2137" s="23">
        <v>0</v>
      </c>
      <c r="E2137" s="24">
        <v>0</v>
      </c>
    </row>
    <row r="2138" spans="1:5" x14ac:dyDescent="0.3">
      <c r="A2138" s="20" t="s">
        <v>286</v>
      </c>
      <c r="B2138" s="21" t="s">
        <v>371</v>
      </c>
      <c r="C2138" s="22">
        <v>1100</v>
      </c>
      <c r="D2138" s="23">
        <v>0</v>
      </c>
      <c r="E2138" s="24">
        <v>0</v>
      </c>
    </row>
    <row r="2139" spans="1:5" x14ac:dyDescent="0.3">
      <c r="A2139" s="20" t="s">
        <v>286</v>
      </c>
      <c r="B2139" s="21" t="s">
        <v>372</v>
      </c>
      <c r="C2139" s="22">
        <v>1100</v>
      </c>
      <c r="D2139" s="23">
        <v>0</v>
      </c>
      <c r="E2139" s="24">
        <v>0</v>
      </c>
    </row>
    <row r="2140" spans="1:5" x14ac:dyDescent="0.3">
      <c r="A2140" s="20" t="s">
        <v>286</v>
      </c>
      <c r="B2140" s="21" t="s">
        <v>373</v>
      </c>
      <c r="C2140" s="22">
        <v>1100</v>
      </c>
      <c r="D2140" s="23">
        <v>0</v>
      </c>
      <c r="E2140" s="24">
        <v>0</v>
      </c>
    </row>
    <row r="2141" spans="1:5" x14ac:dyDescent="0.3">
      <c r="A2141" s="20" t="s">
        <v>286</v>
      </c>
      <c r="B2141" s="21" t="s">
        <v>374</v>
      </c>
      <c r="C2141" s="22">
        <v>1100</v>
      </c>
      <c r="D2141" s="23">
        <v>0</v>
      </c>
      <c r="E2141" s="24">
        <v>0</v>
      </c>
    </row>
    <row r="2142" spans="1:5" x14ac:dyDescent="0.3">
      <c r="A2142" s="20" t="s">
        <v>286</v>
      </c>
      <c r="B2142" s="21" t="s">
        <v>375</v>
      </c>
      <c r="C2142" s="22">
        <v>1100</v>
      </c>
      <c r="D2142" s="23">
        <v>0</v>
      </c>
      <c r="E2142" s="24">
        <v>0</v>
      </c>
    </row>
    <row r="2143" spans="1:5" x14ac:dyDescent="0.3">
      <c r="A2143" s="20" t="s">
        <v>286</v>
      </c>
      <c r="B2143" s="21" t="s">
        <v>376</v>
      </c>
      <c r="C2143" s="22">
        <v>1100</v>
      </c>
      <c r="D2143" s="23">
        <v>0</v>
      </c>
      <c r="E2143" s="24">
        <v>0</v>
      </c>
    </row>
    <row r="2144" spans="1:5" x14ac:dyDescent="0.3">
      <c r="A2144" s="20" t="s">
        <v>286</v>
      </c>
      <c r="B2144" s="21" t="s">
        <v>377</v>
      </c>
      <c r="C2144" s="22">
        <v>1100</v>
      </c>
      <c r="D2144" s="23">
        <v>0</v>
      </c>
      <c r="E2144" s="24">
        <v>0</v>
      </c>
    </row>
    <row r="2145" spans="1:5" x14ac:dyDescent="0.3">
      <c r="A2145" s="16" t="s">
        <v>295</v>
      </c>
      <c r="B2145" s="16" t="s">
        <v>366</v>
      </c>
      <c r="C2145" s="17">
        <v>2200</v>
      </c>
      <c r="D2145" s="18">
        <v>0</v>
      </c>
      <c r="E2145" s="19">
        <v>0</v>
      </c>
    </row>
    <row r="2146" spans="1:5" x14ac:dyDescent="0.3">
      <c r="A2146" s="20" t="s">
        <v>295</v>
      </c>
      <c r="B2146" s="21" t="s">
        <v>367</v>
      </c>
      <c r="C2146" s="22">
        <v>2200</v>
      </c>
      <c r="D2146" s="23">
        <v>0</v>
      </c>
      <c r="E2146" s="24">
        <v>0</v>
      </c>
    </row>
    <row r="2147" spans="1:5" x14ac:dyDescent="0.3">
      <c r="A2147" s="20" t="s">
        <v>295</v>
      </c>
      <c r="B2147" s="21" t="s">
        <v>368</v>
      </c>
      <c r="C2147" s="22">
        <v>2200</v>
      </c>
      <c r="D2147" s="23">
        <v>0</v>
      </c>
      <c r="E2147" s="24">
        <v>0</v>
      </c>
    </row>
    <row r="2148" spans="1:5" x14ac:dyDescent="0.3">
      <c r="A2148" s="20" t="s">
        <v>295</v>
      </c>
      <c r="B2148" s="21" t="s">
        <v>369</v>
      </c>
      <c r="C2148" s="22">
        <v>2200</v>
      </c>
      <c r="D2148" s="23">
        <v>0</v>
      </c>
      <c r="E2148" s="24">
        <v>0</v>
      </c>
    </row>
    <row r="2149" spans="1:5" x14ac:dyDescent="0.3">
      <c r="A2149" s="20" t="s">
        <v>295</v>
      </c>
      <c r="B2149" s="21" t="s">
        <v>370</v>
      </c>
      <c r="C2149" s="22">
        <v>2200</v>
      </c>
      <c r="D2149" s="23">
        <v>0</v>
      </c>
      <c r="E2149" s="24">
        <v>0</v>
      </c>
    </row>
    <row r="2150" spans="1:5" x14ac:dyDescent="0.3">
      <c r="A2150" s="20" t="s">
        <v>295</v>
      </c>
      <c r="B2150" s="21" t="s">
        <v>371</v>
      </c>
      <c r="C2150" s="22">
        <v>2200</v>
      </c>
      <c r="D2150" s="23">
        <v>0</v>
      </c>
      <c r="E2150" s="24">
        <v>0</v>
      </c>
    </row>
    <row r="2151" spans="1:5" x14ac:dyDescent="0.3">
      <c r="A2151" s="20" t="s">
        <v>295</v>
      </c>
      <c r="B2151" s="21" t="s">
        <v>372</v>
      </c>
      <c r="C2151" s="22">
        <v>2200</v>
      </c>
      <c r="D2151" s="23">
        <v>0</v>
      </c>
      <c r="E2151" s="24">
        <v>0</v>
      </c>
    </row>
    <row r="2152" spans="1:5" x14ac:dyDescent="0.3">
      <c r="A2152" s="20" t="s">
        <v>295</v>
      </c>
      <c r="B2152" s="21" t="s">
        <v>373</v>
      </c>
      <c r="C2152" s="22">
        <v>1100</v>
      </c>
      <c r="D2152" s="23">
        <v>0</v>
      </c>
      <c r="E2152" s="24">
        <v>0</v>
      </c>
    </row>
    <row r="2153" spans="1:5" x14ac:dyDescent="0.3">
      <c r="A2153" s="20" t="s">
        <v>295</v>
      </c>
      <c r="B2153" s="21" t="s">
        <v>374</v>
      </c>
      <c r="C2153" s="22">
        <v>2200</v>
      </c>
      <c r="D2153" s="23">
        <v>0</v>
      </c>
      <c r="E2153" s="24">
        <v>0</v>
      </c>
    </row>
    <row r="2154" spans="1:5" x14ac:dyDescent="0.3">
      <c r="A2154" s="20" t="s">
        <v>295</v>
      </c>
      <c r="B2154" s="21" t="s">
        <v>375</v>
      </c>
      <c r="C2154" s="22">
        <v>2200</v>
      </c>
      <c r="D2154" s="23">
        <v>0</v>
      </c>
      <c r="E2154" s="24">
        <v>0</v>
      </c>
    </row>
    <row r="2155" spans="1:5" x14ac:dyDescent="0.3">
      <c r="A2155" s="20" t="s">
        <v>295</v>
      </c>
      <c r="B2155" s="21" t="s">
        <v>376</v>
      </c>
      <c r="C2155" s="22">
        <v>2200</v>
      </c>
      <c r="D2155" s="23">
        <v>0</v>
      </c>
      <c r="E2155" s="24">
        <v>0</v>
      </c>
    </row>
    <row r="2156" spans="1:5" x14ac:dyDescent="0.3">
      <c r="A2156" s="20" t="s">
        <v>295</v>
      </c>
      <c r="B2156" s="21" t="s">
        <v>377</v>
      </c>
      <c r="C2156" s="22">
        <v>1100</v>
      </c>
      <c r="D2156" s="23">
        <v>16000</v>
      </c>
      <c r="E2156" s="24">
        <v>0</v>
      </c>
    </row>
    <row r="2157" spans="1:5" x14ac:dyDescent="0.3">
      <c r="A2157" s="16" t="s">
        <v>303</v>
      </c>
      <c r="B2157" s="16" t="s">
        <v>366</v>
      </c>
      <c r="C2157" s="17">
        <v>1100</v>
      </c>
      <c r="D2157" s="18">
        <v>0</v>
      </c>
      <c r="E2157" s="19">
        <v>0</v>
      </c>
    </row>
    <row r="2158" spans="1:5" x14ac:dyDescent="0.3">
      <c r="A2158" s="20" t="s">
        <v>303</v>
      </c>
      <c r="B2158" s="21" t="s">
        <v>367</v>
      </c>
      <c r="C2158" s="22">
        <v>1100</v>
      </c>
      <c r="D2158" s="23">
        <v>0</v>
      </c>
      <c r="E2158" s="24">
        <v>0</v>
      </c>
    </row>
    <row r="2159" spans="1:5" x14ac:dyDescent="0.3">
      <c r="A2159" s="20" t="s">
        <v>303</v>
      </c>
      <c r="B2159" s="21" t="s">
        <v>368</v>
      </c>
      <c r="C2159" s="22">
        <v>1100</v>
      </c>
      <c r="D2159" s="23">
        <v>20000</v>
      </c>
      <c r="E2159" s="24">
        <v>0</v>
      </c>
    </row>
    <row r="2160" spans="1:5" x14ac:dyDescent="0.3">
      <c r="A2160" s="20" t="s">
        <v>303</v>
      </c>
      <c r="B2160" s="21" t="s">
        <v>369</v>
      </c>
      <c r="C2160" s="22">
        <v>1100</v>
      </c>
      <c r="D2160" s="23">
        <v>0</v>
      </c>
      <c r="E2160" s="24">
        <v>0</v>
      </c>
    </row>
    <row r="2161" spans="1:5" x14ac:dyDescent="0.3">
      <c r="A2161" s="20" t="s">
        <v>303</v>
      </c>
      <c r="B2161" s="21" t="s">
        <v>370</v>
      </c>
      <c r="C2161" s="22">
        <v>1100</v>
      </c>
      <c r="D2161" s="23">
        <v>0</v>
      </c>
      <c r="E2161" s="24">
        <v>0</v>
      </c>
    </row>
    <row r="2162" spans="1:5" x14ac:dyDescent="0.3">
      <c r="A2162" s="20" t="s">
        <v>303</v>
      </c>
      <c r="B2162" s="21" t="s">
        <v>371</v>
      </c>
      <c r="C2162" s="22">
        <v>1100</v>
      </c>
      <c r="D2162" s="23">
        <v>0</v>
      </c>
      <c r="E2162" s="24">
        <v>0</v>
      </c>
    </row>
    <row r="2163" spans="1:5" x14ac:dyDescent="0.3">
      <c r="A2163" s="20" t="s">
        <v>303</v>
      </c>
      <c r="B2163" s="21" t="s">
        <v>372</v>
      </c>
      <c r="C2163" s="22">
        <v>1100</v>
      </c>
      <c r="D2163" s="23">
        <v>0</v>
      </c>
      <c r="E2163" s="24">
        <v>0</v>
      </c>
    </row>
    <row r="2164" spans="1:5" x14ac:dyDescent="0.3">
      <c r="A2164" s="20" t="s">
        <v>303</v>
      </c>
      <c r="B2164" s="21" t="s">
        <v>373</v>
      </c>
      <c r="C2164" s="22">
        <v>1100</v>
      </c>
      <c r="D2164" s="23">
        <v>0</v>
      </c>
      <c r="E2164" s="24">
        <v>0</v>
      </c>
    </row>
    <row r="2165" spans="1:5" x14ac:dyDescent="0.3">
      <c r="A2165" s="20" t="s">
        <v>303</v>
      </c>
      <c r="B2165" s="21" t="s">
        <v>374</v>
      </c>
      <c r="C2165" s="22">
        <v>1100</v>
      </c>
      <c r="D2165" s="23">
        <v>0</v>
      </c>
      <c r="E2165" s="24">
        <v>0</v>
      </c>
    </row>
    <row r="2166" spans="1:5" x14ac:dyDescent="0.3">
      <c r="A2166" s="20" t="s">
        <v>303</v>
      </c>
      <c r="B2166" s="21" t="s">
        <v>375</v>
      </c>
      <c r="C2166" s="22">
        <v>1100</v>
      </c>
      <c r="D2166" s="23">
        <v>20000</v>
      </c>
      <c r="E2166" s="24">
        <v>0</v>
      </c>
    </row>
    <row r="2167" spans="1:5" x14ac:dyDescent="0.3">
      <c r="A2167" s="20" t="s">
        <v>303</v>
      </c>
      <c r="B2167" s="21" t="s">
        <v>376</v>
      </c>
      <c r="C2167" s="22">
        <v>1100</v>
      </c>
      <c r="D2167" s="23">
        <v>0</v>
      </c>
      <c r="E2167" s="24">
        <v>0</v>
      </c>
    </row>
    <row r="2168" spans="1:5" x14ac:dyDescent="0.3">
      <c r="A2168" s="20" t="s">
        <v>303</v>
      </c>
      <c r="B2168" s="21" t="s">
        <v>377</v>
      </c>
      <c r="C2168" s="22">
        <v>1100</v>
      </c>
      <c r="D2168" s="23">
        <v>0</v>
      </c>
      <c r="E2168" s="24">
        <v>0</v>
      </c>
    </row>
    <row r="2169" spans="1:5" x14ac:dyDescent="0.3">
      <c r="A2169" s="16" t="s">
        <v>304</v>
      </c>
      <c r="B2169" s="16" t="s">
        <v>373</v>
      </c>
      <c r="C2169" s="17">
        <v>0</v>
      </c>
      <c r="D2169" s="18">
        <v>0</v>
      </c>
      <c r="E2169" s="19">
        <v>0</v>
      </c>
    </row>
    <row r="2170" spans="1:5" x14ac:dyDescent="0.3">
      <c r="A2170" s="20" t="s">
        <v>304</v>
      </c>
      <c r="B2170" s="21" t="s">
        <v>375</v>
      </c>
      <c r="C2170" s="22">
        <v>0</v>
      </c>
      <c r="D2170" s="23">
        <v>20000</v>
      </c>
      <c r="E2170" s="24">
        <v>0</v>
      </c>
    </row>
    <row r="2171" spans="1:5" x14ac:dyDescent="0.3">
      <c r="A2171" s="16" t="s">
        <v>307</v>
      </c>
      <c r="B2171" s="16" t="s">
        <v>366</v>
      </c>
      <c r="C2171" s="17">
        <v>2200</v>
      </c>
      <c r="D2171" s="18">
        <v>8800</v>
      </c>
      <c r="E2171" s="19">
        <v>0</v>
      </c>
    </row>
    <row r="2172" spans="1:5" x14ac:dyDescent="0.3">
      <c r="A2172" s="20" t="s">
        <v>307</v>
      </c>
      <c r="B2172" s="21" t="s">
        <v>367</v>
      </c>
      <c r="C2172" s="22">
        <v>2200</v>
      </c>
      <c r="D2172" s="23">
        <v>4400</v>
      </c>
      <c r="E2172" s="24">
        <v>0</v>
      </c>
    </row>
    <row r="2173" spans="1:5" x14ac:dyDescent="0.3">
      <c r="A2173" s="20" t="s">
        <v>307</v>
      </c>
      <c r="B2173" s="21" t="s">
        <v>368</v>
      </c>
      <c r="C2173" s="22">
        <v>2200</v>
      </c>
      <c r="D2173" s="23">
        <v>8800</v>
      </c>
      <c r="E2173" s="24">
        <v>0</v>
      </c>
    </row>
    <row r="2174" spans="1:5" x14ac:dyDescent="0.3">
      <c r="A2174" s="20" t="s">
        <v>307</v>
      </c>
      <c r="B2174" s="21" t="s">
        <v>369</v>
      </c>
      <c r="C2174" s="22">
        <v>2200</v>
      </c>
      <c r="D2174" s="23">
        <v>8800</v>
      </c>
      <c r="E2174" s="24">
        <v>0</v>
      </c>
    </row>
    <row r="2175" spans="1:5" x14ac:dyDescent="0.3">
      <c r="A2175" s="20" t="s">
        <v>307</v>
      </c>
      <c r="B2175" s="21" t="s">
        <v>370</v>
      </c>
      <c r="C2175" s="22">
        <v>2200</v>
      </c>
      <c r="D2175" s="23">
        <v>8800</v>
      </c>
      <c r="E2175" s="24">
        <v>0</v>
      </c>
    </row>
    <row r="2176" spans="1:5" x14ac:dyDescent="0.3">
      <c r="A2176" s="20" t="s">
        <v>307</v>
      </c>
      <c r="B2176" s="21" t="s">
        <v>371</v>
      </c>
      <c r="C2176" s="22">
        <v>2200</v>
      </c>
      <c r="D2176" s="23">
        <v>8800</v>
      </c>
      <c r="E2176" s="24">
        <v>0</v>
      </c>
    </row>
    <row r="2177" spans="1:5" x14ac:dyDescent="0.3">
      <c r="A2177" s="20" t="s">
        <v>307</v>
      </c>
      <c r="B2177" s="21" t="s">
        <v>372</v>
      </c>
      <c r="C2177" s="22">
        <v>2200</v>
      </c>
      <c r="D2177" s="23">
        <v>8800</v>
      </c>
      <c r="E2177" s="24">
        <v>0</v>
      </c>
    </row>
    <row r="2178" spans="1:5" x14ac:dyDescent="0.3">
      <c r="A2178" s="20" t="s">
        <v>307</v>
      </c>
      <c r="B2178" s="21" t="s">
        <v>373</v>
      </c>
      <c r="C2178" s="22">
        <v>1100</v>
      </c>
      <c r="D2178" s="23">
        <v>0</v>
      </c>
      <c r="E2178" s="24">
        <v>0</v>
      </c>
    </row>
    <row r="2179" spans="1:5" x14ac:dyDescent="0.3">
      <c r="A2179" s="20" t="s">
        <v>307</v>
      </c>
      <c r="B2179" s="21" t="s">
        <v>374</v>
      </c>
      <c r="C2179" s="22">
        <v>2200</v>
      </c>
      <c r="D2179" s="23">
        <v>17600</v>
      </c>
      <c r="E2179" s="24">
        <v>0</v>
      </c>
    </row>
    <row r="2180" spans="1:5" x14ac:dyDescent="0.3">
      <c r="A2180" s="20" t="s">
        <v>307</v>
      </c>
      <c r="B2180" s="21" t="s">
        <v>375</v>
      </c>
      <c r="C2180" s="22">
        <v>2200</v>
      </c>
      <c r="D2180" s="23">
        <v>8800</v>
      </c>
      <c r="E2180" s="24">
        <v>0</v>
      </c>
    </row>
    <row r="2181" spans="1:5" x14ac:dyDescent="0.3">
      <c r="A2181" s="20" t="s">
        <v>307</v>
      </c>
      <c r="B2181" s="21" t="s">
        <v>376</v>
      </c>
      <c r="C2181" s="22">
        <v>2200</v>
      </c>
      <c r="D2181" s="23">
        <v>0</v>
      </c>
      <c r="E2181" s="24">
        <v>0</v>
      </c>
    </row>
    <row r="2182" spans="1:5" x14ac:dyDescent="0.3">
      <c r="A2182" s="20" t="s">
        <v>307</v>
      </c>
      <c r="B2182" s="21" t="s">
        <v>377</v>
      </c>
      <c r="C2182" s="22">
        <v>1100</v>
      </c>
      <c r="D2182" s="23">
        <v>30800</v>
      </c>
      <c r="E2182" s="24">
        <v>0</v>
      </c>
    </row>
    <row r="2183" spans="1:5" x14ac:dyDescent="0.3">
      <c r="A2183" s="16" t="s">
        <v>424</v>
      </c>
      <c r="B2183" s="16" t="s">
        <v>367</v>
      </c>
      <c r="C2183" s="17">
        <v>0</v>
      </c>
      <c r="D2183" s="18">
        <v>0</v>
      </c>
      <c r="E2183" s="19">
        <v>0</v>
      </c>
    </row>
    <row r="2184" spans="1:5" x14ac:dyDescent="0.3">
      <c r="A2184" s="16" t="s">
        <v>425</v>
      </c>
      <c r="B2184" s="16" t="s">
        <v>366</v>
      </c>
      <c r="C2184" s="17">
        <v>7700</v>
      </c>
      <c r="D2184" s="18">
        <v>0</v>
      </c>
      <c r="E2184" s="19">
        <v>0</v>
      </c>
    </row>
    <row r="2185" spans="1:5" x14ac:dyDescent="0.3">
      <c r="A2185" s="20" t="s">
        <v>425</v>
      </c>
      <c r="B2185" s="21" t="s">
        <v>367</v>
      </c>
      <c r="C2185" s="22">
        <v>7700</v>
      </c>
      <c r="D2185" s="23">
        <v>0</v>
      </c>
      <c r="E2185" s="24">
        <v>0</v>
      </c>
    </row>
    <row r="2186" spans="1:5" x14ac:dyDescent="0.3">
      <c r="A2186" s="20" t="s">
        <v>425</v>
      </c>
      <c r="B2186" s="21" t="s">
        <v>368</v>
      </c>
      <c r="C2186" s="22">
        <v>7700</v>
      </c>
      <c r="D2186" s="23">
        <v>0</v>
      </c>
      <c r="E2186" s="24">
        <v>0</v>
      </c>
    </row>
    <row r="2187" spans="1:5" x14ac:dyDescent="0.3">
      <c r="A2187" s="20" t="s">
        <v>425</v>
      </c>
      <c r="B2187" s="21" t="s">
        <v>369</v>
      </c>
      <c r="C2187" s="22">
        <v>7700</v>
      </c>
      <c r="D2187" s="23">
        <v>50000</v>
      </c>
      <c r="E2187" s="24">
        <v>0</v>
      </c>
    </row>
    <row r="2188" spans="1:5" x14ac:dyDescent="0.3">
      <c r="A2188" s="20" t="s">
        <v>425</v>
      </c>
      <c r="B2188" s="21" t="s">
        <v>370</v>
      </c>
      <c r="C2188" s="22">
        <v>7700</v>
      </c>
      <c r="D2188" s="23">
        <v>0</v>
      </c>
      <c r="E2188" s="24">
        <v>0</v>
      </c>
    </row>
    <row r="2189" spans="1:5" x14ac:dyDescent="0.3">
      <c r="A2189" s="20" t="s">
        <v>425</v>
      </c>
      <c r="B2189" s="21" t="s">
        <v>371</v>
      </c>
      <c r="C2189" s="22">
        <v>7700</v>
      </c>
      <c r="D2189" s="23">
        <v>0</v>
      </c>
      <c r="E2189" s="24">
        <v>0</v>
      </c>
    </row>
    <row r="2190" spans="1:5" x14ac:dyDescent="0.3">
      <c r="A2190" s="20" t="s">
        <v>425</v>
      </c>
      <c r="B2190" s="21" t="s">
        <v>372</v>
      </c>
      <c r="C2190" s="22">
        <v>7700</v>
      </c>
      <c r="D2190" s="23">
        <v>0</v>
      </c>
      <c r="E2190" s="24">
        <v>0</v>
      </c>
    </row>
    <row r="2191" spans="1:5" x14ac:dyDescent="0.3">
      <c r="A2191" s="20" t="s">
        <v>425</v>
      </c>
      <c r="B2191" s="21" t="s">
        <v>373</v>
      </c>
      <c r="C2191" s="22">
        <v>4400</v>
      </c>
      <c r="D2191" s="23">
        <v>0</v>
      </c>
      <c r="E2191" s="24">
        <v>0</v>
      </c>
    </row>
    <row r="2192" spans="1:5" x14ac:dyDescent="0.3">
      <c r="A2192" s="20" t="s">
        <v>425</v>
      </c>
      <c r="B2192" s="21" t="s">
        <v>374</v>
      </c>
      <c r="C2192" s="22">
        <v>7700</v>
      </c>
      <c r="D2192" s="23">
        <v>0</v>
      </c>
      <c r="E2192" s="24">
        <v>0</v>
      </c>
    </row>
    <row r="2193" spans="1:5" x14ac:dyDescent="0.3">
      <c r="A2193" s="20" t="s">
        <v>425</v>
      </c>
      <c r="B2193" s="21" t="s">
        <v>375</v>
      </c>
      <c r="C2193" s="22">
        <v>7700</v>
      </c>
      <c r="D2193" s="23">
        <v>50000</v>
      </c>
      <c r="E2193" s="24">
        <v>0</v>
      </c>
    </row>
    <row r="2194" spans="1:5" x14ac:dyDescent="0.3">
      <c r="A2194" s="20" t="s">
        <v>425</v>
      </c>
      <c r="B2194" s="21" t="s">
        <v>376</v>
      </c>
      <c r="C2194" s="22">
        <v>7700</v>
      </c>
      <c r="D2194" s="23">
        <v>0</v>
      </c>
      <c r="E2194" s="24">
        <v>0</v>
      </c>
    </row>
    <row r="2195" spans="1:5" x14ac:dyDescent="0.3">
      <c r="A2195" s="20" t="s">
        <v>425</v>
      </c>
      <c r="B2195" s="21" t="s">
        <v>377</v>
      </c>
      <c r="C2195" s="22">
        <v>4400</v>
      </c>
      <c r="D2195" s="23">
        <v>0</v>
      </c>
      <c r="E2195" s="24">
        <v>0</v>
      </c>
    </row>
    <row r="2196" spans="1:5" x14ac:dyDescent="0.3">
      <c r="A2196" s="16" t="s">
        <v>38</v>
      </c>
      <c r="B2196" s="16" t="s">
        <v>371</v>
      </c>
      <c r="C2196" s="17">
        <v>0</v>
      </c>
      <c r="D2196" s="18">
        <v>0</v>
      </c>
      <c r="E2196" s="19">
        <v>0</v>
      </c>
    </row>
    <row r="2197" spans="1:5" x14ac:dyDescent="0.3">
      <c r="A2197" s="20" t="s">
        <v>38</v>
      </c>
      <c r="B2197" s="21" t="s">
        <v>372</v>
      </c>
      <c r="C2197" s="22">
        <v>0</v>
      </c>
      <c r="D2197" s="23">
        <v>0</v>
      </c>
      <c r="E2197" s="24">
        <v>0</v>
      </c>
    </row>
    <row r="2198" spans="1:5" x14ac:dyDescent="0.3">
      <c r="A2198" s="20" t="s">
        <v>38</v>
      </c>
      <c r="B2198" s="21" t="s">
        <v>375</v>
      </c>
      <c r="C2198" s="22">
        <v>0</v>
      </c>
      <c r="D2198" s="23">
        <v>0</v>
      </c>
      <c r="E2198" s="24">
        <v>0</v>
      </c>
    </row>
    <row r="2199" spans="1:5" x14ac:dyDescent="0.3">
      <c r="A2199" s="16" t="s">
        <v>47</v>
      </c>
      <c r="B2199" s="16" t="s">
        <v>366</v>
      </c>
      <c r="C2199" s="17">
        <v>0</v>
      </c>
      <c r="D2199" s="18">
        <v>0</v>
      </c>
      <c r="E2199" s="19">
        <v>0</v>
      </c>
    </row>
    <row r="2200" spans="1:5" x14ac:dyDescent="0.3">
      <c r="A2200" s="16" t="s">
        <v>53</v>
      </c>
      <c r="B2200" s="16" t="s">
        <v>366</v>
      </c>
      <c r="C2200" s="17">
        <v>5500</v>
      </c>
      <c r="D2200" s="18">
        <v>0</v>
      </c>
      <c r="E2200" s="19">
        <v>0</v>
      </c>
    </row>
    <row r="2201" spans="1:5" x14ac:dyDescent="0.3">
      <c r="A2201" s="20" t="s">
        <v>53</v>
      </c>
      <c r="B2201" s="21" t="s">
        <v>367</v>
      </c>
      <c r="C2201" s="22">
        <v>5500</v>
      </c>
      <c r="D2201" s="23">
        <v>0</v>
      </c>
      <c r="E2201" s="24">
        <v>0</v>
      </c>
    </row>
    <row r="2202" spans="1:5" x14ac:dyDescent="0.3">
      <c r="A2202" s="20" t="s">
        <v>53</v>
      </c>
      <c r="B2202" s="21" t="s">
        <v>368</v>
      </c>
      <c r="C2202" s="22">
        <v>5500</v>
      </c>
      <c r="D2202" s="23">
        <v>0</v>
      </c>
      <c r="E2202" s="24">
        <v>0</v>
      </c>
    </row>
    <row r="2203" spans="1:5" x14ac:dyDescent="0.3">
      <c r="A2203" s="20" t="s">
        <v>53</v>
      </c>
      <c r="B2203" s="21" t="s">
        <v>369</v>
      </c>
      <c r="C2203" s="22">
        <v>5500</v>
      </c>
      <c r="D2203" s="23">
        <v>0</v>
      </c>
      <c r="E2203" s="24">
        <v>0</v>
      </c>
    </row>
    <row r="2204" spans="1:5" x14ac:dyDescent="0.3">
      <c r="A2204" s="20" t="s">
        <v>53</v>
      </c>
      <c r="B2204" s="21" t="s">
        <v>370</v>
      </c>
      <c r="C2204" s="22">
        <v>5500</v>
      </c>
      <c r="D2204" s="23">
        <v>0</v>
      </c>
      <c r="E2204" s="24">
        <v>0</v>
      </c>
    </row>
    <row r="2205" spans="1:5" x14ac:dyDescent="0.3">
      <c r="A2205" s="20" t="s">
        <v>53</v>
      </c>
      <c r="B2205" s="21" t="s">
        <v>371</v>
      </c>
      <c r="C2205" s="22">
        <v>5500</v>
      </c>
      <c r="D2205" s="23">
        <v>0</v>
      </c>
      <c r="E2205" s="24">
        <v>0</v>
      </c>
    </row>
    <row r="2206" spans="1:5" x14ac:dyDescent="0.3">
      <c r="A2206" s="20" t="s">
        <v>53</v>
      </c>
      <c r="B2206" s="21" t="s">
        <v>372</v>
      </c>
      <c r="C2206" s="22">
        <v>5500</v>
      </c>
      <c r="D2206" s="23">
        <v>0</v>
      </c>
      <c r="E2206" s="24">
        <v>0</v>
      </c>
    </row>
    <row r="2207" spans="1:5" x14ac:dyDescent="0.3">
      <c r="A2207" s="20" t="s">
        <v>53</v>
      </c>
      <c r="B2207" s="21" t="s">
        <v>373</v>
      </c>
      <c r="C2207" s="22">
        <v>2200</v>
      </c>
      <c r="D2207" s="23">
        <v>0</v>
      </c>
      <c r="E2207" s="24">
        <v>0</v>
      </c>
    </row>
    <row r="2208" spans="1:5" x14ac:dyDescent="0.3">
      <c r="A2208" s="20" t="s">
        <v>53</v>
      </c>
      <c r="B2208" s="21" t="s">
        <v>374</v>
      </c>
      <c r="C2208" s="22">
        <v>5500</v>
      </c>
      <c r="D2208" s="23">
        <v>0</v>
      </c>
      <c r="E2208" s="24">
        <v>0</v>
      </c>
    </row>
    <row r="2209" spans="1:5" x14ac:dyDescent="0.3">
      <c r="A2209" s="20" t="s">
        <v>53</v>
      </c>
      <c r="B2209" s="21" t="s">
        <v>375</v>
      </c>
      <c r="C2209" s="22">
        <v>5500</v>
      </c>
      <c r="D2209" s="23">
        <v>0</v>
      </c>
      <c r="E2209" s="24">
        <v>0</v>
      </c>
    </row>
    <row r="2210" spans="1:5" x14ac:dyDescent="0.3">
      <c r="A2210" s="20" t="s">
        <v>53</v>
      </c>
      <c r="B2210" s="21" t="s">
        <v>376</v>
      </c>
      <c r="C2210" s="22">
        <v>5500</v>
      </c>
      <c r="D2210" s="23">
        <v>0</v>
      </c>
      <c r="E2210" s="24">
        <v>0</v>
      </c>
    </row>
    <row r="2211" spans="1:5" x14ac:dyDescent="0.3">
      <c r="A2211" s="20" t="s">
        <v>53</v>
      </c>
      <c r="B2211" s="21" t="s">
        <v>377</v>
      </c>
      <c r="C2211" s="22">
        <v>2200</v>
      </c>
      <c r="D2211" s="23">
        <v>0</v>
      </c>
      <c r="E2211" s="24">
        <v>0</v>
      </c>
    </row>
    <row r="2212" spans="1:5" x14ac:dyDescent="0.3">
      <c r="A2212" s="16" t="s">
        <v>337</v>
      </c>
      <c r="B2212" s="16" t="s">
        <v>366</v>
      </c>
      <c r="C2212" s="17">
        <v>7700</v>
      </c>
      <c r="D2212" s="18">
        <v>0</v>
      </c>
      <c r="E2212" s="19">
        <v>0</v>
      </c>
    </row>
    <row r="2213" spans="1:5" x14ac:dyDescent="0.3">
      <c r="A2213" s="20" t="s">
        <v>337</v>
      </c>
      <c r="B2213" s="21" t="s">
        <v>367</v>
      </c>
      <c r="C2213" s="22">
        <v>7700</v>
      </c>
      <c r="D2213" s="23">
        <v>0</v>
      </c>
      <c r="E2213" s="24">
        <v>0</v>
      </c>
    </row>
    <row r="2214" spans="1:5" x14ac:dyDescent="0.3">
      <c r="A2214" s="20" t="s">
        <v>337</v>
      </c>
      <c r="B2214" s="21" t="s">
        <v>368</v>
      </c>
      <c r="C2214" s="22">
        <v>7700</v>
      </c>
      <c r="D2214" s="23">
        <v>0</v>
      </c>
      <c r="E2214" s="24">
        <v>0</v>
      </c>
    </row>
    <row r="2215" spans="1:5" x14ac:dyDescent="0.3">
      <c r="A2215" s="20" t="s">
        <v>337</v>
      </c>
      <c r="B2215" s="21" t="s">
        <v>369</v>
      </c>
      <c r="C2215" s="22">
        <v>7700</v>
      </c>
      <c r="D2215" s="23">
        <v>0</v>
      </c>
      <c r="E2215" s="24">
        <v>0</v>
      </c>
    </row>
    <row r="2216" spans="1:5" x14ac:dyDescent="0.3">
      <c r="A2216" s="20" t="s">
        <v>337</v>
      </c>
      <c r="B2216" s="21" t="s">
        <v>370</v>
      </c>
      <c r="C2216" s="22">
        <v>7700</v>
      </c>
      <c r="D2216" s="23">
        <v>0</v>
      </c>
      <c r="E2216" s="24">
        <v>0</v>
      </c>
    </row>
    <row r="2217" spans="1:5" x14ac:dyDescent="0.3">
      <c r="A2217" s="20" t="s">
        <v>337</v>
      </c>
      <c r="B2217" s="21" t="s">
        <v>371</v>
      </c>
      <c r="C2217" s="22">
        <v>7700</v>
      </c>
      <c r="D2217" s="23">
        <v>0</v>
      </c>
      <c r="E2217" s="24">
        <v>0</v>
      </c>
    </row>
    <row r="2218" spans="1:5" x14ac:dyDescent="0.3">
      <c r="A2218" s="20" t="s">
        <v>337</v>
      </c>
      <c r="B2218" s="21" t="s">
        <v>372</v>
      </c>
      <c r="C2218" s="22">
        <v>7700</v>
      </c>
      <c r="D2218" s="23">
        <v>0</v>
      </c>
      <c r="E2218" s="24">
        <v>0</v>
      </c>
    </row>
    <row r="2219" spans="1:5" x14ac:dyDescent="0.3">
      <c r="A2219" s="20" t="s">
        <v>337</v>
      </c>
      <c r="B2219" s="21" t="s">
        <v>373</v>
      </c>
      <c r="C2219" s="22">
        <v>4400</v>
      </c>
      <c r="D2219" s="23">
        <v>0</v>
      </c>
      <c r="E2219" s="24">
        <v>0</v>
      </c>
    </row>
    <row r="2220" spans="1:5" x14ac:dyDescent="0.3">
      <c r="A2220" s="20" t="s">
        <v>337</v>
      </c>
      <c r="B2220" s="21" t="s">
        <v>374</v>
      </c>
      <c r="C2220" s="22">
        <v>7700</v>
      </c>
      <c r="D2220" s="23">
        <v>0</v>
      </c>
      <c r="E2220" s="24">
        <v>0</v>
      </c>
    </row>
    <row r="2221" spans="1:5" x14ac:dyDescent="0.3">
      <c r="A2221" s="20" t="s">
        <v>337</v>
      </c>
      <c r="B2221" s="21" t="s">
        <v>375</v>
      </c>
      <c r="C2221" s="22">
        <v>7700</v>
      </c>
      <c r="D2221" s="23">
        <v>0</v>
      </c>
      <c r="E2221" s="24">
        <v>0</v>
      </c>
    </row>
    <row r="2222" spans="1:5" x14ac:dyDescent="0.3">
      <c r="A2222" s="20" t="s">
        <v>337</v>
      </c>
      <c r="B2222" s="21" t="s">
        <v>376</v>
      </c>
      <c r="C2222" s="22">
        <v>7700</v>
      </c>
      <c r="D2222" s="23">
        <v>0</v>
      </c>
      <c r="E2222" s="24">
        <v>0</v>
      </c>
    </row>
    <row r="2223" spans="1:5" x14ac:dyDescent="0.3">
      <c r="A2223" s="20" t="s">
        <v>337</v>
      </c>
      <c r="B2223" s="21" t="s">
        <v>377</v>
      </c>
      <c r="C2223" s="22">
        <v>4400</v>
      </c>
      <c r="D2223" s="23">
        <v>0</v>
      </c>
      <c r="E2223" s="24">
        <v>0</v>
      </c>
    </row>
    <row r="2224" spans="1:5" x14ac:dyDescent="0.3">
      <c r="A2224" s="16" t="s">
        <v>184</v>
      </c>
      <c r="B2224" s="16" t="s">
        <v>367</v>
      </c>
      <c r="C2224" s="17">
        <v>0</v>
      </c>
      <c r="D2224" s="18">
        <v>0</v>
      </c>
      <c r="E2224" s="19">
        <v>0</v>
      </c>
    </row>
    <row r="2225" spans="1:5" x14ac:dyDescent="0.3">
      <c r="A2225" s="16" t="s">
        <v>191</v>
      </c>
      <c r="B2225" s="16" t="s">
        <v>375</v>
      </c>
      <c r="C2225" s="17">
        <v>0</v>
      </c>
      <c r="D2225" s="18">
        <v>0</v>
      </c>
      <c r="E2225" s="19">
        <v>0</v>
      </c>
    </row>
    <row r="2226" spans="1:5" x14ac:dyDescent="0.3">
      <c r="A2226" s="16" t="s">
        <v>240</v>
      </c>
      <c r="B2226" s="16" t="s">
        <v>366</v>
      </c>
      <c r="C2226" s="17">
        <v>6600</v>
      </c>
      <c r="D2226" s="18">
        <v>0</v>
      </c>
      <c r="E2226" s="19">
        <v>0</v>
      </c>
    </row>
    <row r="2227" spans="1:5" x14ac:dyDescent="0.3">
      <c r="A2227" s="20" t="s">
        <v>240</v>
      </c>
      <c r="B2227" s="21" t="s">
        <v>367</v>
      </c>
      <c r="C2227" s="22">
        <v>6600</v>
      </c>
      <c r="D2227" s="23">
        <v>0</v>
      </c>
      <c r="E2227" s="24">
        <v>0</v>
      </c>
    </row>
    <row r="2228" spans="1:5" x14ac:dyDescent="0.3">
      <c r="A2228" s="20" t="s">
        <v>240</v>
      </c>
      <c r="B2228" s="21" t="s">
        <v>368</v>
      </c>
      <c r="C2228" s="22">
        <v>6600</v>
      </c>
      <c r="D2228" s="23">
        <v>0</v>
      </c>
      <c r="E2228" s="24">
        <v>0</v>
      </c>
    </row>
    <row r="2229" spans="1:5" x14ac:dyDescent="0.3">
      <c r="A2229" s="20" t="s">
        <v>240</v>
      </c>
      <c r="B2229" s="21" t="s">
        <v>369</v>
      </c>
      <c r="C2229" s="22">
        <v>6600</v>
      </c>
      <c r="D2229" s="23">
        <v>0</v>
      </c>
      <c r="E2229" s="24">
        <v>0</v>
      </c>
    </row>
    <row r="2230" spans="1:5" x14ac:dyDescent="0.3">
      <c r="A2230" s="20" t="s">
        <v>240</v>
      </c>
      <c r="B2230" s="21" t="s">
        <v>370</v>
      </c>
      <c r="C2230" s="22">
        <v>6600</v>
      </c>
      <c r="D2230" s="23">
        <v>0</v>
      </c>
      <c r="E2230" s="24">
        <v>0</v>
      </c>
    </row>
    <row r="2231" spans="1:5" x14ac:dyDescent="0.3">
      <c r="A2231" s="20" t="s">
        <v>240</v>
      </c>
      <c r="B2231" s="21" t="s">
        <v>371</v>
      </c>
      <c r="C2231" s="22">
        <v>6600</v>
      </c>
      <c r="D2231" s="23">
        <v>0</v>
      </c>
      <c r="E2231" s="24">
        <v>0</v>
      </c>
    </row>
    <row r="2232" spans="1:5" x14ac:dyDescent="0.3">
      <c r="A2232" s="20" t="s">
        <v>240</v>
      </c>
      <c r="B2232" s="21" t="s">
        <v>372</v>
      </c>
      <c r="C2232" s="22">
        <v>6600</v>
      </c>
      <c r="D2232" s="23">
        <v>0</v>
      </c>
      <c r="E2232" s="24">
        <v>0</v>
      </c>
    </row>
    <row r="2233" spans="1:5" x14ac:dyDescent="0.3">
      <c r="A2233" s="20" t="s">
        <v>240</v>
      </c>
      <c r="B2233" s="21" t="s">
        <v>373</v>
      </c>
      <c r="C2233" s="22">
        <v>3300</v>
      </c>
      <c r="D2233" s="23">
        <v>0</v>
      </c>
      <c r="E2233" s="24">
        <v>0</v>
      </c>
    </row>
    <row r="2234" spans="1:5" x14ac:dyDescent="0.3">
      <c r="A2234" s="20" t="s">
        <v>240</v>
      </c>
      <c r="B2234" s="21" t="s">
        <v>374</v>
      </c>
      <c r="C2234" s="22">
        <v>6600</v>
      </c>
      <c r="D2234" s="23">
        <v>0</v>
      </c>
      <c r="E2234" s="24">
        <v>0</v>
      </c>
    </row>
    <row r="2235" spans="1:5" x14ac:dyDescent="0.3">
      <c r="A2235" s="20" t="s">
        <v>240</v>
      </c>
      <c r="B2235" s="21" t="s">
        <v>375</v>
      </c>
      <c r="C2235" s="22">
        <v>6600</v>
      </c>
      <c r="D2235" s="23">
        <v>0</v>
      </c>
      <c r="E2235" s="24">
        <v>0</v>
      </c>
    </row>
    <row r="2236" spans="1:5" x14ac:dyDescent="0.3">
      <c r="A2236" s="20" t="s">
        <v>240</v>
      </c>
      <c r="B2236" s="21" t="s">
        <v>376</v>
      </c>
      <c r="C2236" s="22">
        <v>6600</v>
      </c>
      <c r="D2236" s="23">
        <v>0</v>
      </c>
      <c r="E2236" s="24">
        <v>0</v>
      </c>
    </row>
    <row r="2237" spans="1:5" x14ac:dyDescent="0.3">
      <c r="A2237" s="20" t="s">
        <v>240</v>
      </c>
      <c r="B2237" s="21" t="s">
        <v>377</v>
      </c>
      <c r="C2237" s="22">
        <v>3300</v>
      </c>
      <c r="D2237" s="23">
        <v>0</v>
      </c>
      <c r="E2237" s="24">
        <v>0</v>
      </c>
    </row>
    <row r="2238" spans="1:5" x14ac:dyDescent="0.3">
      <c r="A2238" s="16" t="s">
        <v>355</v>
      </c>
      <c r="B2238" s="16" t="s">
        <v>369</v>
      </c>
      <c r="C2238" s="17">
        <v>0</v>
      </c>
      <c r="D2238" s="18">
        <v>0</v>
      </c>
      <c r="E2238" s="19">
        <v>0</v>
      </c>
    </row>
    <row r="2239" spans="1:5" x14ac:dyDescent="0.3">
      <c r="A2239" s="16" t="s">
        <v>286</v>
      </c>
      <c r="B2239" s="16" t="s">
        <v>373</v>
      </c>
      <c r="C2239" s="17">
        <v>0</v>
      </c>
      <c r="D2239" s="18">
        <v>0</v>
      </c>
      <c r="E2239" s="19">
        <v>0</v>
      </c>
    </row>
    <row r="2240" spans="1:5" x14ac:dyDescent="0.3">
      <c r="A2240" s="16" t="s">
        <v>38</v>
      </c>
      <c r="B2240" s="16" t="s">
        <v>371</v>
      </c>
      <c r="C2240" s="17">
        <v>0</v>
      </c>
      <c r="D2240" s="18">
        <v>0</v>
      </c>
      <c r="E2240" s="19">
        <v>0</v>
      </c>
    </row>
    <row r="2241" spans="1:5" x14ac:dyDescent="0.3">
      <c r="A2241" s="20" t="s">
        <v>38</v>
      </c>
      <c r="B2241" s="21" t="s">
        <v>372</v>
      </c>
      <c r="C2241" s="22">
        <v>0</v>
      </c>
      <c r="D2241" s="23">
        <v>0</v>
      </c>
      <c r="E2241" s="24">
        <v>0</v>
      </c>
    </row>
    <row r="2242" spans="1:5" x14ac:dyDescent="0.3">
      <c r="A2242" s="20" t="s">
        <v>38</v>
      </c>
      <c r="B2242" s="21" t="s">
        <v>375</v>
      </c>
      <c r="C2242" s="22">
        <v>0</v>
      </c>
      <c r="D2242" s="23">
        <v>0</v>
      </c>
      <c r="E2242" s="24">
        <v>0</v>
      </c>
    </row>
    <row r="2243" spans="1:5" x14ac:dyDescent="0.3">
      <c r="A2243" s="16" t="s">
        <v>46</v>
      </c>
      <c r="B2243" s="16" t="s">
        <v>366</v>
      </c>
      <c r="C2243" s="17">
        <v>22000</v>
      </c>
      <c r="D2243" s="18">
        <v>0</v>
      </c>
      <c r="E2243" s="19">
        <v>0</v>
      </c>
    </row>
    <row r="2244" spans="1:5" x14ac:dyDescent="0.3">
      <c r="A2244" s="20" t="s">
        <v>46</v>
      </c>
      <c r="B2244" s="21" t="s">
        <v>367</v>
      </c>
      <c r="C2244" s="22">
        <v>22000</v>
      </c>
      <c r="D2244" s="23">
        <v>0</v>
      </c>
      <c r="E2244" s="24">
        <v>0</v>
      </c>
    </row>
    <row r="2245" spans="1:5" x14ac:dyDescent="0.3">
      <c r="A2245" s="20" t="s">
        <v>46</v>
      </c>
      <c r="B2245" s="21" t="s">
        <v>368</v>
      </c>
      <c r="C2245" s="22">
        <v>22000</v>
      </c>
      <c r="D2245" s="23">
        <v>0</v>
      </c>
      <c r="E2245" s="24">
        <v>0</v>
      </c>
    </row>
    <row r="2246" spans="1:5" x14ac:dyDescent="0.3">
      <c r="A2246" s="20" t="s">
        <v>46</v>
      </c>
      <c r="B2246" s="21" t="s">
        <v>369</v>
      </c>
      <c r="C2246" s="22">
        <v>22000</v>
      </c>
      <c r="D2246" s="23">
        <v>0</v>
      </c>
      <c r="E2246" s="24">
        <v>0</v>
      </c>
    </row>
    <row r="2247" spans="1:5" x14ac:dyDescent="0.3">
      <c r="A2247" s="20" t="s">
        <v>46</v>
      </c>
      <c r="B2247" s="21" t="s">
        <v>370</v>
      </c>
      <c r="C2247" s="22">
        <v>22000</v>
      </c>
      <c r="D2247" s="23">
        <v>0</v>
      </c>
      <c r="E2247" s="24">
        <v>0</v>
      </c>
    </row>
    <row r="2248" spans="1:5" x14ac:dyDescent="0.3">
      <c r="A2248" s="20" t="s">
        <v>46</v>
      </c>
      <c r="B2248" s="21" t="s">
        <v>371</v>
      </c>
      <c r="C2248" s="22">
        <v>22000</v>
      </c>
      <c r="D2248" s="23">
        <v>0</v>
      </c>
      <c r="E2248" s="24">
        <v>0</v>
      </c>
    </row>
    <row r="2249" spans="1:5" x14ac:dyDescent="0.3">
      <c r="A2249" s="20" t="s">
        <v>46</v>
      </c>
      <c r="B2249" s="21" t="s">
        <v>372</v>
      </c>
      <c r="C2249" s="22">
        <v>22000</v>
      </c>
      <c r="D2249" s="23">
        <v>0</v>
      </c>
      <c r="E2249" s="24">
        <v>0</v>
      </c>
    </row>
    <row r="2250" spans="1:5" x14ac:dyDescent="0.3">
      <c r="A2250" s="20" t="s">
        <v>46</v>
      </c>
      <c r="B2250" s="21" t="s">
        <v>373</v>
      </c>
      <c r="C2250" s="22">
        <v>11000</v>
      </c>
      <c r="D2250" s="23">
        <v>0</v>
      </c>
      <c r="E2250" s="24">
        <v>0</v>
      </c>
    </row>
    <row r="2251" spans="1:5" x14ac:dyDescent="0.3">
      <c r="A2251" s="20" t="s">
        <v>46</v>
      </c>
      <c r="B2251" s="21" t="s">
        <v>374</v>
      </c>
      <c r="C2251" s="22">
        <v>22000</v>
      </c>
      <c r="D2251" s="23">
        <v>0</v>
      </c>
      <c r="E2251" s="24">
        <v>0</v>
      </c>
    </row>
    <row r="2252" spans="1:5" x14ac:dyDescent="0.3">
      <c r="A2252" s="20" t="s">
        <v>46</v>
      </c>
      <c r="B2252" s="21" t="s">
        <v>375</v>
      </c>
      <c r="C2252" s="22">
        <v>22000</v>
      </c>
      <c r="D2252" s="23">
        <v>0</v>
      </c>
      <c r="E2252" s="24">
        <v>0</v>
      </c>
    </row>
    <row r="2253" spans="1:5" x14ac:dyDescent="0.3">
      <c r="A2253" s="20" t="s">
        <v>46</v>
      </c>
      <c r="B2253" s="21" t="s">
        <v>376</v>
      </c>
      <c r="C2253" s="22">
        <v>22000</v>
      </c>
      <c r="D2253" s="23">
        <v>0</v>
      </c>
      <c r="E2253" s="24">
        <v>0</v>
      </c>
    </row>
    <row r="2254" spans="1:5" x14ac:dyDescent="0.3">
      <c r="A2254" s="20" t="s">
        <v>46</v>
      </c>
      <c r="B2254" s="21" t="s">
        <v>377</v>
      </c>
      <c r="C2254" s="22">
        <v>11000</v>
      </c>
      <c r="D2254" s="23">
        <v>0</v>
      </c>
      <c r="E2254" s="24">
        <v>0</v>
      </c>
    </row>
    <row r="2255" spans="1:5" x14ac:dyDescent="0.3">
      <c r="A2255" s="16" t="s">
        <v>48</v>
      </c>
      <c r="B2255" s="16" t="s">
        <v>366</v>
      </c>
      <c r="C2255" s="17">
        <v>11000</v>
      </c>
      <c r="D2255" s="18">
        <v>0</v>
      </c>
      <c r="E2255" s="19">
        <v>0</v>
      </c>
    </row>
    <row r="2256" spans="1:5" x14ac:dyDescent="0.3">
      <c r="A2256" s="20" t="s">
        <v>48</v>
      </c>
      <c r="B2256" s="21" t="s">
        <v>367</v>
      </c>
      <c r="C2256" s="22">
        <v>11000</v>
      </c>
      <c r="D2256" s="23">
        <v>0</v>
      </c>
      <c r="E2256" s="24">
        <v>0</v>
      </c>
    </row>
    <row r="2257" spans="1:5" x14ac:dyDescent="0.3">
      <c r="A2257" s="20" t="s">
        <v>48</v>
      </c>
      <c r="B2257" s="21" t="s">
        <v>368</v>
      </c>
      <c r="C2257" s="22">
        <v>11000</v>
      </c>
      <c r="D2257" s="23">
        <v>0</v>
      </c>
      <c r="E2257" s="24">
        <v>0</v>
      </c>
    </row>
    <row r="2258" spans="1:5" x14ac:dyDescent="0.3">
      <c r="A2258" s="20" t="s">
        <v>48</v>
      </c>
      <c r="B2258" s="21" t="s">
        <v>369</v>
      </c>
      <c r="C2258" s="22">
        <v>11000</v>
      </c>
      <c r="D2258" s="23">
        <v>0</v>
      </c>
      <c r="E2258" s="24">
        <v>0</v>
      </c>
    </row>
    <row r="2259" spans="1:5" x14ac:dyDescent="0.3">
      <c r="A2259" s="20" t="s">
        <v>48</v>
      </c>
      <c r="B2259" s="21" t="s">
        <v>370</v>
      </c>
      <c r="C2259" s="22">
        <v>11000</v>
      </c>
      <c r="D2259" s="23">
        <v>0</v>
      </c>
      <c r="E2259" s="24">
        <v>0</v>
      </c>
    </row>
    <row r="2260" spans="1:5" x14ac:dyDescent="0.3">
      <c r="A2260" s="20" t="s">
        <v>48</v>
      </c>
      <c r="B2260" s="21" t="s">
        <v>371</v>
      </c>
      <c r="C2260" s="22">
        <v>11000</v>
      </c>
      <c r="D2260" s="23">
        <v>0</v>
      </c>
      <c r="E2260" s="24">
        <v>0</v>
      </c>
    </row>
    <row r="2261" spans="1:5" x14ac:dyDescent="0.3">
      <c r="A2261" s="20" t="s">
        <v>48</v>
      </c>
      <c r="B2261" s="21" t="s">
        <v>372</v>
      </c>
      <c r="C2261" s="22">
        <v>11000</v>
      </c>
      <c r="D2261" s="23">
        <v>0</v>
      </c>
      <c r="E2261" s="24">
        <v>0</v>
      </c>
    </row>
    <row r="2262" spans="1:5" x14ac:dyDescent="0.3">
      <c r="A2262" s="20" t="s">
        <v>48</v>
      </c>
      <c r="B2262" s="21" t="s">
        <v>373</v>
      </c>
      <c r="C2262" s="22">
        <v>5500</v>
      </c>
      <c r="D2262" s="23">
        <v>0</v>
      </c>
      <c r="E2262" s="24">
        <v>0</v>
      </c>
    </row>
    <row r="2263" spans="1:5" x14ac:dyDescent="0.3">
      <c r="A2263" s="20" t="s">
        <v>48</v>
      </c>
      <c r="B2263" s="21" t="s">
        <v>374</v>
      </c>
      <c r="C2263" s="22">
        <v>11000</v>
      </c>
      <c r="D2263" s="23">
        <v>0</v>
      </c>
      <c r="E2263" s="24">
        <v>0</v>
      </c>
    </row>
    <row r="2264" spans="1:5" x14ac:dyDescent="0.3">
      <c r="A2264" s="20" t="s">
        <v>48</v>
      </c>
      <c r="B2264" s="21" t="s">
        <v>375</v>
      </c>
      <c r="C2264" s="22">
        <v>11000</v>
      </c>
      <c r="D2264" s="23">
        <v>0</v>
      </c>
      <c r="E2264" s="24">
        <v>0</v>
      </c>
    </row>
    <row r="2265" spans="1:5" x14ac:dyDescent="0.3">
      <c r="A2265" s="20" t="s">
        <v>48</v>
      </c>
      <c r="B2265" s="21" t="s">
        <v>376</v>
      </c>
      <c r="C2265" s="22">
        <v>11000</v>
      </c>
      <c r="D2265" s="23">
        <v>0</v>
      </c>
      <c r="E2265" s="24">
        <v>0</v>
      </c>
    </row>
    <row r="2266" spans="1:5" x14ac:dyDescent="0.3">
      <c r="A2266" s="20" t="s">
        <v>48</v>
      </c>
      <c r="B2266" s="21" t="s">
        <v>377</v>
      </c>
      <c r="C2266" s="22">
        <v>5500</v>
      </c>
      <c r="D2266" s="23">
        <v>0</v>
      </c>
      <c r="E2266" s="24">
        <v>0</v>
      </c>
    </row>
    <row r="2267" spans="1:5" x14ac:dyDescent="0.3">
      <c r="A2267" s="16" t="s">
        <v>209</v>
      </c>
      <c r="B2267" s="16" t="s">
        <v>369</v>
      </c>
      <c r="C2267" s="17">
        <v>0</v>
      </c>
      <c r="D2267" s="18">
        <v>0</v>
      </c>
      <c r="E2267" s="19">
        <v>0</v>
      </c>
    </row>
    <row r="2268" spans="1:5" x14ac:dyDescent="0.3">
      <c r="A2268" s="20" t="s">
        <v>209</v>
      </c>
      <c r="B2268" s="21" t="s">
        <v>371</v>
      </c>
      <c r="C2268" s="22">
        <v>0</v>
      </c>
      <c r="D2268" s="23">
        <v>0</v>
      </c>
      <c r="E2268" s="24">
        <v>0</v>
      </c>
    </row>
    <row r="2269" spans="1:5" x14ac:dyDescent="0.3">
      <c r="A2269" s="16" t="s">
        <v>38</v>
      </c>
      <c r="B2269" s="16" t="s">
        <v>371</v>
      </c>
      <c r="C2269" s="17">
        <v>0</v>
      </c>
      <c r="D2269" s="18">
        <v>0</v>
      </c>
      <c r="E2269" s="19">
        <v>0</v>
      </c>
    </row>
    <row r="2270" spans="1:5" x14ac:dyDescent="0.3">
      <c r="A2270" s="20" t="s">
        <v>38</v>
      </c>
      <c r="B2270" s="21" t="s">
        <v>372</v>
      </c>
      <c r="C2270" s="22">
        <v>0</v>
      </c>
      <c r="D2270" s="23">
        <v>0</v>
      </c>
      <c r="E2270" s="24">
        <v>0</v>
      </c>
    </row>
    <row r="2271" spans="1:5" x14ac:dyDescent="0.3">
      <c r="A2271" s="20" t="s">
        <v>38</v>
      </c>
      <c r="B2271" s="21" t="s">
        <v>375</v>
      </c>
      <c r="C2271" s="22">
        <v>0</v>
      </c>
      <c r="D2271" s="23">
        <v>0</v>
      </c>
      <c r="E2271" s="24">
        <v>0</v>
      </c>
    </row>
    <row r="2272" spans="1:5" x14ac:dyDescent="0.3">
      <c r="A2272" s="16" t="s">
        <v>39</v>
      </c>
      <c r="B2272" s="16" t="s">
        <v>366</v>
      </c>
      <c r="C2272" s="17">
        <v>14300</v>
      </c>
      <c r="D2272" s="18">
        <v>12000</v>
      </c>
      <c r="E2272" s="19">
        <v>0</v>
      </c>
    </row>
    <row r="2273" spans="1:5" x14ac:dyDescent="0.3">
      <c r="A2273" s="20" t="s">
        <v>39</v>
      </c>
      <c r="B2273" s="21" t="s">
        <v>367</v>
      </c>
      <c r="C2273" s="22">
        <v>14300</v>
      </c>
      <c r="D2273" s="23">
        <v>12000</v>
      </c>
      <c r="E2273" s="24">
        <v>0</v>
      </c>
    </row>
    <row r="2274" spans="1:5" x14ac:dyDescent="0.3">
      <c r="A2274" s="20" t="s">
        <v>39</v>
      </c>
      <c r="B2274" s="21" t="s">
        <v>368</v>
      </c>
      <c r="C2274" s="22">
        <v>14300</v>
      </c>
      <c r="D2274" s="23">
        <v>12000</v>
      </c>
      <c r="E2274" s="24">
        <v>0</v>
      </c>
    </row>
    <row r="2275" spans="1:5" x14ac:dyDescent="0.3">
      <c r="A2275" s="20" t="s">
        <v>39</v>
      </c>
      <c r="B2275" s="21" t="s">
        <v>369</v>
      </c>
      <c r="C2275" s="22">
        <v>14300</v>
      </c>
      <c r="D2275" s="23">
        <v>24000</v>
      </c>
      <c r="E2275" s="24">
        <v>0</v>
      </c>
    </row>
    <row r="2276" spans="1:5" x14ac:dyDescent="0.3">
      <c r="A2276" s="20" t="s">
        <v>39</v>
      </c>
      <c r="B2276" s="21" t="s">
        <v>370</v>
      </c>
      <c r="C2276" s="22">
        <v>14300</v>
      </c>
      <c r="D2276" s="23">
        <v>12000</v>
      </c>
      <c r="E2276" s="24">
        <v>0</v>
      </c>
    </row>
    <row r="2277" spans="1:5" x14ac:dyDescent="0.3">
      <c r="A2277" s="20" t="s">
        <v>39</v>
      </c>
      <c r="B2277" s="21" t="s">
        <v>371</v>
      </c>
      <c r="C2277" s="22">
        <v>14300</v>
      </c>
      <c r="D2277" s="23">
        <v>12000</v>
      </c>
      <c r="E2277" s="24">
        <v>0</v>
      </c>
    </row>
    <row r="2278" spans="1:5" x14ac:dyDescent="0.3">
      <c r="A2278" s="20" t="s">
        <v>39</v>
      </c>
      <c r="B2278" s="21" t="s">
        <v>372</v>
      </c>
      <c r="C2278" s="22">
        <v>14300</v>
      </c>
      <c r="D2278" s="23">
        <v>24000</v>
      </c>
      <c r="E2278" s="24">
        <v>0</v>
      </c>
    </row>
    <row r="2279" spans="1:5" x14ac:dyDescent="0.3">
      <c r="A2279" s="20" t="s">
        <v>39</v>
      </c>
      <c r="B2279" s="21" t="s">
        <v>373</v>
      </c>
      <c r="C2279" s="22">
        <v>7700</v>
      </c>
      <c r="D2279" s="23">
        <v>12000</v>
      </c>
      <c r="E2279" s="24">
        <v>0</v>
      </c>
    </row>
    <row r="2280" spans="1:5" x14ac:dyDescent="0.3">
      <c r="A2280" s="20" t="s">
        <v>39</v>
      </c>
      <c r="B2280" s="21" t="s">
        <v>374</v>
      </c>
      <c r="C2280" s="22">
        <v>14300</v>
      </c>
      <c r="D2280" s="23">
        <v>36000</v>
      </c>
      <c r="E2280" s="24">
        <v>0</v>
      </c>
    </row>
    <row r="2281" spans="1:5" x14ac:dyDescent="0.3">
      <c r="A2281" s="20" t="s">
        <v>39</v>
      </c>
      <c r="B2281" s="21" t="s">
        <v>375</v>
      </c>
      <c r="C2281" s="22">
        <v>14300</v>
      </c>
      <c r="D2281" s="23">
        <v>24000</v>
      </c>
      <c r="E2281" s="24">
        <v>0</v>
      </c>
    </row>
    <row r="2282" spans="1:5" x14ac:dyDescent="0.3">
      <c r="A2282" s="20" t="s">
        <v>39</v>
      </c>
      <c r="B2282" s="21" t="s">
        <v>376</v>
      </c>
      <c r="C2282" s="22">
        <v>14300</v>
      </c>
      <c r="D2282" s="23">
        <v>0</v>
      </c>
      <c r="E2282" s="24">
        <v>0</v>
      </c>
    </row>
    <row r="2283" spans="1:5" x14ac:dyDescent="0.3">
      <c r="A2283" s="20" t="s">
        <v>39</v>
      </c>
      <c r="B2283" s="21" t="s">
        <v>377</v>
      </c>
      <c r="C2283" s="22">
        <v>7700</v>
      </c>
      <c r="D2283" s="23">
        <v>24000</v>
      </c>
      <c r="E2283" s="24">
        <v>0</v>
      </c>
    </row>
    <row r="2284" spans="1:5" x14ac:dyDescent="0.3">
      <c r="A2284" s="16" t="s">
        <v>44</v>
      </c>
      <c r="B2284" s="16" t="s">
        <v>366</v>
      </c>
      <c r="C2284" s="17">
        <v>2200</v>
      </c>
      <c r="D2284" s="18">
        <v>0</v>
      </c>
      <c r="E2284" s="19">
        <v>0</v>
      </c>
    </row>
    <row r="2285" spans="1:5" x14ac:dyDescent="0.3">
      <c r="A2285" s="20" t="s">
        <v>44</v>
      </c>
      <c r="B2285" s="21" t="s">
        <v>367</v>
      </c>
      <c r="C2285" s="22">
        <v>2200</v>
      </c>
      <c r="D2285" s="23">
        <v>5000</v>
      </c>
      <c r="E2285" s="24">
        <v>0</v>
      </c>
    </row>
    <row r="2286" spans="1:5" x14ac:dyDescent="0.3">
      <c r="A2286" s="20" t="s">
        <v>44</v>
      </c>
      <c r="B2286" s="21" t="s">
        <v>368</v>
      </c>
      <c r="C2286" s="22">
        <v>2200</v>
      </c>
      <c r="D2286" s="23">
        <v>0</v>
      </c>
      <c r="E2286" s="24">
        <v>0</v>
      </c>
    </row>
    <row r="2287" spans="1:5" x14ac:dyDescent="0.3">
      <c r="A2287" s="20" t="s">
        <v>44</v>
      </c>
      <c r="B2287" s="21" t="s">
        <v>369</v>
      </c>
      <c r="C2287" s="22">
        <v>2200</v>
      </c>
      <c r="D2287" s="23">
        <v>5000</v>
      </c>
      <c r="E2287" s="24">
        <v>0</v>
      </c>
    </row>
    <row r="2288" spans="1:5" x14ac:dyDescent="0.3">
      <c r="A2288" s="20" t="s">
        <v>44</v>
      </c>
      <c r="B2288" s="21" t="s">
        <v>370</v>
      </c>
      <c r="C2288" s="22">
        <v>2200</v>
      </c>
      <c r="D2288" s="23">
        <v>0</v>
      </c>
      <c r="E2288" s="24">
        <v>0</v>
      </c>
    </row>
    <row r="2289" spans="1:5" x14ac:dyDescent="0.3">
      <c r="A2289" s="20" t="s">
        <v>44</v>
      </c>
      <c r="B2289" s="21" t="s">
        <v>371</v>
      </c>
      <c r="C2289" s="22">
        <v>2200</v>
      </c>
      <c r="D2289" s="23">
        <v>0</v>
      </c>
      <c r="E2289" s="24">
        <v>0</v>
      </c>
    </row>
    <row r="2290" spans="1:5" x14ac:dyDescent="0.3">
      <c r="A2290" s="20" t="s">
        <v>44</v>
      </c>
      <c r="B2290" s="21" t="s">
        <v>372</v>
      </c>
      <c r="C2290" s="22">
        <v>2200</v>
      </c>
      <c r="D2290" s="23">
        <v>5000</v>
      </c>
      <c r="E2290" s="24">
        <v>0</v>
      </c>
    </row>
    <row r="2291" spans="1:5" x14ac:dyDescent="0.3">
      <c r="A2291" s="20" t="s">
        <v>44</v>
      </c>
      <c r="B2291" s="21" t="s">
        <v>373</v>
      </c>
      <c r="C2291" s="22">
        <v>1100</v>
      </c>
      <c r="D2291" s="23">
        <v>0</v>
      </c>
      <c r="E2291" s="24">
        <v>0</v>
      </c>
    </row>
    <row r="2292" spans="1:5" x14ac:dyDescent="0.3">
      <c r="A2292" s="20" t="s">
        <v>44</v>
      </c>
      <c r="B2292" s="21" t="s">
        <v>374</v>
      </c>
      <c r="C2292" s="22">
        <v>2200</v>
      </c>
      <c r="D2292" s="23">
        <v>0</v>
      </c>
      <c r="E2292" s="24">
        <v>0</v>
      </c>
    </row>
    <row r="2293" spans="1:5" x14ac:dyDescent="0.3">
      <c r="A2293" s="20" t="s">
        <v>44</v>
      </c>
      <c r="B2293" s="21" t="s">
        <v>375</v>
      </c>
      <c r="C2293" s="22">
        <v>2200</v>
      </c>
      <c r="D2293" s="23">
        <v>5000</v>
      </c>
      <c r="E2293" s="24">
        <v>0</v>
      </c>
    </row>
    <row r="2294" spans="1:5" x14ac:dyDescent="0.3">
      <c r="A2294" s="20" t="s">
        <v>44</v>
      </c>
      <c r="B2294" s="21" t="s">
        <v>376</v>
      </c>
      <c r="C2294" s="22">
        <v>2200</v>
      </c>
      <c r="D2294" s="23">
        <v>0</v>
      </c>
      <c r="E2294" s="24">
        <v>0</v>
      </c>
    </row>
    <row r="2295" spans="1:5" x14ac:dyDescent="0.3">
      <c r="A2295" s="20" t="s">
        <v>44</v>
      </c>
      <c r="B2295" s="21" t="s">
        <v>377</v>
      </c>
      <c r="C2295" s="22">
        <v>1100</v>
      </c>
      <c r="D2295" s="23">
        <v>0</v>
      </c>
      <c r="E2295" s="24">
        <v>0</v>
      </c>
    </row>
    <row r="2296" spans="1:5" x14ac:dyDescent="0.3">
      <c r="A2296" s="16" t="s">
        <v>48</v>
      </c>
      <c r="B2296" s="16" t="s">
        <v>366</v>
      </c>
      <c r="C2296" s="17">
        <v>2200</v>
      </c>
      <c r="D2296" s="18">
        <v>0</v>
      </c>
      <c r="E2296" s="19">
        <v>0</v>
      </c>
    </row>
    <row r="2297" spans="1:5" x14ac:dyDescent="0.3">
      <c r="A2297" s="20" t="s">
        <v>48</v>
      </c>
      <c r="B2297" s="21" t="s">
        <v>367</v>
      </c>
      <c r="C2297" s="22">
        <v>2200</v>
      </c>
      <c r="D2297" s="23">
        <v>0</v>
      </c>
      <c r="E2297" s="24">
        <v>0</v>
      </c>
    </row>
    <row r="2298" spans="1:5" x14ac:dyDescent="0.3">
      <c r="A2298" s="20" t="s">
        <v>48</v>
      </c>
      <c r="B2298" s="21" t="s">
        <v>368</v>
      </c>
      <c r="C2298" s="22">
        <v>2200</v>
      </c>
      <c r="D2298" s="23">
        <v>10800</v>
      </c>
      <c r="E2298" s="24">
        <v>0</v>
      </c>
    </row>
    <row r="2299" spans="1:5" x14ac:dyDescent="0.3">
      <c r="A2299" s="20" t="s">
        <v>48</v>
      </c>
      <c r="B2299" s="21" t="s">
        <v>369</v>
      </c>
      <c r="C2299" s="22">
        <v>2200</v>
      </c>
      <c r="D2299" s="23">
        <v>0</v>
      </c>
      <c r="E2299" s="24">
        <v>0</v>
      </c>
    </row>
    <row r="2300" spans="1:5" x14ac:dyDescent="0.3">
      <c r="A2300" s="20" t="s">
        <v>48</v>
      </c>
      <c r="B2300" s="21" t="s">
        <v>370</v>
      </c>
      <c r="C2300" s="22">
        <v>2200</v>
      </c>
      <c r="D2300" s="23">
        <v>0</v>
      </c>
      <c r="E2300" s="24">
        <v>0</v>
      </c>
    </row>
    <row r="2301" spans="1:5" x14ac:dyDescent="0.3">
      <c r="A2301" s="20" t="s">
        <v>48</v>
      </c>
      <c r="B2301" s="21" t="s">
        <v>371</v>
      </c>
      <c r="C2301" s="22">
        <v>2200</v>
      </c>
      <c r="D2301" s="23">
        <v>0</v>
      </c>
      <c r="E2301" s="24">
        <v>0</v>
      </c>
    </row>
    <row r="2302" spans="1:5" x14ac:dyDescent="0.3">
      <c r="A2302" s="20" t="s">
        <v>48</v>
      </c>
      <c r="B2302" s="21" t="s">
        <v>372</v>
      </c>
      <c r="C2302" s="22">
        <v>2200</v>
      </c>
      <c r="D2302" s="23">
        <v>0</v>
      </c>
      <c r="E2302" s="24">
        <v>0</v>
      </c>
    </row>
    <row r="2303" spans="1:5" x14ac:dyDescent="0.3">
      <c r="A2303" s="20" t="s">
        <v>48</v>
      </c>
      <c r="B2303" s="21" t="s">
        <v>373</v>
      </c>
      <c r="C2303" s="22">
        <v>1100</v>
      </c>
      <c r="D2303" s="23">
        <v>0</v>
      </c>
      <c r="E2303" s="24">
        <v>0</v>
      </c>
    </row>
    <row r="2304" spans="1:5" x14ac:dyDescent="0.3">
      <c r="A2304" s="20" t="s">
        <v>48</v>
      </c>
      <c r="B2304" s="21" t="s">
        <v>374</v>
      </c>
      <c r="C2304" s="22">
        <v>2200</v>
      </c>
      <c r="D2304" s="23">
        <v>10800</v>
      </c>
      <c r="E2304" s="24">
        <v>0</v>
      </c>
    </row>
    <row r="2305" spans="1:5" x14ac:dyDescent="0.3">
      <c r="A2305" s="20" t="s">
        <v>48</v>
      </c>
      <c r="B2305" s="21" t="s">
        <v>375</v>
      </c>
      <c r="C2305" s="22">
        <v>2200</v>
      </c>
      <c r="D2305" s="23">
        <v>0</v>
      </c>
      <c r="E2305" s="24">
        <v>0</v>
      </c>
    </row>
    <row r="2306" spans="1:5" x14ac:dyDescent="0.3">
      <c r="A2306" s="20" t="s">
        <v>48</v>
      </c>
      <c r="B2306" s="21" t="s">
        <v>376</v>
      </c>
      <c r="C2306" s="22">
        <v>2200</v>
      </c>
      <c r="D2306" s="23">
        <v>0</v>
      </c>
      <c r="E2306" s="24">
        <v>0</v>
      </c>
    </row>
    <row r="2307" spans="1:5" x14ac:dyDescent="0.3">
      <c r="A2307" s="20" t="s">
        <v>48</v>
      </c>
      <c r="B2307" s="21" t="s">
        <v>377</v>
      </c>
      <c r="C2307" s="22">
        <v>1100</v>
      </c>
      <c r="D2307" s="23">
        <v>0</v>
      </c>
      <c r="E2307" s="24">
        <v>0</v>
      </c>
    </row>
    <row r="2308" spans="1:5" x14ac:dyDescent="0.3">
      <c r="A2308" s="16" t="s">
        <v>49</v>
      </c>
      <c r="B2308" s="16" t="s">
        <v>375</v>
      </c>
      <c r="C2308" s="17">
        <v>0</v>
      </c>
      <c r="D2308" s="18">
        <v>0</v>
      </c>
      <c r="E2308" s="19">
        <v>0</v>
      </c>
    </row>
    <row r="2309" spans="1:5" x14ac:dyDescent="0.3">
      <c r="A2309" s="16" t="s">
        <v>143</v>
      </c>
      <c r="B2309" s="16" t="s">
        <v>366</v>
      </c>
      <c r="C2309" s="17">
        <v>7700</v>
      </c>
      <c r="D2309" s="18">
        <v>12000</v>
      </c>
      <c r="E2309" s="19">
        <v>0</v>
      </c>
    </row>
    <row r="2310" spans="1:5" x14ac:dyDescent="0.3">
      <c r="A2310" s="20" t="s">
        <v>143</v>
      </c>
      <c r="B2310" s="21" t="s">
        <v>367</v>
      </c>
      <c r="C2310" s="22">
        <v>7700</v>
      </c>
      <c r="D2310" s="23">
        <v>6000</v>
      </c>
      <c r="E2310" s="24">
        <v>0</v>
      </c>
    </row>
    <row r="2311" spans="1:5" x14ac:dyDescent="0.3">
      <c r="A2311" s="20" t="s">
        <v>143</v>
      </c>
      <c r="B2311" s="21" t="s">
        <v>368</v>
      </c>
      <c r="C2311" s="22">
        <v>7700</v>
      </c>
      <c r="D2311" s="23">
        <v>6000</v>
      </c>
      <c r="E2311" s="24">
        <v>0</v>
      </c>
    </row>
    <row r="2312" spans="1:5" x14ac:dyDescent="0.3">
      <c r="A2312" s="20" t="s">
        <v>143</v>
      </c>
      <c r="B2312" s="21" t="s">
        <v>369</v>
      </c>
      <c r="C2312" s="22">
        <v>7700</v>
      </c>
      <c r="D2312" s="23">
        <v>6000</v>
      </c>
      <c r="E2312" s="24">
        <v>0</v>
      </c>
    </row>
    <row r="2313" spans="1:5" x14ac:dyDescent="0.3">
      <c r="A2313" s="20" t="s">
        <v>143</v>
      </c>
      <c r="B2313" s="21" t="s">
        <v>370</v>
      </c>
      <c r="C2313" s="22">
        <v>7700</v>
      </c>
      <c r="D2313" s="23">
        <v>12000</v>
      </c>
      <c r="E2313" s="24">
        <v>0</v>
      </c>
    </row>
    <row r="2314" spans="1:5" x14ac:dyDescent="0.3">
      <c r="A2314" s="20" t="s">
        <v>143</v>
      </c>
      <c r="B2314" s="21" t="s">
        <v>371</v>
      </c>
      <c r="C2314" s="22">
        <v>7700</v>
      </c>
      <c r="D2314" s="23">
        <v>6000</v>
      </c>
      <c r="E2314" s="24">
        <v>0</v>
      </c>
    </row>
    <row r="2315" spans="1:5" x14ac:dyDescent="0.3">
      <c r="A2315" s="20" t="s">
        <v>143</v>
      </c>
      <c r="B2315" s="21" t="s">
        <v>372</v>
      </c>
      <c r="C2315" s="22">
        <v>7700</v>
      </c>
      <c r="D2315" s="23">
        <v>6000</v>
      </c>
      <c r="E2315" s="24">
        <v>0</v>
      </c>
    </row>
    <row r="2316" spans="1:5" x14ac:dyDescent="0.3">
      <c r="A2316" s="20" t="s">
        <v>143</v>
      </c>
      <c r="B2316" s="21" t="s">
        <v>373</v>
      </c>
      <c r="C2316" s="22">
        <v>3300</v>
      </c>
      <c r="D2316" s="23">
        <v>6000</v>
      </c>
      <c r="E2316" s="24">
        <v>0</v>
      </c>
    </row>
    <row r="2317" spans="1:5" x14ac:dyDescent="0.3">
      <c r="A2317" s="20" t="s">
        <v>143</v>
      </c>
      <c r="B2317" s="21" t="s">
        <v>374</v>
      </c>
      <c r="C2317" s="22">
        <v>7700</v>
      </c>
      <c r="D2317" s="23">
        <v>18000</v>
      </c>
      <c r="E2317" s="24">
        <v>0</v>
      </c>
    </row>
    <row r="2318" spans="1:5" x14ac:dyDescent="0.3">
      <c r="A2318" s="20" t="s">
        <v>143</v>
      </c>
      <c r="B2318" s="21" t="s">
        <v>375</v>
      </c>
      <c r="C2318" s="22">
        <v>7700</v>
      </c>
      <c r="D2318" s="23">
        <v>12000</v>
      </c>
      <c r="E2318" s="24">
        <v>0</v>
      </c>
    </row>
    <row r="2319" spans="1:5" x14ac:dyDescent="0.3">
      <c r="A2319" s="20" t="s">
        <v>143</v>
      </c>
      <c r="B2319" s="21" t="s">
        <v>376</v>
      </c>
      <c r="C2319" s="22">
        <v>7700</v>
      </c>
      <c r="D2319" s="23">
        <v>0</v>
      </c>
      <c r="E2319" s="24">
        <v>0</v>
      </c>
    </row>
    <row r="2320" spans="1:5" x14ac:dyDescent="0.3">
      <c r="A2320" s="20" t="s">
        <v>143</v>
      </c>
      <c r="B2320" s="21" t="s">
        <v>377</v>
      </c>
      <c r="C2320" s="22">
        <v>3300</v>
      </c>
      <c r="D2320" s="23">
        <v>12000</v>
      </c>
      <c r="E2320" s="24">
        <v>0</v>
      </c>
    </row>
    <row r="2321" spans="1:5" x14ac:dyDescent="0.3">
      <c r="A2321" s="16" t="s">
        <v>191</v>
      </c>
      <c r="B2321" s="16" t="s">
        <v>366</v>
      </c>
      <c r="C2321" s="17">
        <v>5500</v>
      </c>
      <c r="D2321" s="18">
        <v>0</v>
      </c>
      <c r="E2321" s="19">
        <v>0</v>
      </c>
    </row>
    <row r="2322" spans="1:5" x14ac:dyDescent="0.3">
      <c r="A2322" s="20" t="s">
        <v>191</v>
      </c>
      <c r="B2322" s="21" t="s">
        <v>367</v>
      </c>
      <c r="C2322" s="22">
        <v>5500</v>
      </c>
      <c r="D2322" s="23">
        <v>0</v>
      </c>
      <c r="E2322" s="24">
        <v>0</v>
      </c>
    </row>
    <row r="2323" spans="1:5" x14ac:dyDescent="0.3">
      <c r="A2323" s="20" t="s">
        <v>191</v>
      </c>
      <c r="B2323" s="21" t="s">
        <v>368</v>
      </c>
      <c r="C2323" s="22">
        <v>5500</v>
      </c>
      <c r="D2323" s="23">
        <v>0</v>
      </c>
      <c r="E2323" s="24">
        <v>0</v>
      </c>
    </row>
    <row r="2324" spans="1:5" x14ac:dyDescent="0.3">
      <c r="A2324" s="20" t="s">
        <v>191</v>
      </c>
      <c r="B2324" s="21" t="s">
        <v>369</v>
      </c>
      <c r="C2324" s="22">
        <v>5500</v>
      </c>
      <c r="D2324" s="23">
        <v>0</v>
      </c>
      <c r="E2324" s="24">
        <v>0</v>
      </c>
    </row>
    <row r="2325" spans="1:5" x14ac:dyDescent="0.3">
      <c r="A2325" s="20" t="s">
        <v>191</v>
      </c>
      <c r="B2325" s="21" t="s">
        <v>370</v>
      </c>
      <c r="C2325" s="22">
        <v>5500</v>
      </c>
      <c r="D2325" s="23">
        <v>0</v>
      </c>
      <c r="E2325" s="24">
        <v>0</v>
      </c>
    </row>
    <row r="2326" spans="1:5" x14ac:dyDescent="0.3">
      <c r="A2326" s="20" t="s">
        <v>191</v>
      </c>
      <c r="B2326" s="21" t="s">
        <v>371</v>
      </c>
      <c r="C2326" s="22">
        <v>5500</v>
      </c>
      <c r="D2326" s="23">
        <v>0</v>
      </c>
      <c r="E2326" s="24">
        <v>0</v>
      </c>
    </row>
    <row r="2327" spans="1:5" x14ac:dyDescent="0.3">
      <c r="A2327" s="20" t="s">
        <v>191</v>
      </c>
      <c r="B2327" s="21" t="s">
        <v>372</v>
      </c>
      <c r="C2327" s="22">
        <v>5500</v>
      </c>
      <c r="D2327" s="23">
        <v>0</v>
      </c>
      <c r="E2327" s="24">
        <v>0</v>
      </c>
    </row>
    <row r="2328" spans="1:5" x14ac:dyDescent="0.3">
      <c r="A2328" s="20" t="s">
        <v>191</v>
      </c>
      <c r="B2328" s="21" t="s">
        <v>373</v>
      </c>
      <c r="C2328" s="22">
        <v>2200</v>
      </c>
      <c r="D2328" s="23">
        <v>22440</v>
      </c>
      <c r="E2328" s="24">
        <v>0</v>
      </c>
    </row>
    <row r="2329" spans="1:5" x14ac:dyDescent="0.3">
      <c r="A2329" s="20" t="s">
        <v>191</v>
      </c>
      <c r="B2329" s="21" t="s">
        <v>374</v>
      </c>
      <c r="C2329" s="22">
        <v>5500</v>
      </c>
      <c r="D2329" s="23">
        <v>0</v>
      </c>
      <c r="E2329" s="24">
        <v>0</v>
      </c>
    </row>
    <row r="2330" spans="1:5" x14ac:dyDescent="0.3">
      <c r="A2330" s="20" t="s">
        <v>191</v>
      </c>
      <c r="B2330" s="21" t="s">
        <v>375</v>
      </c>
      <c r="C2330" s="22">
        <v>5500</v>
      </c>
      <c r="D2330" s="23">
        <v>0</v>
      </c>
      <c r="E2330" s="24">
        <v>0</v>
      </c>
    </row>
    <row r="2331" spans="1:5" x14ac:dyDescent="0.3">
      <c r="A2331" s="20" t="s">
        <v>191</v>
      </c>
      <c r="B2331" s="21" t="s">
        <v>376</v>
      </c>
      <c r="C2331" s="22">
        <v>5500</v>
      </c>
      <c r="D2331" s="23">
        <v>0</v>
      </c>
      <c r="E2331" s="24">
        <v>0</v>
      </c>
    </row>
    <row r="2332" spans="1:5" x14ac:dyDescent="0.3">
      <c r="A2332" s="20" t="s">
        <v>191</v>
      </c>
      <c r="B2332" s="21" t="s">
        <v>377</v>
      </c>
      <c r="C2332" s="22">
        <v>2200</v>
      </c>
      <c r="D2332" s="23">
        <v>0</v>
      </c>
      <c r="E2332" s="24">
        <v>0</v>
      </c>
    </row>
    <row r="2333" spans="1:5" x14ac:dyDescent="0.3">
      <c r="A2333" s="16" t="s">
        <v>348</v>
      </c>
      <c r="B2333" s="16" t="s">
        <v>366</v>
      </c>
      <c r="C2333" s="17">
        <v>0</v>
      </c>
      <c r="D2333" s="18">
        <v>0</v>
      </c>
      <c r="E2333" s="19">
        <v>0</v>
      </c>
    </row>
    <row r="2334" spans="1:5" x14ac:dyDescent="0.3">
      <c r="A2334" s="16" t="s">
        <v>237</v>
      </c>
      <c r="B2334" s="16" t="s">
        <v>366</v>
      </c>
      <c r="C2334" s="17">
        <v>1100</v>
      </c>
      <c r="D2334" s="18">
        <v>0</v>
      </c>
      <c r="E2334" s="19">
        <v>0</v>
      </c>
    </row>
    <row r="2335" spans="1:5" x14ac:dyDescent="0.3">
      <c r="A2335" s="20" t="s">
        <v>237</v>
      </c>
      <c r="B2335" s="21" t="s">
        <v>367</v>
      </c>
      <c r="C2335" s="22">
        <v>1100</v>
      </c>
      <c r="D2335" s="23">
        <v>0</v>
      </c>
      <c r="E2335" s="24">
        <v>0</v>
      </c>
    </row>
    <row r="2336" spans="1:5" x14ac:dyDescent="0.3">
      <c r="A2336" s="20" t="s">
        <v>237</v>
      </c>
      <c r="B2336" s="21" t="s">
        <v>368</v>
      </c>
      <c r="C2336" s="22">
        <v>1100</v>
      </c>
      <c r="D2336" s="23">
        <v>0</v>
      </c>
      <c r="E2336" s="24">
        <v>0</v>
      </c>
    </row>
    <row r="2337" spans="1:5" x14ac:dyDescent="0.3">
      <c r="A2337" s="20" t="s">
        <v>237</v>
      </c>
      <c r="B2337" s="21" t="s">
        <v>369</v>
      </c>
      <c r="C2337" s="22">
        <v>1100</v>
      </c>
      <c r="D2337" s="23">
        <v>5000</v>
      </c>
      <c r="E2337" s="24">
        <v>0</v>
      </c>
    </row>
    <row r="2338" spans="1:5" x14ac:dyDescent="0.3">
      <c r="A2338" s="20" t="s">
        <v>237</v>
      </c>
      <c r="B2338" s="21" t="s">
        <v>370</v>
      </c>
      <c r="C2338" s="22">
        <v>1100</v>
      </c>
      <c r="D2338" s="23">
        <v>0</v>
      </c>
      <c r="E2338" s="24">
        <v>0</v>
      </c>
    </row>
    <row r="2339" spans="1:5" x14ac:dyDescent="0.3">
      <c r="A2339" s="20" t="s">
        <v>237</v>
      </c>
      <c r="B2339" s="21" t="s">
        <v>371</v>
      </c>
      <c r="C2339" s="22">
        <v>1100</v>
      </c>
      <c r="D2339" s="23">
        <v>0</v>
      </c>
      <c r="E2339" s="24">
        <v>0</v>
      </c>
    </row>
    <row r="2340" spans="1:5" x14ac:dyDescent="0.3">
      <c r="A2340" s="20" t="s">
        <v>237</v>
      </c>
      <c r="B2340" s="21" t="s">
        <v>372</v>
      </c>
      <c r="C2340" s="22">
        <v>1100</v>
      </c>
      <c r="D2340" s="23">
        <v>0</v>
      </c>
      <c r="E2340" s="24">
        <v>0</v>
      </c>
    </row>
    <row r="2341" spans="1:5" x14ac:dyDescent="0.3">
      <c r="A2341" s="20" t="s">
        <v>237</v>
      </c>
      <c r="B2341" s="21" t="s">
        <v>373</v>
      </c>
      <c r="C2341" s="22">
        <v>1100</v>
      </c>
      <c r="D2341" s="23">
        <v>5000</v>
      </c>
      <c r="E2341" s="24">
        <v>0</v>
      </c>
    </row>
    <row r="2342" spans="1:5" x14ac:dyDescent="0.3">
      <c r="A2342" s="20" t="s">
        <v>237</v>
      </c>
      <c r="B2342" s="21" t="s">
        <v>374</v>
      </c>
      <c r="C2342" s="22">
        <v>1100</v>
      </c>
      <c r="D2342" s="23">
        <v>0</v>
      </c>
      <c r="E2342" s="24">
        <v>0</v>
      </c>
    </row>
    <row r="2343" spans="1:5" x14ac:dyDescent="0.3">
      <c r="A2343" s="20" t="s">
        <v>237</v>
      </c>
      <c r="B2343" s="21" t="s">
        <v>375</v>
      </c>
      <c r="C2343" s="22">
        <v>1100</v>
      </c>
      <c r="D2343" s="23">
        <v>0</v>
      </c>
      <c r="E2343" s="24">
        <v>0</v>
      </c>
    </row>
    <row r="2344" spans="1:5" x14ac:dyDescent="0.3">
      <c r="A2344" s="20" t="s">
        <v>237</v>
      </c>
      <c r="B2344" s="21" t="s">
        <v>376</v>
      </c>
      <c r="C2344" s="22">
        <v>1100</v>
      </c>
      <c r="D2344" s="23">
        <v>0</v>
      </c>
      <c r="E2344" s="24">
        <v>0</v>
      </c>
    </row>
    <row r="2345" spans="1:5" x14ac:dyDescent="0.3">
      <c r="A2345" s="20" t="s">
        <v>237</v>
      </c>
      <c r="B2345" s="21" t="s">
        <v>377</v>
      </c>
      <c r="C2345" s="22">
        <v>1100</v>
      </c>
      <c r="D2345" s="23">
        <v>0</v>
      </c>
      <c r="E2345" s="24">
        <v>0</v>
      </c>
    </row>
    <row r="2346" spans="1:5" x14ac:dyDescent="0.3">
      <c r="A2346" s="16" t="s">
        <v>240</v>
      </c>
      <c r="B2346" s="16" t="s">
        <v>366</v>
      </c>
      <c r="C2346" s="17">
        <v>2200</v>
      </c>
      <c r="D2346" s="18">
        <v>0</v>
      </c>
      <c r="E2346" s="19">
        <v>0</v>
      </c>
    </row>
    <row r="2347" spans="1:5" x14ac:dyDescent="0.3">
      <c r="A2347" s="20" t="s">
        <v>240</v>
      </c>
      <c r="B2347" s="21" t="s">
        <v>367</v>
      </c>
      <c r="C2347" s="22">
        <v>2200</v>
      </c>
      <c r="D2347" s="23">
        <v>10200</v>
      </c>
      <c r="E2347" s="24">
        <v>0</v>
      </c>
    </row>
    <row r="2348" spans="1:5" x14ac:dyDescent="0.3">
      <c r="A2348" s="20" t="s">
        <v>240</v>
      </c>
      <c r="B2348" s="21" t="s">
        <v>368</v>
      </c>
      <c r="C2348" s="22">
        <v>2200</v>
      </c>
      <c r="D2348" s="23">
        <v>0</v>
      </c>
      <c r="E2348" s="24">
        <v>0</v>
      </c>
    </row>
    <row r="2349" spans="1:5" x14ac:dyDescent="0.3">
      <c r="A2349" s="20" t="s">
        <v>240</v>
      </c>
      <c r="B2349" s="21" t="s">
        <v>369</v>
      </c>
      <c r="C2349" s="22">
        <v>2200</v>
      </c>
      <c r="D2349" s="23">
        <v>0</v>
      </c>
      <c r="E2349" s="24">
        <v>0</v>
      </c>
    </row>
    <row r="2350" spans="1:5" x14ac:dyDescent="0.3">
      <c r="A2350" s="20" t="s">
        <v>240</v>
      </c>
      <c r="B2350" s="21" t="s">
        <v>370</v>
      </c>
      <c r="C2350" s="22">
        <v>2200</v>
      </c>
      <c r="D2350" s="23">
        <v>0</v>
      </c>
      <c r="E2350" s="24">
        <v>0</v>
      </c>
    </row>
    <row r="2351" spans="1:5" x14ac:dyDescent="0.3">
      <c r="A2351" s="20" t="s">
        <v>240</v>
      </c>
      <c r="B2351" s="21" t="s">
        <v>371</v>
      </c>
      <c r="C2351" s="22">
        <v>2200</v>
      </c>
      <c r="D2351" s="23">
        <v>0</v>
      </c>
      <c r="E2351" s="24">
        <v>0</v>
      </c>
    </row>
    <row r="2352" spans="1:5" x14ac:dyDescent="0.3">
      <c r="A2352" s="20" t="s">
        <v>240</v>
      </c>
      <c r="B2352" s="21" t="s">
        <v>372</v>
      </c>
      <c r="C2352" s="22">
        <v>2200</v>
      </c>
      <c r="D2352" s="23">
        <v>0</v>
      </c>
      <c r="E2352" s="24">
        <v>0</v>
      </c>
    </row>
    <row r="2353" spans="1:5" x14ac:dyDescent="0.3">
      <c r="A2353" s="20" t="s">
        <v>240</v>
      </c>
      <c r="B2353" s="21" t="s">
        <v>373</v>
      </c>
      <c r="C2353" s="22">
        <v>1100</v>
      </c>
      <c r="D2353" s="23">
        <v>0</v>
      </c>
      <c r="E2353" s="24">
        <v>0</v>
      </c>
    </row>
    <row r="2354" spans="1:5" x14ac:dyDescent="0.3">
      <c r="A2354" s="20" t="s">
        <v>240</v>
      </c>
      <c r="B2354" s="21" t="s">
        <v>374</v>
      </c>
      <c r="C2354" s="22">
        <v>2200</v>
      </c>
      <c r="D2354" s="23">
        <v>0</v>
      </c>
      <c r="E2354" s="24">
        <v>0</v>
      </c>
    </row>
    <row r="2355" spans="1:5" x14ac:dyDescent="0.3">
      <c r="A2355" s="20" t="s">
        <v>240</v>
      </c>
      <c r="B2355" s="21" t="s">
        <v>375</v>
      </c>
      <c r="C2355" s="22">
        <v>2200</v>
      </c>
      <c r="D2355" s="23">
        <v>0</v>
      </c>
      <c r="E2355" s="24">
        <v>0</v>
      </c>
    </row>
    <row r="2356" spans="1:5" x14ac:dyDescent="0.3">
      <c r="A2356" s="20" t="s">
        <v>240</v>
      </c>
      <c r="B2356" s="21" t="s">
        <v>376</v>
      </c>
      <c r="C2356" s="22">
        <v>2200</v>
      </c>
      <c r="D2356" s="23">
        <v>0</v>
      </c>
      <c r="E2356" s="24">
        <v>0</v>
      </c>
    </row>
    <row r="2357" spans="1:5" x14ac:dyDescent="0.3">
      <c r="A2357" s="20" t="s">
        <v>240</v>
      </c>
      <c r="B2357" s="21" t="s">
        <v>377</v>
      </c>
      <c r="C2357" s="22">
        <v>1100</v>
      </c>
      <c r="D2357" s="23">
        <v>0</v>
      </c>
      <c r="E2357" s="24">
        <v>0</v>
      </c>
    </row>
    <row r="2358" spans="1:5" x14ac:dyDescent="0.3">
      <c r="A2358" s="16" t="s">
        <v>241</v>
      </c>
      <c r="B2358" s="16" t="s">
        <v>366</v>
      </c>
      <c r="C2358" s="17">
        <v>0</v>
      </c>
      <c r="D2358" s="18">
        <v>5000</v>
      </c>
      <c r="E2358" s="19">
        <v>0</v>
      </c>
    </row>
    <row r="2359" spans="1:5" x14ac:dyDescent="0.3">
      <c r="A2359" s="20" t="s">
        <v>241</v>
      </c>
      <c r="B2359" s="21" t="s">
        <v>370</v>
      </c>
      <c r="C2359" s="22">
        <v>0</v>
      </c>
      <c r="D2359" s="23">
        <v>5000</v>
      </c>
      <c r="E2359" s="24">
        <v>0</v>
      </c>
    </row>
    <row r="2360" spans="1:5" x14ac:dyDescent="0.3">
      <c r="A2360" s="20" t="s">
        <v>241</v>
      </c>
      <c r="B2360" s="21" t="s">
        <v>373</v>
      </c>
      <c r="C2360" s="22">
        <v>0</v>
      </c>
      <c r="D2360" s="23">
        <v>0</v>
      </c>
      <c r="E2360" s="24">
        <v>0</v>
      </c>
    </row>
    <row r="2361" spans="1:5" x14ac:dyDescent="0.3">
      <c r="A2361" s="20" t="s">
        <v>241</v>
      </c>
      <c r="B2361" s="21" t="s">
        <v>375</v>
      </c>
      <c r="C2361" s="22">
        <v>0</v>
      </c>
      <c r="D2361" s="23">
        <v>5000</v>
      </c>
      <c r="E2361" s="24">
        <v>0</v>
      </c>
    </row>
    <row r="2362" spans="1:5" x14ac:dyDescent="0.3">
      <c r="A2362" s="16" t="s">
        <v>355</v>
      </c>
      <c r="B2362" s="16" t="s">
        <v>366</v>
      </c>
      <c r="C2362" s="17">
        <v>1100</v>
      </c>
      <c r="D2362" s="18">
        <v>0</v>
      </c>
      <c r="E2362" s="19">
        <v>0</v>
      </c>
    </row>
    <row r="2363" spans="1:5" x14ac:dyDescent="0.3">
      <c r="A2363" s="20" t="s">
        <v>355</v>
      </c>
      <c r="B2363" s="21" t="s">
        <v>367</v>
      </c>
      <c r="C2363" s="22">
        <v>1100</v>
      </c>
      <c r="D2363" s="23">
        <v>0</v>
      </c>
      <c r="E2363" s="24">
        <v>0</v>
      </c>
    </row>
    <row r="2364" spans="1:5" x14ac:dyDescent="0.3">
      <c r="A2364" s="20" t="s">
        <v>355</v>
      </c>
      <c r="B2364" s="21" t="s">
        <v>368</v>
      </c>
      <c r="C2364" s="22">
        <v>1100</v>
      </c>
      <c r="D2364" s="23">
        <v>0</v>
      </c>
      <c r="E2364" s="24">
        <v>0</v>
      </c>
    </row>
    <row r="2365" spans="1:5" x14ac:dyDescent="0.3">
      <c r="A2365" s="20" t="s">
        <v>355</v>
      </c>
      <c r="B2365" s="21" t="s">
        <v>369</v>
      </c>
      <c r="C2365" s="22">
        <v>1100</v>
      </c>
      <c r="D2365" s="23">
        <v>3000</v>
      </c>
      <c r="E2365" s="24">
        <v>0</v>
      </c>
    </row>
    <row r="2366" spans="1:5" x14ac:dyDescent="0.3">
      <c r="A2366" s="20" t="s">
        <v>355</v>
      </c>
      <c r="B2366" s="21" t="s">
        <v>370</v>
      </c>
      <c r="C2366" s="22">
        <v>1100</v>
      </c>
      <c r="D2366" s="23">
        <v>0</v>
      </c>
      <c r="E2366" s="24">
        <v>0</v>
      </c>
    </row>
    <row r="2367" spans="1:5" x14ac:dyDescent="0.3">
      <c r="A2367" s="20" t="s">
        <v>355</v>
      </c>
      <c r="B2367" s="21" t="s">
        <v>371</v>
      </c>
      <c r="C2367" s="22">
        <v>1100</v>
      </c>
      <c r="D2367" s="23">
        <v>0</v>
      </c>
      <c r="E2367" s="24">
        <v>0</v>
      </c>
    </row>
    <row r="2368" spans="1:5" x14ac:dyDescent="0.3">
      <c r="A2368" s="20" t="s">
        <v>355</v>
      </c>
      <c r="B2368" s="21" t="s">
        <v>372</v>
      </c>
      <c r="C2368" s="22">
        <v>1100</v>
      </c>
      <c r="D2368" s="23">
        <v>0</v>
      </c>
      <c r="E2368" s="24">
        <v>0</v>
      </c>
    </row>
    <row r="2369" spans="1:5" x14ac:dyDescent="0.3">
      <c r="A2369" s="20" t="s">
        <v>355</v>
      </c>
      <c r="B2369" s="21" t="s">
        <v>373</v>
      </c>
      <c r="C2369" s="22">
        <v>1100</v>
      </c>
      <c r="D2369" s="23">
        <v>3000</v>
      </c>
      <c r="E2369" s="24">
        <v>0</v>
      </c>
    </row>
    <row r="2370" spans="1:5" x14ac:dyDescent="0.3">
      <c r="A2370" s="20" t="s">
        <v>355</v>
      </c>
      <c r="B2370" s="21" t="s">
        <v>374</v>
      </c>
      <c r="C2370" s="22">
        <v>1100</v>
      </c>
      <c r="D2370" s="23">
        <v>0</v>
      </c>
      <c r="E2370" s="24">
        <v>0</v>
      </c>
    </row>
    <row r="2371" spans="1:5" x14ac:dyDescent="0.3">
      <c r="A2371" s="20" t="s">
        <v>355</v>
      </c>
      <c r="B2371" s="21" t="s">
        <v>375</v>
      </c>
      <c r="C2371" s="22">
        <v>1100</v>
      </c>
      <c r="D2371" s="23">
        <v>3000</v>
      </c>
      <c r="E2371" s="24">
        <v>0</v>
      </c>
    </row>
    <row r="2372" spans="1:5" x14ac:dyDescent="0.3">
      <c r="A2372" s="20" t="s">
        <v>355</v>
      </c>
      <c r="B2372" s="21" t="s">
        <v>376</v>
      </c>
      <c r="C2372" s="22">
        <v>1100</v>
      </c>
      <c r="D2372" s="23">
        <v>0</v>
      </c>
      <c r="E2372" s="24">
        <v>0</v>
      </c>
    </row>
    <row r="2373" spans="1:5" x14ac:dyDescent="0.3">
      <c r="A2373" s="20" t="s">
        <v>355</v>
      </c>
      <c r="B2373" s="21" t="s">
        <v>377</v>
      </c>
      <c r="C2373" s="22">
        <v>1100</v>
      </c>
      <c r="D2373" s="23">
        <v>0</v>
      </c>
      <c r="E2373" s="24">
        <v>0</v>
      </c>
    </row>
    <row r="2374" spans="1:5" x14ac:dyDescent="0.3">
      <c r="A2374" s="16" t="s">
        <v>259</v>
      </c>
      <c r="B2374" s="16" t="s">
        <v>366</v>
      </c>
      <c r="C2374" s="17">
        <v>6600</v>
      </c>
      <c r="D2374" s="18">
        <v>0</v>
      </c>
      <c r="E2374" s="19">
        <v>0</v>
      </c>
    </row>
    <row r="2375" spans="1:5" x14ac:dyDescent="0.3">
      <c r="A2375" s="20" t="s">
        <v>259</v>
      </c>
      <c r="B2375" s="21" t="s">
        <v>367</v>
      </c>
      <c r="C2375" s="22">
        <v>6600</v>
      </c>
      <c r="D2375" s="23">
        <v>0</v>
      </c>
      <c r="E2375" s="24">
        <v>0</v>
      </c>
    </row>
    <row r="2376" spans="1:5" x14ac:dyDescent="0.3">
      <c r="A2376" s="20" t="s">
        <v>259</v>
      </c>
      <c r="B2376" s="21" t="s">
        <v>368</v>
      </c>
      <c r="C2376" s="22">
        <v>6600</v>
      </c>
      <c r="D2376" s="23">
        <v>0</v>
      </c>
      <c r="E2376" s="24">
        <v>0</v>
      </c>
    </row>
    <row r="2377" spans="1:5" x14ac:dyDescent="0.3">
      <c r="A2377" s="20" t="s">
        <v>259</v>
      </c>
      <c r="B2377" s="21" t="s">
        <v>369</v>
      </c>
      <c r="C2377" s="22">
        <v>6600</v>
      </c>
      <c r="D2377" s="23">
        <v>28800</v>
      </c>
      <c r="E2377" s="24">
        <v>0</v>
      </c>
    </row>
    <row r="2378" spans="1:5" x14ac:dyDescent="0.3">
      <c r="A2378" s="20" t="s">
        <v>259</v>
      </c>
      <c r="B2378" s="21" t="s">
        <v>370</v>
      </c>
      <c r="C2378" s="22">
        <v>6600</v>
      </c>
      <c r="D2378" s="23">
        <v>0</v>
      </c>
      <c r="E2378" s="24">
        <v>0</v>
      </c>
    </row>
    <row r="2379" spans="1:5" x14ac:dyDescent="0.3">
      <c r="A2379" s="20" t="s">
        <v>259</v>
      </c>
      <c r="B2379" s="21" t="s">
        <v>371</v>
      </c>
      <c r="C2379" s="22">
        <v>6600</v>
      </c>
      <c r="D2379" s="23">
        <v>0</v>
      </c>
      <c r="E2379" s="24">
        <v>0</v>
      </c>
    </row>
    <row r="2380" spans="1:5" x14ac:dyDescent="0.3">
      <c r="A2380" s="20" t="s">
        <v>259</v>
      </c>
      <c r="B2380" s="21" t="s">
        <v>372</v>
      </c>
      <c r="C2380" s="22">
        <v>6600</v>
      </c>
      <c r="D2380" s="23">
        <v>0</v>
      </c>
      <c r="E2380" s="24">
        <v>0</v>
      </c>
    </row>
    <row r="2381" spans="1:5" x14ac:dyDescent="0.3">
      <c r="A2381" s="20" t="s">
        <v>259</v>
      </c>
      <c r="B2381" s="21" t="s">
        <v>373</v>
      </c>
      <c r="C2381" s="22">
        <v>3300</v>
      </c>
      <c r="D2381" s="23">
        <v>0</v>
      </c>
      <c r="E2381" s="24">
        <v>0</v>
      </c>
    </row>
    <row r="2382" spans="1:5" x14ac:dyDescent="0.3">
      <c r="A2382" s="20" t="s">
        <v>259</v>
      </c>
      <c r="B2382" s="21" t="s">
        <v>374</v>
      </c>
      <c r="C2382" s="22">
        <v>6600</v>
      </c>
      <c r="D2382" s="23">
        <v>0</v>
      </c>
      <c r="E2382" s="24">
        <v>0</v>
      </c>
    </row>
    <row r="2383" spans="1:5" x14ac:dyDescent="0.3">
      <c r="A2383" s="20" t="s">
        <v>259</v>
      </c>
      <c r="B2383" s="21" t="s">
        <v>375</v>
      </c>
      <c r="C2383" s="22">
        <v>6600</v>
      </c>
      <c r="D2383" s="23">
        <v>0</v>
      </c>
      <c r="E2383" s="24">
        <v>0</v>
      </c>
    </row>
    <row r="2384" spans="1:5" x14ac:dyDescent="0.3">
      <c r="A2384" s="20" t="s">
        <v>259</v>
      </c>
      <c r="B2384" s="21" t="s">
        <v>376</v>
      </c>
      <c r="C2384" s="22">
        <v>6600</v>
      </c>
      <c r="D2384" s="23">
        <v>0</v>
      </c>
      <c r="E2384" s="24">
        <v>0</v>
      </c>
    </row>
    <row r="2385" spans="1:5" x14ac:dyDescent="0.3">
      <c r="A2385" s="20" t="s">
        <v>259</v>
      </c>
      <c r="B2385" s="21" t="s">
        <v>377</v>
      </c>
      <c r="C2385" s="22">
        <v>3300</v>
      </c>
      <c r="D2385" s="23">
        <v>0</v>
      </c>
      <c r="E2385" s="24">
        <v>0</v>
      </c>
    </row>
    <row r="2386" spans="1:5" x14ac:dyDescent="0.3">
      <c r="A2386" s="16" t="s">
        <v>275</v>
      </c>
      <c r="B2386" s="16" t="s">
        <v>366</v>
      </c>
      <c r="C2386" s="17">
        <v>3300</v>
      </c>
      <c r="D2386" s="18">
        <v>0</v>
      </c>
      <c r="E2386" s="19">
        <v>0</v>
      </c>
    </row>
    <row r="2387" spans="1:5" x14ac:dyDescent="0.3">
      <c r="A2387" s="20" t="s">
        <v>275</v>
      </c>
      <c r="B2387" s="21" t="s">
        <v>367</v>
      </c>
      <c r="C2387" s="22">
        <v>3300</v>
      </c>
      <c r="D2387" s="23">
        <v>0</v>
      </c>
      <c r="E2387" s="24">
        <v>0</v>
      </c>
    </row>
    <row r="2388" spans="1:5" x14ac:dyDescent="0.3">
      <c r="A2388" s="20" t="s">
        <v>275</v>
      </c>
      <c r="B2388" s="21" t="s">
        <v>368</v>
      </c>
      <c r="C2388" s="22">
        <v>3300</v>
      </c>
      <c r="D2388" s="23">
        <v>0</v>
      </c>
      <c r="E2388" s="24">
        <v>0</v>
      </c>
    </row>
    <row r="2389" spans="1:5" x14ac:dyDescent="0.3">
      <c r="A2389" s="20" t="s">
        <v>275</v>
      </c>
      <c r="B2389" s="21" t="s">
        <v>369</v>
      </c>
      <c r="C2389" s="22">
        <v>3300</v>
      </c>
      <c r="D2389" s="23">
        <v>0</v>
      </c>
      <c r="E2389" s="24">
        <v>0</v>
      </c>
    </row>
    <row r="2390" spans="1:5" x14ac:dyDescent="0.3">
      <c r="A2390" s="20" t="s">
        <v>275</v>
      </c>
      <c r="B2390" s="21" t="s">
        <v>370</v>
      </c>
      <c r="C2390" s="22">
        <v>3300</v>
      </c>
      <c r="D2390" s="23">
        <v>0</v>
      </c>
      <c r="E2390" s="24">
        <v>0</v>
      </c>
    </row>
    <row r="2391" spans="1:5" x14ac:dyDescent="0.3">
      <c r="A2391" s="20" t="s">
        <v>275</v>
      </c>
      <c r="B2391" s="21" t="s">
        <v>371</v>
      </c>
      <c r="C2391" s="22">
        <v>3300</v>
      </c>
      <c r="D2391" s="23">
        <v>0</v>
      </c>
      <c r="E2391" s="24">
        <v>0</v>
      </c>
    </row>
    <row r="2392" spans="1:5" x14ac:dyDescent="0.3">
      <c r="A2392" s="20" t="s">
        <v>275</v>
      </c>
      <c r="B2392" s="21" t="s">
        <v>372</v>
      </c>
      <c r="C2392" s="22">
        <v>3300</v>
      </c>
      <c r="D2392" s="23">
        <v>0</v>
      </c>
      <c r="E2392" s="24">
        <v>0</v>
      </c>
    </row>
    <row r="2393" spans="1:5" x14ac:dyDescent="0.3">
      <c r="A2393" s="20" t="s">
        <v>275</v>
      </c>
      <c r="B2393" s="21" t="s">
        <v>373</v>
      </c>
      <c r="C2393" s="22">
        <v>1100</v>
      </c>
      <c r="D2393" s="23">
        <v>0</v>
      </c>
      <c r="E2393" s="24">
        <v>0</v>
      </c>
    </row>
    <row r="2394" spans="1:5" x14ac:dyDescent="0.3">
      <c r="A2394" s="20" t="s">
        <v>275</v>
      </c>
      <c r="B2394" s="21" t="s">
        <v>374</v>
      </c>
      <c r="C2394" s="22">
        <v>3300</v>
      </c>
      <c r="D2394" s="23">
        <v>0</v>
      </c>
      <c r="E2394" s="24">
        <v>0</v>
      </c>
    </row>
    <row r="2395" spans="1:5" x14ac:dyDescent="0.3">
      <c r="A2395" s="20" t="s">
        <v>275</v>
      </c>
      <c r="B2395" s="21" t="s">
        <v>375</v>
      </c>
      <c r="C2395" s="22">
        <v>3300</v>
      </c>
      <c r="D2395" s="23">
        <v>0</v>
      </c>
      <c r="E2395" s="24">
        <v>0</v>
      </c>
    </row>
    <row r="2396" spans="1:5" x14ac:dyDescent="0.3">
      <c r="A2396" s="20" t="s">
        <v>275</v>
      </c>
      <c r="B2396" s="21" t="s">
        <v>376</v>
      </c>
      <c r="C2396" s="22">
        <v>3300</v>
      </c>
      <c r="D2396" s="23">
        <v>0</v>
      </c>
      <c r="E2396" s="24">
        <v>0</v>
      </c>
    </row>
    <row r="2397" spans="1:5" x14ac:dyDescent="0.3">
      <c r="A2397" s="20" t="s">
        <v>275</v>
      </c>
      <c r="B2397" s="21" t="s">
        <v>377</v>
      </c>
      <c r="C2397" s="22">
        <v>1100</v>
      </c>
      <c r="D2397" s="23">
        <v>0</v>
      </c>
      <c r="E2397" s="24">
        <v>0</v>
      </c>
    </row>
    <row r="2398" spans="1:5" x14ac:dyDescent="0.3">
      <c r="A2398" s="16" t="s">
        <v>282</v>
      </c>
      <c r="B2398" s="16" t="s">
        <v>368</v>
      </c>
      <c r="C2398" s="17">
        <v>0</v>
      </c>
      <c r="D2398" s="18">
        <v>28800</v>
      </c>
      <c r="E2398" s="19">
        <v>0</v>
      </c>
    </row>
    <row r="2399" spans="1:5" x14ac:dyDescent="0.3">
      <c r="A2399" s="20" t="s">
        <v>282</v>
      </c>
      <c r="B2399" s="21" t="s">
        <v>374</v>
      </c>
      <c r="C2399" s="22">
        <v>0</v>
      </c>
      <c r="D2399" s="23">
        <v>28800</v>
      </c>
      <c r="E2399" s="24">
        <v>0</v>
      </c>
    </row>
    <row r="2400" spans="1:5" x14ac:dyDescent="0.3">
      <c r="A2400" s="20" t="s">
        <v>282</v>
      </c>
      <c r="B2400" s="21" t="s">
        <v>377</v>
      </c>
      <c r="C2400" s="22">
        <v>0</v>
      </c>
      <c r="D2400" s="23">
        <v>28800</v>
      </c>
      <c r="E2400" s="24">
        <v>0</v>
      </c>
    </row>
    <row r="2401" spans="1:5" x14ac:dyDescent="0.3">
      <c r="A2401" s="16" t="s">
        <v>426</v>
      </c>
      <c r="B2401" s="16" t="s">
        <v>366</v>
      </c>
      <c r="C2401" s="17">
        <v>5500</v>
      </c>
      <c r="D2401" s="18">
        <v>0</v>
      </c>
      <c r="E2401" s="19">
        <v>0</v>
      </c>
    </row>
    <row r="2402" spans="1:5" x14ac:dyDescent="0.3">
      <c r="A2402" s="20" t="s">
        <v>426</v>
      </c>
      <c r="B2402" s="21" t="s">
        <v>367</v>
      </c>
      <c r="C2402" s="22">
        <v>5500</v>
      </c>
      <c r="D2402" s="23">
        <v>0</v>
      </c>
      <c r="E2402" s="24">
        <v>0</v>
      </c>
    </row>
    <row r="2403" spans="1:5" x14ac:dyDescent="0.3">
      <c r="A2403" s="20" t="s">
        <v>426</v>
      </c>
      <c r="B2403" s="21" t="s">
        <v>368</v>
      </c>
      <c r="C2403" s="22">
        <v>5500</v>
      </c>
      <c r="D2403" s="23">
        <v>0</v>
      </c>
      <c r="E2403" s="24">
        <v>0</v>
      </c>
    </row>
    <row r="2404" spans="1:5" x14ac:dyDescent="0.3">
      <c r="A2404" s="20" t="s">
        <v>426</v>
      </c>
      <c r="B2404" s="21" t="s">
        <v>369</v>
      </c>
      <c r="C2404" s="22">
        <v>5500</v>
      </c>
      <c r="D2404" s="23">
        <v>0</v>
      </c>
      <c r="E2404" s="24">
        <v>0</v>
      </c>
    </row>
    <row r="2405" spans="1:5" x14ac:dyDescent="0.3">
      <c r="A2405" s="20" t="s">
        <v>426</v>
      </c>
      <c r="B2405" s="21" t="s">
        <v>370</v>
      </c>
      <c r="C2405" s="22">
        <v>5500</v>
      </c>
      <c r="D2405" s="23">
        <v>0</v>
      </c>
      <c r="E2405" s="24">
        <v>0</v>
      </c>
    </row>
    <row r="2406" spans="1:5" x14ac:dyDescent="0.3">
      <c r="A2406" s="20" t="s">
        <v>426</v>
      </c>
      <c r="B2406" s="21" t="s">
        <v>371</v>
      </c>
      <c r="C2406" s="22">
        <v>5500</v>
      </c>
      <c r="D2406" s="23">
        <v>0</v>
      </c>
      <c r="E2406" s="24">
        <v>0</v>
      </c>
    </row>
    <row r="2407" spans="1:5" x14ac:dyDescent="0.3">
      <c r="A2407" s="20" t="s">
        <v>426</v>
      </c>
      <c r="B2407" s="21" t="s">
        <v>372</v>
      </c>
      <c r="C2407" s="22">
        <v>5500</v>
      </c>
      <c r="D2407" s="23">
        <v>0</v>
      </c>
      <c r="E2407" s="24">
        <v>0</v>
      </c>
    </row>
    <row r="2408" spans="1:5" x14ac:dyDescent="0.3">
      <c r="A2408" s="20" t="s">
        <v>426</v>
      </c>
      <c r="B2408" s="21" t="s">
        <v>373</v>
      </c>
      <c r="C2408" s="22">
        <v>2200</v>
      </c>
      <c r="D2408" s="23">
        <v>0</v>
      </c>
      <c r="E2408" s="24">
        <v>0</v>
      </c>
    </row>
    <row r="2409" spans="1:5" x14ac:dyDescent="0.3">
      <c r="A2409" s="20" t="s">
        <v>426</v>
      </c>
      <c r="B2409" s="21" t="s">
        <v>374</v>
      </c>
      <c r="C2409" s="22">
        <v>5500</v>
      </c>
      <c r="D2409" s="23">
        <v>0</v>
      </c>
      <c r="E2409" s="24">
        <v>0</v>
      </c>
    </row>
    <row r="2410" spans="1:5" x14ac:dyDescent="0.3">
      <c r="A2410" s="20" t="s">
        <v>426</v>
      </c>
      <c r="B2410" s="21" t="s">
        <v>375</v>
      </c>
      <c r="C2410" s="22">
        <v>5500</v>
      </c>
      <c r="D2410" s="23">
        <v>0</v>
      </c>
      <c r="E2410" s="24">
        <v>0</v>
      </c>
    </row>
    <row r="2411" spans="1:5" x14ac:dyDescent="0.3">
      <c r="A2411" s="20" t="s">
        <v>426</v>
      </c>
      <c r="B2411" s="21" t="s">
        <v>376</v>
      </c>
      <c r="C2411" s="22">
        <v>5500</v>
      </c>
      <c r="D2411" s="23">
        <v>0</v>
      </c>
      <c r="E2411" s="24">
        <v>0</v>
      </c>
    </row>
    <row r="2412" spans="1:5" x14ac:dyDescent="0.3">
      <c r="A2412" s="20" t="s">
        <v>426</v>
      </c>
      <c r="B2412" s="21" t="s">
        <v>377</v>
      </c>
      <c r="C2412" s="22">
        <v>2200</v>
      </c>
      <c r="D2412" s="23">
        <v>0</v>
      </c>
      <c r="E2412" s="24">
        <v>0</v>
      </c>
    </row>
    <row r="2413" spans="1:5" x14ac:dyDescent="0.3">
      <c r="A2413" s="16" t="s">
        <v>427</v>
      </c>
      <c r="B2413" s="16" t="s">
        <v>366</v>
      </c>
      <c r="C2413" s="17">
        <v>1100</v>
      </c>
      <c r="D2413" s="18">
        <v>0</v>
      </c>
      <c r="E2413" s="19">
        <v>0</v>
      </c>
    </row>
    <row r="2414" spans="1:5" x14ac:dyDescent="0.3">
      <c r="A2414" s="20" t="s">
        <v>427</v>
      </c>
      <c r="B2414" s="21" t="s">
        <v>367</v>
      </c>
      <c r="C2414" s="22">
        <v>1100</v>
      </c>
      <c r="D2414" s="23">
        <v>0</v>
      </c>
      <c r="E2414" s="24">
        <v>0</v>
      </c>
    </row>
    <row r="2415" spans="1:5" x14ac:dyDescent="0.3">
      <c r="A2415" s="20" t="s">
        <v>427</v>
      </c>
      <c r="B2415" s="21" t="s">
        <v>368</v>
      </c>
      <c r="C2415" s="22">
        <v>1100</v>
      </c>
      <c r="D2415" s="23">
        <v>0</v>
      </c>
      <c r="E2415" s="24">
        <v>0</v>
      </c>
    </row>
    <row r="2416" spans="1:5" x14ac:dyDescent="0.3">
      <c r="A2416" s="20" t="s">
        <v>427</v>
      </c>
      <c r="B2416" s="21" t="s">
        <v>369</v>
      </c>
      <c r="C2416" s="22">
        <v>1100</v>
      </c>
      <c r="D2416" s="23">
        <v>0</v>
      </c>
      <c r="E2416" s="24">
        <v>0</v>
      </c>
    </row>
    <row r="2417" spans="1:5" x14ac:dyDescent="0.3">
      <c r="A2417" s="20" t="s">
        <v>427</v>
      </c>
      <c r="B2417" s="21" t="s">
        <v>370</v>
      </c>
      <c r="C2417" s="22">
        <v>1100</v>
      </c>
      <c r="D2417" s="23">
        <v>0</v>
      </c>
      <c r="E2417" s="24">
        <v>0</v>
      </c>
    </row>
    <row r="2418" spans="1:5" x14ac:dyDescent="0.3">
      <c r="A2418" s="20" t="s">
        <v>427</v>
      </c>
      <c r="B2418" s="21" t="s">
        <v>371</v>
      </c>
      <c r="C2418" s="22">
        <v>1100</v>
      </c>
      <c r="D2418" s="23">
        <v>0</v>
      </c>
      <c r="E2418" s="24">
        <v>0</v>
      </c>
    </row>
    <row r="2419" spans="1:5" x14ac:dyDescent="0.3">
      <c r="A2419" s="20" t="s">
        <v>427</v>
      </c>
      <c r="B2419" s="21" t="s">
        <v>372</v>
      </c>
      <c r="C2419" s="22">
        <v>1100</v>
      </c>
      <c r="D2419" s="23">
        <v>0</v>
      </c>
      <c r="E2419" s="24">
        <v>0</v>
      </c>
    </row>
    <row r="2420" spans="1:5" x14ac:dyDescent="0.3">
      <c r="A2420" s="20" t="s">
        <v>427</v>
      </c>
      <c r="B2420" s="21" t="s">
        <v>373</v>
      </c>
      <c r="C2420" s="22">
        <v>1100</v>
      </c>
      <c r="D2420" s="23">
        <v>0</v>
      </c>
      <c r="E2420" s="24">
        <v>0</v>
      </c>
    </row>
    <row r="2421" spans="1:5" x14ac:dyDescent="0.3">
      <c r="A2421" s="20" t="s">
        <v>427</v>
      </c>
      <c r="B2421" s="21" t="s">
        <v>374</v>
      </c>
      <c r="C2421" s="22">
        <v>1100</v>
      </c>
      <c r="D2421" s="23">
        <v>0</v>
      </c>
      <c r="E2421" s="24">
        <v>0</v>
      </c>
    </row>
    <row r="2422" spans="1:5" x14ac:dyDescent="0.3">
      <c r="A2422" s="20" t="s">
        <v>427</v>
      </c>
      <c r="B2422" s="21" t="s">
        <v>375</v>
      </c>
      <c r="C2422" s="22">
        <v>1100</v>
      </c>
      <c r="D2422" s="23">
        <v>0</v>
      </c>
      <c r="E2422" s="24">
        <v>0</v>
      </c>
    </row>
    <row r="2423" spans="1:5" x14ac:dyDescent="0.3">
      <c r="A2423" s="20" t="s">
        <v>427</v>
      </c>
      <c r="B2423" s="21" t="s">
        <v>376</v>
      </c>
      <c r="C2423" s="22">
        <v>1100</v>
      </c>
      <c r="D2423" s="23">
        <v>0</v>
      </c>
      <c r="E2423" s="24">
        <v>0</v>
      </c>
    </row>
    <row r="2424" spans="1:5" x14ac:dyDescent="0.3">
      <c r="A2424" s="20" t="s">
        <v>427</v>
      </c>
      <c r="B2424" s="21" t="s">
        <v>377</v>
      </c>
      <c r="C2424" s="22">
        <v>1100</v>
      </c>
      <c r="D2424" s="23">
        <v>0</v>
      </c>
      <c r="E2424" s="24">
        <v>0</v>
      </c>
    </row>
    <row r="2425" spans="1:5" x14ac:dyDescent="0.3">
      <c r="A2425" s="16" t="s">
        <v>298</v>
      </c>
      <c r="B2425" s="16" t="s">
        <v>366</v>
      </c>
      <c r="C2425" s="17">
        <v>1100</v>
      </c>
      <c r="D2425" s="18">
        <v>0</v>
      </c>
      <c r="E2425" s="19">
        <v>0</v>
      </c>
    </row>
    <row r="2426" spans="1:5" x14ac:dyDescent="0.3">
      <c r="A2426" s="20" t="s">
        <v>298</v>
      </c>
      <c r="B2426" s="21" t="s">
        <v>367</v>
      </c>
      <c r="C2426" s="22">
        <v>1100</v>
      </c>
      <c r="D2426" s="23">
        <v>0</v>
      </c>
      <c r="E2426" s="24">
        <v>0</v>
      </c>
    </row>
    <row r="2427" spans="1:5" x14ac:dyDescent="0.3">
      <c r="A2427" s="20" t="s">
        <v>298</v>
      </c>
      <c r="B2427" s="21" t="s">
        <v>368</v>
      </c>
      <c r="C2427" s="22">
        <v>1100</v>
      </c>
      <c r="D2427" s="23">
        <v>0</v>
      </c>
      <c r="E2427" s="24">
        <v>0</v>
      </c>
    </row>
    <row r="2428" spans="1:5" x14ac:dyDescent="0.3">
      <c r="A2428" s="20" t="s">
        <v>298</v>
      </c>
      <c r="B2428" s="21" t="s">
        <v>369</v>
      </c>
      <c r="C2428" s="22">
        <v>1100</v>
      </c>
      <c r="D2428" s="23">
        <v>11200</v>
      </c>
      <c r="E2428" s="24">
        <v>0</v>
      </c>
    </row>
    <row r="2429" spans="1:5" x14ac:dyDescent="0.3">
      <c r="A2429" s="20" t="s">
        <v>298</v>
      </c>
      <c r="B2429" s="21" t="s">
        <v>370</v>
      </c>
      <c r="C2429" s="22">
        <v>1100</v>
      </c>
      <c r="D2429" s="23">
        <v>0</v>
      </c>
      <c r="E2429" s="24">
        <v>0</v>
      </c>
    </row>
    <row r="2430" spans="1:5" x14ac:dyDescent="0.3">
      <c r="A2430" s="20" t="s">
        <v>298</v>
      </c>
      <c r="B2430" s="21" t="s">
        <v>371</v>
      </c>
      <c r="C2430" s="22">
        <v>1100</v>
      </c>
      <c r="D2430" s="23">
        <v>0</v>
      </c>
      <c r="E2430" s="24">
        <v>0</v>
      </c>
    </row>
    <row r="2431" spans="1:5" x14ac:dyDescent="0.3">
      <c r="A2431" s="20" t="s">
        <v>298</v>
      </c>
      <c r="B2431" s="21" t="s">
        <v>372</v>
      </c>
      <c r="C2431" s="22">
        <v>1100</v>
      </c>
      <c r="D2431" s="23">
        <v>0</v>
      </c>
      <c r="E2431" s="24">
        <v>0</v>
      </c>
    </row>
    <row r="2432" spans="1:5" x14ac:dyDescent="0.3">
      <c r="A2432" s="20" t="s">
        <v>298</v>
      </c>
      <c r="B2432" s="21" t="s">
        <v>373</v>
      </c>
      <c r="C2432" s="22">
        <v>1100</v>
      </c>
      <c r="D2432" s="23">
        <v>0</v>
      </c>
      <c r="E2432" s="24">
        <v>0</v>
      </c>
    </row>
    <row r="2433" spans="1:5" x14ac:dyDescent="0.3">
      <c r="A2433" s="20" t="s">
        <v>298</v>
      </c>
      <c r="B2433" s="21" t="s">
        <v>374</v>
      </c>
      <c r="C2433" s="22">
        <v>1100</v>
      </c>
      <c r="D2433" s="23">
        <v>0</v>
      </c>
      <c r="E2433" s="24">
        <v>0</v>
      </c>
    </row>
    <row r="2434" spans="1:5" x14ac:dyDescent="0.3">
      <c r="A2434" s="20" t="s">
        <v>298</v>
      </c>
      <c r="B2434" s="21" t="s">
        <v>375</v>
      </c>
      <c r="C2434" s="22">
        <v>1100</v>
      </c>
      <c r="D2434" s="23">
        <v>0</v>
      </c>
      <c r="E2434" s="24">
        <v>0</v>
      </c>
    </row>
    <row r="2435" spans="1:5" x14ac:dyDescent="0.3">
      <c r="A2435" s="20" t="s">
        <v>298</v>
      </c>
      <c r="B2435" s="21" t="s">
        <v>376</v>
      </c>
      <c r="C2435" s="22">
        <v>1100</v>
      </c>
      <c r="D2435" s="23">
        <v>0</v>
      </c>
      <c r="E2435" s="24">
        <v>0</v>
      </c>
    </row>
    <row r="2436" spans="1:5" x14ac:dyDescent="0.3">
      <c r="A2436" s="20" t="s">
        <v>298</v>
      </c>
      <c r="B2436" s="21" t="s">
        <v>377</v>
      </c>
      <c r="C2436" s="22">
        <v>1100</v>
      </c>
      <c r="D2436" s="23">
        <v>0</v>
      </c>
      <c r="E2436" s="24">
        <v>0</v>
      </c>
    </row>
    <row r="2437" spans="1:5" x14ac:dyDescent="0.3">
      <c r="A2437" s="16" t="s">
        <v>308</v>
      </c>
      <c r="B2437" s="16" t="s">
        <v>368</v>
      </c>
      <c r="C2437" s="17">
        <v>0</v>
      </c>
      <c r="D2437" s="18">
        <v>0</v>
      </c>
      <c r="E2437" s="19">
        <v>0</v>
      </c>
    </row>
    <row r="2438" spans="1:5" x14ac:dyDescent="0.3">
      <c r="A2438" s="16" t="s">
        <v>428</v>
      </c>
      <c r="B2438" s="16" t="s">
        <v>375</v>
      </c>
      <c r="C2438" s="17">
        <v>0</v>
      </c>
      <c r="D2438" s="18">
        <v>0</v>
      </c>
      <c r="E2438" s="19">
        <v>0</v>
      </c>
    </row>
    <row r="2439" spans="1:5" x14ac:dyDescent="0.3">
      <c r="A2439" s="16" t="s">
        <v>38</v>
      </c>
      <c r="B2439" s="16" t="s">
        <v>372</v>
      </c>
      <c r="C2439" s="17">
        <v>0</v>
      </c>
      <c r="D2439" s="18">
        <v>0</v>
      </c>
      <c r="E2439" s="19">
        <v>0</v>
      </c>
    </row>
    <row r="2440" spans="1:5" x14ac:dyDescent="0.3">
      <c r="A2440" s="16" t="s">
        <v>187</v>
      </c>
      <c r="B2440" s="16" t="s">
        <v>374</v>
      </c>
      <c r="C2440" s="17">
        <v>0</v>
      </c>
      <c r="D2440" s="18">
        <v>0</v>
      </c>
      <c r="E2440" s="19">
        <v>0</v>
      </c>
    </row>
    <row r="2441" spans="1:5" x14ac:dyDescent="0.3">
      <c r="A2441" s="16" t="s">
        <v>429</v>
      </c>
      <c r="B2441" s="16" t="s">
        <v>366</v>
      </c>
      <c r="C2441" s="17">
        <v>0</v>
      </c>
      <c r="D2441" s="18">
        <v>500</v>
      </c>
      <c r="E2441" s="19">
        <v>0</v>
      </c>
    </row>
    <row r="2442" spans="1:5" x14ac:dyDescent="0.3">
      <c r="A2442" s="16" t="s">
        <v>271</v>
      </c>
      <c r="B2442" s="16" t="s">
        <v>366</v>
      </c>
      <c r="C2442" s="17">
        <v>24200</v>
      </c>
      <c r="D2442" s="18">
        <v>0</v>
      </c>
      <c r="E2442" s="19">
        <v>0</v>
      </c>
    </row>
    <row r="2443" spans="1:5" x14ac:dyDescent="0.3">
      <c r="A2443" s="20" t="s">
        <v>271</v>
      </c>
      <c r="B2443" s="21" t="s">
        <v>367</v>
      </c>
      <c r="C2443" s="22">
        <v>24200</v>
      </c>
      <c r="D2443" s="23">
        <v>100000</v>
      </c>
      <c r="E2443" s="24">
        <v>0</v>
      </c>
    </row>
    <row r="2444" spans="1:5" x14ac:dyDescent="0.3">
      <c r="A2444" s="20" t="s">
        <v>271</v>
      </c>
      <c r="B2444" s="21" t="s">
        <v>368</v>
      </c>
      <c r="C2444" s="22">
        <v>24200</v>
      </c>
      <c r="D2444" s="23">
        <v>100000</v>
      </c>
      <c r="E2444" s="24">
        <v>0</v>
      </c>
    </row>
    <row r="2445" spans="1:5" x14ac:dyDescent="0.3">
      <c r="A2445" s="20" t="s">
        <v>271</v>
      </c>
      <c r="B2445" s="21" t="s">
        <v>369</v>
      </c>
      <c r="C2445" s="22">
        <v>24200</v>
      </c>
      <c r="D2445" s="23">
        <v>100000</v>
      </c>
      <c r="E2445" s="24">
        <v>0</v>
      </c>
    </row>
    <row r="2446" spans="1:5" x14ac:dyDescent="0.3">
      <c r="A2446" s="20" t="s">
        <v>271</v>
      </c>
      <c r="B2446" s="21" t="s">
        <v>370</v>
      </c>
      <c r="C2446" s="22">
        <v>24200</v>
      </c>
      <c r="D2446" s="23">
        <v>0</v>
      </c>
      <c r="E2446" s="24">
        <v>0</v>
      </c>
    </row>
    <row r="2447" spans="1:5" x14ac:dyDescent="0.3">
      <c r="A2447" s="20" t="s">
        <v>271</v>
      </c>
      <c r="B2447" s="21" t="s">
        <v>371</v>
      </c>
      <c r="C2447" s="22">
        <v>24200</v>
      </c>
      <c r="D2447" s="23">
        <v>100000</v>
      </c>
      <c r="E2447" s="24">
        <v>0</v>
      </c>
    </row>
    <row r="2448" spans="1:5" x14ac:dyDescent="0.3">
      <c r="A2448" s="20" t="s">
        <v>271</v>
      </c>
      <c r="B2448" s="21" t="s">
        <v>372</v>
      </c>
      <c r="C2448" s="22">
        <v>24200</v>
      </c>
      <c r="D2448" s="23">
        <v>100000</v>
      </c>
      <c r="E2448" s="24">
        <v>0</v>
      </c>
    </row>
    <row r="2449" spans="1:5" x14ac:dyDescent="0.3">
      <c r="A2449" s="20" t="s">
        <v>271</v>
      </c>
      <c r="B2449" s="21" t="s">
        <v>373</v>
      </c>
      <c r="C2449" s="22">
        <v>12100</v>
      </c>
      <c r="D2449" s="23">
        <v>0</v>
      </c>
      <c r="E2449" s="24">
        <v>0</v>
      </c>
    </row>
    <row r="2450" spans="1:5" x14ac:dyDescent="0.3">
      <c r="A2450" s="20" t="s">
        <v>271</v>
      </c>
      <c r="B2450" s="21" t="s">
        <v>374</v>
      </c>
      <c r="C2450" s="22">
        <v>24200</v>
      </c>
      <c r="D2450" s="23">
        <v>100000</v>
      </c>
      <c r="E2450" s="24">
        <v>0</v>
      </c>
    </row>
    <row r="2451" spans="1:5" x14ac:dyDescent="0.3">
      <c r="A2451" s="20" t="s">
        <v>271</v>
      </c>
      <c r="B2451" s="21" t="s">
        <v>375</v>
      </c>
      <c r="C2451" s="22">
        <v>24200</v>
      </c>
      <c r="D2451" s="23">
        <v>200000</v>
      </c>
      <c r="E2451" s="24">
        <v>0</v>
      </c>
    </row>
    <row r="2452" spans="1:5" x14ac:dyDescent="0.3">
      <c r="A2452" s="20" t="s">
        <v>271</v>
      </c>
      <c r="B2452" s="21" t="s">
        <v>376</v>
      </c>
      <c r="C2452" s="22">
        <v>24200</v>
      </c>
      <c r="D2452" s="23">
        <v>0</v>
      </c>
      <c r="E2452" s="24">
        <v>0</v>
      </c>
    </row>
    <row r="2453" spans="1:5" x14ac:dyDescent="0.3">
      <c r="A2453" s="20" t="s">
        <v>271</v>
      </c>
      <c r="B2453" s="21" t="s">
        <v>377</v>
      </c>
      <c r="C2453" s="22">
        <v>12100</v>
      </c>
      <c r="D2453" s="23">
        <v>0</v>
      </c>
      <c r="E2453" s="24">
        <v>0</v>
      </c>
    </row>
    <row r="2454" spans="1:5" x14ac:dyDescent="0.3">
      <c r="A2454" s="16" t="s">
        <v>430</v>
      </c>
      <c r="B2454" s="16" t="s">
        <v>366</v>
      </c>
      <c r="C2454" s="17">
        <v>14300</v>
      </c>
      <c r="D2454" s="18">
        <v>50000</v>
      </c>
      <c r="E2454" s="19">
        <v>0</v>
      </c>
    </row>
    <row r="2455" spans="1:5" x14ac:dyDescent="0.3">
      <c r="A2455" s="20" t="s">
        <v>430</v>
      </c>
      <c r="B2455" s="21" t="s">
        <v>367</v>
      </c>
      <c r="C2455" s="22">
        <v>14300</v>
      </c>
      <c r="D2455" s="23">
        <v>50000</v>
      </c>
      <c r="E2455" s="24">
        <v>0</v>
      </c>
    </row>
    <row r="2456" spans="1:5" x14ac:dyDescent="0.3">
      <c r="A2456" s="20" t="s">
        <v>430</v>
      </c>
      <c r="B2456" s="21" t="s">
        <v>368</v>
      </c>
      <c r="C2456" s="22">
        <v>14300</v>
      </c>
      <c r="D2456" s="23">
        <v>0</v>
      </c>
      <c r="E2456" s="24">
        <v>0</v>
      </c>
    </row>
    <row r="2457" spans="1:5" x14ac:dyDescent="0.3">
      <c r="A2457" s="20" t="s">
        <v>430</v>
      </c>
      <c r="B2457" s="21" t="s">
        <v>369</v>
      </c>
      <c r="C2457" s="22">
        <v>14300</v>
      </c>
      <c r="D2457" s="23">
        <v>0</v>
      </c>
      <c r="E2457" s="24">
        <v>0</v>
      </c>
    </row>
    <row r="2458" spans="1:5" x14ac:dyDescent="0.3">
      <c r="A2458" s="20" t="s">
        <v>430</v>
      </c>
      <c r="B2458" s="21" t="s">
        <v>370</v>
      </c>
      <c r="C2458" s="22">
        <v>14300</v>
      </c>
      <c r="D2458" s="23">
        <v>50000</v>
      </c>
      <c r="E2458" s="24">
        <v>0</v>
      </c>
    </row>
    <row r="2459" spans="1:5" x14ac:dyDescent="0.3">
      <c r="A2459" s="20" t="s">
        <v>430</v>
      </c>
      <c r="B2459" s="21" t="s">
        <v>371</v>
      </c>
      <c r="C2459" s="22">
        <v>14300</v>
      </c>
      <c r="D2459" s="23">
        <v>0</v>
      </c>
      <c r="E2459" s="24">
        <v>0</v>
      </c>
    </row>
    <row r="2460" spans="1:5" x14ac:dyDescent="0.3">
      <c r="A2460" s="20" t="s">
        <v>430</v>
      </c>
      <c r="B2460" s="21" t="s">
        <v>372</v>
      </c>
      <c r="C2460" s="22">
        <v>14300</v>
      </c>
      <c r="D2460" s="23">
        <v>50000</v>
      </c>
      <c r="E2460" s="24">
        <v>0</v>
      </c>
    </row>
    <row r="2461" spans="1:5" x14ac:dyDescent="0.3">
      <c r="A2461" s="20" t="s">
        <v>430</v>
      </c>
      <c r="B2461" s="21" t="s">
        <v>373</v>
      </c>
      <c r="C2461" s="22">
        <v>7700</v>
      </c>
      <c r="D2461" s="23">
        <v>0</v>
      </c>
      <c r="E2461" s="24">
        <v>0</v>
      </c>
    </row>
    <row r="2462" spans="1:5" x14ac:dyDescent="0.3">
      <c r="A2462" s="20" t="s">
        <v>430</v>
      </c>
      <c r="B2462" s="21" t="s">
        <v>374</v>
      </c>
      <c r="C2462" s="22">
        <v>14300</v>
      </c>
      <c r="D2462" s="23">
        <v>0</v>
      </c>
      <c r="E2462" s="24">
        <v>0</v>
      </c>
    </row>
    <row r="2463" spans="1:5" x14ac:dyDescent="0.3">
      <c r="A2463" s="20" t="s">
        <v>430</v>
      </c>
      <c r="B2463" s="21" t="s">
        <v>375</v>
      </c>
      <c r="C2463" s="22">
        <v>14300</v>
      </c>
      <c r="D2463" s="23">
        <v>100000</v>
      </c>
      <c r="E2463" s="24">
        <v>0</v>
      </c>
    </row>
    <row r="2464" spans="1:5" x14ac:dyDescent="0.3">
      <c r="A2464" s="20" t="s">
        <v>430</v>
      </c>
      <c r="B2464" s="21" t="s">
        <v>376</v>
      </c>
      <c r="C2464" s="22">
        <v>14300</v>
      </c>
      <c r="D2464" s="23">
        <v>0</v>
      </c>
      <c r="E2464" s="24">
        <v>0</v>
      </c>
    </row>
    <row r="2465" spans="1:5" x14ac:dyDescent="0.3">
      <c r="A2465" s="20" t="s">
        <v>430</v>
      </c>
      <c r="B2465" s="21" t="s">
        <v>377</v>
      </c>
      <c r="C2465" s="22">
        <v>7700</v>
      </c>
      <c r="D2465" s="23">
        <v>0</v>
      </c>
      <c r="E2465" s="24">
        <v>0</v>
      </c>
    </row>
    <row r="2466" spans="1:5" x14ac:dyDescent="0.3">
      <c r="A2466" s="16" t="s">
        <v>280</v>
      </c>
      <c r="B2466" s="16" t="s">
        <v>371</v>
      </c>
      <c r="C2466" s="17">
        <v>0</v>
      </c>
      <c r="D2466" s="18">
        <v>5000</v>
      </c>
      <c r="E2466" s="19">
        <v>0</v>
      </c>
    </row>
    <row r="2467" spans="1:5" x14ac:dyDescent="0.3">
      <c r="A2467" s="20" t="s">
        <v>280</v>
      </c>
      <c r="B2467" s="21" t="s">
        <v>377</v>
      </c>
      <c r="C2467" s="22">
        <v>0</v>
      </c>
      <c r="D2467" s="23">
        <v>5000</v>
      </c>
      <c r="E2467" s="24">
        <v>0</v>
      </c>
    </row>
    <row r="2468" spans="1:5" x14ac:dyDescent="0.3">
      <c r="A2468" s="16" t="s">
        <v>301</v>
      </c>
      <c r="B2468" s="16" t="s">
        <v>366</v>
      </c>
      <c r="C2468" s="17">
        <v>7700</v>
      </c>
      <c r="D2468" s="18">
        <v>15000</v>
      </c>
      <c r="E2468" s="19">
        <v>0</v>
      </c>
    </row>
    <row r="2469" spans="1:5" x14ac:dyDescent="0.3">
      <c r="A2469" s="20" t="s">
        <v>301</v>
      </c>
      <c r="B2469" s="21" t="s">
        <v>367</v>
      </c>
      <c r="C2469" s="22">
        <v>7700</v>
      </c>
      <c r="D2469" s="23">
        <v>0</v>
      </c>
      <c r="E2469" s="24">
        <v>0</v>
      </c>
    </row>
    <row r="2470" spans="1:5" x14ac:dyDescent="0.3">
      <c r="A2470" s="20" t="s">
        <v>301</v>
      </c>
      <c r="B2470" s="21" t="s">
        <v>368</v>
      </c>
      <c r="C2470" s="22">
        <v>7700</v>
      </c>
      <c r="D2470" s="23">
        <v>0</v>
      </c>
      <c r="E2470" s="24">
        <v>0</v>
      </c>
    </row>
    <row r="2471" spans="1:5" x14ac:dyDescent="0.3">
      <c r="A2471" s="20" t="s">
        <v>301</v>
      </c>
      <c r="B2471" s="21" t="s">
        <v>369</v>
      </c>
      <c r="C2471" s="22">
        <v>7700</v>
      </c>
      <c r="D2471" s="23">
        <v>15000</v>
      </c>
      <c r="E2471" s="24">
        <v>0</v>
      </c>
    </row>
    <row r="2472" spans="1:5" x14ac:dyDescent="0.3">
      <c r="A2472" s="20" t="s">
        <v>301</v>
      </c>
      <c r="B2472" s="21" t="s">
        <v>370</v>
      </c>
      <c r="C2472" s="22">
        <v>7700</v>
      </c>
      <c r="D2472" s="23">
        <v>0</v>
      </c>
      <c r="E2472" s="24">
        <v>0</v>
      </c>
    </row>
    <row r="2473" spans="1:5" x14ac:dyDescent="0.3">
      <c r="A2473" s="20" t="s">
        <v>301</v>
      </c>
      <c r="B2473" s="21" t="s">
        <v>371</v>
      </c>
      <c r="C2473" s="22">
        <v>7700</v>
      </c>
      <c r="D2473" s="23">
        <v>15000</v>
      </c>
      <c r="E2473" s="24">
        <v>0</v>
      </c>
    </row>
    <row r="2474" spans="1:5" x14ac:dyDescent="0.3">
      <c r="A2474" s="20" t="s">
        <v>301</v>
      </c>
      <c r="B2474" s="21" t="s">
        <v>372</v>
      </c>
      <c r="C2474" s="22">
        <v>7700</v>
      </c>
      <c r="D2474" s="23">
        <v>0</v>
      </c>
      <c r="E2474" s="24">
        <v>0</v>
      </c>
    </row>
    <row r="2475" spans="1:5" x14ac:dyDescent="0.3">
      <c r="A2475" s="20" t="s">
        <v>301</v>
      </c>
      <c r="B2475" s="21" t="s">
        <v>373</v>
      </c>
      <c r="C2475" s="22">
        <v>3300</v>
      </c>
      <c r="D2475" s="23">
        <v>0</v>
      </c>
      <c r="E2475" s="24">
        <v>0</v>
      </c>
    </row>
    <row r="2476" spans="1:5" x14ac:dyDescent="0.3">
      <c r="A2476" s="20" t="s">
        <v>301</v>
      </c>
      <c r="B2476" s="21" t="s">
        <v>374</v>
      </c>
      <c r="C2476" s="22">
        <v>7700</v>
      </c>
      <c r="D2476" s="23">
        <v>15000</v>
      </c>
      <c r="E2476" s="24">
        <v>0</v>
      </c>
    </row>
    <row r="2477" spans="1:5" x14ac:dyDescent="0.3">
      <c r="A2477" s="20" t="s">
        <v>301</v>
      </c>
      <c r="B2477" s="21" t="s">
        <v>375</v>
      </c>
      <c r="C2477" s="22">
        <v>7700</v>
      </c>
      <c r="D2477" s="23">
        <v>15000</v>
      </c>
      <c r="E2477" s="24">
        <v>0</v>
      </c>
    </row>
    <row r="2478" spans="1:5" x14ac:dyDescent="0.3">
      <c r="A2478" s="20" t="s">
        <v>301</v>
      </c>
      <c r="B2478" s="21" t="s">
        <v>376</v>
      </c>
      <c r="C2478" s="22">
        <v>7700</v>
      </c>
      <c r="D2478" s="23">
        <v>0</v>
      </c>
      <c r="E2478" s="24">
        <v>0</v>
      </c>
    </row>
    <row r="2479" spans="1:5" x14ac:dyDescent="0.3">
      <c r="A2479" s="20" t="s">
        <v>301</v>
      </c>
      <c r="B2479" s="21" t="s">
        <v>377</v>
      </c>
      <c r="C2479" s="22">
        <v>3300</v>
      </c>
      <c r="D2479" s="23">
        <v>0</v>
      </c>
      <c r="E2479" s="24">
        <v>0</v>
      </c>
    </row>
    <row r="2480" spans="1:5" x14ac:dyDescent="0.3">
      <c r="A2480" s="16" t="s">
        <v>41</v>
      </c>
      <c r="B2480" s="16" t="s">
        <v>366</v>
      </c>
      <c r="C2480" s="17">
        <v>7700</v>
      </c>
      <c r="D2480" s="18">
        <v>0</v>
      </c>
      <c r="E2480" s="19">
        <v>0</v>
      </c>
    </row>
    <row r="2481" spans="1:5" x14ac:dyDescent="0.3">
      <c r="A2481" s="20" t="s">
        <v>41</v>
      </c>
      <c r="B2481" s="21" t="s">
        <v>367</v>
      </c>
      <c r="C2481" s="22">
        <v>7700</v>
      </c>
      <c r="D2481" s="23">
        <v>30240</v>
      </c>
      <c r="E2481" s="24">
        <v>0</v>
      </c>
    </row>
    <row r="2482" spans="1:5" x14ac:dyDescent="0.3">
      <c r="A2482" s="20" t="s">
        <v>41</v>
      </c>
      <c r="B2482" s="21" t="s">
        <v>368</v>
      </c>
      <c r="C2482" s="22">
        <v>7700</v>
      </c>
      <c r="D2482" s="23">
        <v>30240</v>
      </c>
      <c r="E2482" s="24">
        <v>0</v>
      </c>
    </row>
    <row r="2483" spans="1:5" x14ac:dyDescent="0.3">
      <c r="A2483" s="20" t="s">
        <v>41</v>
      </c>
      <c r="B2483" s="21" t="s">
        <v>369</v>
      </c>
      <c r="C2483" s="22">
        <v>7700</v>
      </c>
      <c r="D2483" s="23">
        <v>30240</v>
      </c>
      <c r="E2483" s="24">
        <v>0</v>
      </c>
    </row>
    <row r="2484" spans="1:5" x14ac:dyDescent="0.3">
      <c r="A2484" s="20" t="s">
        <v>41</v>
      </c>
      <c r="B2484" s="21" t="s">
        <v>370</v>
      </c>
      <c r="C2484" s="22">
        <v>7700</v>
      </c>
      <c r="D2484" s="23">
        <v>60480</v>
      </c>
      <c r="E2484" s="24">
        <v>0</v>
      </c>
    </row>
    <row r="2485" spans="1:5" x14ac:dyDescent="0.3">
      <c r="A2485" s="20" t="s">
        <v>41</v>
      </c>
      <c r="B2485" s="21" t="s">
        <v>371</v>
      </c>
      <c r="C2485" s="22">
        <v>7700</v>
      </c>
      <c r="D2485" s="23">
        <v>30240</v>
      </c>
      <c r="E2485" s="24">
        <v>0</v>
      </c>
    </row>
    <row r="2486" spans="1:5" x14ac:dyDescent="0.3">
      <c r="A2486" s="20" t="s">
        <v>41</v>
      </c>
      <c r="B2486" s="21" t="s">
        <v>372</v>
      </c>
      <c r="C2486" s="22">
        <v>7700</v>
      </c>
      <c r="D2486" s="23">
        <v>90720</v>
      </c>
      <c r="E2486" s="24">
        <v>0</v>
      </c>
    </row>
    <row r="2487" spans="1:5" x14ac:dyDescent="0.3">
      <c r="A2487" s="20" t="s">
        <v>41</v>
      </c>
      <c r="B2487" s="21" t="s">
        <v>373</v>
      </c>
      <c r="C2487" s="22">
        <v>3300</v>
      </c>
      <c r="D2487" s="23">
        <v>0</v>
      </c>
      <c r="E2487" s="24">
        <v>0</v>
      </c>
    </row>
    <row r="2488" spans="1:5" x14ac:dyDescent="0.3">
      <c r="A2488" s="20" t="s">
        <v>41</v>
      </c>
      <c r="B2488" s="21" t="s">
        <v>374</v>
      </c>
      <c r="C2488" s="22">
        <v>7700</v>
      </c>
      <c r="D2488" s="23">
        <v>30240</v>
      </c>
      <c r="E2488" s="24">
        <v>0</v>
      </c>
    </row>
    <row r="2489" spans="1:5" x14ac:dyDescent="0.3">
      <c r="A2489" s="20" t="s">
        <v>41</v>
      </c>
      <c r="B2489" s="21" t="s">
        <v>375</v>
      </c>
      <c r="C2489" s="22">
        <v>7700</v>
      </c>
      <c r="D2489" s="23">
        <v>90720</v>
      </c>
      <c r="E2489" s="24">
        <v>0</v>
      </c>
    </row>
    <row r="2490" spans="1:5" x14ac:dyDescent="0.3">
      <c r="A2490" s="20" t="s">
        <v>41</v>
      </c>
      <c r="B2490" s="21" t="s">
        <v>376</v>
      </c>
      <c r="C2490" s="22">
        <v>7700</v>
      </c>
      <c r="D2490" s="23">
        <v>0</v>
      </c>
      <c r="E2490" s="24">
        <v>0</v>
      </c>
    </row>
    <row r="2491" spans="1:5" x14ac:dyDescent="0.3">
      <c r="A2491" s="20" t="s">
        <v>41</v>
      </c>
      <c r="B2491" s="21" t="s">
        <v>377</v>
      </c>
      <c r="C2491" s="22">
        <v>3300</v>
      </c>
      <c r="D2491" s="23">
        <v>30240</v>
      </c>
      <c r="E2491" s="24">
        <v>0</v>
      </c>
    </row>
    <row r="2492" spans="1:5" x14ac:dyDescent="0.3">
      <c r="A2492" s="16" t="s">
        <v>43</v>
      </c>
      <c r="B2492" s="16" t="s">
        <v>366</v>
      </c>
      <c r="C2492" s="17">
        <v>9900</v>
      </c>
      <c r="D2492" s="18">
        <v>20000</v>
      </c>
      <c r="E2492" s="19">
        <v>0</v>
      </c>
    </row>
    <row r="2493" spans="1:5" x14ac:dyDescent="0.3">
      <c r="A2493" s="20" t="s">
        <v>43</v>
      </c>
      <c r="B2493" s="21" t="s">
        <v>367</v>
      </c>
      <c r="C2493" s="22">
        <v>9900</v>
      </c>
      <c r="D2493" s="23">
        <v>20000</v>
      </c>
      <c r="E2493" s="24">
        <v>0</v>
      </c>
    </row>
    <row r="2494" spans="1:5" x14ac:dyDescent="0.3">
      <c r="A2494" s="20" t="s">
        <v>43</v>
      </c>
      <c r="B2494" s="21" t="s">
        <v>368</v>
      </c>
      <c r="C2494" s="22">
        <v>9900</v>
      </c>
      <c r="D2494" s="23">
        <v>0</v>
      </c>
      <c r="E2494" s="24">
        <v>0</v>
      </c>
    </row>
    <row r="2495" spans="1:5" x14ac:dyDescent="0.3">
      <c r="A2495" s="20" t="s">
        <v>43</v>
      </c>
      <c r="B2495" s="21" t="s">
        <v>369</v>
      </c>
      <c r="C2495" s="22">
        <v>9900</v>
      </c>
      <c r="D2495" s="23">
        <v>0</v>
      </c>
      <c r="E2495" s="24">
        <v>0</v>
      </c>
    </row>
    <row r="2496" spans="1:5" x14ac:dyDescent="0.3">
      <c r="A2496" s="20" t="s">
        <v>43</v>
      </c>
      <c r="B2496" s="21" t="s">
        <v>370</v>
      </c>
      <c r="C2496" s="22">
        <v>9900</v>
      </c>
      <c r="D2496" s="23">
        <v>0</v>
      </c>
      <c r="E2496" s="24">
        <v>0</v>
      </c>
    </row>
    <row r="2497" spans="1:5" x14ac:dyDescent="0.3">
      <c r="A2497" s="20" t="s">
        <v>43</v>
      </c>
      <c r="B2497" s="21" t="s">
        <v>371</v>
      </c>
      <c r="C2497" s="22">
        <v>9900</v>
      </c>
      <c r="D2497" s="23">
        <v>20000</v>
      </c>
      <c r="E2497" s="24">
        <v>0</v>
      </c>
    </row>
    <row r="2498" spans="1:5" x14ac:dyDescent="0.3">
      <c r="A2498" s="20" t="s">
        <v>43</v>
      </c>
      <c r="B2498" s="21" t="s">
        <v>372</v>
      </c>
      <c r="C2498" s="22">
        <v>9900</v>
      </c>
      <c r="D2498" s="23">
        <v>20000</v>
      </c>
      <c r="E2498" s="24">
        <v>0</v>
      </c>
    </row>
    <row r="2499" spans="1:5" x14ac:dyDescent="0.3">
      <c r="A2499" s="20" t="s">
        <v>43</v>
      </c>
      <c r="B2499" s="21" t="s">
        <v>373</v>
      </c>
      <c r="C2499" s="22">
        <v>5500</v>
      </c>
      <c r="D2499" s="23">
        <v>0</v>
      </c>
      <c r="E2499" s="24">
        <v>0</v>
      </c>
    </row>
    <row r="2500" spans="1:5" x14ac:dyDescent="0.3">
      <c r="A2500" s="20" t="s">
        <v>43</v>
      </c>
      <c r="B2500" s="21" t="s">
        <v>374</v>
      </c>
      <c r="C2500" s="22">
        <v>9900</v>
      </c>
      <c r="D2500" s="23">
        <v>0</v>
      </c>
      <c r="E2500" s="24">
        <v>0</v>
      </c>
    </row>
    <row r="2501" spans="1:5" x14ac:dyDescent="0.3">
      <c r="A2501" s="20" t="s">
        <v>43</v>
      </c>
      <c r="B2501" s="21" t="s">
        <v>375</v>
      </c>
      <c r="C2501" s="22">
        <v>9900</v>
      </c>
      <c r="D2501" s="23">
        <v>20000</v>
      </c>
      <c r="E2501" s="24">
        <v>0</v>
      </c>
    </row>
    <row r="2502" spans="1:5" x14ac:dyDescent="0.3">
      <c r="A2502" s="20" t="s">
        <v>43</v>
      </c>
      <c r="B2502" s="21" t="s">
        <v>376</v>
      </c>
      <c r="C2502" s="22">
        <v>9900</v>
      </c>
      <c r="D2502" s="23">
        <v>0</v>
      </c>
      <c r="E2502" s="24">
        <v>0</v>
      </c>
    </row>
    <row r="2503" spans="1:5" x14ac:dyDescent="0.3">
      <c r="A2503" s="20" t="s">
        <v>43</v>
      </c>
      <c r="B2503" s="21" t="s">
        <v>377</v>
      </c>
      <c r="C2503" s="22">
        <v>5500</v>
      </c>
      <c r="D2503" s="23">
        <v>0</v>
      </c>
      <c r="E2503" s="24">
        <v>0</v>
      </c>
    </row>
    <row r="2504" spans="1:5" x14ac:dyDescent="0.3">
      <c r="A2504" s="16" t="s">
        <v>54</v>
      </c>
      <c r="B2504" s="16" t="s">
        <v>366</v>
      </c>
      <c r="C2504" s="17">
        <v>5500</v>
      </c>
      <c r="D2504" s="18">
        <v>0</v>
      </c>
      <c r="E2504" s="19">
        <v>0</v>
      </c>
    </row>
    <row r="2505" spans="1:5" x14ac:dyDescent="0.3">
      <c r="A2505" s="20" t="s">
        <v>54</v>
      </c>
      <c r="B2505" s="21" t="s">
        <v>367</v>
      </c>
      <c r="C2505" s="22">
        <v>5500</v>
      </c>
      <c r="D2505" s="23">
        <v>40800</v>
      </c>
      <c r="E2505" s="24">
        <v>0</v>
      </c>
    </row>
    <row r="2506" spans="1:5" x14ac:dyDescent="0.3">
      <c r="A2506" s="20" t="s">
        <v>54</v>
      </c>
      <c r="B2506" s="21" t="s">
        <v>368</v>
      </c>
      <c r="C2506" s="22">
        <v>5500</v>
      </c>
      <c r="D2506" s="23">
        <v>0</v>
      </c>
      <c r="E2506" s="24">
        <v>0</v>
      </c>
    </row>
    <row r="2507" spans="1:5" x14ac:dyDescent="0.3">
      <c r="A2507" s="20" t="s">
        <v>54</v>
      </c>
      <c r="B2507" s="21" t="s">
        <v>369</v>
      </c>
      <c r="C2507" s="22">
        <v>5500</v>
      </c>
      <c r="D2507" s="23">
        <v>0</v>
      </c>
      <c r="E2507" s="24">
        <v>0</v>
      </c>
    </row>
    <row r="2508" spans="1:5" x14ac:dyDescent="0.3">
      <c r="A2508" s="20" t="s">
        <v>54</v>
      </c>
      <c r="B2508" s="21" t="s">
        <v>370</v>
      </c>
      <c r="C2508" s="22">
        <v>5500</v>
      </c>
      <c r="D2508" s="23">
        <v>0</v>
      </c>
      <c r="E2508" s="24">
        <v>0</v>
      </c>
    </row>
    <row r="2509" spans="1:5" x14ac:dyDescent="0.3">
      <c r="A2509" s="20" t="s">
        <v>54</v>
      </c>
      <c r="B2509" s="21" t="s">
        <v>371</v>
      </c>
      <c r="C2509" s="22">
        <v>5500</v>
      </c>
      <c r="D2509" s="23">
        <v>0</v>
      </c>
      <c r="E2509" s="24">
        <v>0</v>
      </c>
    </row>
    <row r="2510" spans="1:5" x14ac:dyDescent="0.3">
      <c r="A2510" s="20" t="s">
        <v>54</v>
      </c>
      <c r="B2510" s="21" t="s">
        <v>372</v>
      </c>
      <c r="C2510" s="22">
        <v>5500</v>
      </c>
      <c r="D2510" s="23">
        <v>0</v>
      </c>
      <c r="E2510" s="24">
        <v>0</v>
      </c>
    </row>
    <row r="2511" spans="1:5" x14ac:dyDescent="0.3">
      <c r="A2511" s="20" t="s">
        <v>54</v>
      </c>
      <c r="B2511" s="21" t="s">
        <v>373</v>
      </c>
      <c r="C2511" s="22">
        <v>2200</v>
      </c>
      <c r="D2511" s="23">
        <v>0</v>
      </c>
      <c r="E2511" s="24">
        <v>0</v>
      </c>
    </row>
    <row r="2512" spans="1:5" x14ac:dyDescent="0.3">
      <c r="A2512" s="20" t="s">
        <v>54</v>
      </c>
      <c r="B2512" s="21" t="s">
        <v>374</v>
      </c>
      <c r="C2512" s="22">
        <v>5500</v>
      </c>
      <c r="D2512" s="23">
        <v>0</v>
      </c>
      <c r="E2512" s="24">
        <v>0</v>
      </c>
    </row>
    <row r="2513" spans="1:5" x14ac:dyDescent="0.3">
      <c r="A2513" s="20" t="s">
        <v>54</v>
      </c>
      <c r="B2513" s="21" t="s">
        <v>375</v>
      </c>
      <c r="C2513" s="22">
        <v>5500</v>
      </c>
      <c r="D2513" s="23">
        <v>0</v>
      </c>
      <c r="E2513" s="24">
        <v>0</v>
      </c>
    </row>
    <row r="2514" spans="1:5" x14ac:dyDescent="0.3">
      <c r="A2514" s="20" t="s">
        <v>54</v>
      </c>
      <c r="B2514" s="21" t="s">
        <v>376</v>
      </c>
      <c r="C2514" s="22">
        <v>5500</v>
      </c>
      <c r="D2514" s="23">
        <v>0</v>
      </c>
      <c r="E2514" s="24">
        <v>0</v>
      </c>
    </row>
    <row r="2515" spans="1:5" x14ac:dyDescent="0.3">
      <c r="A2515" s="20" t="s">
        <v>54</v>
      </c>
      <c r="B2515" s="21" t="s">
        <v>377</v>
      </c>
      <c r="C2515" s="22">
        <v>2200</v>
      </c>
      <c r="D2515" s="23">
        <v>0</v>
      </c>
      <c r="E2515" s="24">
        <v>0</v>
      </c>
    </row>
    <row r="2516" spans="1:5" x14ac:dyDescent="0.3">
      <c r="A2516" s="16" t="s">
        <v>336</v>
      </c>
      <c r="B2516" s="16" t="s">
        <v>366</v>
      </c>
      <c r="C2516" s="17">
        <v>5500</v>
      </c>
      <c r="D2516" s="18">
        <v>0</v>
      </c>
      <c r="E2516" s="19">
        <v>0</v>
      </c>
    </row>
    <row r="2517" spans="1:5" x14ac:dyDescent="0.3">
      <c r="A2517" s="20" t="s">
        <v>336</v>
      </c>
      <c r="B2517" s="21" t="s">
        <v>367</v>
      </c>
      <c r="C2517" s="22">
        <v>5500</v>
      </c>
      <c r="D2517" s="23">
        <v>0</v>
      </c>
      <c r="E2517" s="24">
        <v>0</v>
      </c>
    </row>
    <row r="2518" spans="1:5" x14ac:dyDescent="0.3">
      <c r="A2518" s="20" t="s">
        <v>336</v>
      </c>
      <c r="B2518" s="21" t="s">
        <v>368</v>
      </c>
      <c r="C2518" s="22">
        <v>5500</v>
      </c>
      <c r="D2518" s="23">
        <v>0</v>
      </c>
      <c r="E2518" s="24">
        <v>0</v>
      </c>
    </row>
    <row r="2519" spans="1:5" x14ac:dyDescent="0.3">
      <c r="A2519" s="20" t="s">
        <v>336</v>
      </c>
      <c r="B2519" s="21" t="s">
        <v>369</v>
      </c>
      <c r="C2519" s="22">
        <v>5500</v>
      </c>
      <c r="D2519" s="23">
        <v>0</v>
      </c>
      <c r="E2519" s="24">
        <v>0</v>
      </c>
    </row>
    <row r="2520" spans="1:5" x14ac:dyDescent="0.3">
      <c r="A2520" s="20" t="s">
        <v>336</v>
      </c>
      <c r="B2520" s="21" t="s">
        <v>370</v>
      </c>
      <c r="C2520" s="22">
        <v>5500</v>
      </c>
      <c r="D2520" s="23">
        <v>21000</v>
      </c>
      <c r="E2520" s="24">
        <v>0</v>
      </c>
    </row>
    <row r="2521" spans="1:5" x14ac:dyDescent="0.3">
      <c r="A2521" s="20" t="s">
        <v>336</v>
      </c>
      <c r="B2521" s="21" t="s">
        <v>371</v>
      </c>
      <c r="C2521" s="22">
        <v>5500</v>
      </c>
      <c r="D2521" s="23">
        <v>0</v>
      </c>
      <c r="E2521" s="24">
        <v>0</v>
      </c>
    </row>
    <row r="2522" spans="1:5" x14ac:dyDescent="0.3">
      <c r="A2522" s="20" t="s">
        <v>336</v>
      </c>
      <c r="B2522" s="21" t="s">
        <v>372</v>
      </c>
      <c r="C2522" s="22">
        <v>5500</v>
      </c>
      <c r="D2522" s="23">
        <v>21000</v>
      </c>
      <c r="E2522" s="24">
        <v>0</v>
      </c>
    </row>
    <row r="2523" spans="1:5" x14ac:dyDescent="0.3">
      <c r="A2523" s="20" t="s">
        <v>336</v>
      </c>
      <c r="B2523" s="21" t="s">
        <v>373</v>
      </c>
      <c r="C2523" s="22">
        <v>2200</v>
      </c>
      <c r="D2523" s="23">
        <v>0</v>
      </c>
      <c r="E2523" s="24">
        <v>0</v>
      </c>
    </row>
    <row r="2524" spans="1:5" x14ac:dyDescent="0.3">
      <c r="A2524" s="20" t="s">
        <v>336</v>
      </c>
      <c r="B2524" s="21" t="s">
        <v>374</v>
      </c>
      <c r="C2524" s="22">
        <v>5500</v>
      </c>
      <c r="D2524" s="23">
        <v>0</v>
      </c>
      <c r="E2524" s="24">
        <v>0</v>
      </c>
    </row>
    <row r="2525" spans="1:5" x14ac:dyDescent="0.3">
      <c r="A2525" s="20" t="s">
        <v>336</v>
      </c>
      <c r="B2525" s="21" t="s">
        <v>375</v>
      </c>
      <c r="C2525" s="22">
        <v>5500</v>
      </c>
      <c r="D2525" s="23">
        <v>21000</v>
      </c>
      <c r="E2525" s="24">
        <v>0</v>
      </c>
    </row>
    <row r="2526" spans="1:5" x14ac:dyDescent="0.3">
      <c r="A2526" s="20" t="s">
        <v>336</v>
      </c>
      <c r="B2526" s="21" t="s">
        <v>376</v>
      </c>
      <c r="C2526" s="22">
        <v>5500</v>
      </c>
      <c r="D2526" s="23">
        <v>0</v>
      </c>
      <c r="E2526" s="24">
        <v>0</v>
      </c>
    </row>
    <row r="2527" spans="1:5" x14ac:dyDescent="0.3">
      <c r="A2527" s="20" t="s">
        <v>336</v>
      </c>
      <c r="B2527" s="21" t="s">
        <v>377</v>
      </c>
      <c r="C2527" s="22">
        <v>2200</v>
      </c>
      <c r="D2527" s="23">
        <v>0</v>
      </c>
      <c r="E2527" s="24">
        <v>0</v>
      </c>
    </row>
    <row r="2528" spans="1:5" x14ac:dyDescent="0.3">
      <c r="A2528" s="16" t="s">
        <v>135</v>
      </c>
      <c r="B2528" s="16" t="s">
        <v>366</v>
      </c>
      <c r="C2528" s="17">
        <v>15400</v>
      </c>
      <c r="D2528" s="18">
        <v>0</v>
      </c>
      <c r="E2528" s="19">
        <v>0</v>
      </c>
    </row>
    <row r="2529" spans="1:5" x14ac:dyDescent="0.3">
      <c r="A2529" s="20" t="s">
        <v>135</v>
      </c>
      <c r="B2529" s="21" t="s">
        <v>367</v>
      </c>
      <c r="C2529" s="22">
        <v>15400</v>
      </c>
      <c r="D2529" s="23">
        <v>0</v>
      </c>
      <c r="E2529" s="24">
        <v>0</v>
      </c>
    </row>
    <row r="2530" spans="1:5" x14ac:dyDescent="0.3">
      <c r="A2530" s="20" t="s">
        <v>135</v>
      </c>
      <c r="B2530" s="21" t="s">
        <v>368</v>
      </c>
      <c r="C2530" s="22">
        <v>15400</v>
      </c>
      <c r="D2530" s="23">
        <v>0</v>
      </c>
      <c r="E2530" s="24">
        <v>0</v>
      </c>
    </row>
    <row r="2531" spans="1:5" x14ac:dyDescent="0.3">
      <c r="A2531" s="20" t="s">
        <v>135</v>
      </c>
      <c r="B2531" s="21" t="s">
        <v>369</v>
      </c>
      <c r="C2531" s="22">
        <v>15400</v>
      </c>
      <c r="D2531" s="23">
        <v>0</v>
      </c>
      <c r="E2531" s="24">
        <v>0</v>
      </c>
    </row>
    <row r="2532" spans="1:5" x14ac:dyDescent="0.3">
      <c r="A2532" s="20" t="s">
        <v>135</v>
      </c>
      <c r="B2532" s="21" t="s">
        <v>370</v>
      </c>
      <c r="C2532" s="22">
        <v>15400</v>
      </c>
      <c r="D2532" s="23">
        <v>0</v>
      </c>
      <c r="E2532" s="24">
        <v>0</v>
      </c>
    </row>
    <row r="2533" spans="1:5" x14ac:dyDescent="0.3">
      <c r="A2533" s="20" t="s">
        <v>135</v>
      </c>
      <c r="B2533" s="21" t="s">
        <v>371</v>
      </c>
      <c r="C2533" s="22">
        <v>15400</v>
      </c>
      <c r="D2533" s="23">
        <v>0</v>
      </c>
      <c r="E2533" s="24">
        <v>0</v>
      </c>
    </row>
    <row r="2534" spans="1:5" x14ac:dyDescent="0.3">
      <c r="A2534" s="20" t="s">
        <v>135</v>
      </c>
      <c r="B2534" s="21" t="s">
        <v>372</v>
      </c>
      <c r="C2534" s="22">
        <v>15400</v>
      </c>
      <c r="D2534" s="23">
        <v>0</v>
      </c>
      <c r="E2534" s="24">
        <v>0</v>
      </c>
    </row>
    <row r="2535" spans="1:5" x14ac:dyDescent="0.3">
      <c r="A2535" s="20" t="s">
        <v>135</v>
      </c>
      <c r="B2535" s="21" t="s">
        <v>373</v>
      </c>
      <c r="C2535" s="22">
        <v>7700</v>
      </c>
      <c r="D2535" s="23">
        <v>0</v>
      </c>
      <c r="E2535" s="24">
        <v>0</v>
      </c>
    </row>
    <row r="2536" spans="1:5" x14ac:dyDescent="0.3">
      <c r="A2536" s="20" t="s">
        <v>135</v>
      </c>
      <c r="B2536" s="21" t="s">
        <v>374</v>
      </c>
      <c r="C2536" s="22">
        <v>15400</v>
      </c>
      <c r="D2536" s="23">
        <v>0</v>
      </c>
      <c r="E2536" s="24">
        <v>0</v>
      </c>
    </row>
    <row r="2537" spans="1:5" x14ac:dyDescent="0.3">
      <c r="A2537" s="20" t="s">
        <v>135</v>
      </c>
      <c r="B2537" s="21" t="s">
        <v>375</v>
      </c>
      <c r="C2537" s="22">
        <v>15400</v>
      </c>
      <c r="D2537" s="23">
        <v>10000</v>
      </c>
      <c r="E2537" s="24">
        <v>0</v>
      </c>
    </row>
    <row r="2538" spans="1:5" x14ac:dyDescent="0.3">
      <c r="A2538" s="20" t="s">
        <v>135</v>
      </c>
      <c r="B2538" s="21" t="s">
        <v>376</v>
      </c>
      <c r="C2538" s="22">
        <v>15400</v>
      </c>
      <c r="D2538" s="23">
        <v>0</v>
      </c>
      <c r="E2538" s="24">
        <v>0</v>
      </c>
    </row>
    <row r="2539" spans="1:5" x14ac:dyDescent="0.3">
      <c r="A2539" s="20" t="s">
        <v>135</v>
      </c>
      <c r="B2539" s="21" t="s">
        <v>377</v>
      </c>
      <c r="C2539" s="22">
        <v>7700</v>
      </c>
      <c r="D2539" s="23">
        <v>10000</v>
      </c>
      <c r="E2539" s="24">
        <v>0</v>
      </c>
    </row>
    <row r="2540" spans="1:5" x14ac:dyDescent="0.3">
      <c r="A2540" s="16" t="s">
        <v>344</v>
      </c>
      <c r="B2540" s="16" t="s">
        <v>366</v>
      </c>
      <c r="C2540" s="17">
        <v>8800</v>
      </c>
      <c r="D2540" s="18">
        <v>21000</v>
      </c>
      <c r="E2540" s="19">
        <v>0</v>
      </c>
    </row>
    <row r="2541" spans="1:5" x14ac:dyDescent="0.3">
      <c r="A2541" s="20" t="s">
        <v>344</v>
      </c>
      <c r="B2541" s="21" t="s">
        <v>367</v>
      </c>
      <c r="C2541" s="22">
        <v>8800</v>
      </c>
      <c r="D2541" s="23">
        <v>14000</v>
      </c>
      <c r="E2541" s="24">
        <v>0</v>
      </c>
    </row>
    <row r="2542" spans="1:5" x14ac:dyDescent="0.3">
      <c r="A2542" s="20" t="s">
        <v>344</v>
      </c>
      <c r="B2542" s="21" t="s">
        <v>368</v>
      </c>
      <c r="C2542" s="22">
        <v>8800</v>
      </c>
      <c r="D2542" s="23">
        <v>7000</v>
      </c>
      <c r="E2542" s="24">
        <v>0</v>
      </c>
    </row>
    <row r="2543" spans="1:5" x14ac:dyDescent="0.3">
      <c r="A2543" s="20" t="s">
        <v>344</v>
      </c>
      <c r="B2543" s="21" t="s">
        <v>369</v>
      </c>
      <c r="C2543" s="22">
        <v>8800</v>
      </c>
      <c r="D2543" s="23">
        <v>7000</v>
      </c>
      <c r="E2543" s="24">
        <v>0</v>
      </c>
    </row>
    <row r="2544" spans="1:5" x14ac:dyDescent="0.3">
      <c r="A2544" s="20" t="s">
        <v>344</v>
      </c>
      <c r="B2544" s="21" t="s">
        <v>370</v>
      </c>
      <c r="C2544" s="22">
        <v>8800</v>
      </c>
      <c r="D2544" s="23">
        <v>7000</v>
      </c>
      <c r="E2544" s="24">
        <v>0</v>
      </c>
    </row>
    <row r="2545" spans="1:5" x14ac:dyDescent="0.3">
      <c r="A2545" s="20" t="s">
        <v>344</v>
      </c>
      <c r="B2545" s="21" t="s">
        <v>371</v>
      </c>
      <c r="C2545" s="22">
        <v>8800</v>
      </c>
      <c r="D2545" s="23">
        <v>7000</v>
      </c>
      <c r="E2545" s="24">
        <v>0</v>
      </c>
    </row>
    <row r="2546" spans="1:5" x14ac:dyDescent="0.3">
      <c r="A2546" s="20" t="s">
        <v>344</v>
      </c>
      <c r="B2546" s="21" t="s">
        <v>372</v>
      </c>
      <c r="C2546" s="22">
        <v>8800</v>
      </c>
      <c r="D2546" s="23">
        <v>17500</v>
      </c>
      <c r="E2546" s="24">
        <v>0</v>
      </c>
    </row>
    <row r="2547" spans="1:5" x14ac:dyDescent="0.3">
      <c r="A2547" s="20" t="s">
        <v>344</v>
      </c>
      <c r="B2547" s="21" t="s">
        <v>373</v>
      </c>
      <c r="C2547" s="22">
        <v>4400</v>
      </c>
      <c r="D2547" s="23">
        <v>0</v>
      </c>
      <c r="E2547" s="24">
        <v>0</v>
      </c>
    </row>
    <row r="2548" spans="1:5" x14ac:dyDescent="0.3">
      <c r="A2548" s="20" t="s">
        <v>344</v>
      </c>
      <c r="B2548" s="21" t="s">
        <v>374</v>
      </c>
      <c r="C2548" s="22">
        <v>8800</v>
      </c>
      <c r="D2548" s="23">
        <v>3500</v>
      </c>
      <c r="E2548" s="24">
        <v>0</v>
      </c>
    </row>
    <row r="2549" spans="1:5" x14ac:dyDescent="0.3">
      <c r="A2549" s="20" t="s">
        <v>344</v>
      </c>
      <c r="B2549" s="21" t="s">
        <v>375</v>
      </c>
      <c r="C2549" s="22">
        <v>8800</v>
      </c>
      <c r="D2549" s="23">
        <v>17500</v>
      </c>
      <c r="E2549" s="24">
        <v>0</v>
      </c>
    </row>
    <row r="2550" spans="1:5" x14ac:dyDescent="0.3">
      <c r="A2550" s="20" t="s">
        <v>344</v>
      </c>
      <c r="B2550" s="21" t="s">
        <v>376</v>
      </c>
      <c r="C2550" s="22">
        <v>8800</v>
      </c>
      <c r="D2550" s="23">
        <v>0</v>
      </c>
      <c r="E2550" s="24">
        <v>0</v>
      </c>
    </row>
    <row r="2551" spans="1:5" x14ac:dyDescent="0.3">
      <c r="A2551" s="20" t="s">
        <v>344</v>
      </c>
      <c r="B2551" s="21" t="s">
        <v>377</v>
      </c>
      <c r="C2551" s="22">
        <v>4400</v>
      </c>
      <c r="D2551" s="23">
        <v>3500</v>
      </c>
      <c r="E2551" s="24">
        <v>0</v>
      </c>
    </row>
    <row r="2552" spans="1:5" x14ac:dyDescent="0.3">
      <c r="A2552" s="16" t="s">
        <v>191</v>
      </c>
      <c r="B2552" s="16" t="s">
        <v>366</v>
      </c>
      <c r="C2552" s="17">
        <v>2200</v>
      </c>
      <c r="D2552" s="18">
        <v>39270</v>
      </c>
      <c r="E2552" s="19">
        <v>0</v>
      </c>
    </row>
    <row r="2553" spans="1:5" x14ac:dyDescent="0.3">
      <c r="A2553" s="20" t="s">
        <v>191</v>
      </c>
      <c r="B2553" s="21" t="s">
        <v>367</v>
      </c>
      <c r="C2553" s="22">
        <v>2200</v>
      </c>
      <c r="D2553" s="23">
        <v>19635</v>
      </c>
      <c r="E2553" s="24">
        <v>0</v>
      </c>
    </row>
    <row r="2554" spans="1:5" x14ac:dyDescent="0.3">
      <c r="A2554" s="20" t="s">
        <v>191</v>
      </c>
      <c r="B2554" s="21" t="s">
        <v>368</v>
      </c>
      <c r="C2554" s="22">
        <v>2200</v>
      </c>
      <c r="D2554" s="23">
        <v>19635</v>
      </c>
      <c r="E2554" s="24">
        <v>0</v>
      </c>
    </row>
    <row r="2555" spans="1:5" x14ac:dyDescent="0.3">
      <c r="A2555" s="20" t="s">
        <v>191</v>
      </c>
      <c r="B2555" s="21" t="s">
        <v>369</v>
      </c>
      <c r="C2555" s="22">
        <v>2200</v>
      </c>
      <c r="D2555" s="23">
        <v>0</v>
      </c>
      <c r="E2555" s="24">
        <v>0</v>
      </c>
    </row>
    <row r="2556" spans="1:5" x14ac:dyDescent="0.3">
      <c r="A2556" s="20" t="s">
        <v>191</v>
      </c>
      <c r="B2556" s="21" t="s">
        <v>370</v>
      </c>
      <c r="C2556" s="22">
        <v>2200</v>
      </c>
      <c r="D2556" s="23">
        <v>19635</v>
      </c>
      <c r="E2556" s="24">
        <v>0</v>
      </c>
    </row>
    <row r="2557" spans="1:5" x14ac:dyDescent="0.3">
      <c r="A2557" s="20" t="s">
        <v>191</v>
      </c>
      <c r="B2557" s="21" t="s">
        <v>371</v>
      </c>
      <c r="C2557" s="22">
        <v>2200</v>
      </c>
      <c r="D2557" s="23">
        <v>19635</v>
      </c>
      <c r="E2557" s="24">
        <v>0</v>
      </c>
    </row>
    <row r="2558" spans="1:5" x14ac:dyDescent="0.3">
      <c r="A2558" s="20" t="s">
        <v>191</v>
      </c>
      <c r="B2558" s="21" t="s">
        <v>372</v>
      </c>
      <c r="C2558" s="22">
        <v>2200</v>
      </c>
      <c r="D2558" s="23">
        <v>39270</v>
      </c>
      <c r="E2558" s="24">
        <v>0</v>
      </c>
    </row>
    <row r="2559" spans="1:5" x14ac:dyDescent="0.3">
      <c r="A2559" s="20" t="s">
        <v>191</v>
      </c>
      <c r="B2559" s="21" t="s">
        <v>373</v>
      </c>
      <c r="C2559" s="22">
        <v>1100</v>
      </c>
      <c r="D2559" s="23">
        <v>0</v>
      </c>
      <c r="E2559" s="24">
        <v>0</v>
      </c>
    </row>
    <row r="2560" spans="1:5" x14ac:dyDescent="0.3">
      <c r="A2560" s="20" t="s">
        <v>191</v>
      </c>
      <c r="B2560" s="21" t="s">
        <v>374</v>
      </c>
      <c r="C2560" s="22">
        <v>2200</v>
      </c>
      <c r="D2560" s="23">
        <v>19635</v>
      </c>
      <c r="E2560" s="24">
        <v>0</v>
      </c>
    </row>
    <row r="2561" spans="1:5" x14ac:dyDescent="0.3">
      <c r="A2561" s="20" t="s">
        <v>191</v>
      </c>
      <c r="B2561" s="21" t="s">
        <v>375</v>
      </c>
      <c r="C2561" s="22">
        <v>2200</v>
      </c>
      <c r="D2561" s="23">
        <v>58905</v>
      </c>
      <c r="E2561" s="24">
        <v>0</v>
      </c>
    </row>
    <row r="2562" spans="1:5" x14ac:dyDescent="0.3">
      <c r="A2562" s="20" t="s">
        <v>191</v>
      </c>
      <c r="B2562" s="21" t="s">
        <v>376</v>
      </c>
      <c r="C2562" s="22">
        <v>2200</v>
      </c>
      <c r="D2562" s="23">
        <v>0</v>
      </c>
      <c r="E2562" s="24">
        <v>0</v>
      </c>
    </row>
    <row r="2563" spans="1:5" x14ac:dyDescent="0.3">
      <c r="A2563" s="20" t="s">
        <v>191</v>
      </c>
      <c r="B2563" s="21" t="s">
        <v>377</v>
      </c>
      <c r="C2563" s="22">
        <v>1100</v>
      </c>
      <c r="D2563" s="23">
        <v>0</v>
      </c>
      <c r="E2563" s="24">
        <v>0</v>
      </c>
    </row>
    <row r="2564" spans="1:5" x14ac:dyDescent="0.3">
      <c r="A2564" s="16" t="s">
        <v>207</v>
      </c>
      <c r="B2564" s="16" t="s">
        <v>366</v>
      </c>
      <c r="C2564" s="17">
        <v>24200</v>
      </c>
      <c r="D2564" s="18">
        <v>50000</v>
      </c>
      <c r="E2564" s="19">
        <v>0</v>
      </c>
    </row>
    <row r="2565" spans="1:5" x14ac:dyDescent="0.3">
      <c r="A2565" s="20" t="s">
        <v>207</v>
      </c>
      <c r="B2565" s="21" t="s">
        <v>367</v>
      </c>
      <c r="C2565" s="22">
        <v>24200</v>
      </c>
      <c r="D2565" s="23">
        <v>0</v>
      </c>
      <c r="E2565" s="24">
        <v>0</v>
      </c>
    </row>
    <row r="2566" spans="1:5" x14ac:dyDescent="0.3">
      <c r="A2566" s="20" t="s">
        <v>207</v>
      </c>
      <c r="B2566" s="21" t="s">
        <v>368</v>
      </c>
      <c r="C2566" s="22">
        <v>24200</v>
      </c>
      <c r="D2566" s="23">
        <v>0</v>
      </c>
      <c r="E2566" s="24">
        <v>0</v>
      </c>
    </row>
    <row r="2567" spans="1:5" x14ac:dyDescent="0.3">
      <c r="A2567" s="20" t="s">
        <v>207</v>
      </c>
      <c r="B2567" s="21" t="s">
        <v>369</v>
      </c>
      <c r="C2567" s="22">
        <v>24200</v>
      </c>
      <c r="D2567" s="23">
        <v>50000</v>
      </c>
      <c r="E2567" s="24">
        <v>0</v>
      </c>
    </row>
    <row r="2568" spans="1:5" x14ac:dyDescent="0.3">
      <c r="A2568" s="20" t="s">
        <v>207</v>
      </c>
      <c r="B2568" s="21" t="s">
        <v>370</v>
      </c>
      <c r="C2568" s="22">
        <v>24200</v>
      </c>
      <c r="D2568" s="23">
        <v>0</v>
      </c>
      <c r="E2568" s="24">
        <v>0</v>
      </c>
    </row>
    <row r="2569" spans="1:5" x14ac:dyDescent="0.3">
      <c r="A2569" s="20" t="s">
        <v>207</v>
      </c>
      <c r="B2569" s="21" t="s">
        <v>371</v>
      </c>
      <c r="C2569" s="22">
        <v>24200</v>
      </c>
      <c r="D2569" s="23">
        <v>0</v>
      </c>
      <c r="E2569" s="24">
        <v>0</v>
      </c>
    </row>
    <row r="2570" spans="1:5" x14ac:dyDescent="0.3">
      <c r="A2570" s="20" t="s">
        <v>207</v>
      </c>
      <c r="B2570" s="21" t="s">
        <v>372</v>
      </c>
      <c r="C2570" s="22">
        <v>24200</v>
      </c>
      <c r="D2570" s="23">
        <v>50000</v>
      </c>
      <c r="E2570" s="24">
        <v>0</v>
      </c>
    </row>
    <row r="2571" spans="1:5" x14ac:dyDescent="0.3">
      <c r="A2571" s="20" t="s">
        <v>207</v>
      </c>
      <c r="B2571" s="21" t="s">
        <v>373</v>
      </c>
      <c r="C2571" s="22">
        <v>12100</v>
      </c>
      <c r="D2571" s="23">
        <v>0</v>
      </c>
      <c r="E2571" s="24">
        <v>0</v>
      </c>
    </row>
    <row r="2572" spans="1:5" x14ac:dyDescent="0.3">
      <c r="A2572" s="20" t="s">
        <v>207</v>
      </c>
      <c r="B2572" s="21" t="s">
        <v>374</v>
      </c>
      <c r="C2572" s="22">
        <v>24200</v>
      </c>
      <c r="D2572" s="23">
        <v>50000</v>
      </c>
      <c r="E2572" s="24">
        <v>0</v>
      </c>
    </row>
    <row r="2573" spans="1:5" x14ac:dyDescent="0.3">
      <c r="A2573" s="20" t="s">
        <v>207</v>
      </c>
      <c r="B2573" s="21" t="s">
        <v>375</v>
      </c>
      <c r="C2573" s="22">
        <v>24200</v>
      </c>
      <c r="D2573" s="23">
        <v>50000</v>
      </c>
      <c r="E2573" s="24">
        <v>0</v>
      </c>
    </row>
    <row r="2574" spans="1:5" x14ac:dyDescent="0.3">
      <c r="A2574" s="20" t="s">
        <v>207</v>
      </c>
      <c r="B2574" s="21" t="s">
        <v>376</v>
      </c>
      <c r="C2574" s="22">
        <v>24200</v>
      </c>
      <c r="D2574" s="23">
        <v>0</v>
      </c>
      <c r="E2574" s="24">
        <v>0</v>
      </c>
    </row>
    <row r="2575" spans="1:5" x14ac:dyDescent="0.3">
      <c r="A2575" s="20" t="s">
        <v>207</v>
      </c>
      <c r="B2575" s="21" t="s">
        <v>377</v>
      </c>
      <c r="C2575" s="22">
        <v>12100</v>
      </c>
      <c r="D2575" s="23">
        <v>0</v>
      </c>
      <c r="E2575" s="24">
        <v>0</v>
      </c>
    </row>
    <row r="2576" spans="1:5" x14ac:dyDescent="0.3">
      <c r="A2576" s="16" t="s">
        <v>241</v>
      </c>
      <c r="B2576" s="16" t="s">
        <v>367</v>
      </c>
      <c r="C2576" s="17">
        <v>0</v>
      </c>
      <c r="D2576" s="18">
        <v>0</v>
      </c>
      <c r="E2576" s="19">
        <v>0</v>
      </c>
    </row>
    <row r="2577" spans="1:5" x14ac:dyDescent="0.3">
      <c r="A2577" s="16" t="s">
        <v>271</v>
      </c>
      <c r="B2577" s="16" t="s">
        <v>366</v>
      </c>
      <c r="C2577" s="17">
        <v>50600</v>
      </c>
      <c r="D2577" s="18">
        <v>60000</v>
      </c>
      <c r="E2577" s="19">
        <v>0</v>
      </c>
    </row>
    <row r="2578" spans="1:5" x14ac:dyDescent="0.3">
      <c r="A2578" s="20" t="s">
        <v>271</v>
      </c>
      <c r="B2578" s="21" t="s">
        <v>367</v>
      </c>
      <c r="C2578" s="22">
        <v>50600</v>
      </c>
      <c r="D2578" s="23">
        <v>120000</v>
      </c>
      <c r="E2578" s="24">
        <v>0</v>
      </c>
    </row>
    <row r="2579" spans="1:5" x14ac:dyDescent="0.3">
      <c r="A2579" s="20" t="s">
        <v>271</v>
      </c>
      <c r="B2579" s="21" t="s">
        <v>368</v>
      </c>
      <c r="C2579" s="22">
        <v>50600</v>
      </c>
      <c r="D2579" s="23">
        <v>60000</v>
      </c>
      <c r="E2579" s="24">
        <v>0</v>
      </c>
    </row>
    <row r="2580" spans="1:5" x14ac:dyDescent="0.3">
      <c r="A2580" s="20" t="s">
        <v>271</v>
      </c>
      <c r="B2580" s="21" t="s">
        <v>369</v>
      </c>
      <c r="C2580" s="22">
        <v>50600</v>
      </c>
      <c r="D2580" s="23">
        <v>120000</v>
      </c>
      <c r="E2580" s="24">
        <v>0</v>
      </c>
    </row>
    <row r="2581" spans="1:5" x14ac:dyDescent="0.3">
      <c r="A2581" s="20" t="s">
        <v>271</v>
      </c>
      <c r="B2581" s="21" t="s">
        <v>370</v>
      </c>
      <c r="C2581" s="22">
        <v>50600</v>
      </c>
      <c r="D2581" s="23">
        <v>120000</v>
      </c>
      <c r="E2581" s="24">
        <v>0</v>
      </c>
    </row>
    <row r="2582" spans="1:5" x14ac:dyDescent="0.3">
      <c r="A2582" s="20" t="s">
        <v>271</v>
      </c>
      <c r="B2582" s="21" t="s">
        <v>371</v>
      </c>
      <c r="C2582" s="22">
        <v>50600</v>
      </c>
      <c r="D2582" s="23">
        <v>120000</v>
      </c>
      <c r="E2582" s="24">
        <v>0</v>
      </c>
    </row>
    <row r="2583" spans="1:5" x14ac:dyDescent="0.3">
      <c r="A2583" s="20" t="s">
        <v>271</v>
      </c>
      <c r="B2583" s="21" t="s">
        <v>372</v>
      </c>
      <c r="C2583" s="22">
        <v>50600</v>
      </c>
      <c r="D2583" s="23">
        <v>240000</v>
      </c>
      <c r="E2583" s="24">
        <v>0</v>
      </c>
    </row>
    <row r="2584" spans="1:5" x14ac:dyDescent="0.3">
      <c r="A2584" s="20" t="s">
        <v>271</v>
      </c>
      <c r="B2584" s="21" t="s">
        <v>373</v>
      </c>
      <c r="C2584" s="22">
        <v>25300</v>
      </c>
      <c r="D2584" s="23">
        <v>0</v>
      </c>
      <c r="E2584" s="24">
        <v>0</v>
      </c>
    </row>
    <row r="2585" spans="1:5" x14ac:dyDescent="0.3">
      <c r="A2585" s="20" t="s">
        <v>271</v>
      </c>
      <c r="B2585" s="21" t="s">
        <v>374</v>
      </c>
      <c r="C2585" s="22">
        <v>50600</v>
      </c>
      <c r="D2585" s="23">
        <v>120000</v>
      </c>
      <c r="E2585" s="24">
        <v>0</v>
      </c>
    </row>
    <row r="2586" spans="1:5" x14ac:dyDescent="0.3">
      <c r="A2586" s="20" t="s">
        <v>271</v>
      </c>
      <c r="B2586" s="21" t="s">
        <v>375</v>
      </c>
      <c r="C2586" s="22">
        <v>50600</v>
      </c>
      <c r="D2586" s="23">
        <v>240000</v>
      </c>
      <c r="E2586" s="24">
        <v>0</v>
      </c>
    </row>
    <row r="2587" spans="1:5" x14ac:dyDescent="0.3">
      <c r="A2587" s="20" t="s">
        <v>271</v>
      </c>
      <c r="B2587" s="21" t="s">
        <v>376</v>
      </c>
      <c r="C2587" s="22">
        <v>50600</v>
      </c>
      <c r="D2587" s="23">
        <v>0</v>
      </c>
      <c r="E2587" s="24">
        <v>0</v>
      </c>
    </row>
    <row r="2588" spans="1:5" x14ac:dyDescent="0.3">
      <c r="A2588" s="20" t="s">
        <v>271</v>
      </c>
      <c r="B2588" s="21" t="s">
        <v>377</v>
      </c>
      <c r="C2588" s="22">
        <v>25300</v>
      </c>
      <c r="D2588" s="23">
        <v>60000</v>
      </c>
      <c r="E2588" s="24">
        <v>0</v>
      </c>
    </row>
    <row r="2589" spans="1:5" x14ac:dyDescent="0.3">
      <c r="A2589" s="16" t="s">
        <v>277</v>
      </c>
      <c r="B2589" s="16" t="s">
        <v>366</v>
      </c>
      <c r="C2589" s="17">
        <v>0</v>
      </c>
      <c r="D2589" s="18">
        <v>10800</v>
      </c>
      <c r="E2589" s="19">
        <v>0</v>
      </c>
    </row>
    <row r="2590" spans="1:5" x14ac:dyDescent="0.3">
      <c r="A2590" s="20" t="s">
        <v>277</v>
      </c>
      <c r="B2590" s="21" t="s">
        <v>375</v>
      </c>
      <c r="C2590" s="22">
        <v>0</v>
      </c>
      <c r="D2590" s="23">
        <v>10800</v>
      </c>
      <c r="E2590" s="24">
        <v>0</v>
      </c>
    </row>
    <row r="2591" spans="1:5" x14ac:dyDescent="0.3">
      <c r="A2591" s="16" t="s">
        <v>282</v>
      </c>
      <c r="B2591" s="16" t="s">
        <v>366</v>
      </c>
      <c r="C2591" s="17">
        <v>17600</v>
      </c>
      <c r="D2591" s="18">
        <v>0</v>
      </c>
      <c r="E2591" s="19">
        <v>0</v>
      </c>
    </row>
    <row r="2592" spans="1:5" x14ac:dyDescent="0.3">
      <c r="A2592" s="20" t="s">
        <v>282</v>
      </c>
      <c r="B2592" s="21" t="s">
        <v>367</v>
      </c>
      <c r="C2592" s="22">
        <v>17600</v>
      </c>
      <c r="D2592" s="23">
        <v>0</v>
      </c>
      <c r="E2592" s="24">
        <v>0</v>
      </c>
    </row>
    <row r="2593" spans="1:5" x14ac:dyDescent="0.3">
      <c r="A2593" s="20" t="s">
        <v>282</v>
      </c>
      <c r="B2593" s="21" t="s">
        <v>368</v>
      </c>
      <c r="C2593" s="22">
        <v>17600</v>
      </c>
      <c r="D2593" s="23">
        <v>0</v>
      </c>
      <c r="E2593" s="24">
        <v>0</v>
      </c>
    </row>
    <row r="2594" spans="1:5" x14ac:dyDescent="0.3">
      <c r="A2594" s="20" t="s">
        <v>282</v>
      </c>
      <c r="B2594" s="21" t="s">
        <v>369</v>
      </c>
      <c r="C2594" s="22">
        <v>17600</v>
      </c>
      <c r="D2594" s="23">
        <v>0</v>
      </c>
      <c r="E2594" s="24">
        <v>0</v>
      </c>
    </row>
    <row r="2595" spans="1:5" x14ac:dyDescent="0.3">
      <c r="A2595" s="20" t="s">
        <v>282</v>
      </c>
      <c r="B2595" s="21" t="s">
        <v>370</v>
      </c>
      <c r="C2595" s="22">
        <v>17600</v>
      </c>
      <c r="D2595" s="23">
        <v>0</v>
      </c>
      <c r="E2595" s="24">
        <v>0</v>
      </c>
    </row>
    <row r="2596" spans="1:5" x14ac:dyDescent="0.3">
      <c r="A2596" s="20" t="s">
        <v>282</v>
      </c>
      <c r="B2596" s="21" t="s">
        <v>371</v>
      </c>
      <c r="C2596" s="22">
        <v>17600</v>
      </c>
      <c r="D2596" s="23">
        <v>0</v>
      </c>
      <c r="E2596" s="24">
        <v>0</v>
      </c>
    </row>
    <row r="2597" spans="1:5" x14ac:dyDescent="0.3">
      <c r="A2597" s="20" t="s">
        <v>282</v>
      </c>
      <c r="B2597" s="21" t="s">
        <v>372</v>
      </c>
      <c r="C2597" s="22">
        <v>17600</v>
      </c>
      <c r="D2597" s="23">
        <v>0</v>
      </c>
      <c r="E2597" s="24">
        <v>0</v>
      </c>
    </row>
    <row r="2598" spans="1:5" x14ac:dyDescent="0.3">
      <c r="A2598" s="20" t="s">
        <v>282</v>
      </c>
      <c r="B2598" s="21" t="s">
        <v>373</v>
      </c>
      <c r="C2598" s="22">
        <v>8800</v>
      </c>
      <c r="D2598" s="23">
        <v>0</v>
      </c>
      <c r="E2598" s="24">
        <v>0</v>
      </c>
    </row>
    <row r="2599" spans="1:5" x14ac:dyDescent="0.3">
      <c r="A2599" s="20" t="s">
        <v>282</v>
      </c>
      <c r="B2599" s="21" t="s">
        <v>374</v>
      </c>
      <c r="C2599" s="22">
        <v>17600</v>
      </c>
      <c r="D2599" s="23">
        <v>0</v>
      </c>
      <c r="E2599" s="24">
        <v>0</v>
      </c>
    </row>
    <row r="2600" spans="1:5" x14ac:dyDescent="0.3">
      <c r="A2600" s="20" t="s">
        <v>282</v>
      </c>
      <c r="B2600" s="21" t="s">
        <v>375</v>
      </c>
      <c r="C2600" s="22">
        <v>17600</v>
      </c>
      <c r="D2600" s="23">
        <v>0</v>
      </c>
      <c r="E2600" s="24">
        <v>0</v>
      </c>
    </row>
    <row r="2601" spans="1:5" x14ac:dyDescent="0.3">
      <c r="A2601" s="20" t="s">
        <v>282</v>
      </c>
      <c r="B2601" s="21" t="s">
        <v>376</v>
      </c>
      <c r="C2601" s="22">
        <v>17600</v>
      </c>
      <c r="D2601" s="23">
        <v>0</v>
      </c>
      <c r="E2601" s="24">
        <v>0</v>
      </c>
    </row>
    <row r="2602" spans="1:5" x14ac:dyDescent="0.3">
      <c r="A2602" s="20" t="s">
        <v>282</v>
      </c>
      <c r="B2602" s="21" t="s">
        <v>377</v>
      </c>
      <c r="C2602" s="22">
        <v>8800</v>
      </c>
      <c r="D2602" s="23">
        <v>0</v>
      </c>
      <c r="E2602" s="24">
        <v>0</v>
      </c>
    </row>
    <row r="2603" spans="1:5" x14ac:dyDescent="0.3">
      <c r="A2603" s="16" t="s">
        <v>287</v>
      </c>
      <c r="B2603" s="16" t="s">
        <v>366</v>
      </c>
      <c r="C2603" s="17">
        <v>9900</v>
      </c>
      <c r="D2603" s="18">
        <v>38400</v>
      </c>
      <c r="E2603" s="19">
        <v>0</v>
      </c>
    </row>
    <row r="2604" spans="1:5" x14ac:dyDescent="0.3">
      <c r="A2604" s="20" t="s">
        <v>287</v>
      </c>
      <c r="B2604" s="21" t="s">
        <v>367</v>
      </c>
      <c r="C2604" s="22">
        <v>9900</v>
      </c>
      <c r="D2604" s="23">
        <v>0</v>
      </c>
      <c r="E2604" s="24">
        <v>0</v>
      </c>
    </row>
    <row r="2605" spans="1:5" x14ac:dyDescent="0.3">
      <c r="A2605" s="20" t="s">
        <v>287</v>
      </c>
      <c r="B2605" s="21" t="s">
        <v>368</v>
      </c>
      <c r="C2605" s="22">
        <v>9900</v>
      </c>
      <c r="D2605" s="23">
        <v>38400</v>
      </c>
      <c r="E2605" s="24">
        <v>0</v>
      </c>
    </row>
    <row r="2606" spans="1:5" x14ac:dyDescent="0.3">
      <c r="A2606" s="20" t="s">
        <v>287</v>
      </c>
      <c r="B2606" s="21" t="s">
        <v>369</v>
      </c>
      <c r="C2606" s="22">
        <v>9900</v>
      </c>
      <c r="D2606" s="23">
        <v>0</v>
      </c>
      <c r="E2606" s="24">
        <v>0</v>
      </c>
    </row>
    <row r="2607" spans="1:5" x14ac:dyDescent="0.3">
      <c r="A2607" s="20" t="s">
        <v>287</v>
      </c>
      <c r="B2607" s="21" t="s">
        <v>370</v>
      </c>
      <c r="C2607" s="22">
        <v>9900</v>
      </c>
      <c r="D2607" s="23">
        <v>0</v>
      </c>
      <c r="E2607" s="24">
        <v>0</v>
      </c>
    </row>
    <row r="2608" spans="1:5" x14ac:dyDescent="0.3">
      <c r="A2608" s="20" t="s">
        <v>287</v>
      </c>
      <c r="B2608" s="21" t="s">
        <v>371</v>
      </c>
      <c r="C2608" s="22">
        <v>9900</v>
      </c>
      <c r="D2608" s="23">
        <v>38400</v>
      </c>
      <c r="E2608" s="24">
        <v>0</v>
      </c>
    </row>
    <row r="2609" spans="1:5" x14ac:dyDescent="0.3">
      <c r="A2609" s="20" t="s">
        <v>287</v>
      </c>
      <c r="B2609" s="21" t="s">
        <v>372</v>
      </c>
      <c r="C2609" s="22">
        <v>9900</v>
      </c>
      <c r="D2609" s="23">
        <v>38400</v>
      </c>
      <c r="E2609" s="24">
        <v>0</v>
      </c>
    </row>
    <row r="2610" spans="1:5" x14ac:dyDescent="0.3">
      <c r="A2610" s="20" t="s">
        <v>287</v>
      </c>
      <c r="B2610" s="21" t="s">
        <v>373</v>
      </c>
      <c r="C2610" s="22">
        <v>4400</v>
      </c>
      <c r="D2610" s="23">
        <v>0</v>
      </c>
      <c r="E2610" s="24">
        <v>0</v>
      </c>
    </row>
    <row r="2611" spans="1:5" x14ac:dyDescent="0.3">
      <c r="A2611" s="20" t="s">
        <v>287</v>
      </c>
      <c r="B2611" s="21" t="s">
        <v>374</v>
      </c>
      <c r="C2611" s="22">
        <v>9900</v>
      </c>
      <c r="D2611" s="23">
        <v>0</v>
      </c>
      <c r="E2611" s="24">
        <v>0</v>
      </c>
    </row>
    <row r="2612" spans="1:5" x14ac:dyDescent="0.3">
      <c r="A2612" s="20" t="s">
        <v>287</v>
      </c>
      <c r="B2612" s="21" t="s">
        <v>375</v>
      </c>
      <c r="C2612" s="22">
        <v>9900</v>
      </c>
      <c r="D2612" s="23">
        <v>38400</v>
      </c>
      <c r="E2612" s="24">
        <v>0</v>
      </c>
    </row>
    <row r="2613" spans="1:5" x14ac:dyDescent="0.3">
      <c r="A2613" s="20" t="s">
        <v>287</v>
      </c>
      <c r="B2613" s="21" t="s">
        <v>376</v>
      </c>
      <c r="C2613" s="22">
        <v>9900</v>
      </c>
      <c r="D2613" s="23">
        <v>0</v>
      </c>
      <c r="E2613" s="24">
        <v>0</v>
      </c>
    </row>
    <row r="2614" spans="1:5" x14ac:dyDescent="0.3">
      <c r="A2614" s="20" t="s">
        <v>287</v>
      </c>
      <c r="B2614" s="21" t="s">
        <v>377</v>
      </c>
      <c r="C2614" s="22">
        <v>4400</v>
      </c>
      <c r="D2614" s="23">
        <v>0</v>
      </c>
      <c r="E2614" s="24">
        <v>0</v>
      </c>
    </row>
    <row r="2615" spans="1:5" x14ac:dyDescent="0.3">
      <c r="A2615" s="16" t="s">
        <v>360</v>
      </c>
      <c r="B2615" s="16" t="s">
        <v>366</v>
      </c>
      <c r="C2615" s="17">
        <v>2200</v>
      </c>
      <c r="D2615" s="18">
        <v>0</v>
      </c>
      <c r="E2615" s="19">
        <v>0</v>
      </c>
    </row>
    <row r="2616" spans="1:5" x14ac:dyDescent="0.3">
      <c r="A2616" s="20" t="s">
        <v>360</v>
      </c>
      <c r="B2616" s="21" t="s">
        <v>367</v>
      </c>
      <c r="C2616" s="22">
        <v>2200</v>
      </c>
      <c r="D2616" s="23">
        <v>0</v>
      </c>
      <c r="E2616" s="24">
        <v>0</v>
      </c>
    </row>
    <row r="2617" spans="1:5" x14ac:dyDescent="0.3">
      <c r="A2617" s="20" t="s">
        <v>360</v>
      </c>
      <c r="B2617" s="21" t="s">
        <v>368</v>
      </c>
      <c r="C2617" s="22">
        <v>2200</v>
      </c>
      <c r="D2617" s="23">
        <v>15000</v>
      </c>
      <c r="E2617" s="24">
        <v>0</v>
      </c>
    </row>
    <row r="2618" spans="1:5" x14ac:dyDescent="0.3">
      <c r="A2618" s="20" t="s">
        <v>360</v>
      </c>
      <c r="B2618" s="21" t="s">
        <v>369</v>
      </c>
      <c r="C2618" s="22">
        <v>2200</v>
      </c>
      <c r="D2618" s="23">
        <v>0</v>
      </c>
      <c r="E2618" s="24">
        <v>0</v>
      </c>
    </row>
    <row r="2619" spans="1:5" x14ac:dyDescent="0.3">
      <c r="A2619" s="20" t="s">
        <v>360</v>
      </c>
      <c r="B2619" s="21" t="s">
        <v>370</v>
      </c>
      <c r="C2619" s="22">
        <v>2200</v>
      </c>
      <c r="D2619" s="23">
        <v>0</v>
      </c>
      <c r="E2619" s="24">
        <v>0</v>
      </c>
    </row>
    <row r="2620" spans="1:5" x14ac:dyDescent="0.3">
      <c r="A2620" s="20" t="s">
        <v>360</v>
      </c>
      <c r="B2620" s="21" t="s">
        <v>371</v>
      </c>
      <c r="C2620" s="22">
        <v>2200</v>
      </c>
      <c r="D2620" s="23">
        <v>15000</v>
      </c>
      <c r="E2620" s="24">
        <v>0</v>
      </c>
    </row>
    <row r="2621" spans="1:5" x14ac:dyDescent="0.3">
      <c r="A2621" s="20" t="s">
        <v>360</v>
      </c>
      <c r="B2621" s="21" t="s">
        <v>372</v>
      </c>
      <c r="C2621" s="22">
        <v>2200</v>
      </c>
      <c r="D2621" s="23">
        <v>15000</v>
      </c>
      <c r="E2621" s="24">
        <v>0</v>
      </c>
    </row>
    <row r="2622" spans="1:5" x14ac:dyDescent="0.3">
      <c r="A2622" s="20" t="s">
        <v>360</v>
      </c>
      <c r="B2622" s="21" t="s">
        <v>373</v>
      </c>
      <c r="C2622" s="22">
        <v>1100</v>
      </c>
      <c r="D2622" s="23">
        <v>0</v>
      </c>
      <c r="E2622" s="24">
        <v>0</v>
      </c>
    </row>
    <row r="2623" spans="1:5" x14ac:dyDescent="0.3">
      <c r="A2623" s="20" t="s">
        <v>360</v>
      </c>
      <c r="B2623" s="21" t="s">
        <v>374</v>
      </c>
      <c r="C2623" s="22">
        <v>2200</v>
      </c>
      <c r="D2623" s="23">
        <v>0</v>
      </c>
      <c r="E2623" s="24">
        <v>0</v>
      </c>
    </row>
    <row r="2624" spans="1:5" x14ac:dyDescent="0.3">
      <c r="A2624" s="20" t="s">
        <v>360</v>
      </c>
      <c r="B2624" s="21" t="s">
        <v>375</v>
      </c>
      <c r="C2624" s="22">
        <v>2200</v>
      </c>
      <c r="D2624" s="23">
        <v>30000</v>
      </c>
      <c r="E2624" s="24">
        <v>0</v>
      </c>
    </row>
    <row r="2625" spans="1:5" x14ac:dyDescent="0.3">
      <c r="A2625" s="20" t="s">
        <v>360</v>
      </c>
      <c r="B2625" s="21" t="s">
        <v>376</v>
      </c>
      <c r="C2625" s="22">
        <v>2200</v>
      </c>
      <c r="D2625" s="23">
        <v>0</v>
      </c>
      <c r="E2625" s="24">
        <v>0</v>
      </c>
    </row>
    <row r="2626" spans="1:5" x14ac:dyDescent="0.3">
      <c r="A2626" s="20" t="s">
        <v>360</v>
      </c>
      <c r="B2626" s="21" t="s">
        <v>377</v>
      </c>
      <c r="C2626" s="22">
        <v>1100</v>
      </c>
      <c r="D2626" s="23">
        <v>0</v>
      </c>
      <c r="E2626" s="24">
        <v>0</v>
      </c>
    </row>
    <row r="2627" spans="1:5" x14ac:dyDescent="0.3">
      <c r="A2627" s="16" t="s">
        <v>428</v>
      </c>
      <c r="B2627" s="16" t="s">
        <v>372</v>
      </c>
      <c r="C2627" s="17">
        <v>0</v>
      </c>
      <c r="D2627" s="18">
        <v>20000</v>
      </c>
      <c r="E2627" s="19">
        <v>0</v>
      </c>
    </row>
    <row r="2628" spans="1:5" x14ac:dyDescent="0.3">
      <c r="A2628" s="16" t="s">
        <v>38</v>
      </c>
      <c r="B2628" s="16" t="s">
        <v>375</v>
      </c>
      <c r="C2628" s="17">
        <v>0</v>
      </c>
      <c r="D2628" s="18">
        <v>0</v>
      </c>
      <c r="E2628" s="19">
        <v>0</v>
      </c>
    </row>
    <row r="2629" spans="1:5" x14ac:dyDescent="0.3">
      <c r="A2629" s="16" t="s">
        <v>40</v>
      </c>
      <c r="B2629" s="16" t="s">
        <v>366</v>
      </c>
      <c r="C2629" s="17">
        <v>7700</v>
      </c>
      <c r="D2629" s="18">
        <v>0</v>
      </c>
      <c r="E2629" s="19">
        <v>0</v>
      </c>
    </row>
    <row r="2630" spans="1:5" x14ac:dyDescent="0.3">
      <c r="A2630" s="20" t="s">
        <v>40</v>
      </c>
      <c r="B2630" s="21" t="s">
        <v>367</v>
      </c>
      <c r="C2630" s="22">
        <v>7700</v>
      </c>
      <c r="D2630" s="23">
        <v>30240</v>
      </c>
      <c r="E2630" s="24">
        <v>0</v>
      </c>
    </row>
    <row r="2631" spans="1:5" x14ac:dyDescent="0.3">
      <c r="A2631" s="20" t="s">
        <v>40</v>
      </c>
      <c r="B2631" s="21" t="s">
        <v>368</v>
      </c>
      <c r="C2631" s="22">
        <v>7700</v>
      </c>
      <c r="D2631" s="23">
        <v>0</v>
      </c>
      <c r="E2631" s="24">
        <v>0</v>
      </c>
    </row>
    <row r="2632" spans="1:5" x14ac:dyDescent="0.3">
      <c r="A2632" s="20" t="s">
        <v>40</v>
      </c>
      <c r="B2632" s="21" t="s">
        <v>369</v>
      </c>
      <c r="C2632" s="22">
        <v>7700</v>
      </c>
      <c r="D2632" s="23">
        <v>30240</v>
      </c>
      <c r="E2632" s="24">
        <v>0</v>
      </c>
    </row>
    <row r="2633" spans="1:5" x14ac:dyDescent="0.3">
      <c r="A2633" s="20" t="s">
        <v>40</v>
      </c>
      <c r="B2633" s="21" t="s">
        <v>370</v>
      </c>
      <c r="C2633" s="22">
        <v>7700</v>
      </c>
      <c r="D2633" s="23">
        <v>0</v>
      </c>
      <c r="E2633" s="24">
        <v>0</v>
      </c>
    </row>
    <row r="2634" spans="1:5" x14ac:dyDescent="0.3">
      <c r="A2634" s="20" t="s">
        <v>40</v>
      </c>
      <c r="B2634" s="21" t="s">
        <v>371</v>
      </c>
      <c r="C2634" s="22">
        <v>7700</v>
      </c>
      <c r="D2634" s="23">
        <v>30240</v>
      </c>
      <c r="E2634" s="24">
        <v>0</v>
      </c>
    </row>
    <row r="2635" spans="1:5" x14ac:dyDescent="0.3">
      <c r="A2635" s="20" t="s">
        <v>40</v>
      </c>
      <c r="B2635" s="21" t="s">
        <v>372</v>
      </c>
      <c r="C2635" s="22">
        <v>7700</v>
      </c>
      <c r="D2635" s="23">
        <v>0</v>
      </c>
      <c r="E2635" s="24">
        <v>0</v>
      </c>
    </row>
    <row r="2636" spans="1:5" x14ac:dyDescent="0.3">
      <c r="A2636" s="20" t="s">
        <v>40</v>
      </c>
      <c r="B2636" s="21" t="s">
        <v>373</v>
      </c>
      <c r="C2636" s="22">
        <v>3300</v>
      </c>
      <c r="D2636" s="23">
        <v>0</v>
      </c>
      <c r="E2636" s="24">
        <v>0</v>
      </c>
    </row>
    <row r="2637" spans="1:5" x14ac:dyDescent="0.3">
      <c r="A2637" s="20" t="s">
        <v>40</v>
      </c>
      <c r="B2637" s="21" t="s">
        <v>374</v>
      </c>
      <c r="C2637" s="22">
        <v>7700</v>
      </c>
      <c r="D2637" s="23">
        <v>30240</v>
      </c>
      <c r="E2637" s="24">
        <v>0</v>
      </c>
    </row>
    <row r="2638" spans="1:5" x14ac:dyDescent="0.3">
      <c r="A2638" s="20" t="s">
        <v>40</v>
      </c>
      <c r="B2638" s="21" t="s">
        <v>375</v>
      </c>
      <c r="C2638" s="22">
        <v>7700</v>
      </c>
      <c r="D2638" s="23">
        <v>30240</v>
      </c>
      <c r="E2638" s="24">
        <v>0</v>
      </c>
    </row>
    <row r="2639" spans="1:5" x14ac:dyDescent="0.3">
      <c r="A2639" s="20" t="s">
        <v>40</v>
      </c>
      <c r="B2639" s="21" t="s">
        <v>376</v>
      </c>
      <c r="C2639" s="22">
        <v>7700</v>
      </c>
      <c r="D2639" s="23">
        <v>0</v>
      </c>
      <c r="E2639" s="24">
        <v>0</v>
      </c>
    </row>
    <row r="2640" spans="1:5" x14ac:dyDescent="0.3">
      <c r="A2640" s="20" t="s">
        <v>40</v>
      </c>
      <c r="B2640" s="21" t="s">
        <v>377</v>
      </c>
      <c r="C2640" s="22">
        <v>3300</v>
      </c>
      <c r="D2640" s="23">
        <v>0</v>
      </c>
      <c r="E2640" s="24">
        <v>0</v>
      </c>
    </row>
    <row r="2641" spans="1:5" x14ac:dyDescent="0.3">
      <c r="A2641" s="16" t="s">
        <v>181</v>
      </c>
      <c r="B2641" s="16" t="s">
        <v>366</v>
      </c>
      <c r="C2641" s="17">
        <v>3300</v>
      </c>
      <c r="D2641" s="18">
        <v>0</v>
      </c>
      <c r="E2641" s="19">
        <v>0</v>
      </c>
    </row>
    <row r="2642" spans="1:5" x14ac:dyDescent="0.3">
      <c r="A2642" s="20" t="s">
        <v>181</v>
      </c>
      <c r="B2642" s="21" t="s">
        <v>367</v>
      </c>
      <c r="C2642" s="22">
        <v>3300</v>
      </c>
      <c r="D2642" s="23">
        <v>0</v>
      </c>
      <c r="E2642" s="24">
        <v>0</v>
      </c>
    </row>
    <row r="2643" spans="1:5" x14ac:dyDescent="0.3">
      <c r="A2643" s="20" t="s">
        <v>181</v>
      </c>
      <c r="B2643" s="21" t="s">
        <v>368</v>
      </c>
      <c r="C2643" s="22">
        <v>3300</v>
      </c>
      <c r="D2643" s="23">
        <v>24000</v>
      </c>
      <c r="E2643" s="24">
        <v>0</v>
      </c>
    </row>
    <row r="2644" spans="1:5" x14ac:dyDescent="0.3">
      <c r="A2644" s="20" t="s">
        <v>181</v>
      </c>
      <c r="B2644" s="21" t="s">
        <v>369</v>
      </c>
      <c r="C2644" s="22">
        <v>3300</v>
      </c>
      <c r="D2644" s="23">
        <v>0</v>
      </c>
      <c r="E2644" s="24">
        <v>0</v>
      </c>
    </row>
    <row r="2645" spans="1:5" x14ac:dyDescent="0.3">
      <c r="A2645" s="20" t="s">
        <v>181</v>
      </c>
      <c r="B2645" s="21" t="s">
        <v>370</v>
      </c>
      <c r="C2645" s="22">
        <v>3300</v>
      </c>
      <c r="D2645" s="23">
        <v>0</v>
      </c>
      <c r="E2645" s="24">
        <v>0</v>
      </c>
    </row>
    <row r="2646" spans="1:5" x14ac:dyDescent="0.3">
      <c r="A2646" s="20" t="s">
        <v>181</v>
      </c>
      <c r="B2646" s="21" t="s">
        <v>371</v>
      </c>
      <c r="C2646" s="22">
        <v>3300</v>
      </c>
      <c r="D2646" s="23">
        <v>24000</v>
      </c>
      <c r="E2646" s="24">
        <v>0</v>
      </c>
    </row>
    <row r="2647" spans="1:5" x14ac:dyDescent="0.3">
      <c r="A2647" s="20" t="s">
        <v>181</v>
      </c>
      <c r="B2647" s="21" t="s">
        <v>372</v>
      </c>
      <c r="C2647" s="22">
        <v>3300</v>
      </c>
      <c r="D2647" s="23">
        <v>0</v>
      </c>
      <c r="E2647" s="24">
        <v>0</v>
      </c>
    </row>
    <row r="2648" spans="1:5" x14ac:dyDescent="0.3">
      <c r="A2648" s="20" t="s">
        <v>181</v>
      </c>
      <c r="B2648" s="21" t="s">
        <v>373</v>
      </c>
      <c r="C2648" s="22">
        <v>1100</v>
      </c>
      <c r="D2648" s="23">
        <v>0</v>
      </c>
      <c r="E2648" s="24">
        <v>0</v>
      </c>
    </row>
    <row r="2649" spans="1:5" x14ac:dyDescent="0.3">
      <c r="A2649" s="20" t="s">
        <v>181</v>
      </c>
      <c r="B2649" s="21" t="s">
        <v>374</v>
      </c>
      <c r="C2649" s="22">
        <v>3300</v>
      </c>
      <c r="D2649" s="23">
        <v>0</v>
      </c>
      <c r="E2649" s="24">
        <v>0</v>
      </c>
    </row>
    <row r="2650" spans="1:5" x14ac:dyDescent="0.3">
      <c r="A2650" s="20" t="s">
        <v>181</v>
      </c>
      <c r="B2650" s="21" t="s">
        <v>375</v>
      </c>
      <c r="C2650" s="22">
        <v>3300</v>
      </c>
      <c r="D2650" s="23">
        <v>0</v>
      </c>
      <c r="E2650" s="24">
        <v>0</v>
      </c>
    </row>
    <row r="2651" spans="1:5" x14ac:dyDescent="0.3">
      <c r="A2651" s="20" t="s">
        <v>181</v>
      </c>
      <c r="B2651" s="21" t="s">
        <v>376</v>
      </c>
      <c r="C2651" s="22">
        <v>3300</v>
      </c>
      <c r="D2651" s="23">
        <v>0</v>
      </c>
      <c r="E2651" s="24">
        <v>0</v>
      </c>
    </row>
    <row r="2652" spans="1:5" x14ac:dyDescent="0.3">
      <c r="A2652" s="20" t="s">
        <v>181</v>
      </c>
      <c r="B2652" s="21" t="s">
        <v>377</v>
      </c>
      <c r="C2652" s="22">
        <v>1100</v>
      </c>
      <c r="D2652" s="23">
        <v>0</v>
      </c>
      <c r="E2652" s="24">
        <v>0</v>
      </c>
    </row>
    <row r="2653" spans="1:5" x14ac:dyDescent="0.3">
      <c r="A2653" s="16" t="s">
        <v>183</v>
      </c>
      <c r="B2653" s="16" t="s">
        <v>374</v>
      </c>
      <c r="C2653" s="17">
        <v>0</v>
      </c>
      <c r="D2653" s="18">
        <v>70000</v>
      </c>
      <c r="E2653" s="19">
        <v>0</v>
      </c>
    </row>
    <row r="2654" spans="1:5" x14ac:dyDescent="0.3">
      <c r="A2654" s="16" t="s">
        <v>191</v>
      </c>
      <c r="B2654" s="16" t="s">
        <v>366</v>
      </c>
      <c r="C2654" s="17">
        <v>7700</v>
      </c>
      <c r="D2654" s="18">
        <v>22440</v>
      </c>
      <c r="E2654" s="19">
        <v>0</v>
      </c>
    </row>
    <row r="2655" spans="1:5" x14ac:dyDescent="0.3">
      <c r="A2655" s="20" t="s">
        <v>191</v>
      </c>
      <c r="B2655" s="21" t="s">
        <v>367</v>
      </c>
      <c r="C2655" s="22">
        <v>7700</v>
      </c>
      <c r="D2655" s="23">
        <v>22440</v>
      </c>
      <c r="E2655" s="24">
        <v>0</v>
      </c>
    </row>
    <row r="2656" spans="1:5" x14ac:dyDescent="0.3">
      <c r="A2656" s="20" t="s">
        <v>191</v>
      </c>
      <c r="B2656" s="21" t="s">
        <v>368</v>
      </c>
      <c r="C2656" s="22">
        <v>7700</v>
      </c>
      <c r="D2656" s="23">
        <v>0</v>
      </c>
      <c r="E2656" s="24">
        <v>0</v>
      </c>
    </row>
    <row r="2657" spans="1:5" x14ac:dyDescent="0.3">
      <c r="A2657" s="20" t="s">
        <v>191</v>
      </c>
      <c r="B2657" s="21" t="s">
        <v>369</v>
      </c>
      <c r="C2657" s="22">
        <v>7700</v>
      </c>
      <c r="D2657" s="23">
        <v>0</v>
      </c>
      <c r="E2657" s="24">
        <v>0</v>
      </c>
    </row>
    <row r="2658" spans="1:5" x14ac:dyDescent="0.3">
      <c r="A2658" s="20" t="s">
        <v>191</v>
      </c>
      <c r="B2658" s="21" t="s">
        <v>370</v>
      </c>
      <c r="C2658" s="22">
        <v>7700</v>
      </c>
      <c r="D2658" s="23">
        <v>0</v>
      </c>
      <c r="E2658" s="24">
        <v>0</v>
      </c>
    </row>
    <row r="2659" spans="1:5" x14ac:dyDescent="0.3">
      <c r="A2659" s="20" t="s">
        <v>191</v>
      </c>
      <c r="B2659" s="21" t="s">
        <v>371</v>
      </c>
      <c r="C2659" s="22">
        <v>7700</v>
      </c>
      <c r="D2659" s="23">
        <v>0</v>
      </c>
      <c r="E2659" s="24">
        <v>0</v>
      </c>
    </row>
    <row r="2660" spans="1:5" x14ac:dyDescent="0.3">
      <c r="A2660" s="20" t="s">
        <v>191</v>
      </c>
      <c r="B2660" s="21" t="s">
        <v>372</v>
      </c>
      <c r="C2660" s="22">
        <v>7700</v>
      </c>
      <c r="D2660" s="23">
        <v>22440</v>
      </c>
      <c r="E2660" s="24">
        <v>0</v>
      </c>
    </row>
    <row r="2661" spans="1:5" x14ac:dyDescent="0.3">
      <c r="A2661" s="20" t="s">
        <v>191</v>
      </c>
      <c r="B2661" s="21" t="s">
        <v>373</v>
      </c>
      <c r="C2661" s="22">
        <v>4400</v>
      </c>
      <c r="D2661" s="23">
        <v>0</v>
      </c>
      <c r="E2661" s="24">
        <v>0</v>
      </c>
    </row>
    <row r="2662" spans="1:5" x14ac:dyDescent="0.3">
      <c r="A2662" s="20" t="s">
        <v>191</v>
      </c>
      <c r="B2662" s="21" t="s">
        <v>374</v>
      </c>
      <c r="C2662" s="22">
        <v>7700</v>
      </c>
      <c r="D2662" s="23">
        <v>0</v>
      </c>
      <c r="E2662" s="24">
        <v>0</v>
      </c>
    </row>
    <row r="2663" spans="1:5" x14ac:dyDescent="0.3">
      <c r="A2663" s="20" t="s">
        <v>191</v>
      </c>
      <c r="B2663" s="21" t="s">
        <v>375</v>
      </c>
      <c r="C2663" s="22">
        <v>7700</v>
      </c>
      <c r="D2663" s="23">
        <v>0</v>
      </c>
      <c r="E2663" s="24">
        <v>0</v>
      </c>
    </row>
    <row r="2664" spans="1:5" x14ac:dyDescent="0.3">
      <c r="A2664" s="20" t="s">
        <v>191</v>
      </c>
      <c r="B2664" s="21" t="s">
        <v>376</v>
      </c>
      <c r="C2664" s="22">
        <v>7700</v>
      </c>
      <c r="D2664" s="23">
        <v>0</v>
      </c>
      <c r="E2664" s="24">
        <v>0</v>
      </c>
    </row>
    <row r="2665" spans="1:5" x14ac:dyDescent="0.3">
      <c r="A2665" s="20" t="s">
        <v>191</v>
      </c>
      <c r="B2665" s="21" t="s">
        <v>377</v>
      </c>
      <c r="C2665" s="22">
        <v>4400</v>
      </c>
      <c r="D2665" s="23">
        <v>22440</v>
      </c>
      <c r="E2665" s="24">
        <v>0</v>
      </c>
    </row>
    <row r="2666" spans="1:5" x14ac:dyDescent="0.3">
      <c r="A2666" s="16" t="s">
        <v>220</v>
      </c>
      <c r="B2666" s="16" t="s">
        <v>366</v>
      </c>
      <c r="C2666" s="17">
        <v>2200</v>
      </c>
      <c r="D2666" s="18">
        <v>25000</v>
      </c>
      <c r="E2666" s="19">
        <v>0</v>
      </c>
    </row>
    <row r="2667" spans="1:5" x14ac:dyDescent="0.3">
      <c r="A2667" s="20" t="s">
        <v>220</v>
      </c>
      <c r="B2667" s="21" t="s">
        <v>367</v>
      </c>
      <c r="C2667" s="22">
        <v>2200</v>
      </c>
      <c r="D2667" s="23">
        <v>25000</v>
      </c>
      <c r="E2667" s="24">
        <v>0</v>
      </c>
    </row>
    <row r="2668" spans="1:5" x14ac:dyDescent="0.3">
      <c r="A2668" s="20" t="s">
        <v>220</v>
      </c>
      <c r="B2668" s="21" t="s">
        <v>368</v>
      </c>
      <c r="C2668" s="22">
        <v>2200</v>
      </c>
      <c r="D2668" s="23">
        <v>25000</v>
      </c>
      <c r="E2668" s="24">
        <v>0</v>
      </c>
    </row>
    <row r="2669" spans="1:5" x14ac:dyDescent="0.3">
      <c r="A2669" s="20" t="s">
        <v>220</v>
      </c>
      <c r="B2669" s="21" t="s">
        <v>369</v>
      </c>
      <c r="C2669" s="22">
        <v>2200</v>
      </c>
      <c r="D2669" s="23">
        <v>0</v>
      </c>
      <c r="E2669" s="24">
        <v>0</v>
      </c>
    </row>
    <row r="2670" spans="1:5" x14ac:dyDescent="0.3">
      <c r="A2670" s="20" t="s">
        <v>220</v>
      </c>
      <c r="B2670" s="21" t="s">
        <v>370</v>
      </c>
      <c r="C2670" s="22">
        <v>2200</v>
      </c>
      <c r="D2670" s="23">
        <v>25000</v>
      </c>
      <c r="E2670" s="24">
        <v>0</v>
      </c>
    </row>
    <row r="2671" spans="1:5" x14ac:dyDescent="0.3">
      <c r="A2671" s="20" t="s">
        <v>220</v>
      </c>
      <c r="B2671" s="21" t="s">
        <v>371</v>
      </c>
      <c r="C2671" s="22">
        <v>2200</v>
      </c>
      <c r="D2671" s="23">
        <v>0</v>
      </c>
      <c r="E2671" s="24">
        <v>0</v>
      </c>
    </row>
    <row r="2672" spans="1:5" x14ac:dyDescent="0.3">
      <c r="A2672" s="20" t="s">
        <v>220</v>
      </c>
      <c r="B2672" s="21" t="s">
        <v>372</v>
      </c>
      <c r="C2672" s="22">
        <v>2200</v>
      </c>
      <c r="D2672" s="23">
        <v>25000</v>
      </c>
      <c r="E2672" s="24">
        <v>0</v>
      </c>
    </row>
    <row r="2673" spans="1:5" x14ac:dyDescent="0.3">
      <c r="A2673" s="20" t="s">
        <v>220</v>
      </c>
      <c r="B2673" s="21" t="s">
        <v>373</v>
      </c>
      <c r="C2673" s="22">
        <v>1100</v>
      </c>
      <c r="D2673" s="23">
        <v>25000</v>
      </c>
      <c r="E2673" s="24">
        <v>0</v>
      </c>
    </row>
    <row r="2674" spans="1:5" x14ac:dyDescent="0.3">
      <c r="A2674" s="20" t="s">
        <v>220</v>
      </c>
      <c r="B2674" s="21" t="s">
        <v>374</v>
      </c>
      <c r="C2674" s="22">
        <v>2200</v>
      </c>
      <c r="D2674" s="23">
        <v>0</v>
      </c>
      <c r="E2674" s="24">
        <v>0</v>
      </c>
    </row>
    <row r="2675" spans="1:5" x14ac:dyDescent="0.3">
      <c r="A2675" s="20" t="s">
        <v>220</v>
      </c>
      <c r="B2675" s="21" t="s">
        <v>375</v>
      </c>
      <c r="C2675" s="22">
        <v>2200</v>
      </c>
      <c r="D2675" s="23">
        <v>25000</v>
      </c>
      <c r="E2675" s="24">
        <v>0</v>
      </c>
    </row>
    <row r="2676" spans="1:5" x14ac:dyDescent="0.3">
      <c r="A2676" s="20" t="s">
        <v>220</v>
      </c>
      <c r="B2676" s="21" t="s">
        <v>376</v>
      </c>
      <c r="C2676" s="22">
        <v>2200</v>
      </c>
      <c r="D2676" s="23">
        <v>0</v>
      </c>
      <c r="E2676" s="24">
        <v>0</v>
      </c>
    </row>
    <row r="2677" spans="1:5" x14ac:dyDescent="0.3">
      <c r="A2677" s="20" t="s">
        <v>220</v>
      </c>
      <c r="B2677" s="21" t="s">
        <v>377</v>
      </c>
      <c r="C2677" s="22">
        <v>1100</v>
      </c>
      <c r="D2677" s="23">
        <v>25000</v>
      </c>
      <c r="E2677" s="24">
        <v>0</v>
      </c>
    </row>
    <row r="2678" spans="1:5" x14ac:dyDescent="0.3">
      <c r="A2678" s="16" t="s">
        <v>240</v>
      </c>
      <c r="B2678" s="16" t="s">
        <v>366</v>
      </c>
      <c r="C2678" s="17">
        <v>6600</v>
      </c>
      <c r="D2678" s="18">
        <v>0</v>
      </c>
      <c r="E2678" s="19">
        <v>0</v>
      </c>
    </row>
    <row r="2679" spans="1:5" x14ac:dyDescent="0.3">
      <c r="A2679" s="20" t="s">
        <v>240</v>
      </c>
      <c r="B2679" s="21" t="s">
        <v>367</v>
      </c>
      <c r="C2679" s="22">
        <v>6600</v>
      </c>
      <c r="D2679" s="23">
        <v>10200</v>
      </c>
      <c r="E2679" s="24">
        <v>0</v>
      </c>
    </row>
    <row r="2680" spans="1:5" x14ac:dyDescent="0.3">
      <c r="A2680" s="20" t="s">
        <v>240</v>
      </c>
      <c r="B2680" s="21" t="s">
        <v>368</v>
      </c>
      <c r="C2680" s="22">
        <v>6600</v>
      </c>
      <c r="D2680" s="23">
        <v>10200</v>
      </c>
      <c r="E2680" s="24">
        <v>0</v>
      </c>
    </row>
    <row r="2681" spans="1:5" x14ac:dyDescent="0.3">
      <c r="A2681" s="20" t="s">
        <v>240</v>
      </c>
      <c r="B2681" s="21" t="s">
        <v>369</v>
      </c>
      <c r="C2681" s="22">
        <v>6600</v>
      </c>
      <c r="D2681" s="23">
        <v>0</v>
      </c>
      <c r="E2681" s="24">
        <v>0</v>
      </c>
    </row>
    <row r="2682" spans="1:5" x14ac:dyDescent="0.3">
      <c r="A2682" s="20" t="s">
        <v>240</v>
      </c>
      <c r="B2682" s="21" t="s">
        <v>370</v>
      </c>
      <c r="C2682" s="22">
        <v>6600</v>
      </c>
      <c r="D2682" s="23">
        <v>10200</v>
      </c>
      <c r="E2682" s="24">
        <v>0</v>
      </c>
    </row>
    <row r="2683" spans="1:5" x14ac:dyDescent="0.3">
      <c r="A2683" s="20" t="s">
        <v>240</v>
      </c>
      <c r="B2683" s="21" t="s">
        <v>371</v>
      </c>
      <c r="C2683" s="22">
        <v>6600</v>
      </c>
      <c r="D2683" s="23">
        <v>10200</v>
      </c>
      <c r="E2683" s="24">
        <v>0</v>
      </c>
    </row>
    <row r="2684" spans="1:5" x14ac:dyDescent="0.3">
      <c r="A2684" s="20" t="s">
        <v>240</v>
      </c>
      <c r="B2684" s="21" t="s">
        <v>372</v>
      </c>
      <c r="C2684" s="22">
        <v>6600</v>
      </c>
      <c r="D2684" s="23">
        <v>0</v>
      </c>
      <c r="E2684" s="24">
        <v>0</v>
      </c>
    </row>
    <row r="2685" spans="1:5" x14ac:dyDescent="0.3">
      <c r="A2685" s="20" t="s">
        <v>240</v>
      </c>
      <c r="B2685" s="21" t="s">
        <v>373</v>
      </c>
      <c r="C2685" s="22">
        <v>3300</v>
      </c>
      <c r="D2685" s="23">
        <v>10200</v>
      </c>
      <c r="E2685" s="24">
        <v>0</v>
      </c>
    </row>
    <row r="2686" spans="1:5" x14ac:dyDescent="0.3">
      <c r="A2686" s="20" t="s">
        <v>240</v>
      </c>
      <c r="B2686" s="21" t="s">
        <v>374</v>
      </c>
      <c r="C2686" s="22">
        <v>6600</v>
      </c>
      <c r="D2686" s="23">
        <v>10200</v>
      </c>
      <c r="E2686" s="24">
        <v>0</v>
      </c>
    </row>
    <row r="2687" spans="1:5" x14ac:dyDescent="0.3">
      <c r="A2687" s="20" t="s">
        <v>240</v>
      </c>
      <c r="B2687" s="21" t="s">
        <v>375</v>
      </c>
      <c r="C2687" s="22">
        <v>6600</v>
      </c>
      <c r="D2687" s="23">
        <v>10200</v>
      </c>
      <c r="E2687" s="24">
        <v>0</v>
      </c>
    </row>
    <row r="2688" spans="1:5" x14ac:dyDescent="0.3">
      <c r="A2688" s="20" t="s">
        <v>240</v>
      </c>
      <c r="B2688" s="21" t="s">
        <v>376</v>
      </c>
      <c r="C2688" s="22">
        <v>6600</v>
      </c>
      <c r="D2688" s="23">
        <v>0</v>
      </c>
      <c r="E2688" s="24">
        <v>0</v>
      </c>
    </row>
    <row r="2689" spans="1:5" x14ac:dyDescent="0.3">
      <c r="A2689" s="20" t="s">
        <v>240</v>
      </c>
      <c r="B2689" s="21" t="s">
        <v>377</v>
      </c>
      <c r="C2689" s="22">
        <v>3300</v>
      </c>
      <c r="D2689" s="23">
        <v>10200</v>
      </c>
      <c r="E2689" s="24">
        <v>0</v>
      </c>
    </row>
    <row r="2690" spans="1:5" x14ac:dyDescent="0.3">
      <c r="A2690" s="16" t="s">
        <v>285</v>
      </c>
      <c r="B2690" s="16" t="s">
        <v>366</v>
      </c>
      <c r="C2690" s="17">
        <v>12100</v>
      </c>
      <c r="D2690" s="18">
        <v>24000</v>
      </c>
      <c r="E2690" s="19">
        <v>0</v>
      </c>
    </row>
    <row r="2691" spans="1:5" x14ac:dyDescent="0.3">
      <c r="A2691" s="20" t="s">
        <v>285</v>
      </c>
      <c r="B2691" s="21" t="s">
        <v>367</v>
      </c>
      <c r="C2691" s="22">
        <v>12100</v>
      </c>
      <c r="D2691" s="23">
        <v>0</v>
      </c>
      <c r="E2691" s="24">
        <v>0</v>
      </c>
    </row>
    <row r="2692" spans="1:5" x14ac:dyDescent="0.3">
      <c r="A2692" s="20" t="s">
        <v>285</v>
      </c>
      <c r="B2692" s="21" t="s">
        <v>368</v>
      </c>
      <c r="C2692" s="22">
        <v>12100</v>
      </c>
      <c r="D2692" s="23">
        <v>24000</v>
      </c>
      <c r="E2692" s="24">
        <v>0</v>
      </c>
    </row>
    <row r="2693" spans="1:5" x14ac:dyDescent="0.3">
      <c r="A2693" s="20" t="s">
        <v>285</v>
      </c>
      <c r="B2693" s="21" t="s">
        <v>369</v>
      </c>
      <c r="C2693" s="22">
        <v>12100</v>
      </c>
      <c r="D2693" s="23">
        <v>0</v>
      </c>
      <c r="E2693" s="24">
        <v>0</v>
      </c>
    </row>
    <row r="2694" spans="1:5" x14ac:dyDescent="0.3">
      <c r="A2694" s="20" t="s">
        <v>285</v>
      </c>
      <c r="B2694" s="21" t="s">
        <v>370</v>
      </c>
      <c r="C2694" s="22">
        <v>12100</v>
      </c>
      <c r="D2694" s="23">
        <v>24000</v>
      </c>
      <c r="E2694" s="24">
        <v>0</v>
      </c>
    </row>
    <row r="2695" spans="1:5" x14ac:dyDescent="0.3">
      <c r="A2695" s="20" t="s">
        <v>285</v>
      </c>
      <c r="B2695" s="21" t="s">
        <v>371</v>
      </c>
      <c r="C2695" s="22">
        <v>12100</v>
      </c>
      <c r="D2695" s="23">
        <v>0</v>
      </c>
      <c r="E2695" s="24">
        <v>0</v>
      </c>
    </row>
    <row r="2696" spans="1:5" x14ac:dyDescent="0.3">
      <c r="A2696" s="20" t="s">
        <v>285</v>
      </c>
      <c r="B2696" s="21" t="s">
        <v>372</v>
      </c>
      <c r="C2696" s="22">
        <v>12100</v>
      </c>
      <c r="D2696" s="23">
        <v>24000</v>
      </c>
      <c r="E2696" s="24">
        <v>0</v>
      </c>
    </row>
    <row r="2697" spans="1:5" x14ac:dyDescent="0.3">
      <c r="A2697" s="20" t="s">
        <v>285</v>
      </c>
      <c r="B2697" s="21" t="s">
        <v>373</v>
      </c>
      <c r="C2697" s="22">
        <v>5500</v>
      </c>
      <c r="D2697" s="23">
        <v>0</v>
      </c>
      <c r="E2697" s="24">
        <v>0</v>
      </c>
    </row>
    <row r="2698" spans="1:5" x14ac:dyDescent="0.3">
      <c r="A2698" s="20" t="s">
        <v>285</v>
      </c>
      <c r="B2698" s="21" t="s">
        <v>374</v>
      </c>
      <c r="C2698" s="22">
        <v>12100</v>
      </c>
      <c r="D2698" s="23">
        <v>24000</v>
      </c>
      <c r="E2698" s="24">
        <v>0</v>
      </c>
    </row>
    <row r="2699" spans="1:5" x14ac:dyDescent="0.3">
      <c r="A2699" s="20" t="s">
        <v>285</v>
      </c>
      <c r="B2699" s="21" t="s">
        <v>375</v>
      </c>
      <c r="C2699" s="22">
        <v>12100</v>
      </c>
      <c r="D2699" s="23">
        <v>0</v>
      </c>
      <c r="E2699" s="24">
        <v>0</v>
      </c>
    </row>
    <row r="2700" spans="1:5" x14ac:dyDescent="0.3">
      <c r="A2700" s="20" t="s">
        <v>285</v>
      </c>
      <c r="B2700" s="21" t="s">
        <v>376</v>
      </c>
      <c r="C2700" s="22">
        <v>12100</v>
      </c>
      <c r="D2700" s="23">
        <v>0</v>
      </c>
      <c r="E2700" s="24">
        <v>0</v>
      </c>
    </row>
    <row r="2701" spans="1:5" x14ac:dyDescent="0.3">
      <c r="A2701" s="20" t="s">
        <v>285</v>
      </c>
      <c r="B2701" s="21" t="s">
        <v>377</v>
      </c>
      <c r="C2701" s="22">
        <v>5500</v>
      </c>
      <c r="D2701" s="23">
        <v>24000</v>
      </c>
      <c r="E2701" s="24">
        <v>0</v>
      </c>
    </row>
    <row r="2702" spans="1:5" x14ac:dyDescent="0.3">
      <c r="A2702" s="16" t="s">
        <v>358</v>
      </c>
      <c r="B2702" s="16" t="s">
        <v>366</v>
      </c>
      <c r="C2702" s="17">
        <v>2200</v>
      </c>
      <c r="D2702" s="18">
        <v>6000</v>
      </c>
      <c r="E2702" s="19">
        <v>0</v>
      </c>
    </row>
    <row r="2703" spans="1:5" x14ac:dyDescent="0.3">
      <c r="A2703" s="20" t="s">
        <v>358</v>
      </c>
      <c r="B2703" s="21" t="s">
        <v>367</v>
      </c>
      <c r="C2703" s="22">
        <v>2200</v>
      </c>
      <c r="D2703" s="23">
        <v>0</v>
      </c>
      <c r="E2703" s="24">
        <v>0</v>
      </c>
    </row>
    <row r="2704" spans="1:5" x14ac:dyDescent="0.3">
      <c r="A2704" s="20" t="s">
        <v>358</v>
      </c>
      <c r="B2704" s="21" t="s">
        <v>368</v>
      </c>
      <c r="C2704" s="22">
        <v>2200</v>
      </c>
      <c r="D2704" s="23">
        <v>0</v>
      </c>
      <c r="E2704" s="24">
        <v>0</v>
      </c>
    </row>
    <row r="2705" spans="1:5" x14ac:dyDescent="0.3">
      <c r="A2705" s="20" t="s">
        <v>358</v>
      </c>
      <c r="B2705" s="21" t="s">
        <v>369</v>
      </c>
      <c r="C2705" s="22">
        <v>2200</v>
      </c>
      <c r="D2705" s="23">
        <v>6000</v>
      </c>
      <c r="E2705" s="24">
        <v>0</v>
      </c>
    </row>
    <row r="2706" spans="1:5" x14ac:dyDescent="0.3">
      <c r="A2706" s="20" t="s">
        <v>358</v>
      </c>
      <c r="B2706" s="21" t="s">
        <v>370</v>
      </c>
      <c r="C2706" s="22">
        <v>2200</v>
      </c>
      <c r="D2706" s="23">
        <v>0</v>
      </c>
      <c r="E2706" s="24">
        <v>0</v>
      </c>
    </row>
    <row r="2707" spans="1:5" x14ac:dyDescent="0.3">
      <c r="A2707" s="20" t="s">
        <v>358</v>
      </c>
      <c r="B2707" s="21" t="s">
        <v>371</v>
      </c>
      <c r="C2707" s="22">
        <v>2200</v>
      </c>
      <c r="D2707" s="23">
        <v>0</v>
      </c>
      <c r="E2707" s="24">
        <v>0</v>
      </c>
    </row>
    <row r="2708" spans="1:5" x14ac:dyDescent="0.3">
      <c r="A2708" s="20" t="s">
        <v>358</v>
      </c>
      <c r="B2708" s="21" t="s">
        <v>372</v>
      </c>
      <c r="C2708" s="22">
        <v>2200</v>
      </c>
      <c r="D2708" s="23">
        <v>6000</v>
      </c>
      <c r="E2708" s="24">
        <v>0</v>
      </c>
    </row>
    <row r="2709" spans="1:5" x14ac:dyDescent="0.3">
      <c r="A2709" s="20" t="s">
        <v>358</v>
      </c>
      <c r="B2709" s="21" t="s">
        <v>373</v>
      </c>
      <c r="C2709" s="22">
        <v>1100</v>
      </c>
      <c r="D2709" s="23">
        <v>0</v>
      </c>
      <c r="E2709" s="24">
        <v>0</v>
      </c>
    </row>
    <row r="2710" spans="1:5" x14ac:dyDescent="0.3">
      <c r="A2710" s="20" t="s">
        <v>358</v>
      </c>
      <c r="B2710" s="21" t="s">
        <v>374</v>
      </c>
      <c r="C2710" s="22">
        <v>2200</v>
      </c>
      <c r="D2710" s="23">
        <v>0</v>
      </c>
      <c r="E2710" s="24">
        <v>0</v>
      </c>
    </row>
    <row r="2711" spans="1:5" x14ac:dyDescent="0.3">
      <c r="A2711" s="20" t="s">
        <v>358</v>
      </c>
      <c r="B2711" s="21" t="s">
        <v>375</v>
      </c>
      <c r="C2711" s="22">
        <v>2200</v>
      </c>
      <c r="D2711" s="23">
        <v>0</v>
      </c>
      <c r="E2711" s="24">
        <v>0</v>
      </c>
    </row>
    <row r="2712" spans="1:5" x14ac:dyDescent="0.3">
      <c r="A2712" s="20" t="s">
        <v>358</v>
      </c>
      <c r="B2712" s="21" t="s">
        <v>376</v>
      </c>
      <c r="C2712" s="22">
        <v>2200</v>
      </c>
      <c r="D2712" s="23">
        <v>6000</v>
      </c>
      <c r="E2712" s="24">
        <v>0</v>
      </c>
    </row>
    <row r="2713" spans="1:5" x14ac:dyDescent="0.3">
      <c r="A2713" s="20" t="s">
        <v>358</v>
      </c>
      <c r="B2713" s="21" t="s">
        <v>377</v>
      </c>
      <c r="C2713" s="22">
        <v>1100</v>
      </c>
      <c r="D2713" s="23">
        <v>0</v>
      </c>
      <c r="E2713" s="24">
        <v>0</v>
      </c>
    </row>
    <row r="2714" spans="1:5" x14ac:dyDescent="0.3">
      <c r="A2714" s="16" t="s">
        <v>299</v>
      </c>
      <c r="B2714" s="16" t="s">
        <v>370</v>
      </c>
      <c r="C2714" s="17">
        <v>0</v>
      </c>
      <c r="D2714" s="18">
        <v>60000</v>
      </c>
      <c r="E2714" s="19">
        <v>0</v>
      </c>
    </row>
    <row r="2715" spans="1:5" x14ac:dyDescent="0.3">
      <c r="A2715" s="16" t="s">
        <v>300</v>
      </c>
      <c r="B2715" s="16" t="s">
        <v>366</v>
      </c>
      <c r="C2715" s="17">
        <v>3300</v>
      </c>
      <c r="D2715" s="18">
        <v>15000</v>
      </c>
      <c r="E2715" s="19">
        <v>0</v>
      </c>
    </row>
    <row r="2716" spans="1:5" x14ac:dyDescent="0.3">
      <c r="A2716" s="20" t="s">
        <v>300</v>
      </c>
      <c r="B2716" s="21" t="s">
        <v>367</v>
      </c>
      <c r="C2716" s="22">
        <v>3300</v>
      </c>
      <c r="D2716" s="23">
        <v>0</v>
      </c>
      <c r="E2716" s="24">
        <v>0</v>
      </c>
    </row>
    <row r="2717" spans="1:5" x14ac:dyDescent="0.3">
      <c r="A2717" s="20" t="s">
        <v>300</v>
      </c>
      <c r="B2717" s="21" t="s">
        <v>368</v>
      </c>
      <c r="C2717" s="22">
        <v>3300</v>
      </c>
      <c r="D2717" s="23">
        <v>0</v>
      </c>
      <c r="E2717" s="24">
        <v>0</v>
      </c>
    </row>
    <row r="2718" spans="1:5" x14ac:dyDescent="0.3">
      <c r="A2718" s="20" t="s">
        <v>300</v>
      </c>
      <c r="B2718" s="21" t="s">
        <v>369</v>
      </c>
      <c r="C2718" s="22">
        <v>3300</v>
      </c>
      <c r="D2718" s="23">
        <v>0</v>
      </c>
      <c r="E2718" s="24">
        <v>0</v>
      </c>
    </row>
    <row r="2719" spans="1:5" x14ac:dyDescent="0.3">
      <c r="A2719" s="20" t="s">
        <v>300</v>
      </c>
      <c r="B2719" s="21" t="s">
        <v>370</v>
      </c>
      <c r="C2719" s="22">
        <v>3300</v>
      </c>
      <c r="D2719" s="23">
        <v>0</v>
      </c>
      <c r="E2719" s="24">
        <v>0</v>
      </c>
    </row>
    <row r="2720" spans="1:5" x14ac:dyDescent="0.3">
      <c r="A2720" s="20" t="s">
        <v>300</v>
      </c>
      <c r="B2720" s="21" t="s">
        <v>371</v>
      </c>
      <c r="C2720" s="22">
        <v>3300</v>
      </c>
      <c r="D2720" s="23">
        <v>15000</v>
      </c>
      <c r="E2720" s="24">
        <v>0</v>
      </c>
    </row>
    <row r="2721" spans="1:5" x14ac:dyDescent="0.3">
      <c r="A2721" s="20" t="s">
        <v>300</v>
      </c>
      <c r="B2721" s="21" t="s">
        <v>372</v>
      </c>
      <c r="C2721" s="22">
        <v>3300</v>
      </c>
      <c r="D2721" s="23">
        <v>0</v>
      </c>
      <c r="E2721" s="24">
        <v>0</v>
      </c>
    </row>
    <row r="2722" spans="1:5" x14ac:dyDescent="0.3">
      <c r="A2722" s="20" t="s">
        <v>300</v>
      </c>
      <c r="B2722" s="21" t="s">
        <v>373</v>
      </c>
      <c r="C2722" s="22">
        <v>2200</v>
      </c>
      <c r="D2722" s="23">
        <v>0</v>
      </c>
      <c r="E2722" s="24">
        <v>0</v>
      </c>
    </row>
    <row r="2723" spans="1:5" x14ac:dyDescent="0.3">
      <c r="A2723" s="20" t="s">
        <v>300</v>
      </c>
      <c r="B2723" s="21" t="s">
        <v>374</v>
      </c>
      <c r="C2723" s="22">
        <v>3300</v>
      </c>
      <c r="D2723" s="23">
        <v>0</v>
      </c>
      <c r="E2723" s="24">
        <v>0</v>
      </c>
    </row>
    <row r="2724" spans="1:5" x14ac:dyDescent="0.3">
      <c r="A2724" s="20" t="s">
        <v>300</v>
      </c>
      <c r="B2724" s="21" t="s">
        <v>375</v>
      </c>
      <c r="C2724" s="22">
        <v>3300</v>
      </c>
      <c r="D2724" s="23">
        <v>15000</v>
      </c>
      <c r="E2724" s="24">
        <v>0</v>
      </c>
    </row>
    <row r="2725" spans="1:5" x14ac:dyDescent="0.3">
      <c r="A2725" s="20" t="s">
        <v>300</v>
      </c>
      <c r="B2725" s="21" t="s">
        <v>376</v>
      </c>
      <c r="C2725" s="22">
        <v>3300</v>
      </c>
      <c r="D2725" s="23">
        <v>0</v>
      </c>
      <c r="E2725" s="24">
        <v>0</v>
      </c>
    </row>
    <row r="2726" spans="1:5" x14ac:dyDescent="0.3">
      <c r="A2726" s="20" t="s">
        <v>300</v>
      </c>
      <c r="B2726" s="21" t="s">
        <v>377</v>
      </c>
      <c r="C2726" s="22">
        <v>2200</v>
      </c>
      <c r="D2726" s="23">
        <v>0</v>
      </c>
      <c r="E2726" s="24">
        <v>0</v>
      </c>
    </row>
    <row r="2727" spans="1:5" x14ac:dyDescent="0.3">
      <c r="A2727" s="16" t="s">
        <v>431</v>
      </c>
      <c r="B2727" s="16" t="s">
        <v>366</v>
      </c>
      <c r="C2727" s="17">
        <v>0</v>
      </c>
      <c r="D2727" s="18">
        <v>25000</v>
      </c>
      <c r="E2727" s="19">
        <v>0</v>
      </c>
    </row>
    <row r="2728" spans="1:5" x14ac:dyDescent="0.3">
      <c r="A2728" s="20" t="s">
        <v>431</v>
      </c>
      <c r="B2728" s="21" t="s">
        <v>367</v>
      </c>
      <c r="C2728" s="22">
        <v>0</v>
      </c>
      <c r="D2728" s="23">
        <v>25000</v>
      </c>
      <c r="E2728" s="24">
        <v>0</v>
      </c>
    </row>
    <row r="2729" spans="1:5" x14ac:dyDescent="0.3">
      <c r="A2729" s="20" t="s">
        <v>431</v>
      </c>
      <c r="B2729" s="21" t="s">
        <v>370</v>
      </c>
      <c r="C2729" s="22">
        <v>0</v>
      </c>
      <c r="D2729" s="23">
        <v>25000</v>
      </c>
      <c r="E2729" s="24">
        <v>0</v>
      </c>
    </row>
    <row r="2730" spans="1:5" x14ac:dyDescent="0.3">
      <c r="A2730" s="20" t="s">
        <v>431</v>
      </c>
      <c r="B2730" s="21" t="s">
        <v>373</v>
      </c>
      <c r="C2730" s="22">
        <v>0</v>
      </c>
      <c r="D2730" s="23">
        <v>25000</v>
      </c>
      <c r="E2730" s="24">
        <v>0</v>
      </c>
    </row>
    <row r="2731" spans="1:5" x14ac:dyDescent="0.3">
      <c r="A2731" s="16" t="s">
        <v>38</v>
      </c>
      <c r="B2731" s="16" t="s">
        <v>371</v>
      </c>
      <c r="C2731" s="17">
        <v>0</v>
      </c>
      <c r="D2731" s="18">
        <v>0</v>
      </c>
      <c r="E2731" s="19">
        <v>0</v>
      </c>
    </row>
    <row r="2732" spans="1:5" x14ac:dyDescent="0.3">
      <c r="A2732" s="20" t="s">
        <v>38</v>
      </c>
      <c r="B2732" s="21" t="s">
        <v>372</v>
      </c>
      <c r="C2732" s="22">
        <v>0</v>
      </c>
      <c r="D2732" s="23">
        <v>0</v>
      </c>
      <c r="E2732" s="24">
        <v>0</v>
      </c>
    </row>
    <row r="2733" spans="1:5" x14ac:dyDescent="0.3">
      <c r="A2733" s="20" t="s">
        <v>38</v>
      </c>
      <c r="B2733" s="21" t="s">
        <v>375</v>
      </c>
      <c r="C2733" s="22">
        <v>0</v>
      </c>
      <c r="D2733" s="23">
        <v>0</v>
      </c>
      <c r="E2733" s="24">
        <v>0</v>
      </c>
    </row>
    <row r="2734" spans="1:5" x14ac:dyDescent="0.3">
      <c r="A2734" s="16" t="s">
        <v>101</v>
      </c>
      <c r="B2734" s="16" t="s">
        <v>368</v>
      </c>
      <c r="C2734" s="17">
        <v>0</v>
      </c>
      <c r="D2734" s="18">
        <v>0</v>
      </c>
      <c r="E2734" s="19">
        <v>0</v>
      </c>
    </row>
    <row r="2735" spans="1:5" x14ac:dyDescent="0.3">
      <c r="A2735" s="20" t="s">
        <v>101</v>
      </c>
      <c r="B2735" s="21" t="s">
        <v>370</v>
      </c>
      <c r="C2735" s="22">
        <v>0</v>
      </c>
      <c r="D2735" s="23">
        <v>0</v>
      </c>
      <c r="E2735" s="24">
        <v>0</v>
      </c>
    </row>
    <row r="2736" spans="1:5" x14ac:dyDescent="0.3">
      <c r="A2736" s="16" t="s">
        <v>103</v>
      </c>
      <c r="B2736" s="16" t="s">
        <v>367</v>
      </c>
      <c r="C2736" s="17">
        <v>0</v>
      </c>
      <c r="D2736" s="18">
        <v>0</v>
      </c>
      <c r="E2736" s="19">
        <v>0</v>
      </c>
    </row>
    <row r="2737" spans="1:5" x14ac:dyDescent="0.3">
      <c r="A2737" s="20" t="s">
        <v>103</v>
      </c>
      <c r="B2737" s="21" t="s">
        <v>368</v>
      </c>
      <c r="C2737" s="22">
        <v>0</v>
      </c>
      <c r="D2737" s="23">
        <v>0</v>
      </c>
      <c r="E2737" s="24">
        <v>0</v>
      </c>
    </row>
    <row r="2738" spans="1:5" x14ac:dyDescent="0.3">
      <c r="A2738" s="20" t="s">
        <v>103</v>
      </c>
      <c r="B2738" s="21" t="s">
        <v>370</v>
      </c>
      <c r="C2738" s="22">
        <v>0</v>
      </c>
      <c r="D2738" s="23">
        <v>0</v>
      </c>
      <c r="E2738" s="24">
        <v>0</v>
      </c>
    </row>
    <row r="2739" spans="1:5" x14ac:dyDescent="0.3">
      <c r="A2739" s="16" t="s">
        <v>326</v>
      </c>
      <c r="B2739" s="16" t="s">
        <v>367</v>
      </c>
      <c r="C2739" s="17">
        <v>0</v>
      </c>
      <c r="D2739" s="18">
        <v>0</v>
      </c>
      <c r="E2739" s="19">
        <v>0</v>
      </c>
    </row>
    <row r="2740" spans="1:5" x14ac:dyDescent="0.3">
      <c r="A2740" s="16" t="s">
        <v>5</v>
      </c>
      <c r="B2740" s="16" t="s">
        <v>366</v>
      </c>
      <c r="C2740" s="17">
        <v>0</v>
      </c>
      <c r="D2740" s="18">
        <v>0</v>
      </c>
      <c r="E2740" s="19">
        <v>0</v>
      </c>
    </row>
    <row r="2741" spans="1:5" x14ac:dyDescent="0.3">
      <c r="A2741" s="20" t="s">
        <v>5</v>
      </c>
      <c r="B2741" s="21" t="s">
        <v>367</v>
      </c>
      <c r="C2741" s="22">
        <v>0</v>
      </c>
      <c r="D2741" s="23">
        <v>0</v>
      </c>
      <c r="E2741" s="24">
        <v>0</v>
      </c>
    </row>
    <row r="2742" spans="1:5" x14ac:dyDescent="0.3">
      <c r="A2742" s="16" t="s">
        <v>432</v>
      </c>
      <c r="B2742" s="16" t="s">
        <v>366</v>
      </c>
      <c r="C2742" s="17">
        <v>670000</v>
      </c>
      <c r="D2742" s="18">
        <v>750000</v>
      </c>
      <c r="E2742" s="19">
        <v>0</v>
      </c>
    </row>
    <row r="2743" spans="1:5" x14ac:dyDescent="0.3">
      <c r="A2743" s="20" t="s">
        <v>432</v>
      </c>
      <c r="B2743" s="21" t="s">
        <v>367</v>
      </c>
      <c r="C2743" s="22">
        <v>670000</v>
      </c>
      <c r="D2743" s="23">
        <v>500000</v>
      </c>
      <c r="E2743" s="24">
        <v>0</v>
      </c>
    </row>
    <row r="2744" spans="1:5" x14ac:dyDescent="0.3">
      <c r="A2744" s="20" t="s">
        <v>432</v>
      </c>
      <c r="B2744" s="21" t="s">
        <v>368</v>
      </c>
      <c r="C2744" s="22">
        <v>670000</v>
      </c>
      <c r="D2744" s="23">
        <v>500000</v>
      </c>
      <c r="E2744" s="24">
        <v>0</v>
      </c>
    </row>
    <row r="2745" spans="1:5" x14ac:dyDescent="0.3">
      <c r="A2745" s="20" t="s">
        <v>432</v>
      </c>
      <c r="B2745" s="21" t="s">
        <v>369</v>
      </c>
      <c r="C2745" s="22">
        <v>670000</v>
      </c>
      <c r="D2745" s="23">
        <v>400000</v>
      </c>
      <c r="E2745" s="24">
        <v>0</v>
      </c>
    </row>
    <row r="2746" spans="1:5" x14ac:dyDescent="0.3">
      <c r="A2746" s="20" t="s">
        <v>432</v>
      </c>
      <c r="B2746" s="21" t="s">
        <v>370</v>
      </c>
      <c r="C2746" s="22">
        <v>670000</v>
      </c>
      <c r="D2746" s="23">
        <v>200000</v>
      </c>
      <c r="E2746" s="24">
        <v>0</v>
      </c>
    </row>
    <row r="2747" spans="1:5" x14ac:dyDescent="0.3">
      <c r="A2747" s="20" t="s">
        <v>432</v>
      </c>
      <c r="B2747" s="21" t="s">
        <v>371</v>
      </c>
      <c r="C2747" s="22">
        <v>670000</v>
      </c>
      <c r="D2747" s="23">
        <v>200000</v>
      </c>
      <c r="E2747" s="24">
        <v>0</v>
      </c>
    </row>
    <row r="2748" spans="1:5" x14ac:dyDescent="0.3">
      <c r="A2748" s="20" t="s">
        <v>432</v>
      </c>
      <c r="B2748" s="21" t="s">
        <v>372</v>
      </c>
      <c r="C2748" s="22">
        <v>500000</v>
      </c>
      <c r="D2748" s="23">
        <v>0</v>
      </c>
      <c r="E2748" s="24">
        <v>0</v>
      </c>
    </row>
    <row r="2749" spans="1:5" x14ac:dyDescent="0.3">
      <c r="A2749" s="20" t="s">
        <v>432</v>
      </c>
      <c r="B2749" s="21" t="s">
        <v>373</v>
      </c>
      <c r="C2749" s="22">
        <v>670000</v>
      </c>
      <c r="D2749" s="23">
        <v>0</v>
      </c>
      <c r="E2749" s="24">
        <v>0</v>
      </c>
    </row>
    <row r="2750" spans="1:5" x14ac:dyDescent="0.3">
      <c r="A2750" s="20" t="s">
        <v>432</v>
      </c>
      <c r="B2750" s="21" t="s">
        <v>374</v>
      </c>
      <c r="C2750" s="22">
        <v>670000</v>
      </c>
      <c r="D2750" s="23">
        <v>0</v>
      </c>
      <c r="E2750" s="24">
        <v>0</v>
      </c>
    </row>
    <row r="2751" spans="1:5" x14ac:dyDescent="0.3">
      <c r="A2751" s="20" t="s">
        <v>432</v>
      </c>
      <c r="B2751" s="21" t="s">
        <v>375</v>
      </c>
      <c r="C2751" s="22">
        <v>670000</v>
      </c>
      <c r="D2751" s="23">
        <v>0</v>
      </c>
      <c r="E2751" s="24">
        <v>0</v>
      </c>
    </row>
    <row r="2752" spans="1:5" x14ac:dyDescent="0.3">
      <c r="A2752" s="20" t="s">
        <v>432</v>
      </c>
      <c r="B2752" s="21" t="s">
        <v>376</v>
      </c>
      <c r="C2752" s="22">
        <v>670000</v>
      </c>
      <c r="D2752" s="23">
        <v>0</v>
      </c>
      <c r="E2752" s="24">
        <v>0</v>
      </c>
    </row>
    <row r="2753" spans="1:5" x14ac:dyDescent="0.3">
      <c r="A2753" s="20" t="s">
        <v>432</v>
      </c>
      <c r="B2753" s="21" t="s">
        <v>377</v>
      </c>
      <c r="C2753" s="22">
        <v>500000</v>
      </c>
      <c r="D2753" s="23">
        <v>0</v>
      </c>
      <c r="E2753" s="24">
        <v>0</v>
      </c>
    </row>
    <row r="2754" spans="1:5" x14ac:dyDescent="0.3">
      <c r="A2754" s="16" t="s">
        <v>433</v>
      </c>
      <c r="B2754" s="16" t="s">
        <v>368</v>
      </c>
      <c r="C2754" s="17">
        <v>0</v>
      </c>
      <c r="D2754" s="18">
        <v>0</v>
      </c>
      <c r="E2754" s="19">
        <v>0</v>
      </c>
    </row>
    <row r="2755" spans="1:5" x14ac:dyDescent="0.3">
      <c r="A2755" s="16" t="s">
        <v>210</v>
      </c>
      <c r="B2755" s="16" t="s">
        <v>366</v>
      </c>
      <c r="C2755" s="17">
        <v>0</v>
      </c>
      <c r="D2755" s="18">
        <v>0</v>
      </c>
      <c r="E2755" s="19">
        <v>0</v>
      </c>
    </row>
    <row r="2756" spans="1:5" x14ac:dyDescent="0.3">
      <c r="A2756" s="20" t="s">
        <v>210</v>
      </c>
      <c r="B2756" s="21" t="s">
        <v>367</v>
      </c>
      <c r="C2756" s="22">
        <v>0</v>
      </c>
      <c r="D2756" s="23">
        <v>0</v>
      </c>
      <c r="E2756" s="24">
        <v>0</v>
      </c>
    </row>
    <row r="2757" spans="1:5" x14ac:dyDescent="0.3">
      <c r="A2757" s="16" t="s">
        <v>434</v>
      </c>
      <c r="B2757" s="16" t="s">
        <v>372</v>
      </c>
      <c r="C2757" s="17">
        <v>0</v>
      </c>
      <c r="D2757" s="18">
        <v>0</v>
      </c>
      <c r="E2757" s="19">
        <v>0</v>
      </c>
    </row>
    <row r="2758" spans="1:5" x14ac:dyDescent="0.3">
      <c r="A2758" s="16" t="s">
        <v>16</v>
      </c>
      <c r="B2758" s="16" t="s">
        <v>366</v>
      </c>
      <c r="C2758" s="17">
        <v>92000</v>
      </c>
      <c r="D2758" s="18">
        <v>104000</v>
      </c>
      <c r="E2758" s="19">
        <v>0</v>
      </c>
    </row>
    <row r="2759" spans="1:5" x14ac:dyDescent="0.3">
      <c r="A2759" s="20" t="s">
        <v>16</v>
      </c>
      <c r="B2759" s="21" t="s">
        <v>367</v>
      </c>
      <c r="C2759" s="22">
        <v>92000</v>
      </c>
      <c r="D2759" s="23">
        <v>0</v>
      </c>
      <c r="E2759" s="24">
        <v>0</v>
      </c>
    </row>
    <row r="2760" spans="1:5" x14ac:dyDescent="0.3">
      <c r="A2760" s="20" t="s">
        <v>16</v>
      </c>
      <c r="B2760" s="21" t="s">
        <v>368</v>
      </c>
      <c r="C2760" s="22">
        <v>92000</v>
      </c>
      <c r="D2760" s="23">
        <v>208000</v>
      </c>
      <c r="E2760" s="24">
        <v>0</v>
      </c>
    </row>
    <row r="2761" spans="1:5" x14ac:dyDescent="0.3">
      <c r="A2761" s="20" t="s">
        <v>16</v>
      </c>
      <c r="B2761" s="21" t="s">
        <v>369</v>
      </c>
      <c r="C2761" s="22">
        <v>92000</v>
      </c>
      <c r="D2761" s="23">
        <v>0</v>
      </c>
      <c r="E2761" s="24">
        <v>0</v>
      </c>
    </row>
    <row r="2762" spans="1:5" x14ac:dyDescent="0.3">
      <c r="A2762" s="20" t="s">
        <v>16</v>
      </c>
      <c r="B2762" s="21" t="s">
        <v>370</v>
      </c>
      <c r="C2762" s="22">
        <v>92000</v>
      </c>
      <c r="D2762" s="23">
        <v>104000</v>
      </c>
      <c r="E2762" s="24">
        <v>0</v>
      </c>
    </row>
    <row r="2763" spans="1:5" x14ac:dyDescent="0.3">
      <c r="A2763" s="20" t="s">
        <v>16</v>
      </c>
      <c r="B2763" s="21" t="s">
        <v>371</v>
      </c>
      <c r="C2763" s="22">
        <v>92000</v>
      </c>
      <c r="D2763" s="23">
        <v>208000</v>
      </c>
      <c r="E2763" s="24">
        <v>0</v>
      </c>
    </row>
    <row r="2764" spans="1:5" x14ac:dyDescent="0.3">
      <c r="A2764" s="20" t="s">
        <v>16</v>
      </c>
      <c r="B2764" s="21" t="s">
        <v>372</v>
      </c>
      <c r="C2764" s="22">
        <v>92000</v>
      </c>
      <c r="D2764" s="23">
        <v>104000</v>
      </c>
      <c r="E2764" s="24">
        <v>0</v>
      </c>
    </row>
    <row r="2765" spans="1:5" x14ac:dyDescent="0.3">
      <c r="A2765" s="20" t="s">
        <v>16</v>
      </c>
      <c r="B2765" s="21" t="s">
        <v>373</v>
      </c>
      <c r="C2765" s="22">
        <v>46000</v>
      </c>
      <c r="D2765" s="23">
        <v>104000</v>
      </c>
      <c r="E2765" s="24">
        <v>0</v>
      </c>
    </row>
    <row r="2766" spans="1:5" x14ac:dyDescent="0.3">
      <c r="A2766" s="20" t="s">
        <v>16</v>
      </c>
      <c r="B2766" s="21" t="s">
        <v>374</v>
      </c>
      <c r="C2766" s="22">
        <v>92000</v>
      </c>
      <c r="D2766" s="23">
        <v>0</v>
      </c>
      <c r="E2766" s="24">
        <v>0</v>
      </c>
    </row>
    <row r="2767" spans="1:5" x14ac:dyDescent="0.3">
      <c r="A2767" s="20" t="s">
        <v>16</v>
      </c>
      <c r="B2767" s="21" t="s">
        <v>375</v>
      </c>
      <c r="C2767" s="22">
        <v>92000</v>
      </c>
      <c r="D2767" s="23">
        <v>104000</v>
      </c>
      <c r="E2767" s="24">
        <v>0</v>
      </c>
    </row>
    <row r="2768" spans="1:5" x14ac:dyDescent="0.3">
      <c r="A2768" s="20" t="s">
        <v>16</v>
      </c>
      <c r="B2768" s="21" t="s">
        <v>376</v>
      </c>
      <c r="C2768" s="22">
        <v>92000</v>
      </c>
      <c r="D2768" s="23">
        <v>104000</v>
      </c>
      <c r="E2768" s="24">
        <v>0</v>
      </c>
    </row>
    <row r="2769" spans="1:5" x14ac:dyDescent="0.3">
      <c r="A2769" s="20" t="s">
        <v>16</v>
      </c>
      <c r="B2769" s="21" t="s">
        <v>377</v>
      </c>
      <c r="C2769" s="22">
        <v>46000</v>
      </c>
      <c r="D2769" s="23">
        <v>0</v>
      </c>
      <c r="E2769" s="24">
        <v>0</v>
      </c>
    </row>
    <row r="2770" spans="1:5" x14ac:dyDescent="0.3">
      <c r="A2770" s="16" t="s">
        <v>435</v>
      </c>
      <c r="B2770" s="16" t="s">
        <v>369</v>
      </c>
      <c r="C2770" s="17">
        <v>0</v>
      </c>
      <c r="D2770" s="18">
        <v>0</v>
      </c>
      <c r="E2770" s="19">
        <v>0</v>
      </c>
    </row>
    <row r="2771" spans="1:5" x14ac:dyDescent="0.3">
      <c r="A2771" s="20" t="s">
        <v>435</v>
      </c>
      <c r="B2771" s="21" t="s">
        <v>373</v>
      </c>
      <c r="C2771" s="22">
        <v>0</v>
      </c>
      <c r="D2771" s="23">
        <v>0</v>
      </c>
      <c r="E2771" s="24">
        <v>0</v>
      </c>
    </row>
    <row r="2772" spans="1:5" x14ac:dyDescent="0.3">
      <c r="A2772" s="16" t="s">
        <v>436</v>
      </c>
      <c r="B2772" s="16" t="s">
        <v>369</v>
      </c>
      <c r="C2772" s="17">
        <v>0</v>
      </c>
      <c r="D2772" s="18">
        <v>0</v>
      </c>
      <c r="E2772" s="19">
        <v>0</v>
      </c>
    </row>
    <row r="2773" spans="1:5" x14ac:dyDescent="0.3">
      <c r="A2773" s="20" t="s">
        <v>436</v>
      </c>
      <c r="B2773" s="21" t="s">
        <v>370</v>
      </c>
      <c r="C2773" s="22">
        <v>0</v>
      </c>
      <c r="D2773" s="23">
        <v>0</v>
      </c>
      <c r="E2773" s="24">
        <v>0</v>
      </c>
    </row>
    <row r="2774" spans="1:5" x14ac:dyDescent="0.3">
      <c r="A2774" s="16" t="s">
        <v>437</v>
      </c>
      <c r="B2774" s="16" t="s">
        <v>366</v>
      </c>
      <c r="C2774" s="17">
        <v>0</v>
      </c>
      <c r="D2774" s="18">
        <v>0</v>
      </c>
      <c r="E2774" s="19">
        <v>0</v>
      </c>
    </row>
    <row r="2775" spans="1:5" x14ac:dyDescent="0.3">
      <c r="A2775" s="20" t="s">
        <v>437</v>
      </c>
      <c r="B2775" s="21" t="s">
        <v>367</v>
      </c>
      <c r="C2775" s="22">
        <v>0</v>
      </c>
      <c r="D2775" s="23">
        <v>0</v>
      </c>
      <c r="E2775" s="24">
        <v>0</v>
      </c>
    </row>
    <row r="2776" spans="1:5" x14ac:dyDescent="0.3">
      <c r="A2776" s="20" t="s">
        <v>437</v>
      </c>
      <c r="B2776" s="21" t="s">
        <v>369</v>
      </c>
      <c r="C2776" s="22">
        <v>0</v>
      </c>
      <c r="D2776" s="23">
        <v>0</v>
      </c>
      <c r="E2776" s="24">
        <v>0</v>
      </c>
    </row>
    <row r="2777" spans="1:5" x14ac:dyDescent="0.3">
      <c r="A2777" s="16" t="s">
        <v>438</v>
      </c>
      <c r="B2777" s="16" t="s">
        <v>369</v>
      </c>
      <c r="C2777" s="17">
        <v>57600</v>
      </c>
      <c r="D2777" s="18">
        <v>57600</v>
      </c>
      <c r="E2777" s="19">
        <v>0</v>
      </c>
    </row>
    <row r="2778" spans="1:5" x14ac:dyDescent="0.3">
      <c r="A2778" s="20" t="s">
        <v>438</v>
      </c>
      <c r="B2778" s="21" t="s">
        <v>370</v>
      </c>
      <c r="C2778" s="22">
        <v>0</v>
      </c>
      <c r="D2778" s="23">
        <v>57600</v>
      </c>
      <c r="E2778" s="24">
        <v>0</v>
      </c>
    </row>
    <row r="2779" spans="1:5" x14ac:dyDescent="0.3">
      <c r="A2779" s="20" t="s">
        <v>438</v>
      </c>
      <c r="B2779" s="21" t="s">
        <v>371</v>
      </c>
      <c r="C2779" s="22">
        <v>57600</v>
      </c>
      <c r="D2779" s="23">
        <v>0</v>
      </c>
      <c r="E2779" s="24">
        <v>0</v>
      </c>
    </row>
    <row r="2780" spans="1:5" x14ac:dyDescent="0.3">
      <c r="A2780" s="20" t="s">
        <v>438</v>
      </c>
      <c r="B2780" s="21" t="s">
        <v>372</v>
      </c>
      <c r="C2780" s="22">
        <v>0</v>
      </c>
      <c r="D2780" s="23">
        <v>57600</v>
      </c>
      <c r="E2780" s="24">
        <v>0</v>
      </c>
    </row>
    <row r="2781" spans="1:5" x14ac:dyDescent="0.3">
      <c r="A2781" s="20" t="s">
        <v>438</v>
      </c>
      <c r="B2781" s="21" t="s">
        <v>373</v>
      </c>
      <c r="C2781" s="22">
        <v>57600</v>
      </c>
      <c r="D2781" s="23">
        <v>57600</v>
      </c>
      <c r="E2781" s="24">
        <v>0</v>
      </c>
    </row>
    <row r="2782" spans="1:5" x14ac:dyDescent="0.3">
      <c r="A2782" s="20" t="s">
        <v>438</v>
      </c>
      <c r="B2782" s="21" t="s">
        <v>374</v>
      </c>
      <c r="C2782" s="22">
        <v>57600</v>
      </c>
      <c r="D2782" s="23">
        <v>57600</v>
      </c>
      <c r="E2782" s="24">
        <v>0</v>
      </c>
    </row>
    <row r="2783" spans="1:5" x14ac:dyDescent="0.3">
      <c r="A2783" s="20" t="s">
        <v>438</v>
      </c>
      <c r="B2783" s="21" t="s">
        <v>375</v>
      </c>
      <c r="C2783" s="22">
        <v>57600</v>
      </c>
      <c r="D2783" s="23">
        <v>0</v>
      </c>
      <c r="E2783" s="24">
        <v>0</v>
      </c>
    </row>
    <row r="2784" spans="1:5" x14ac:dyDescent="0.3">
      <c r="A2784" s="20" t="s">
        <v>438</v>
      </c>
      <c r="B2784" s="21" t="s">
        <v>377</v>
      </c>
      <c r="C2784" s="22">
        <v>0</v>
      </c>
      <c r="D2784" s="23">
        <v>57600</v>
      </c>
      <c r="E2784" s="24">
        <v>0</v>
      </c>
    </row>
    <row r="2785" spans="1:5" x14ac:dyDescent="0.3">
      <c r="A2785" s="16" t="s">
        <v>436</v>
      </c>
      <c r="B2785" s="16" t="s">
        <v>370</v>
      </c>
      <c r="C2785" s="17">
        <v>0</v>
      </c>
      <c r="D2785" s="18">
        <v>20000</v>
      </c>
      <c r="E2785" s="19">
        <v>0</v>
      </c>
    </row>
    <row r="2786" spans="1:5" x14ac:dyDescent="0.3">
      <c r="A2786" s="20" t="s">
        <v>436</v>
      </c>
      <c r="B2786" s="21" t="s">
        <v>372</v>
      </c>
      <c r="C2786" s="22">
        <v>0</v>
      </c>
      <c r="D2786" s="23">
        <v>0</v>
      </c>
      <c r="E2786" s="24">
        <v>0</v>
      </c>
    </row>
    <row r="2787" spans="1:5" x14ac:dyDescent="0.3">
      <c r="A2787" s="20" t="s">
        <v>436</v>
      </c>
      <c r="B2787" s="21" t="s">
        <v>374</v>
      </c>
      <c r="C2787" s="22">
        <v>0</v>
      </c>
      <c r="D2787" s="23">
        <v>0</v>
      </c>
      <c r="E2787" s="24">
        <v>0</v>
      </c>
    </row>
    <row r="2788" spans="1:5" x14ac:dyDescent="0.3">
      <c r="A2788" s="20" t="s">
        <v>436</v>
      </c>
      <c r="B2788" s="21" t="s">
        <v>376</v>
      </c>
      <c r="C2788" s="22">
        <v>0</v>
      </c>
      <c r="D2788" s="23">
        <v>20000</v>
      </c>
      <c r="E2788" s="24">
        <v>0</v>
      </c>
    </row>
    <row r="2789" spans="1:5" x14ac:dyDescent="0.3">
      <c r="A2789" s="16" t="s">
        <v>435</v>
      </c>
      <c r="B2789" s="16" t="s">
        <v>367</v>
      </c>
      <c r="C2789" s="17">
        <v>0</v>
      </c>
      <c r="D2789" s="18">
        <v>0</v>
      </c>
      <c r="E2789" s="19">
        <v>0</v>
      </c>
    </row>
    <row r="2790" spans="1:5" x14ac:dyDescent="0.3">
      <c r="A2790" s="16" t="s">
        <v>439</v>
      </c>
      <c r="B2790" s="16" t="s">
        <v>366</v>
      </c>
      <c r="C2790" s="17">
        <v>56000</v>
      </c>
      <c r="D2790" s="18">
        <v>120000</v>
      </c>
      <c r="E2790" s="19">
        <v>0</v>
      </c>
    </row>
    <row r="2791" spans="1:5" x14ac:dyDescent="0.3">
      <c r="A2791" s="20" t="s">
        <v>439</v>
      </c>
      <c r="B2791" s="21" t="s">
        <v>367</v>
      </c>
      <c r="C2791" s="22">
        <v>56000</v>
      </c>
      <c r="D2791" s="23">
        <v>144000</v>
      </c>
      <c r="E2791" s="24">
        <v>0</v>
      </c>
    </row>
    <row r="2792" spans="1:5" x14ac:dyDescent="0.3">
      <c r="A2792" s="20" t="s">
        <v>439</v>
      </c>
      <c r="B2792" s="21" t="s">
        <v>368</v>
      </c>
      <c r="C2792" s="22">
        <v>56000</v>
      </c>
      <c r="D2792" s="23">
        <v>72000</v>
      </c>
      <c r="E2792" s="24">
        <v>0</v>
      </c>
    </row>
    <row r="2793" spans="1:5" x14ac:dyDescent="0.3">
      <c r="A2793" s="20" t="s">
        <v>439</v>
      </c>
      <c r="B2793" s="21" t="s">
        <v>369</v>
      </c>
      <c r="C2793" s="22">
        <v>56000</v>
      </c>
      <c r="D2793" s="23">
        <v>120000</v>
      </c>
      <c r="E2793" s="24">
        <v>0</v>
      </c>
    </row>
    <row r="2794" spans="1:5" x14ac:dyDescent="0.3">
      <c r="A2794" s="20" t="s">
        <v>439</v>
      </c>
      <c r="B2794" s="21" t="s">
        <v>370</v>
      </c>
      <c r="C2794" s="22">
        <v>56000</v>
      </c>
      <c r="D2794" s="23">
        <v>96000</v>
      </c>
      <c r="E2794" s="24">
        <v>0</v>
      </c>
    </row>
    <row r="2795" spans="1:5" x14ac:dyDescent="0.3">
      <c r="A2795" s="20" t="s">
        <v>439</v>
      </c>
      <c r="B2795" s="21" t="s">
        <v>371</v>
      </c>
      <c r="C2795" s="22">
        <v>56000</v>
      </c>
      <c r="D2795" s="23">
        <v>72000</v>
      </c>
      <c r="E2795" s="24">
        <v>0</v>
      </c>
    </row>
    <row r="2796" spans="1:5" x14ac:dyDescent="0.3">
      <c r="A2796" s="20" t="s">
        <v>439</v>
      </c>
      <c r="B2796" s="21" t="s">
        <v>372</v>
      </c>
      <c r="C2796" s="22">
        <v>56000</v>
      </c>
      <c r="D2796" s="23">
        <v>120000</v>
      </c>
      <c r="E2796" s="24">
        <v>0</v>
      </c>
    </row>
    <row r="2797" spans="1:5" x14ac:dyDescent="0.3">
      <c r="A2797" s="20" t="s">
        <v>439</v>
      </c>
      <c r="B2797" s="21" t="s">
        <v>373</v>
      </c>
      <c r="C2797" s="22">
        <v>28000</v>
      </c>
      <c r="D2797" s="23">
        <v>72000</v>
      </c>
      <c r="E2797" s="24">
        <v>0</v>
      </c>
    </row>
    <row r="2798" spans="1:5" x14ac:dyDescent="0.3">
      <c r="A2798" s="20" t="s">
        <v>439</v>
      </c>
      <c r="B2798" s="21" t="s">
        <v>374</v>
      </c>
      <c r="C2798" s="22">
        <v>56000</v>
      </c>
      <c r="D2798" s="23">
        <v>96000</v>
      </c>
      <c r="E2798" s="24">
        <v>0</v>
      </c>
    </row>
    <row r="2799" spans="1:5" x14ac:dyDescent="0.3">
      <c r="A2799" s="20" t="s">
        <v>439</v>
      </c>
      <c r="B2799" s="21" t="s">
        <v>375</v>
      </c>
      <c r="C2799" s="22">
        <v>56000</v>
      </c>
      <c r="D2799" s="23">
        <v>96000</v>
      </c>
      <c r="E2799" s="24">
        <v>0</v>
      </c>
    </row>
    <row r="2800" spans="1:5" x14ac:dyDescent="0.3">
      <c r="A2800" s="20" t="s">
        <v>439</v>
      </c>
      <c r="B2800" s="21" t="s">
        <v>376</v>
      </c>
      <c r="C2800" s="22">
        <v>56000</v>
      </c>
      <c r="D2800" s="23">
        <v>0</v>
      </c>
      <c r="E2800" s="24">
        <v>0</v>
      </c>
    </row>
    <row r="2801" spans="1:5" x14ac:dyDescent="0.3">
      <c r="A2801" s="20" t="s">
        <v>439</v>
      </c>
      <c r="B2801" s="21" t="s">
        <v>377</v>
      </c>
      <c r="C2801" s="22">
        <v>28000</v>
      </c>
      <c r="D2801" s="23">
        <v>0</v>
      </c>
      <c r="E2801" s="24">
        <v>0</v>
      </c>
    </row>
    <row r="2802" spans="1:5" x14ac:dyDescent="0.3">
      <c r="A2802" s="16" t="s">
        <v>147</v>
      </c>
      <c r="B2802" s="16" t="s">
        <v>374</v>
      </c>
      <c r="C2802" s="17">
        <v>0</v>
      </c>
      <c r="D2802" s="18">
        <v>0</v>
      </c>
      <c r="E2802" s="19">
        <v>0</v>
      </c>
    </row>
    <row r="2803" spans="1:5" x14ac:dyDescent="0.3">
      <c r="A2803" s="20" t="s">
        <v>147</v>
      </c>
      <c r="B2803" s="21" t="s">
        <v>375</v>
      </c>
      <c r="C2803" s="22">
        <v>0</v>
      </c>
      <c r="D2803" s="23">
        <v>0</v>
      </c>
      <c r="E2803" s="24">
        <v>0</v>
      </c>
    </row>
    <row r="2804" spans="1:5" x14ac:dyDescent="0.3">
      <c r="A2804" s="16" t="s">
        <v>29</v>
      </c>
      <c r="B2804" s="16" t="s">
        <v>368</v>
      </c>
      <c r="C2804" s="17">
        <v>60000</v>
      </c>
      <c r="D2804" s="18">
        <v>0</v>
      </c>
      <c r="E2804" s="19">
        <v>0</v>
      </c>
    </row>
    <row r="2805" spans="1:5" x14ac:dyDescent="0.3">
      <c r="A2805" s="20" t="s">
        <v>29</v>
      </c>
      <c r="B2805" s="21" t="s">
        <v>371</v>
      </c>
      <c r="C2805" s="22">
        <v>60000</v>
      </c>
      <c r="D2805" s="23">
        <v>0</v>
      </c>
      <c r="E2805" s="24">
        <v>0</v>
      </c>
    </row>
    <row r="2806" spans="1:5" x14ac:dyDescent="0.3">
      <c r="A2806" s="20" t="s">
        <v>29</v>
      </c>
      <c r="B2806" s="21" t="s">
        <v>372</v>
      </c>
      <c r="C2806" s="22">
        <v>0</v>
      </c>
      <c r="D2806" s="23">
        <v>0</v>
      </c>
      <c r="E2806" s="24">
        <v>0</v>
      </c>
    </row>
    <row r="2807" spans="1:5" x14ac:dyDescent="0.3">
      <c r="A2807" s="20" t="s">
        <v>29</v>
      </c>
      <c r="B2807" s="21" t="s">
        <v>373</v>
      </c>
      <c r="C2807" s="22">
        <v>0</v>
      </c>
      <c r="D2807" s="23">
        <v>0</v>
      </c>
      <c r="E2807" s="24">
        <v>0</v>
      </c>
    </row>
    <row r="2808" spans="1:5" x14ac:dyDescent="0.3">
      <c r="A2808" s="20" t="s">
        <v>29</v>
      </c>
      <c r="B2808" s="21" t="s">
        <v>374</v>
      </c>
      <c r="C2808" s="22">
        <v>60000</v>
      </c>
      <c r="D2808" s="23">
        <v>0</v>
      </c>
      <c r="E2808" s="24">
        <v>0</v>
      </c>
    </row>
    <row r="2809" spans="1:5" x14ac:dyDescent="0.3">
      <c r="A2809" s="20" t="s">
        <v>29</v>
      </c>
      <c r="B2809" s="21" t="s">
        <v>375</v>
      </c>
      <c r="C2809" s="22">
        <v>0</v>
      </c>
      <c r="D2809" s="23">
        <v>0</v>
      </c>
      <c r="E2809" s="24">
        <v>0</v>
      </c>
    </row>
    <row r="2810" spans="1:5" x14ac:dyDescent="0.3">
      <c r="A2810" s="16" t="s">
        <v>148</v>
      </c>
      <c r="B2810" s="16" t="s">
        <v>366</v>
      </c>
      <c r="C2810" s="17">
        <v>60000</v>
      </c>
      <c r="D2810" s="18">
        <v>0</v>
      </c>
      <c r="E2810" s="19">
        <v>0</v>
      </c>
    </row>
    <row r="2811" spans="1:5" x14ac:dyDescent="0.3">
      <c r="A2811" s="20" t="s">
        <v>148</v>
      </c>
      <c r="B2811" s="21" t="s">
        <v>368</v>
      </c>
      <c r="C2811" s="22">
        <v>40000</v>
      </c>
      <c r="D2811" s="23">
        <v>0</v>
      </c>
      <c r="E2811" s="24">
        <v>0</v>
      </c>
    </row>
    <row r="2812" spans="1:5" x14ac:dyDescent="0.3">
      <c r="A2812" s="20" t="s">
        <v>148</v>
      </c>
      <c r="B2812" s="21" t="s">
        <v>369</v>
      </c>
      <c r="C2812" s="22">
        <v>40000</v>
      </c>
      <c r="D2812" s="23">
        <v>0</v>
      </c>
      <c r="E2812" s="24">
        <v>0</v>
      </c>
    </row>
    <row r="2813" spans="1:5" x14ac:dyDescent="0.3">
      <c r="A2813" s="20" t="s">
        <v>148</v>
      </c>
      <c r="B2813" s="21" t="s">
        <v>370</v>
      </c>
      <c r="C2813" s="22">
        <v>60000</v>
      </c>
      <c r="D2813" s="23">
        <v>0</v>
      </c>
      <c r="E2813" s="24">
        <v>0</v>
      </c>
    </row>
    <row r="2814" spans="1:5" x14ac:dyDescent="0.3">
      <c r="A2814" s="20" t="s">
        <v>148</v>
      </c>
      <c r="B2814" s="21" t="s">
        <v>372</v>
      </c>
      <c r="C2814" s="22">
        <v>0</v>
      </c>
      <c r="D2814" s="23">
        <v>0</v>
      </c>
      <c r="E2814" s="24">
        <v>0</v>
      </c>
    </row>
    <row r="2815" spans="1:5" x14ac:dyDescent="0.3">
      <c r="A2815" s="20" t="s">
        <v>148</v>
      </c>
      <c r="B2815" s="21" t="s">
        <v>374</v>
      </c>
      <c r="C2815" s="22">
        <v>40000</v>
      </c>
      <c r="D2815" s="23">
        <v>0</v>
      </c>
      <c r="E2815" s="24">
        <v>0</v>
      </c>
    </row>
    <row r="2816" spans="1:5" x14ac:dyDescent="0.3">
      <c r="A2816" s="20" t="s">
        <v>148</v>
      </c>
      <c r="B2816" s="21" t="s">
        <v>375</v>
      </c>
      <c r="C2816" s="22">
        <v>40000</v>
      </c>
      <c r="D2816" s="23">
        <v>0</v>
      </c>
      <c r="E2816" s="24">
        <v>0</v>
      </c>
    </row>
    <row r="2817" spans="1:5" x14ac:dyDescent="0.3">
      <c r="A2817" s="20" t="s">
        <v>148</v>
      </c>
      <c r="B2817" s="21" t="s">
        <v>376</v>
      </c>
      <c r="C2817" s="22">
        <v>60000</v>
      </c>
      <c r="D2817" s="23">
        <v>0</v>
      </c>
      <c r="E2817" s="24">
        <v>0</v>
      </c>
    </row>
    <row r="2818" spans="1:5" x14ac:dyDescent="0.3">
      <c r="A2818" s="16" t="s">
        <v>283</v>
      </c>
      <c r="B2818" s="16" t="s">
        <v>366</v>
      </c>
      <c r="C2818" s="17">
        <v>9000</v>
      </c>
      <c r="D2818" s="18">
        <v>20000</v>
      </c>
      <c r="E2818" s="19">
        <v>0</v>
      </c>
    </row>
    <row r="2819" spans="1:5" x14ac:dyDescent="0.3">
      <c r="A2819" s="20" t="s">
        <v>283</v>
      </c>
      <c r="B2819" s="21" t="s">
        <v>367</v>
      </c>
      <c r="C2819" s="22">
        <v>9000</v>
      </c>
      <c r="D2819" s="23">
        <v>0</v>
      </c>
      <c r="E2819" s="24">
        <v>0</v>
      </c>
    </row>
    <row r="2820" spans="1:5" x14ac:dyDescent="0.3">
      <c r="A2820" s="20" t="s">
        <v>283</v>
      </c>
      <c r="B2820" s="21" t="s">
        <v>368</v>
      </c>
      <c r="C2820" s="22">
        <v>9000</v>
      </c>
      <c r="D2820" s="23">
        <v>0</v>
      </c>
      <c r="E2820" s="24">
        <v>0</v>
      </c>
    </row>
    <row r="2821" spans="1:5" x14ac:dyDescent="0.3">
      <c r="A2821" s="20" t="s">
        <v>283</v>
      </c>
      <c r="B2821" s="21" t="s">
        <v>369</v>
      </c>
      <c r="C2821" s="22">
        <v>9000</v>
      </c>
      <c r="D2821" s="23">
        <v>0</v>
      </c>
      <c r="E2821" s="24">
        <v>0</v>
      </c>
    </row>
    <row r="2822" spans="1:5" x14ac:dyDescent="0.3">
      <c r="A2822" s="20" t="s">
        <v>283</v>
      </c>
      <c r="B2822" s="21" t="s">
        <v>370</v>
      </c>
      <c r="C2822" s="22">
        <v>9000</v>
      </c>
      <c r="D2822" s="23">
        <v>0</v>
      </c>
      <c r="E2822" s="24">
        <v>0</v>
      </c>
    </row>
    <row r="2823" spans="1:5" x14ac:dyDescent="0.3">
      <c r="A2823" s="20" t="s">
        <v>283</v>
      </c>
      <c r="B2823" s="21" t="s">
        <v>371</v>
      </c>
      <c r="C2823" s="22">
        <v>9000</v>
      </c>
      <c r="D2823" s="23">
        <v>20000</v>
      </c>
      <c r="E2823" s="24">
        <v>0</v>
      </c>
    </row>
    <row r="2824" spans="1:5" x14ac:dyDescent="0.3">
      <c r="A2824" s="20" t="s">
        <v>283</v>
      </c>
      <c r="B2824" s="21" t="s">
        <v>372</v>
      </c>
      <c r="C2824" s="22">
        <v>9000</v>
      </c>
      <c r="D2824" s="23">
        <v>0</v>
      </c>
      <c r="E2824" s="24">
        <v>0</v>
      </c>
    </row>
    <row r="2825" spans="1:5" x14ac:dyDescent="0.3">
      <c r="A2825" s="20" t="s">
        <v>283</v>
      </c>
      <c r="B2825" s="21" t="s">
        <v>373</v>
      </c>
      <c r="C2825" s="22">
        <v>5000</v>
      </c>
      <c r="D2825" s="23">
        <v>0</v>
      </c>
      <c r="E2825" s="24">
        <v>0</v>
      </c>
    </row>
    <row r="2826" spans="1:5" x14ac:dyDescent="0.3">
      <c r="A2826" s="20" t="s">
        <v>283</v>
      </c>
      <c r="B2826" s="21" t="s">
        <v>374</v>
      </c>
      <c r="C2826" s="22">
        <v>9000</v>
      </c>
      <c r="D2826" s="23">
        <v>0</v>
      </c>
      <c r="E2826" s="24">
        <v>0</v>
      </c>
    </row>
    <row r="2827" spans="1:5" x14ac:dyDescent="0.3">
      <c r="A2827" s="20" t="s">
        <v>283</v>
      </c>
      <c r="B2827" s="21" t="s">
        <v>375</v>
      </c>
      <c r="C2827" s="22">
        <v>9000</v>
      </c>
      <c r="D2827" s="23">
        <v>20000</v>
      </c>
      <c r="E2827" s="24">
        <v>0</v>
      </c>
    </row>
    <row r="2828" spans="1:5" x14ac:dyDescent="0.3">
      <c r="A2828" s="20" t="s">
        <v>283</v>
      </c>
      <c r="B2828" s="21" t="s">
        <v>376</v>
      </c>
      <c r="C2828" s="22">
        <v>9000</v>
      </c>
      <c r="D2828" s="23">
        <v>0</v>
      </c>
      <c r="E2828" s="24">
        <v>0</v>
      </c>
    </row>
    <row r="2829" spans="1:5" x14ac:dyDescent="0.3">
      <c r="A2829" s="20" t="s">
        <v>283</v>
      </c>
      <c r="B2829" s="21" t="s">
        <v>377</v>
      </c>
      <c r="C2829" s="22">
        <v>5000</v>
      </c>
      <c r="D2829" s="23">
        <v>0</v>
      </c>
      <c r="E2829" s="24">
        <v>0</v>
      </c>
    </row>
    <row r="2830" spans="1:5" x14ac:dyDescent="0.3">
      <c r="A2830" s="16" t="s">
        <v>440</v>
      </c>
      <c r="B2830" s="16" t="s">
        <v>370</v>
      </c>
      <c r="C2830" s="17">
        <v>0</v>
      </c>
      <c r="D2830" s="18">
        <v>0</v>
      </c>
      <c r="E2830" s="19">
        <v>0</v>
      </c>
    </row>
    <row r="2831" spans="1:5" x14ac:dyDescent="0.3">
      <c r="A2831" s="16" t="s">
        <v>441</v>
      </c>
      <c r="B2831" s="16" t="s">
        <v>371</v>
      </c>
      <c r="C2831" s="17">
        <v>0</v>
      </c>
      <c r="D2831" s="18">
        <v>0</v>
      </c>
      <c r="E2831" s="19">
        <v>0</v>
      </c>
    </row>
    <row r="2832" spans="1:5" x14ac:dyDescent="0.3">
      <c r="A2832" s="16" t="s">
        <v>129</v>
      </c>
      <c r="B2832" s="16" t="s">
        <v>366</v>
      </c>
      <c r="C2832" s="17">
        <v>8000</v>
      </c>
      <c r="D2832" s="18">
        <v>0</v>
      </c>
      <c r="E2832" s="19">
        <v>0</v>
      </c>
    </row>
    <row r="2833" spans="1:5" x14ac:dyDescent="0.3">
      <c r="A2833" s="20" t="s">
        <v>129</v>
      </c>
      <c r="B2833" s="21" t="s">
        <v>367</v>
      </c>
      <c r="C2833" s="22">
        <v>8000</v>
      </c>
      <c r="D2833" s="23">
        <v>0</v>
      </c>
      <c r="E2833" s="24">
        <v>0</v>
      </c>
    </row>
    <row r="2834" spans="1:5" x14ac:dyDescent="0.3">
      <c r="A2834" s="20" t="s">
        <v>129</v>
      </c>
      <c r="B2834" s="21" t="s">
        <v>368</v>
      </c>
      <c r="C2834" s="22">
        <v>8000</v>
      </c>
      <c r="D2834" s="23">
        <v>0</v>
      </c>
      <c r="E2834" s="24">
        <v>0</v>
      </c>
    </row>
    <row r="2835" spans="1:5" x14ac:dyDescent="0.3">
      <c r="A2835" s="20" t="s">
        <v>129</v>
      </c>
      <c r="B2835" s="21" t="s">
        <v>369</v>
      </c>
      <c r="C2835" s="22">
        <v>8000</v>
      </c>
      <c r="D2835" s="23">
        <v>0</v>
      </c>
      <c r="E2835" s="24">
        <v>0</v>
      </c>
    </row>
    <row r="2836" spans="1:5" x14ac:dyDescent="0.3">
      <c r="A2836" s="20" t="s">
        <v>129</v>
      </c>
      <c r="B2836" s="21" t="s">
        <v>370</v>
      </c>
      <c r="C2836" s="22">
        <v>8000</v>
      </c>
      <c r="D2836" s="23">
        <v>0</v>
      </c>
      <c r="E2836" s="24">
        <v>0</v>
      </c>
    </row>
    <row r="2837" spans="1:5" x14ac:dyDescent="0.3">
      <c r="A2837" s="20" t="s">
        <v>129</v>
      </c>
      <c r="B2837" s="21" t="s">
        <v>371</v>
      </c>
      <c r="C2837" s="22">
        <v>8000</v>
      </c>
      <c r="D2837" s="23">
        <v>0</v>
      </c>
      <c r="E2837" s="24">
        <v>0</v>
      </c>
    </row>
    <row r="2838" spans="1:5" x14ac:dyDescent="0.3">
      <c r="A2838" s="20" t="s">
        <v>129</v>
      </c>
      <c r="B2838" s="21" t="s">
        <v>372</v>
      </c>
      <c r="C2838" s="22">
        <v>8000</v>
      </c>
      <c r="D2838" s="23">
        <v>0</v>
      </c>
      <c r="E2838" s="24">
        <v>0</v>
      </c>
    </row>
    <row r="2839" spans="1:5" x14ac:dyDescent="0.3">
      <c r="A2839" s="20" t="s">
        <v>129</v>
      </c>
      <c r="B2839" s="21" t="s">
        <v>373</v>
      </c>
      <c r="C2839" s="22">
        <v>4000</v>
      </c>
      <c r="D2839" s="23">
        <v>0</v>
      </c>
      <c r="E2839" s="24">
        <v>0</v>
      </c>
    </row>
    <row r="2840" spans="1:5" x14ac:dyDescent="0.3">
      <c r="A2840" s="20" t="s">
        <v>129</v>
      </c>
      <c r="B2840" s="21" t="s">
        <v>374</v>
      </c>
      <c r="C2840" s="22">
        <v>8000</v>
      </c>
      <c r="D2840" s="23">
        <v>0</v>
      </c>
      <c r="E2840" s="24">
        <v>0</v>
      </c>
    </row>
    <row r="2841" spans="1:5" x14ac:dyDescent="0.3">
      <c r="A2841" s="20" t="s">
        <v>129</v>
      </c>
      <c r="B2841" s="21" t="s">
        <v>375</v>
      </c>
      <c r="C2841" s="22">
        <v>8000</v>
      </c>
      <c r="D2841" s="23">
        <v>0</v>
      </c>
      <c r="E2841" s="24">
        <v>0</v>
      </c>
    </row>
    <row r="2842" spans="1:5" x14ac:dyDescent="0.3">
      <c r="A2842" s="20" t="s">
        <v>129</v>
      </c>
      <c r="B2842" s="21" t="s">
        <v>376</v>
      </c>
      <c r="C2842" s="22">
        <v>8000</v>
      </c>
      <c r="D2842" s="23">
        <v>0</v>
      </c>
      <c r="E2842" s="24">
        <v>0</v>
      </c>
    </row>
    <row r="2843" spans="1:5" x14ac:dyDescent="0.3">
      <c r="A2843" s="20" t="s">
        <v>129</v>
      </c>
      <c r="B2843" s="21" t="s">
        <v>377</v>
      </c>
      <c r="C2843" s="22">
        <v>4000</v>
      </c>
      <c r="D2843" s="23">
        <v>0</v>
      </c>
      <c r="E2843" s="24">
        <v>0</v>
      </c>
    </row>
    <row r="2844" spans="1:5" x14ac:dyDescent="0.3">
      <c r="A2844" s="16" t="s">
        <v>130</v>
      </c>
      <c r="B2844" s="16" t="s">
        <v>366</v>
      </c>
      <c r="C2844" s="17">
        <v>3000</v>
      </c>
      <c r="D2844" s="18">
        <v>0</v>
      </c>
      <c r="E2844" s="19">
        <v>0</v>
      </c>
    </row>
    <row r="2845" spans="1:5" x14ac:dyDescent="0.3">
      <c r="A2845" s="20" t="s">
        <v>130</v>
      </c>
      <c r="B2845" s="21" t="s">
        <v>367</v>
      </c>
      <c r="C2845" s="22">
        <v>3000</v>
      </c>
      <c r="D2845" s="23">
        <v>0</v>
      </c>
      <c r="E2845" s="24">
        <v>0</v>
      </c>
    </row>
    <row r="2846" spans="1:5" x14ac:dyDescent="0.3">
      <c r="A2846" s="20" t="s">
        <v>130</v>
      </c>
      <c r="B2846" s="21" t="s">
        <v>368</v>
      </c>
      <c r="C2846" s="22">
        <v>3000</v>
      </c>
      <c r="D2846" s="23">
        <v>0</v>
      </c>
      <c r="E2846" s="24">
        <v>0</v>
      </c>
    </row>
    <row r="2847" spans="1:5" x14ac:dyDescent="0.3">
      <c r="A2847" s="20" t="s">
        <v>130</v>
      </c>
      <c r="B2847" s="21" t="s">
        <v>369</v>
      </c>
      <c r="C2847" s="22">
        <v>3000</v>
      </c>
      <c r="D2847" s="23">
        <v>0</v>
      </c>
      <c r="E2847" s="24">
        <v>0</v>
      </c>
    </row>
    <row r="2848" spans="1:5" x14ac:dyDescent="0.3">
      <c r="A2848" s="20" t="s">
        <v>130</v>
      </c>
      <c r="B2848" s="21" t="s">
        <v>370</v>
      </c>
      <c r="C2848" s="22">
        <v>3000</v>
      </c>
      <c r="D2848" s="23">
        <v>0</v>
      </c>
      <c r="E2848" s="24">
        <v>0</v>
      </c>
    </row>
    <row r="2849" spans="1:5" x14ac:dyDescent="0.3">
      <c r="A2849" s="20" t="s">
        <v>130</v>
      </c>
      <c r="B2849" s="21" t="s">
        <v>371</v>
      </c>
      <c r="C2849" s="22">
        <v>3000</v>
      </c>
      <c r="D2849" s="23">
        <v>0</v>
      </c>
      <c r="E2849" s="24">
        <v>0</v>
      </c>
    </row>
    <row r="2850" spans="1:5" x14ac:dyDescent="0.3">
      <c r="A2850" s="20" t="s">
        <v>130</v>
      </c>
      <c r="B2850" s="21" t="s">
        <v>372</v>
      </c>
      <c r="C2850" s="22">
        <v>3000</v>
      </c>
      <c r="D2850" s="23">
        <v>0</v>
      </c>
      <c r="E2850" s="24">
        <v>0</v>
      </c>
    </row>
    <row r="2851" spans="1:5" x14ac:dyDescent="0.3">
      <c r="A2851" s="20" t="s">
        <v>130</v>
      </c>
      <c r="B2851" s="21" t="s">
        <v>373</v>
      </c>
      <c r="C2851" s="22">
        <v>2000</v>
      </c>
      <c r="D2851" s="23">
        <v>0</v>
      </c>
      <c r="E2851" s="24">
        <v>0</v>
      </c>
    </row>
    <row r="2852" spans="1:5" x14ac:dyDescent="0.3">
      <c r="A2852" s="20" t="s">
        <v>130</v>
      </c>
      <c r="B2852" s="21" t="s">
        <v>374</v>
      </c>
      <c r="C2852" s="22">
        <v>3000</v>
      </c>
      <c r="D2852" s="23">
        <v>0</v>
      </c>
      <c r="E2852" s="24">
        <v>0</v>
      </c>
    </row>
    <row r="2853" spans="1:5" x14ac:dyDescent="0.3">
      <c r="A2853" s="20" t="s">
        <v>130</v>
      </c>
      <c r="B2853" s="21" t="s">
        <v>375</v>
      </c>
      <c r="C2853" s="22">
        <v>3000</v>
      </c>
      <c r="D2853" s="23">
        <v>0</v>
      </c>
      <c r="E2853" s="24">
        <v>0</v>
      </c>
    </row>
    <row r="2854" spans="1:5" x14ac:dyDescent="0.3">
      <c r="A2854" s="20" t="s">
        <v>130</v>
      </c>
      <c r="B2854" s="21" t="s">
        <v>376</v>
      </c>
      <c r="C2854" s="22">
        <v>3000</v>
      </c>
      <c r="D2854" s="23">
        <v>0</v>
      </c>
      <c r="E2854" s="24">
        <v>0</v>
      </c>
    </row>
    <row r="2855" spans="1:5" x14ac:dyDescent="0.3">
      <c r="A2855" s="20" t="s">
        <v>130</v>
      </c>
      <c r="B2855" s="21" t="s">
        <v>377</v>
      </c>
      <c r="C2855" s="22">
        <v>2000</v>
      </c>
      <c r="D2855" s="23">
        <v>0</v>
      </c>
      <c r="E2855" s="24">
        <v>0</v>
      </c>
    </row>
    <row r="2856" spans="1:5" x14ac:dyDescent="0.3">
      <c r="A2856" s="16" t="s">
        <v>320</v>
      </c>
      <c r="B2856" s="16" t="s">
        <v>366</v>
      </c>
      <c r="C2856" s="17">
        <v>0</v>
      </c>
      <c r="D2856" s="18">
        <v>100000</v>
      </c>
      <c r="E2856" s="19">
        <v>0</v>
      </c>
    </row>
    <row r="2857" spans="1:5" x14ac:dyDescent="0.3">
      <c r="A2857" s="20" t="s">
        <v>320</v>
      </c>
      <c r="B2857" s="21" t="s">
        <v>367</v>
      </c>
      <c r="C2857" s="22">
        <v>102000</v>
      </c>
      <c r="D2857" s="23">
        <v>100000</v>
      </c>
      <c r="E2857" s="24">
        <v>0</v>
      </c>
    </row>
    <row r="2858" spans="1:5" x14ac:dyDescent="0.3">
      <c r="A2858" s="20" t="s">
        <v>320</v>
      </c>
      <c r="B2858" s="21" t="s">
        <v>368</v>
      </c>
      <c r="C2858" s="22">
        <v>101600</v>
      </c>
      <c r="D2858" s="23">
        <v>0</v>
      </c>
      <c r="E2858" s="24">
        <v>0</v>
      </c>
    </row>
    <row r="2859" spans="1:5" x14ac:dyDescent="0.3">
      <c r="A2859" s="20" t="s">
        <v>320</v>
      </c>
      <c r="B2859" s="21" t="s">
        <v>374</v>
      </c>
      <c r="C2859" s="22">
        <v>0</v>
      </c>
      <c r="D2859" s="23">
        <v>0</v>
      </c>
      <c r="E2859" s="24">
        <v>0</v>
      </c>
    </row>
    <row r="2860" spans="1:5" x14ac:dyDescent="0.3">
      <c r="A2860" s="20" t="s">
        <v>320</v>
      </c>
      <c r="B2860" s="21" t="s">
        <v>375</v>
      </c>
      <c r="C2860" s="22">
        <v>0</v>
      </c>
      <c r="D2860" s="23">
        <v>100000</v>
      </c>
      <c r="E2860" s="24">
        <v>0</v>
      </c>
    </row>
    <row r="2861" spans="1:5" x14ac:dyDescent="0.3">
      <c r="A2861" s="20" t="s">
        <v>320</v>
      </c>
      <c r="B2861" s="21" t="s">
        <v>376</v>
      </c>
      <c r="C2861" s="22">
        <v>0</v>
      </c>
      <c r="D2861" s="23">
        <v>100000</v>
      </c>
      <c r="E2861" s="24">
        <v>0</v>
      </c>
    </row>
    <row r="2862" spans="1:5" x14ac:dyDescent="0.3">
      <c r="A2862" s="16" t="s">
        <v>327</v>
      </c>
      <c r="B2862" s="16" t="s">
        <v>368</v>
      </c>
      <c r="C2862" s="17">
        <v>109000</v>
      </c>
      <c r="D2862" s="18">
        <v>0</v>
      </c>
      <c r="E2862" s="19">
        <v>0</v>
      </c>
    </row>
    <row r="2863" spans="1:5" x14ac:dyDescent="0.3">
      <c r="A2863" s="20" t="s">
        <v>327</v>
      </c>
      <c r="B2863" s="21" t="s">
        <v>369</v>
      </c>
      <c r="C2863" s="22">
        <v>0</v>
      </c>
      <c r="D2863" s="23">
        <v>0</v>
      </c>
      <c r="E2863" s="24">
        <v>0</v>
      </c>
    </row>
    <row r="2864" spans="1:5" x14ac:dyDescent="0.3">
      <c r="A2864" s="16" t="s">
        <v>131</v>
      </c>
      <c r="B2864" s="16" t="s">
        <v>366</v>
      </c>
      <c r="C2864" s="17">
        <v>270600</v>
      </c>
      <c r="D2864" s="18">
        <v>0</v>
      </c>
      <c r="E2864" s="19">
        <v>0</v>
      </c>
    </row>
    <row r="2865" spans="1:5" x14ac:dyDescent="0.3">
      <c r="A2865" s="20" t="s">
        <v>131</v>
      </c>
      <c r="B2865" s="21" t="s">
        <v>369</v>
      </c>
      <c r="C2865" s="22">
        <v>270600</v>
      </c>
      <c r="D2865" s="23">
        <v>0</v>
      </c>
      <c r="E2865" s="24">
        <v>0</v>
      </c>
    </row>
    <row r="2866" spans="1:5" x14ac:dyDescent="0.3">
      <c r="A2866" s="20" t="s">
        <v>131</v>
      </c>
      <c r="B2866" s="21" t="s">
        <v>370</v>
      </c>
      <c r="C2866" s="22">
        <v>270600</v>
      </c>
      <c r="D2866" s="23">
        <v>0</v>
      </c>
      <c r="E2866" s="24">
        <v>0</v>
      </c>
    </row>
    <row r="2867" spans="1:5" x14ac:dyDescent="0.3">
      <c r="A2867" s="20" t="s">
        <v>131</v>
      </c>
      <c r="B2867" s="21" t="s">
        <v>372</v>
      </c>
      <c r="C2867" s="22">
        <v>0</v>
      </c>
      <c r="D2867" s="23">
        <v>0</v>
      </c>
      <c r="E2867" s="24">
        <v>0</v>
      </c>
    </row>
    <row r="2868" spans="1:5" x14ac:dyDescent="0.3">
      <c r="A2868" s="16" t="s">
        <v>137</v>
      </c>
      <c r="B2868" s="16" t="s">
        <v>366</v>
      </c>
      <c r="C2868" s="17">
        <v>0</v>
      </c>
      <c r="D2868" s="18">
        <v>0</v>
      </c>
      <c r="E2868" s="19">
        <v>0</v>
      </c>
    </row>
    <row r="2869" spans="1:5" x14ac:dyDescent="0.3">
      <c r="A2869" s="16" t="s">
        <v>442</v>
      </c>
      <c r="B2869" s="16" t="s">
        <v>366</v>
      </c>
      <c r="C2869" s="17">
        <v>0</v>
      </c>
      <c r="D2869" s="18">
        <v>0</v>
      </c>
      <c r="E2869" s="19">
        <v>0</v>
      </c>
    </row>
    <row r="2870" spans="1:5" x14ac:dyDescent="0.3">
      <c r="A2870" s="20" t="s">
        <v>442</v>
      </c>
      <c r="B2870" s="21" t="s">
        <v>372</v>
      </c>
      <c r="C2870" s="22">
        <v>0</v>
      </c>
      <c r="D2870" s="23">
        <v>0</v>
      </c>
      <c r="E2870" s="24">
        <v>0</v>
      </c>
    </row>
    <row r="2871" spans="1:5" x14ac:dyDescent="0.3">
      <c r="A2871" s="16" t="s">
        <v>213</v>
      </c>
      <c r="B2871" s="16" t="s">
        <v>366</v>
      </c>
      <c r="C2871" s="17">
        <v>119000</v>
      </c>
      <c r="D2871" s="18">
        <v>150000</v>
      </c>
      <c r="E2871" s="19">
        <v>0</v>
      </c>
    </row>
    <row r="2872" spans="1:5" x14ac:dyDescent="0.3">
      <c r="A2872" s="20" t="s">
        <v>213</v>
      </c>
      <c r="B2872" s="21" t="s">
        <v>367</v>
      </c>
      <c r="C2872" s="22">
        <v>119000</v>
      </c>
      <c r="D2872" s="23">
        <v>150000</v>
      </c>
      <c r="E2872" s="24">
        <v>0</v>
      </c>
    </row>
    <row r="2873" spans="1:5" x14ac:dyDescent="0.3">
      <c r="A2873" s="20" t="s">
        <v>213</v>
      </c>
      <c r="B2873" s="21" t="s">
        <v>368</v>
      </c>
      <c r="C2873" s="22">
        <v>119000</v>
      </c>
      <c r="D2873" s="23">
        <v>250000</v>
      </c>
      <c r="E2873" s="24">
        <v>0</v>
      </c>
    </row>
    <row r="2874" spans="1:5" x14ac:dyDescent="0.3">
      <c r="A2874" s="20" t="s">
        <v>213</v>
      </c>
      <c r="B2874" s="21" t="s">
        <v>369</v>
      </c>
      <c r="C2874" s="22">
        <v>119000</v>
      </c>
      <c r="D2874" s="23">
        <v>0</v>
      </c>
      <c r="E2874" s="24">
        <v>0</v>
      </c>
    </row>
    <row r="2875" spans="1:5" x14ac:dyDescent="0.3">
      <c r="A2875" s="20" t="s">
        <v>213</v>
      </c>
      <c r="B2875" s="21" t="s">
        <v>370</v>
      </c>
      <c r="C2875" s="22">
        <v>119000</v>
      </c>
      <c r="D2875" s="23">
        <v>0</v>
      </c>
      <c r="E2875" s="24">
        <v>0</v>
      </c>
    </row>
    <row r="2876" spans="1:5" x14ac:dyDescent="0.3">
      <c r="A2876" s="20" t="s">
        <v>213</v>
      </c>
      <c r="B2876" s="21" t="s">
        <v>371</v>
      </c>
      <c r="C2876" s="22">
        <v>119000</v>
      </c>
      <c r="D2876" s="23">
        <v>0</v>
      </c>
      <c r="E2876" s="24">
        <v>0</v>
      </c>
    </row>
    <row r="2877" spans="1:5" x14ac:dyDescent="0.3">
      <c r="A2877" s="20" t="s">
        <v>213</v>
      </c>
      <c r="B2877" s="21" t="s">
        <v>372</v>
      </c>
      <c r="C2877" s="22">
        <v>0</v>
      </c>
      <c r="D2877" s="23">
        <v>0</v>
      </c>
      <c r="E2877" s="24">
        <v>0</v>
      </c>
    </row>
    <row r="2878" spans="1:5" x14ac:dyDescent="0.3">
      <c r="A2878" s="20" t="s">
        <v>213</v>
      </c>
      <c r="B2878" s="21" t="s">
        <v>373</v>
      </c>
      <c r="C2878" s="22">
        <v>0</v>
      </c>
      <c r="D2878" s="23">
        <v>0</v>
      </c>
      <c r="E2878" s="24">
        <v>0</v>
      </c>
    </row>
    <row r="2879" spans="1:5" x14ac:dyDescent="0.3">
      <c r="A2879" s="20" t="s">
        <v>213</v>
      </c>
      <c r="B2879" s="21" t="s">
        <v>374</v>
      </c>
      <c r="C2879" s="22">
        <v>0</v>
      </c>
      <c r="D2879" s="23">
        <v>0</v>
      </c>
      <c r="E2879" s="24">
        <v>0</v>
      </c>
    </row>
    <row r="2880" spans="1:5" x14ac:dyDescent="0.3">
      <c r="A2880" s="20" t="s">
        <v>213</v>
      </c>
      <c r="B2880" s="21" t="s">
        <v>375</v>
      </c>
      <c r="C2880" s="22">
        <v>0</v>
      </c>
      <c r="D2880" s="23">
        <v>0</v>
      </c>
      <c r="E2880" s="24">
        <v>0</v>
      </c>
    </row>
    <row r="2881" spans="1:5" x14ac:dyDescent="0.3">
      <c r="A2881" s="16" t="s">
        <v>251</v>
      </c>
      <c r="B2881" s="16" t="s">
        <v>367</v>
      </c>
      <c r="C2881" s="17">
        <v>0</v>
      </c>
      <c r="D2881" s="18">
        <v>0</v>
      </c>
      <c r="E2881" s="19">
        <v>0</v>
      </c>
    </row>
    <row r="2882" spans="1:5" x14ac:dyDescent="0.3">
      <c r="A2882" s="16" t="s">
        <v>292</v>
      </c>
      <c r="B2882" s="16" t="s">
        <v>367</v>
      </c>
      <c r="C2882" s="17">
        <v>0</v>
      </c>
      <c r="D2882" s="18">
        <v>0</v>
      </c>
      <c r="E2882" s="19">
        <v>0</v>
      </c>
    </row>
    <row r="2883" spans="1:5" x14ac:dyDescent="0.3">
      <c r="A2883" s="20" t="s">
        <v>292</v>
      </c>
      <c r="B2883" s="21" t="s">
        <v>368</v>
      </c>
      <c r="C2883" s="22">
        <v>0</v>
      </c>
      <c r="D2883" s="23">
        <v>0</v>
      </c>
      <c r="E2883" s="24">
        <v>0</v>
      </c>
    </row>
    <row r="2884" spans="1:5" x14ac:dyDescent="0.3">
      <c r="A2884" s="20" t="s">
        <v>292</v>
      </c>
      <c r="B2884" s="21" t="s">
        <v>372</v>
      </c>
      <c r="C2884" s="22">
        <v>0</v>
      </c>
      <c r="D2884" s="23">
        <v>0</v>
      </c>
      <c r="E2884" s="24">
        <v>0</v>
      </c>
    </row>
    <row r="2885" spans="1:5" x14ac:dyDescent="0.3">
      <c r="A2885" s="16" t="s">
        <v>297</v>
      </c>
      <c r="B2885" s="16" t="s">
        <v>366</v>
      </c>
      <c r="C2885" s="17">
        <v>0</v>
      </c>
      <c r="D2885" s="18">
        <v>0</v>
      </c>
      <c r="E2885" s="19">
        <v>0</v>
      </c>
    </row>
    <row r="2886" spans="1:5" x14ac:dyDescent="0.3">
      <c r="A2886" s="20" t="s">
        <v>297</v>
      </c>
      <c r="B2886" s="21" t="s">
        <v>367</v>
      </c>
      <c r="C2886" s="22">
        <v>0</v>
      </c>
      <c r="D2886" s="23">
        <v>0</v>
      </c>
      <c r="E2886" s="24">
        <v>0</v>
      </c>
    </row>
    <row r="2887" spans="1:5" x14ac:dyDescent="0.3">
      <c r="A2887" s="16" t="s">
        <v>56</v>
      </c>
      <c r="B2887" s="16" t="s">
        <v>368</v>
      </c>
      <c r="C2887" s="17">
        <v>0</v>
      </c>
      <c r="D2887" s="18">
        <v>0</v>
      </c>
      <c r="E2887" s="19">
        <v>0</v>
      </c>
    </row>
    <row r="2888" spans="1:5" x14ac:dyDescent="0.3">
      <c r="A2888" s="16" t="s">
        <v>122</v>
      </c>
      <c r="B2888" s="16" t="s">
        <v>368</v>
      </c>
      <c r="C2888" s="17">
        <v>0</v>
      </c>
      <c r="D2888" s="18">
        <v>0</v>
      </c>
      <c r="E2888" s="19">
        <v>0</v>
      </c>
    </row>
    <row r="2889" spans="1:5" x14ac:dyDescent="0.3">
      <c r="A2889" s="16" t="s">
        <v>216</v>
      </c>
      <c r="B2889" s="16" t="s">
        <v>367</v>
      </c>
      <c r="C2889" s="17">
        <v>0</v>
      </c>
      <c r="D2889" s="18">
        <v>0</v>
      </c>
      <c r="E2889" s="19">
        <v>0</v>
      </c>
    </row>
    <row r="2890" spans="1:5" x14ac:dyDescent="0.3">
      <c r="A2890" s="16" t="s">
        <v>132</v>
      </c>
      <c r="B2890" s="16" t="s">
        <v>366</v>
      </c>
      <c r="C2890" s="17">
        <v>3000</v>
      </c>
      <c r="D2890" s="18">
        <v>0</v>
      </c>
      <c r="E2890" s="19">
        <v>0</v>
      </c>
    </row>
    <row r="2891" spans="1:5" x14ac:dyDescent="0.3">
      <c r="A2891" s="20" t="s">
        <v>132</v>
      </c>
      <c r="B2891" s="21" t="s">
        <v>367</v>
      </c>
      <c r="C2891" s="22">
        <v>3000</v>
      </c>
      <c r="D2891" s="23">
        <v>0</v>
      </c>
      <c r="E2891" s="24">
        <v>0</v>
      </c>
    </row>
    <row r="2892" spans="1:5" x14ac:dyDescent="0.3">
      <c r="A2892" s="20" t="s">
        <v>132</v>
      </c>
      <c r="B2892" s="21" t="s">
        <v>368</v>
      </c>
      <c r="C2892" s="22">
        <v>3000</v>
      </c>
      <c r="D2892" s="23">
        <v>0</v>
      </c>
      <c r="E2892" s="24">
        <v>0</v>
      </c>
    </row>
    <row r="2893" spans="1:5" x14ac:dyDescent="0.3">
      <c r="A2893" s="20" t="s">
        <v>132</v>
      </c>
      <c r="B2893" s="21" t="s">
        <v>369</v>
      </c>
      <c r="C2893" s="22">
        <v>3000</v>
      </c>
      <c r="D2893" s="23">
        <v>0</v>
      </c>
      <c r="E2893" s="24">
        <v>0</v>
      </c>
    </row>
    <row r="2894" spans="1:5" x14ac:dyDescent="0.3">
      <c r="A2894" s="20" t="s">
        <v>132</v>
      </c>
      <c r="B2894" s="21" t="s">
        <v>370</v>
      </c>
      <c r="C2894" s="22">
        <v>3000</v>
      </c>
      <c r="D2894" s="23">
        <v>0</v>
      </c>
      <c r="E2894" s="24">
        <v>0</v>
      </c>
    </row>
    <row r="2895" spans="1:5" x14ac:dyDescent="0.3">
      <c r="A2895" s="20" t="s">
        <v>132</v>
      </c>
      <c r="B2895" s="21" t="s">
        <v>371</v>
      </c>
      <c r="C2895" s="22">
        <v>3000</v>
      </c>
      <c r="D2895" s="23">
        <v>0</v>
      </c>
      <c r="E2895" s="24">
        <v>0</v>
      </c>
    </row>
    <row r="2896" spans="1:5" x14ac:dyDescent="0.3">
      <c r="A2896" s="20" t="s">
        <v>132</v>
      </c>
      <c r="B2896" s="21" t="s">
        <v>372</v>
      </c>
      <c r="C2896" s="22">
        <v>3000</v>
      </c>
      <c r="D2896" s="23">
        <v>0</v>
      </c>
      <c r="E2896" s="24">
        <v>0</v>
      </c>
    </row>
    <row r="2897" spans="1:5" x14ac:dyDescent="0.3">
      <c r="A2897" s="20" t="s">
        <v>132</v>
      </c>
      <c r="B2897" s="21" t="s">
        <v>373</v>
      </c>
      <c r="C2897" s="22">
        <v>2000</v>
      </c>
      <c r="D2897" s="23">
        <v>0</v>
      </c>
      <c r="E2897" s="24">
        <v>0</v>
      </c>
    </row>
    <row r="2898" spans="1:5" x14ac:dyDescent="0.3">
      <c r="A2898" s="20" t="s">
        <v>132</v>
      </c>
      <c r="B2898" s="21" t="s">
        <v>374</v>
      </c>
      <c r="C2898" s="22">
        <v>3000</v>
      </c>
      <c r="D2898" s="23">
        <v>0</v>
      </c>
      <c r="E2898" s="24">
        <v>0</v>
      </c>
    </row>
    <row r="2899" spans="1:5" x14ac:dyDescent="0.3">
      <c r="A2899" s="20" t="s">
        <v>132</v>
      </c>
      <c r="B2899" s="21" t="s">
        <v>375</v>
      </c>
      <c r="C2899" s="22">
        <v>3000</v>
      </c>
      <c r="D2899" s="23">
        <v>0</v>
      </c>
      <c r="E2899" s="24">
        <v>0</v>
      </c>
    </row>
    <row r="2900" spans="1:5" x14ac:dyDescent="0.3">
      <c r="A2900" s="20" t="s">
        <v>132</v>
      </c>
      <c r="B2900" s="21" t="s">
        <v>376</v>
      </c>
      <c r="C2900" s="22">
        <v>3000</v>
      </c>
      <c r="D2900" s="23">
        <v>0</v>
      </c>
      <c r="E2900" s="24">
        <v>0</v>
      </c>
    </row>
    <row r="2901" spans="1:5" x14ac:dyDescent="0.3">
      <c r="A2901" s="20" t="s">
        <v>132</v>
      </c>
      <c r="B2901" s="21" t="s">
        <v>377</v>
      </c>
      <c r="C2901" s="22">
        <v>2000</v>
      </c>
      <c r="D2901" s="23">
        <v>0</v>
      </c>
      <c r="E2901" s="24">
        <v>0</v>
      </c>
    </row>
    <row r="2902" spans="1:5" x14ac:dyDescent="0.3">
      <c r="A2902" s="16" t="s">
        <v>133</v>
      </c>
      <c r="B2902" s="16" t="s">
        <v>366</v>
      </c>
      <c r="C2902" s="17">
        <v>85000</v>
      </c>
      <c r="D2902" s="18">
        <v>100000</v>
      </c>
      <c r="E2902" s="19">
        <v>0</v>
      </c>
    </row>
    <row r="2903" spans="1:5" x14ac:dyDescent="0.3">
      <c r="A2903" s="20" t="s">
        <v>133</v>
      </c>
      <c r="B2903" s="21" t="s">
        <v>367</v>
      </c>
      <c r="C2903" s="22">
        <v>85000</v>
      </c>
      <c r="D2903" s="23">
        <v>100000</v>
      </c>
      <c r="E2903" s="24">
        <v>0</v>
      </c>
    </row>
    <row r="2904" spans="1:5" x14ac:dyDescent="0.3">
      <c r="A2904" s="20" t="s">
        <v>133</v>
      </c>
      <c r="B2904" s="21" t="s">
        <v>368</v>
      </c>
      <c r="C2904" s="22">
        <v>85000</v>
      </c>
      <c r="D2904" s="23">
        <v>0</v>
      </c>
      <c r="E2904" s="24">
        <v>0</v>
      </c>
    </row>
    <row r="2905" spans="1:5" x14ac:dyDescent="0.3">
      <c r="A2905" s="20" t="s">
        <v>133</v>
      </c>
      <c r="B2905" s="21" t="s">
        <v>369</v>
      </c>
      <c r="C2905" s="22">
        <v>85000</v>
      </c>
      <c r="D2905" s="23">
        <v>0</v>
      </c>
      <c r="E2905" s="24">
        <v>0</v>
      </c>
    </row>
    <row r="2906" spans="1:5" x14ac:dyDescent="0.3">
      <c r="A2906" s="20" t="s">
        <v>133</v>
      </c>
      <c r="B2906" s="21" t="s">
        <v>370</v>
      </c>
      <c r="C2906" s="22">
        <v>85000</v>
      </c>
      <c r="D2906" s="23">
        <v>0</v>
      </c>
      <c r="E2906" s="24">
        <v>0</v>
      </c>
    </row>
    <row r="2907" spans="1:5" x14ac:dyDescent="0.3">
      <c r="A2907" s="20" t="s">
        <v>133</v>
      </c>
      <c r="B2907" s="21" t="s">
        <v>371</v>
      </c>
      <c r="C2907" s="22">
        <v>85000</v>
      </c>
      <c r="D2907" s="23">
        <v>0</v>
      </c>
      <c r="E2907" s="24">
        <v>0</v>
      </c>
    </row>
    <row r="2908" spans="1:5" x14ac:dyDescent="0.3">
      <c r="A2908" s="20" t="s">
        <v>133</v>
      </c>
      <c r="B2908" s="21" t="s">
        <v>372</v>
      </c>
      <c r="C2908" s="22">
        <v>85000</v>
      </c>
      <c r="D2908" s="23">
        <v>0</v>
      </c>
      <c r="E2908" s="24">
        <v>0</v>
      </c>
    </row>
    <row r="2909" spans="1:5" x14ac:dyDescent="0.3">
      <c r="A2909" s="20" t="s">
        <v>133</v>
      </c>
      <c r="B2909" s="21" t="s">
        <v>373</v>
      </c>
      <c r="C2909" s="22">
        <v>42000</v>
      </c>
      <c r="D2909" s="23">
        <v>0</v>
      </c>
      <c r="E2909" s="24">
        <v>0</v>
      </c>
    </row>
    <row r="2910" spans="1:5" x14ac:dyDescent="0.3">
      <c r="A2910" s="20" t="s">
        <v>133</v>
      </c>
      <c r="B2910" s="21" t="s">
        <v>374</v>
      </c>
      <c r="C2910" s="22">
        <v>85000</v>
      </c>
      <c r="D2910" s="23">
        <v>0</v>
      </c>
      <c r="E2910" s="24">
        <v>0</v>
      </c>
    </row>
    <row r="2911" spans="1:5" x14ac:dyDescent="0.3">
      <c r="A2911" s="20" t="s">
        <v>133</v>
      </c>
      <c r="B2911" s="21" t="s">
        <v>375</v>
      </c>
      <c r="C2911" s="22">
        <v>85000</v>
      </c>
      <c r="D2911" s="23">
        <v>0</v>
      </c>
      <c r="E2911" s="24">
        <v>0</v>
      </c>
    </row>
    <row r="2912" spans="1:5" x14ac:dyDescent="0.3">
      <c r="A2912" s="20" t="s">
        <v>133</v>
      </c>
      <c r="B2912" s="21" t="s">
        <v>376</v>
      </c>
      <c r="C2912" s="22">
        <v>85000</v>
      </c>
      <c r="D2912" s="23">
        <v>0</v>
      </c>
      <c r="E2912" s="24">
        <v>0</v>
      </c>
    </row>
    <row r="2913" spans="1:5" x14ac:dyDescent="0.3">
      <c r="A2913" s="20" t="s">
        <v>133</v>
      </c>
      <c r="B2913" s="21" t="s">
        <v>377</v>
      </c>
      <c r="C2913" s="22">
        <v>42000</v>
      </c>
      <c r="D2913" s="23">
        <v>0</v>
      </c>
      <c r="E2913" s="24">
        <v>0</v>
      </c>
    </row>
    <row r="2914" spans="1:5" x14ac:dyDescent="0.3">
      <c r="A2914" s="16" t="s">
        <v>134</v>
      </c>
      <c r="B2914" s="16" t="s">
        <v>366</v>
      </c>
      <c r="C2914" s="17">
        <v>30000</v>
      </c>
      <c r="D2914" s="18">
        <v>0</v>
      </c>
      <c r="E2914" s="19">
        <v>0</v>
      </c>
    </row>
    <row r="2915" spans="1:5" x14ac:dyDescent="0.3">
      <c r="A2915" s="20" t="s">
        <v>134</v>
      </c>
      <c r="B2915" s="21" t="s">
        <v>367</v>
      </c>
      <c r="C2915" s="22">
        <v>30000</v>
      </c>
      <c r="D2915" s="23">
        <v>0</v>
      </c>
      <c r="E2915" s="24">
        <v>0</v>
      </c>
    </row>
    <row r="2916" spans="1:5" x14ac:dyDescent="0.3">
      <c r="A2916" s="20" t="s">
        <v>134</v>
      </c>
      <c r="B2916" s="21" t="s">
        <v>368</v>
      </c>
      <c r="C2916" s="22">
        <v>30000</v>
      </c>
      <c r="D2916" s="23">
        <v>0</v>
      </c>
      <c r="E2916" s="24">
        <v>0</v>
      </c>
    </row>
    <row r="2917" spans="1:5" x14ac:dyDescent="0.3">
      <c r="A2917" s="20" t="s">
        <v>134</v>
      </c>
      <c r="B2917" s="21" t="s">
        <v>369</v>
      </c>
      <c r="C2917" s="22">
        <v>30000</v>
      </c>
      <c r="D2917" s="23">
        <v>60000</v>
      </c>
      <c r="E2917" s="24">
        <v>0</v>
      </c>
    </row>
    <row r="2918" spans="1:5" x14ac:dyDescent="0.3">
      <c r="A2918" s="20" t="s">
        <v>134</v>
      </c>
      <c r="B2918" s="21" t="s">
        <v>370</v>
      </c>
      <c r="C2918" s="22">
        <v>30000</v>
      </c>
      <c r="D2918" s="23">
        <v>0</v>
      </c>
      <c r="E2918" s="24">
        <v>0</v>
      </c>
    </row>
    <row r="2919" spans="1:5" x14ac:dyDescent="0.3">
      <c r="A2919" s="20" t="s">
        <v>134</v>
      </c>
      <c r="B2919" s="21" t="s">
        <v>371</v>
      </c>
      <c r="C2919" s="22">
        <v>30000</v>
      </c>
      <c r="D2919" s="23">
        <v>0</v>
      </c>
      <c r="E2919" s="24">
        <v>0</v>
      </c>
    </row>
    <row r="2920" spans="1:5" x14ac:dyDescent="0.3">
      <c r="A2920" s="20" t="s">
        <v>134</v>
      </c>
      <c r="B2920" s="21" t="s">
        <v>372</v>
      </c>
      <c r="C2920" s="22">
        <v>30000</v>
      </c>
      <c r="D2920" s="23">
        <v>0</v>
      </c>
      <c r="E2920" s="24">
        <v>0</v>
      </c>
    </row>
    <row r="2921" spans="1:5" x14ac:dyDescent="0.3">
      <c r="A2921" s="20" t="s">
        <v>134</v>
      </c>
      <c r="B2921" s="21" t="s">
        <v>373</v>
      </c>
      <c r="C2921" s="22">
        <v>15000</v>
      </c>
      <c r="D2921" s="23">
        <v>0</v>
      </c>
      <c r="E2921" s="24">
        <v>0</v>
      </c>
    </row>
    <row r="2922" spans="1:5" x14ac:dyDescent="0.3">
      <c r="A2922" s="20" t="s">
        <v>134</v>
      </c>
      <c r="B2922" s="21" t="s">
        <v>374</v>
      </c>
      <c r="C2922" s="22">
        <v>30000</v>
      </c>
      <c r="D2922" s="23">
        <v>0</v>
      </c>
      <c r="E2922" s="24">
        <v>0</v>
      </c>
    </row>
    <row r="2923" spans="1:5" x14ac:dyDescent="0.3">
      <c r="A2923" s="20" t="s">
        <v>134</v>
      </c>
      <c r="B2923" s="21" t="s">
        <v>375</v>
      </c>
      <c r="C2923" s="22">
        <v>30000</v>
      </c>
      <c r="D2923" s="23">
        <v>0</v>
      </c>
      <c r="E2923" s="24">
        <v>0</v>
      </c>
    </row>
    <row r="2924" spans="1:5" x14ac:dyDescent="0.3">
      <c r="A2924" s="20" t="s">
        <v>134</v>
      </c>
      <c r="B2924" s="21" t="s">
        <v>376</v>
      </c>
      <c r="C2924" s="22">
        <v>30000</v>
      </c>
      <c r="D2924" s="23">
        <v>0</v>
      </c>
      <c r="E2924" s="24">
        <v>0</v>
      </c>
    </row>
    <row r="2925" spans="1:5" x14ac:dyDescent="0.3">
      <c r="A2925" s="20" t="s">
        <v>134</v>
      </c>
      <c r="B2925" s="21" t="s">
        <v>377</v>
      </c>
      <c r="C2925" s="22">
        <v>15000</v>
      </c>
      <c r="D2925" s="23">
        <v>0</v>
      </c>
      <c r="E2925" s="24">
        <v>0</v>
      </c>
    </row>
    <row r="2926" spans="1:5" x14ac:dyDescent="0.3">
      <c r="A2926" s="16" t="s">
        <v>222</v>
      </c>
      <c r="B2926" s="16" t="s">
        <v>366</v>
      </c>
      <c r="C2926" s="17">
        <v>336000</v>
      </c>
      <c r="D2926" s="18">
        <v>300000</v>
      </c>
      <c r="E2926" s="19">
        <v>0</v>
      </c>
    </row>
    <row r="2927" spans="1:5" x14ac:dyDescent="0.3">
      <c r="A2927" s="20" t="s">
        <v>222</v>
      </c>
      <c r="B2927" s="21" t="s">
        <v>367</v>
      </c>
      <c r="C2927" s="22">
        <v>336000</v>
      </c>
      <c r="D2927" s="23">
        <v>0</v>
      </c>
      <c r="E2927" s="24">
        <v>0</v>
      </c>
    </row>
    <row r="2928" spans="1:5" x14ac:dyDescent="0.3">
      <c r="A2928" s="20" t="s">
        <v>222</v>
      </c>
      <c r="B2928" s="21" t="s">
        <v>368</v>
      </c>
      <c r="C2928" s="22">
        <v>336000</v>
      </c>
      <c r="D2928" s="23">
        <v>300000</v>
      </c>
      <c r="E2928" s="24">
        <v>0</v>
      </c>
    </row>
    <row r="2929" spans="1:5" x14ac:dyDescent="0.3">
      <c r="A2929" s="20" t="s">
        <v>222</v>
      </c>
      <c r="B2929" s="21" t="s">
        <v>369</v>
      </c>
      <c r="C2929" s="22">
        <v>336000</v>
      </c>
      <c r="D2929" s="23">
        <v>250000</v>
      </c>
      <c r="E2929" s="24">
        <v>0</v>
      </c>
    </row>
    <row r="2930" spans="1:5" x14ac:dyDescent="0.3">
      <c r="A2930" s="20" t="s">
        <v>222</v>
      </c>
      <c r="B2930" s="21" t="s">
        <v>370</v>
      </c>
      <c r="C2930" s="22">
        <v>336000</v>
      </c>
      <c r="D2930" s="23">
        <v>280000</v>
      </c>
      <c r="E2930" s="24">
        <v>0</v>
      </c>
    </row>
    <row r="2931" spans="1:5" x14ac:dyDescent="0.3">
      <c r="A2931" s="20" t="s">
        <v>222</v>
      </c>
      <c r="B2931" s="21" t="s">
        <v>371</v>
      </c>
      <c r="C2931" s="22">
        <v>336000</v>
      </c>
      <c r="D2931" s="23">
        <v>240000</v>
      </c>
      <c r="E2931" s="24">
        <v>0</v>
      </c>
    </row>
    <row r="2932" spans="1:5" x14ac:dyDescent="0.3">
      <c r="A2932" s="20" t="s">
        <v>222</v>
      </c>
      <c r="B2932" s="21" t="s">
        <v>372</v>
      </c>
      <c r="C2932" s="22">
        <v>336000</v>
      </c>
      <c r="D2932" s="23">
        <v>200000</v>
      </c>
      <c r="E2932" s="24">
        <v>0</v>
      </c>
    </row>
    <row r="2933" spans="1:5" x14ac:dyDescent="0.3">
      <c r="A2933" s="20" t="s">
        <v>222</v>
      </c>
      <c r="B2933" s="21" t="s">
        <v>373</v>
      </c>
      <c r="C2933" s="22">
        <v>168000</v>
      </c>
      <c r="D2933" s="23">
        <v>300000</v>
      </c>
      <c r="E2933" s="24">
        <v>0</v>
      </c>
    </row>
    <row r="2934" spans="1:5" x14ac:dyDescent="0.3">
      <c r="A2934" s="20" t="s">
        <v>222</v>
      </c>
      <c r="B2934" s="21" t="s">
        <v>374</v>
      </c>
      <c r="C2934" s="22">
        <v>336000</v>
      </c>
      <c r="D2934" s="23">
        <v>200000</v>
      </c>
      <c r="E2934" s="24">
        <v>0</v>
      </c>
    </row>
    <row r="2935" spans="1:5" x14ac:dyDescent="0.3">
      <c r="A2935" s="20" t="s">
        <v>222</v>
      </c>
      <c r="B2935" s="21" t="s">
        <v>375</v>
      </c>
      <c r="C2935" s="22">
        <v>336000</v>
      </c>
      <c r="D2935" s="23">
        <v>200000</v>
      </c>
      <c r="E2935" s="24">
        <v>0</v>
      </c>
    </row>
    <row r="2936" spans="1:5" x14ac:dyDescent="0.3">
      <c r="A2936" s="20" t="s">
        <v>222</v>
      </c>
      <c r="B2936" s="21" t="s">
        <v>376</v>
      </c>
      <c r="C2936" s="22">
        <v>336000</v>
      </c>
      <c r="D2936" s="23">
        <v>200000</v>
      </c>
      <c r="E2936" s="24">
        <v>0</v>
      </c>
    </row>
    <row r="2937" spans="1:5" x14ac:dyDescent="0.3">
      <c r="A2937" s="20" t="s">
        <v>222</v>
      </c>
      <c r="B2937" s="21" t="s">
        <v>377</v>
      </c>
      <c r="C2937" s="22">
        <v>168000</v>
      </c>
      <c r="D2937" s="23">
        <v>220000</v>
      </c>
      <c r="E2937" s="24">
        <v>0</v>
      </c>
    </row>
    <row r="2938" spans="1:5" x14ac:dyDescent="0.3">
      <c r="A2938" s="16" t="s">
        <v>223</v>
      </c>
      <c r="B2938" s="16" t="s">
        <v>368</v>
      </c>
      <c r="C2938" s="17">
        <v>0</v>
      </c>
      <c r="D2938" s="18">
        <v>60000</v>
      </c>
      <c r="E2938" s="19">
        <v>0</v>
      </c>
    </row>
    <row r="2939" spans="1:5" x14ac:dyDescent="0.3">
      <c r="A2939" s="16" t="s">
        <v>224</v>
      </c>
      <c r="B2939" s="16" t="s">
        <v>366</v>
      </c>
      <c r="C2939" s="17">
        <v>195000</v>
      </c>
      <c r="D2939" s="18">
        <v>0</v>
      </c>
      <c r="E2939" s="19">
        <v>0</v>
      </c>
    </row>
    <row r="2940" spans="1:5" x14ac:dyDescent="0.3">
      <c r="A2940" s="20" t="s">
        <v>224</v>
      </c>
      <c r="B2940" s="21" t="s">
        <v>367</v>
      </c>
      <c r="C2940" s="22">
        <v>195000</v>
      </c>
      <c r="D2940" s="23">
        <v>0</v>
      </c>
      <c r="E2940" s="24">
        <v>0</v>
      </c>
    </row>
    <row r="2941" spans="1:5" x14ac:dyDescent="0.3">
      <c r="A2941" s="20" t="s">
        <v>224</v>
      </c>
      <c r="B2941" s="21" t="s">
        <v>368</v>
      </c>
      <c r="C2941" s="22">
        <v>195000</v>
      </c>
      <c r="D2941" s="23">
        <v>0</v>
      </c>
      <c r="E2941" s="24">
        <v>0</v>
      </c>
    </row>
    <row r="2942" spans="1:5" x14ac:dyDescent="0.3">
      <c r="A2942" s="20" t="s">
        <v>224</v>
      </c>
      <c r="B2942" s="21" t="s">
        <v>369</v>
      </c>
      <c r="C2942" s="22">
        <v>195000</v>
      </c>
      <c r="D2942" s="23">
        <v>0</v>
      </c>
      <c r="E2942" s="24">
        <v>0</v>
      </c>
    </row>
    <row r="2943" spans="1:5" x14ac:dyDescent="0.3">
      <c r="A2943" s="20" t="s">
        <v>224</v>
      </c>
      <c r="B2943" s="21" t="s">
        <v>370</v>
      </c>
      <c r="C2943" s="22">
        <v>195000</v>
      </c>
      <c r="D2943" s="23">
        <v>0</v>
      </c>
      <c r="E2943" s="24">
        <v>0</v>
      </c>
    </row>
    <row r="2944" spans="1:5" x14ac:dyDescent="0.3">
      <c r="A2944" s="20" t="s">
        <v>224</v>
      </c>
      <c r="B2944" s="21" t="s">
        <v>371</v>
      </c>
      <c r="C2944" s="22">
        <v>195000</v>
      </c>
      <c r="D2944" s="23">
        <v>0</v>
      </c>
      <c r="E2944" s="24">
        <v>0</v>
      </c>
    </row>
    <row r="2945" spans="1:5" x14ac:dyDescent="0.3">
      <c r="A2945" s="20" t="s">
        <v>224</v>
      </c>
      <c r="B2945" s="21" t="s">
        <v>372</v>
      </c>
      <c r="C2945" s="22">
        <v>195000</v>
      </c>
      <c r="D2945" s="23">
        <v>0</v>
      </c>
      <c r="E2945" s="24">
        <v>0</v>
      </c>
    </row>
    <row r="2946" spans="1:5" x14ac:dyDescent="0.3">
      <c r="A2946" s="20" t="s">
        <v>224</v>
      </c>
      <c r="B2946" s="21" t="s">
        <v>373</v>
      </c>
      <c r="C2946" s="22">
        <v>98000</v>
      </c>
      <c r="D2946" s="23">
        <v>0</v>
      </c>
      <c r="E2946" s="24">
        <v>0</v>
      </c>
    </row>
    <row r="2947" spans="1:5" x14ac:dyDescent="0.3">
      <c r="A2947" s="20" t="s">
        <v>224</v>
      </c>
      <c r="B2947" s="21" t="s">
        <v>374</v>
      </c>
      <c r="C2947" s="22">
        <v>195000</v>
      </c>
      <c r="D2947" s="23">
        <v>0</v>
      </c>
      <c r="E2947" s="24">
        <v>0</v>
      </c>
    </row>
    <row r="2948" spans="1:5" x14ac:dyDescent="0.3">
      <c r="A2948" s="20" t="s">
        <v>224</v>
      </c>
      <c r="B2948" s="21" t="s">
        <v>375</v>
      </c>
      <c r="C2948" s="22">
        <v>195000</v>
      </c>
      <c r="D2948" s="23">
        <v>0</v>
      </c>
      <c r="E2948" s="24">
        <v>0</v>
      </c>
    </row>
    <row r="2949" spans="1:5" x14ac:dyDescent="0.3">
      <c r="A2949" s="20" t="s">
        <v>224</v>
      </c>
      <c r="B2949" s="21" t="s">
        <v>376</v>
      </c>
      <c r="C2949" s="22">
        <v>195000</v>
      </c>
      <c r="D2949" s="23">
        <v>0</v>
      </c>
      <c r="E2949" s="24">
        <v>0</v>
      </c>
    </row>
    <row r="2950" spans="1:5" x14ac:dyDescent="0.3">
      <c r="A2950" s="20" t="s">
        <v>224</v>
      </c>
      <c r="B2950" s="21" t="s">
        <v>377</v>
      </c>
      <c r="C2950" s="22">
        <v>98000</v>
      </c>
      <c r="D2950" s="23">
        <v>0</v>
      </c>
      <c r="E2950" s="24">
        <v>0</v>
      </c>
    </row>
    <row r="2951" spans="1:5" x14ac:dyDescent="0.3">
      <c r="A2951" s="16" t="s">
        <v>227</v>
      </c>
      <c r="B2951" s="16" t="s">
        <v>366</v>
      </c>
      <c r="C2951" s="17">
        <v>39000</v>
      </c>
      <c r="D2951" s="18">
        <v>0</v>
      </c>
      <c r="E2951" s="19">
        <v>0</v>
      </c>
    </row>
    <row r="2952" spans="1:5" x14ac:dyDescent="0.3">
      <c r="A2952" s="20" t="s">
        <v>227</v>
      </c>
      <c r="B2952" s="21" t="s">
        <v>367</v>
      </c>
      <c r="C2952" s="22">
        <v>39000</v>
      </c>
      <c r="D2952" s="23">
        <v>0</v>
      </c>
      <c r="E2952" s="24">
        <v>0</v>
      </c>
    </row>
    <row r="2953" spans="1:5" x14ac:dyDescent="0.3">
      <c r="A2953" s="20" t="s">
        <v>227</v>
      </c>
      <c r="B2953" s="21" t="s">
        <v>368</v>
      </c>
      <c r="C2953" s="22">
        <v>39000</v>
      </c>
      <c r="D2953" s="23">
        <v>0</v>
      </c>
      <c r="E2953" s="24">
        <v>0</v>
      </c>
    </row>
    <row r="2954" spans="1:5" x14ac:dyDescent="0.3">
      <c r="A2954" s="20" t="s">
        <v>227</v>
      </c>
      <c r="B2954" s="21" t="s">
        <v>369</v>
      </c>
      <c r="C2954" s="22">
        <v>39000</v>
      </c>
      <c r="D2954" s="23">
        <v>0</v>
      </c>
      <c r="E2954" s="24">
        <v>0</v>
      </c>
    </row>
    <row r="2955" spans="1:5" x14ac:dyDescent="0.3">
      <c r="A2955" s="20" t="s">
        <v>227</v>
      </c>
      <c r="B2955" s="21" t="s">
        <v>370</v>
      </c>
      <c r="C2955" s="22">
        <v>39000</v>
      </c>
      <c r="D2955" s="23">
        <v>0</v>
      </c>
      <c r="E2955" s="24">
        <v>0</v>
      </c>
    </row>
    <row r="2956" spans="1:5" x14ac:dyDescent="0.3">
      <c r="A2956" s="20" t="s">
        <v>227</v>
      </c>
      <c r="B2956" s="21" t="s">
        <v>371</v>
      </c>
      <c r="C2956" s="22">
        <v>39000</v>
      </c>
      <c r="D2956" s="23">
        <v>0</v>
      </c>
      <c r="E2956" s="24">
        <v>0</v>
      </c>
    </row>
    <row r="2957" spans="1:5" x14ac:dyDescent="0.3">
      <c r="A2957" s="20" t="s">
        <v>227</v>
      </c>
      <c r="B2957" s="21" t="s">
        <v>372</v>
      </c>
      <c r="C2957" s="22">
        <v>39000</v>
      </c>
      <c r="D2957" s="23">
        <v>0</v>
      </c>
      <c r="E2957" s="24">
        <v>0</v>
      </c>
    </row>
    <row r="2958" spans="1:5" x14ac:dyDescent="0.3">
      <c r="A2958" s="20" t="s">
        <v>227</v>
      </c>
      <c r="B2958" s="21" t="s">
        <v>373</v>
      </c>
      <c r="C2958" s="22">
        <v>19000</v>
      </c>
      <c r="D2958" s="23">
        <v>0</v>
      </c>
      <c r="E2958" s="24">
        <v>0</v>
      </c>
    </row>
    <row r="2959" spans="1:5" x14ac:dyDescent="0.3">
      <c r="A2959" s="20" t="s">
        <v>227</v>
      </c>
      <c r="B2959" s="21" t="s">
        <v>374</v>
      </c>
      <c r="C2959" s="22">
        <v>39000</v>
      </c>
      <c r="D2959" s="23">
        <v>0</v>
      </c>
      <c r="E2959" s="24">
        <v>0</v>
      </c>
    </row>
    <row r="2960" spans="1:5" x14ac:dyDescent="0.3">
      <c r="A2960" s="20" t="s">
        <v>227</v>
      </c>
      <c r="B2960" s="21" t="s">
        <v>375</v>
      </c>
      <c r="C2960" s="22">
        <v>39000</v>
      </c>
      <c r="D2960" s="23">
        <v>0</v>
      </c>
      <c r="E2960" s="24">
        <v>0</v>
      </c>
    </row>
    <row r="2961" spans="1:5" x14ac:dyDescent="0.3">
      <c r="A2961" s="20" t="s">
        <v>227</v>
      </c>
      <c r="B2961" s="21" t="s">
        <v>376</v>
      </c>
      <c r="C2961" s="22">
        <v>39000</v>
      </c>
      <c r="D2961" s="23">
        <v>0</v>
      </c>
      <c r="E2961" s="24">
        <v>0</v>
      </c>
    </row>
    <row r="2962" spans="1:5" x14ac:dyDescent="0.3">
      <c r="A2962" s="20" t="s">
        <v>227</v>
      </c>
      <c r="B2962" s="21" t="s">
        <v>377</v>
      </c>
      <c r="C2962" s="22">
        <v>19000</v>
      </c>
      <c r="D2962" s="23">
        <v>0</v>
      </c>
      <c r="E2962" s="24">
        <v>0</v>
      </c>
    </row>
    <row r="2963" spans="1:5" x14ac:dyDescent="0.3">
      <c r="A2963" s="16" t="s">
        <v>228</v>
      </c>
      <c r="B2963" s="16" t="s">
        <v>366</v>
      </c>
      <c r="C2963" s="17">
        <v>341000</v>
      </c>
      <c r="D2963" s="18">
        <v>550000</v>
      </c>
      <c r="E2963" s="19">
        <v>0</v>
      </c>
    </row>
    <row r="2964" spans="1:5" x14ac:dyDescent="0.3">
      <c r="A2964" s="20" t="s">
        <v>228</v>
      </c>
      <c r="B2964" s="21" t="s">
        <v>367</v>
      </c>
      <c r="C2964" s="22">
        <v>341000</v>
      </c>
      <c r="D2964" s="23">
        <v>300000</v>
      </c>
      <c r="E2964" s="24">
        <v>0</v>
      </c>
    </row>
    <row r="2965" spans="1:5" x14ac:dyDescent="0.3">
      <c r="A2965" s="20" t="s">
        <v>228</v>
      </c>
      <c r="B2965" s="21" t="s">
        <v>368</v>
      </c>
      <c r="C2965" s="22">
        <v>341000</v>
      </c>
      <c r="D2965" s="23">
        <v>0</v>
      </c>
      <c r="E2965" s="24">
        <v>0</v>
      </c>
    </row>
    <row r="2966" spans="1:5" x14ac:dyDescent="0.3">
      <c r="A2966" s="20" t="s">
        <v>228</v>
      </c>
      <c r="B2966" s="21" t="s">
        <v>369</v>
      </c>
      <c r="C2966" s="22">
        <v>341000</v>
      </c>
      <c r="D2966" s="23">
        <v>0</v>
      </c>
      <c r="E2966" s="24">
        <v>0</v>
      </c>
    </row>
    <row r="2967" spans="1:5" x14ac:dyDescent="0.3">
      <c r="A2967" s="20" t="s">
        <v>228</v>
      </c>
      <c r="B2967" s="21" t="s">
        <v>370</v>
      </c>
      <c r="C2967" s="22">
        <v>341000</v>
      </c>
      <c r="D2967" s="23">
        <v>0</v>
      </c>
      <c r="E2967" s="24">
        <v>0</v>
      </c>
    </row>
    <row r="2968" spans="1:5" x14ac:dyDescent="0.3">
      <c r="A2968" s="20" t="s">
        <v>228</v>
      </c>
      <c r="B2968" s="21" t="s">
        <v>371</v>
      </c>
      <c r="C2968" s="22">
        <v>341000</v>
      </c>
      <c r="D2968" s="23">
        <v>0</v>
      </c>
      <c r="E2968" s="24">
        <v>0</v>
      </c>
    </row>
    <row r="2969" spans="1:5" x14ac:dyDescent="0.3">
      <c r="A2969" s="20" t="s">
        <v>228</v>
      </c>
      <c r="B2969" s="21" t="s">
        <v>372</v>
      </c>
      <c r="C2969" s="22">
        <v>341000</v>
      </c>
      <c r="D2969" s="23">
        <v>0</v>
      </c>
      <c r="E2969" s="24">
        <v>0</v>
      </c>
    </row>
    <row r="2970" spans="1:5" x14ac:dyDescent="0.3">
      <c r="A2970" s="20" t="s">
        <v>228</v>
      </c>
      <c r="B2970" s="21" t="s">
        <v>373</v>
      </c>
      <c r="C2970" s="22">
        <v>170000</v>
      </c>
      <c r="D2970" s="23">
        <v>0</v>
      </c>
      <c r="E2970" s="24">
        <v>0</v>
      </c>
    </row>
    <row r="2971" spans="1:5" x14ac:dyDescent="0.3">
      <c r="A2971" s="20" t="s">
        <v>228</v>
      </c>
      <c r="B2971" s="21" t="s">
        <v>374</v>
      </c>
      <c r="C2971" s="22">
        <v>341000</v>
      </c>
      <c r="D2971" s="23">
        <v>0</v>
      </c>
      <c r="E2971" s="24">
        <v>0</v>
      </c>
    </row>
    <row r="2972" spans="1:5" x14ac:dyDescent="0.3">
      <c r="A2972" s="20" t="s">
        <v>228</v>
      </c>
      <c r="B2972" s="21" t="s">
        <v>375</v>
      </c>
      <c r="C2972" s="22">
        <v>341000</v>
      </c>
      <c r="D2972" s="23">
        <v>0</v>
      </c>
      <c r="E2972" s="24">
        <v>0</v>
      </c>
    </row>
    <row r="2973" spans="1:5" x14ac:dyDescent="0.3">
      <c r="A2973" s="20" t="s">
        <v>228</v>
      </c>
      <c r="B2973" s="21" t="s">
        <v>376</v>
      </c>
      <c r="C2973" s="22">
        <v>341000</v>
      </c>
      <c r="D2973" s="23">
        <v>0</v>
      </c>
      <c r="E2973" s="24">
        <v>0</v>
      </c>
    </row>
    <row r="2974" spans="1:5" x14ac:dyDescent="0.3">
      <c r="A2974" s="20" t="s">
        <v>228</v>
      </c>
      <c r="B2974" s="21" t="s">
        <v>377</v>
      </c>
      <c r="C2974" s="22">
        <v>170000</v>
      </c>
      <c r="D2974" s="23">
        <v>0</v>
      </c>
      <c r="E2974" s="24">
        <v>0</v>
      </c>
    </row>
    <row r="2975" spans="1:5" x14ac:dyDescent="0.3">
      <c r="A2975" s="16" t="s">
        <v>229</v>
      </c>
      <c r="B2975" s="16" t="s">
        <v>366</v>
      </c>
      <c r="C2975" s="17">
        <v>0</v>
      </c>
      <c r="D2975" s="18">
        <v>60000</v>
      </c>
      <c r="E2975" s="19">
        <v>0</v>
      </c>
    </row>
    <row r="2976" spans="1:5" x14ac:dyDescent="0.3">
      <c r="A2976" s="20" t="s">
        <v>229</v>
      </c>
      <c r="B2976" s="21" t="s">
        <v>367</v>
      </c>
      <c r="C2976" s="22">
        <v>0</v>
      </c>
      <c r="D2976" s="23">
        <v>55400</v>
      </c>
      <c r="E2976" s="24">
        <v>0</v>
      </c>
    </row>
    <row r="2977" spans="1:5" x14ac:dyDescent="0.3">
      <c r="A2977" s="16" t="s">
        <v>230</v>
      </c>
      <c r="B2977" s="16" t="s">
        <v>366</v>
      </c>
      <c r="C2977" s="17">
        <v>21000</v>
      </c>
      <c r="D2977" s="18">
        <v>0</v>
      </c>
      <c r="E2977" s="19">
        <v>0</v>
      </c>
    </row>
    <row r="2978" spans="1:5" x14ac:dyDescent="0.3">
      <c r="A2978" s="20" t="s">
        <v>230</v>
      </c>
      <c r="B2978" s="21" t="s">
        <v>367</v>
      </c>
      <c r="C2978" s="22">
        <v>21000</v>
      </c>
      <c r="D2978" s="23">
        <v>0</v>
      </c>
      <c r="E2978" s="24">
        <v>0</v>
      </c>
    </row>
    <row r="2979" spans="1:5" x14ac:dyDescent="0.3">
      <c r="A2979" s="20" t="s">
        <v>230</v>
      </c>
      <c r="B2979" s="21" t="s">
        <v>368</v>
      </c>
      <c r="C2979" s="22">
        <v>21000</v>
      </c>
      <c r="D2979" s="23">
        <v>0</v>
      </c>
      <c r="E2979" s="24">
        <v>0</v>
      </c>
    </row>
    <row r="2980" spans="1:5" x14ac:dyDescent="0.3">
      <c r="A2980" s="20" t="s">
        <v>230</v>
      </c>
      <c r="B2980" s="21" t="s">
        <v>369</v>
      </c>
      <c r="C2980" s="22">
        <v>21000</v>
      </c>
      <c r="D2980" s="23">
        <v>0</v>
      </c>
      <c r="E2980" s="24">
        <v>0</v>
      </c>
    </row>
    <row r="2981" spans="1:5" x14ac:dyDescent="0.3">
      <c r="A2981" s="20" t="s">
        <v>230</v>
      </c>
      <c r="B2981" s="21" t="s">
        <v>370</v>
      </c>
      <c r="C2981" s="22">
        <v>21000</v>
      </c>
      <c r="D2981" s="23">
        <v>0</v>
      </c>
      <c r="E2981" s="24">
        <v>0</v>
      </c>
    </row>
    <row r="2982" spans="1:5" x14ac:dyDescent="0.3">
      <c r="A2982" s="20" t="s">
        <v>230</v>
      </c>
      <c r="B2982" s="21" t="s">
        <v>371</v>
      </c>
      <c r="C2982" s="22">
        <v>21000</v>
      </c>
      <c r="D2982" s="23">
        <v>0</v>
      </c>
      <c r="E2982" s="24">
        <v>0</v>
      </c>
    </row>
    <row r="2983" spans="1:5" x14ac:dyDescent="0.3">
      <c r="A2983" s="20" t="s">
        <v>230</v>
      </c>
      <c r="B2983" s="21" t="s">
        <v>372</v>
      </c>
      <c r="C2983" s="22">
        <v>21000</v>
      </c>
      <c r="D2983" s="23">
        <v>0</v>
      </c>
      <c r="E2983" s="24">
        <v>0</v>
      </c>
    </row>
    <row r="2984" spans="1:5" x14ac:dyDescent="0.3">
      <c r="A2984" s="20" t="s">
        <v>230</v>
      </c>
      <c r="B2984" s="21" t="s">
        <v>373</v>
      </c>
      <c r="C2984" s="22">
        <v>10000</v>
      </c>
      <c r="D2984" s="23">
        <v>0</v>
      </c>
      <c r="E2984" s="24">
        <v>0</v>
      </c>
    </row>
    <row r="2985" spans="1:5" x14ac:dyDescent="0.3">
      <c r="A2985" s="20" t="s">
        <v>230</v>
      </c>
      <c r="B2985" s="21" t="s">
        <v>374</v>
      </c>
      <c r="C2985" s="22">
        <v>21000</v>
      </c>
      <c r="D2985" s="23">
        <v>0</v>
      </c>
      <c r="E2985" s="24">
        <v>0</v>
      </c>
    </row>
    <row r="2986" spans="1:5" x14ac:dyDescent="0.3">
      <c r="A2986" s="20" t="s">
        <v>230</v>
      </c>
      <c r="B2986" s="21" t="s">
        <v>375</v>
      </c>
      <c r="C2986" s="22">
        <v>21000</v>
      </c>
      <c r="D2986" s="23">
        <v>0</v>
      </c>
      <c r="E2986" s="24">
        <v>0</v>
      </c>
    </row>
    <row r="2987" spans="1:5" x14ac:dyDescent="0.3">
      <c r="A2987" s="20" t="s">
        <v>230</v>
      </c>
      <c r="B2987" s="21" t="s">
        <v>376</v>
      </c>
      <c r="C2987" s="22">
        <v>21000</v>
      </c>
      <c r="D2987" s="23">
        <v>0</v>
      </c>
      <c r="E2987" s="24">
        <v>0</v>
      </c>
    </row>
    <row r="2988" spans="1:5" x14ac:dyDescent="0.3">
      <c r="A2988" s="20" t="s">
        <v>230</v>
      </c>
      <c r="B2988" s="21" t="s">
        <v>377</v>
      </c>
      <c r="C2988" s="22">
        <v>10000</v>
      </c>
      <c r="D2988" s="23">
        <v>0</v>
      </c>
      <c r="E2988" s="24">
        <v>0</v>
      </c>
    </row>
    <row r="2989" spans="1:5" x14ac:dyDescent="0.3">
      <c r="A2989" s="16" t="s">
        <v>242</v>
      </c>
      <c r="B2989" s="16" t="s">
        <v>366</v>
      </c>
      <c r="C2989" s="17">
        <v>16000</v>
      </c>
      <c r="D2989" s="18">
        <v>30000</v>
      </c>
      <c r="E2989" s="19">
        <v>0</v>
      </c>
    </row>
    <row r="2990" spans="1:5" x14ac:dyDescent="0.3">
      <c r="A2990" s="20" t="s">
        <v>242</v>
      </c>
      <c r="B2990" s="21" t="s">
        <v>367</v>
      </c>
      <c r="C2990" s="22">
        <v>16000</v>
      </c>
      <c r="D2990" s="23">
        <v>0</v>
      </c>
      <c r="E2990" s="24">
        <v>0</v>
      </c>
    </row>
    <row r="2991" spans="1:5" x14ac:dyDescent="0.3">
      <c r="A2991" s="20" t="s">
        <v>242</v>
      </c>
      <c r="B2991" s="21" t="s">
        <v>368</v>
      </c>
      <c r="C2991" s="22">
        <v>16000</v>
      </c>
      <c r="D2991" s="23">
        <v>0</v>
      </c>
      <c r="E2991" s="24">
        <v>0</v>
      </c>
    </row>
    <row r="2992" spans="1:5" x14ac:dyDescent="0.3">
      <c r="A2992" s="20" t="s">
        <v>242</v>
      </c>
      <c r="B2992" s="21" t="s">
        <v>369</v>
      </c>
      <c r="C2992" s="22">
        <v>16000</v>
      </c>
      <c r="D2992" s="23">
        <v>0</v>
      </c>
      <c r="E2992" s="24">
        <v>0</v>
      </c>
    </row>
    <row r="2993" spans="1:5" x14ac:dyDescent="0.3">
      <c r="A2993" s="20" t="s">
        <v>242</v>
      </c>
      <c r="B2993" s="21" t="s">
        <v>370</v>
      </c>
      <c r="C2993" s="22">
        <v>16000</v>
      </c>
      <c r="D2993" s="23">
        <v>0</v>
      </c>
      <c r="E2993" s="24">
        <v>0</v>
      </c>
    </row>
    <row r="2994" spans="1:5" x14ac:dyDescent="0.3">
      <c r="A2994" s="20" t="s">
        <v>242</v>
      </c>
      <c r="B2994" s="21" t="s">
        <v>371</v>
      </c>
      <c r="C2994" s="22">
        <v>16000</v>
      </c>
      <c r="D2994" s="23">
        <v>0</v>
      </c>
      <c r="E2994" s="24">
        <v>0</v>
      </c>
    </row>
    <row r="2995" spans="1:5" x14ac:dyDescent="0.3">
      <c r="A2995" s="20" t="s">
        <v>242</v>
      </c>
      <c r="B2995" s="21" t="s">
        <v>372</v>
      </c>
      <c r="C2995" s="22">
        <v>16000</v>
      </c>
      <c r="D2995" s="23">
        <v>0</v>
      </c>
      <c r="E2995" s="24">
        <v>0</v>
      </c>
    </row>
    <row r="2996" spans="1:5" x14ac:dyDescent="0.3">
      <c r="A2996" s="20" t="s">
        <v>242</v>
      </c>
      <c r="B2996" s="21" t="s">
        <v>373</v>
      </c>
      <c r="C2996" s="22">
        <v>8000</v>
      </c>
      <c r="D2996" s="23">
        <v>0</v>
      </c>
      <c r="E2996" s="24">
        <v>0</v>
      </c>
    </row>
    <row r="2997" spans="1:5" x14ac:dyDescent="0.3">
      <c r="A2997" s="20" t="s">
        <v>242</v>
      </c>
      <c r="B2997" s="21" t="s">
        <v>374</v>
      </c>
      <c r="C2997" s="22">
        <v>16000</v>
      </c>
      <c r="D2997" s="23">
        <v>0</v>
      </c>
      <c r="E2997" s="24">
        <v>0</v>
      </c>
    </row>
    <row r="2998" spans="1:5" x14ac:dyDescent="0.3">
      <c r="A2998" s="20" t="s">
        <v>242</v>
      </c>
      <c r="B2998" s="21" t="s">
        <v>375</v>
      </c>
      <c r="C2998" s="22">
        <v>16000</v>
      </c>
      <c r="D2998" s="23">
        <v>0</v>
      </c>
      <c r="E2998" s="24">
        <v>0</v>
      </c>
    </row>
    <row r="2999" spans="1:5" x14ac:dyDescent="0.3">
      <c r="A2999" s="20" t="s">
        <v>242</v>
      </c>
      <c r="B2999" s="21" t="s">
        <v>376</v>
      </c>
      <c r="C2999" s="22">
        <v>16000</v>
      </c>
      <c r="D2999" s="23">
        <v>0</v>
      </c>
      <c r="E2999" s="24">
        <v>0</v>
      </c>
    </row>
    <row r="3000" spans="1:5" x14ac:dyDescent="0.3">
      <c r="A3000" s="20" t="s">
        <v>242</v>
      </c>
      <c r="B3000" s="21" t="s">
        <v>377</v>
      </c>
      <c r="C3000" s="22">
        <v>8000</v>
      </c>
      <c r="D3000" s="23">
        <v>0</v>
      </c>
      <c r="E3000" s="24">
        <v>0</v>
      </c>
    </row>
    <row r="3001" spans="1:5" x14ac:dyDescent="0.3">
      <c r="A3001" s="16" t="s">
        <v>443</v>
      </c>
      <c r="B3001" s="16" t="s">
        <v>366</v>
      </c>
      <c r="C3001" s="17">
        <v>34000</v>
      </c>
      <c r="D3001" s="18">
        <v>0</v>
      </c>
      <c r="E3001" s="19">
        <v>0</v>
      </c>
    </row>
    <row r="3002" spans="1:5" x14ac:dyDescent="0.3">
      <c r="A3002" s="20" t="s">
        <v>443</v>
      </c>
      <c r="B3002" s="21" t="s">
        <v>367</v>
      </c>
      <c r="C3002" s="22">
        <v>34000</v>
      </c>
      <c r="D3002" s="23">
        <v>0</v>
      </c>
      <c r="E3002" s="24">
        <v>0</v>
      </c>
    </row>
    <row r="3003" spans="1:5" x14ac:dyDescent="0.3">
      <c r="A3003" s="20" t="s">
        <v>443</v>
      </c>
      <c r="B3003" s="21" t="s">
        <v>368</v>
      </c>
      <c r="C3003" s="22">
        <v>34000</v>
      </c>
      <c r="D3003" s="23">
        <v>0</v>
      </c>
      <c r="E3003" s="24">
        <v>0</v>
      </c>
    </row>
    <row r="3004" spans="1:5" x14ac:dyDescent="0.3">
      <c r="A3004" s="20" t="s">
        <v>443</v>
      </c>
      <c r="B3004" s="21" t="s">
        <v>369</v>
      </c>
      <c r="C3004" s="22">
        <v>34000</v>
      </c>
      <c r="D3004" s="23">
        <v>0</v>
      </c>
      <c r="E3004" s="24">
        <v>0</v>
      </c>
    </row>
    <row r="3005" spans="1:5" x14ac:dyDescent="0.3">
      <c r="A3005" s="20" t="s">
        <v>443</v>
      </c>
      <c r="B3005" s="21" t="s">
        <v>370</v>
      </c>
      <c r="C3005" s="22">
        <v>34000</v>
      </c>
      <c r="D3005" s="23">
        <v>0</v>
      </c>
      <c r="E3005" s="24">
        <v>0</v>
      </c>
    </row>
    <row r="3006" spans="1:5" x14ac:dyDescent="0.3">
      <c r="A3006" s="20" t="s">
        <v>443</v>
      </c>
      <c r="B3006" s="21" t="s">
        <v>371</v>
      </c>
      <c r="C3006" s="22">
        <v>34000</v>
      </c>
      <c r="D3006" s="23">
        <v>0</v>
      </c>
      <c r="E3006" s="24">
        <v>0</v>
      </c>
    </row>
    <row r="3007" spans="1:5" x14ac:dyDescent="0.3">
      <c r="A3007" s="20" t="s">
        <v>443</v>
      </c>
      <c r="B3007" s="21" t="s">
        <v>372</v>
      </c>
      <c r="C3007" s="22">
        <v>34000</v>
      </c>
      <c r="D3007" s="23">
        <v>0</v>
      </c>
      <c r="E3007" s="24">
        <v>0</v>
      </c>
    </row>
    <row r="3008" spans="1:5" x14ac:dyDescent="0.3">
      <c r="A3008" s="20" t="s">
        <v>443</v>
      </c>
      <c r="B3008" s="21" t="s">
        <v>373</v>
      </c>
      <c r="C3008" s="22">
        <v>17000</v>
      </c>
      <c r="D3008" s="23">
        <v>0</v>
      </c>
      <c r="E3008" s="24">
        <v>0</v>
      </c>
    </row>
    <row r="3009" spans="1:5" x14ac:dyDescent="0.3">
      <c r="A3009" s="20" t="s">
        <v>443</v>
      </c>
      <c r="B3009" s="21" t="s">
        <v>374</v>
      </c>
      <c r="C3009" s="22">
        <v>34000</v>
      </c>
      <c r="D3009" s="23">
        <v>0</v>
      </c>
      <c r="E3009" s="24">
        <v>0</v>
      </c>
    </row>
    <row r="3010" spans="1:5" x14ac:dyDescent="0.3">
      <c r="A3010" s="20" t="s">
        <v>443</v>
      </c>
      <c r="B3010" s="21" t="s">
        <v>375</v>
      </c>
      <c r="C3010" s="22">
        <v>34000</v>
      </c>
      <c r="D3010" s="23">
        <v>0</v>
      </c>
      <c r="E3010" s="24">
        <v>0</v>
      </c>
    </row>
    <row r="3011" spans="1:5" x14ac:dyDescent="0.3">
      <c r="A3011" s="20" t="s">
        <v>443</v>
      </c>
      <c r="B3011" s="21" t="s">
        <v>376</v>
      </c>
      <c r="C3011" s="22">
        <v>34000</v>
      </c>
      <c r="D3011" s="23">
        <v>0</v>
      </c>
      <c r="E3011" s="24">
        <v>0</v>
      </c>
    </row>
    <row r="3012" spans="1:5" x14ac:dyDescent="0.3">
      <c r="A3012" s="20" t="s">
        <v>443</v>
      </c>
      <c r="B3012" s="21" t="s">
        <v>377</v>
      </c>
      <c r="C3012" s="22">
        <v>17000</v>
      </c>
      <c r="D3012" s="23">
        <v>0</v>
      </c>
      <c r="E3012" s="24">
        <v>0</v>
      </c>
    </row>
    <row r="3013" spans="1:5" x14ac:dyDescent="0.3">
      <c r="A3013" s="16" t="s">
        <v>253</v>
      </c>
      <c r="B3013" s="16" t="s">
        <v>366</v>
      </c>
      <c r="C3013" s="17">
        <v>6000</v>
      </c>
      <c r="D3013" s="18">
        <v>60000</v>
      </c>
      <c r="E3013" s="19">
        <v>0</v>
      </c>
    </row>
    <row r="3014" spans="1:5" x14ac:dyDescent="0.3">
      <c r="A3014" s="20" t="s">
        <v>253</v>
      </c>
      <c r="B3014" s="21" t="s">
        <v>367</v>
      </c>
      <c r="C3014" s="22">
        <v>6000</v>
      </c>
      <c r="D3014" s="23">
        <v>60000</v>
      </c>
      <c r="E3014" s="24">
        <v>0</v>
      </c>
    </row>
    <row r="3015" spans="1:5" x14ac:dyDescent="0.3">
      <c r="A3015" s="20" t="s">
        <v>253</v>
      </c>
      <c r="B3015" s="21" t="s">
        <v>368</v>
      </c>
      <c r="C3015" s="22">
        <v>6000</v>
      </c>
      <c r="D3015" s="23">
        <v>0</v>
      </c>
      <c r="E3015" s="24">
        <v>0</v>
      </c>
    </row>
    <row r="3016" spans="1:5" x14ac:dyDescent="0.3">
      <c r="A3016" s="20" t="s">
        <v>253</v>
      </c>
      <c r="B3016" s="21" t="s">
        <v>369</v>
      </c>
      <c r="C3016" s="22">
        <v>6000</v>
      </c>
      <c r="D3016" s="23">
        <v>0</v>
      </c>
      <c r="E3016" s="24">
        <v>0</v>
      </c>
    </row>
    <row r="3017" spans="1:5" x14ac:dyDescent="0.3">
      <c r="A3017" s="20" t="s">
        <v>253</v>
      </c>
      <c r="B3017" s="21" t="s">
        <v>370</v>
      </c>
      <c r="C3017" s="22">
        <v>6000</v>
      </c>
      <c r="D3017" s="23">
        <v>0</v>
      </c>
      <c r="E3017" s="24">
        <v>0</v>
      </c>
    </row>
    <row r="3018" spans="1:5" x14ac:dyDescent="0.3">
      <c r="A3018" s="20" t="s">
        <v>253</v>
      </c>
      <c r="B3018" s="21" t="s">
        <v>371</v>
      </c>
      <c r="C3018" s="22">
        <v>6000</v>
      </c>
      <c r="D3018" s="23">
        <v>0</v>
      </c>
      <c r="E3018" s="24">
        <v>0</v>
      </c>
    </row>
    <row r="3019" spans="1:5" x14ac:dyDescent="0.3">
      <c r="A3019" s="20" t="s">
        <v>253</v>
      </c>
      <c r="B3019" s="21" t="s">
        <v>372</v>
      </c>
      <c r="C3019" s="22">
        <v>6000</v>
      </c>
      <c r="D3019" s="23">
        <v>0</v>
      </c>
      <c r="E3019" s="24">
        <v>0</v>
      </c>
    </row>
    <row r="3020" spans="1:5" x14ac:dyDescent="0.3">
      <c r="A3020" s="20" t="s">
        <v>253</v>
      </c>
      <c r="B3020" s="21" t="s">
        <v>373</v>
      </c>
      <c r="C3020" s="22">
        <v>3000</v>
      </c>
      <c r="D3020" s="23">
        <v>0</v>
      </c>
      <c r="E3020" s="24">
        <v>0</v>
      </c>
    </row>
    <row r="3021" spans="1:5" x14ac:dyDescent="0.3">
      <c r="A3021" s="20" t="s">
        <v>253</v>
      </c>
      <c r="B3021" s="21" t="s">
        <v>374</v>
      </c>
      <c r="C3021" s="22">
        <v>6000</v>
      </c>
      <c r="D3021" s="23">
        <v>0</v>
      </c>
      <c r="E3021" s="24">
        <v>0</v>
      </c>
    </row>
    <row r="3022" spans="1:5" x14ac:dyDescent="0.3">
      <c r="A3022" s="20" t="s">
        <v>253</v>
      </c>
      <c r="B3022" s="21" t="s">
        <v>375</v>
      </c>
      <c r="C3022" s="22">
        <v>6000</v>
      </c>
      <c r="D3022" s="23">
        <v>0</v>
      </c>
      <c r="E3022" s="24">
        <v>0</v>
      </c>
    </row>
    <row r="3023" spans="1:5" x14ac:dyDescent="0.3">
      <c r="A3023" s="20" t="s">
        <v>253</v>
      </c>
      <c r="B3023" s="21" t="s">
        <v>376</v>
      </c>
      <c r="C3023" s="22">
        <v>6000</v>
      </c>
      <c r="D3023" s="23">
        <v>0</v>
      </c>
      <c r="E3023" s="24">
        <v>0</v>
      </c>
    </row>
    <row r="3024" spans="1:5" x14ac:dyDescent="0.3">
      <c r="A3024" s="20" t="s">
        <v>253</v>
      </c>
      <c r="B3024" s="21" t="s">
        <v>377</v>
      </c>
      <c r="C3024" s="22">
        <v>3000</v>
      </c>
      <c r="D3024" s="23">
        <v>0</v>
      </c>
      <c r="E3024" s="24">
        <v>0</v>
      </c>
    </row>
    <row r="3025" spans="1:5" x14ac:dyDescent="0.3">
      <c r="A3025" s="16" t="s">
        <v>257</v>
      </c>
      <c r="B3025" s="16" t="s">
        <v>366</v>
      </c>
      <c r="C3025" s="17">
        <v>91000</v>
      </c>
      <c r="D3025" s="18">
        <v>0</v>
      </c>
      <c r="E3025" s="19">
        <v>0</v>
      </c>
    </row>
    <row r="3026" spans="1:5" x14ac:dyDescent="0.3">
      <c r="A3026" s="20" t="s">
        <v>257</v>
      </c>
      <c r="B3026" s="21" t="s">
        <v>367</v>
      </c>
      <c r="C3026" s="22">
        <v>91000</v>
      </c>
      <c r="D3026" s="23">
        <v>0</v>
      </c>
      <c r="E3026" s="24">
        <v>0</v>
      </c>
    </row>
    <row r="3027" spans="1:5" x14ac:dyDescent="0.3">
      <c r="A3027" s="20" t="s">
        <v>257</v>
      </c>
      <c r="B3027" s="21" t="s">
        <v>368</v>
      </c>
      <c r="C3027" s="22">
        <v>91000</v>
      </c>
      <c r="D3027" s="23">
        <v>0</v>
      </c>
      <c r="E3027" s="24">
        <v>0</v>
      </c>
    </row>
    <row r="3028" spans="1:5" x14ac:dyDescent="0.3">
      <c r="A3028" s="20" t="s">
        <v>257</v>
      </c>
      <c r="B3028" s="21" t="s">
        <v>369</v>
      </c>
      <c r="C3028" s="22">
        <v>91000</v>
      </c>
      <c r="D3028" s="23">
        <v>0</v>
      </c>
      <c r="E3028" s="24">
        <v>0</v>
      </c>
    </row>
    <row r="3029" spans="1:5" x14ac:dyDescent="0.3">
      <c r="A3029" s="20" t="s">
        <v>257</v>
      </c>
      <c r="B3029" s="21" t="s">
        <v>370</v>
      </c>
      <c r="C3029" s="22">
        <v>91000</v>
      </c>
      <c r="D3029" s="23">
        <v>0</v>
      </c>
      <c r="E3029" s="24">
        <v>0</v>
      </c>
    </row>
    <row r="3030" spans="1:5" x14ac:dyDescent="0.3">
      <c r="A3030" s="20" t="s">
        <v>257</v>
      </c>
      <c r="B3030" s="21" t="s">
        <v>371</v>
      </c>
      <c r="C3030" s="22">
        <v>91000</v>
      </c>
      <c r="D3030" s="23">
        <v>0</v>
      </c>
      <c r="E3030" s="24">
        <v>0</v>
      </c>
    </row>
    <row r="3031" spans="1:5" x14ac:dyDescent="0.3">
      <c r="A3031" s="20" t="s">
        <v>257</v>
      </c>
      <c r="B3031" s="21" t="s">
        <v>372</v>
      </c>
      <c r="C3031" s="22">
        <v>91000</v>
      </c>
      <c r="D3031" s="23">
        <v>0</v>
      </c>
      <c r="E3031" s="24">
        <v>0</v>
      </c>
    </row>
    <row r="3032" spans="1:5" x14ac:dyDescent="0.3">
      <c r="A3032" s="20" t="s">
        <v>257</v>
      </c>
      <c r="B3032" s="21" t="s">
        <v>373</v>
      </c>
      <c r="C3032" s="22">
        <v>45000</v>
      </c>
      <c r="D3032" s="23">
        <v>0</v>
      </c>
      <c r="E3032" s="24">
        <v>0</v>
      </c>
    </row>
    <row r="3033" spans="1:5" x14ac:dyDescent="0.3">
      <c r="A3033" s="20" t="s">
        <v>257</v>
      </c>
      <c r="B3033" s="21" t="s">
        <v>374</v>
      </c>
      <c r="C3033" s="22">
        <v>91000</v>
      </c>
      <c r="D3033" s="23">
        <v>0</v>
      </c>
      <c r="E3033" s="24">
        <v>0</v>
      </c>
    </row>
    <row r="3034" spans="1:5" x14ac:dyDescent="0.3">
      <c r="A3034" s="20" t="s">
        <v>257</v>
      </c>
      <c r="B3034" s="21" t="s">
        <v>375</v>
      </c>
      <c r="C3034" s="22">
        <v>91000</v>
      </c>
      <c r="D3034" s="23">
        <v>0</v>
      </c>
      <c r="E3034" s="24">
        <v>0</v>
      </c>
    </row>
    <row r="3035" spans="1:5" x14ac:dyDescent="0.3">
      <c r="A3035" s="20" t="s">
        <v>257</v>
      </c>
      <c r="B3035" s="21" t="s">
        <v>376</v>
      </c>
      <c r="C3035" s="22">
        <v>91000</v>
      </c>
      <c r="D3035" s="23">
        <v>0</v>
      </c>
      <c r="E3035" s="24">
        <v>0</v>
      </c>
    </row>
    <row r="3036" spans="1:5" x14ac:dyDescent="0.3">
      <c r="A3036" s="20" t="s">
        <v>257</v>
      </c>
      <c r="B3036" s="21" t="s">
        <v>377</v>
      </c>
      <c r="C3036" s="22">
        <v>45000</v>
      </c>
      <c r="D3036" s="23">
        <v>0</v>
      </c>
      <c r="E3036" s="24">
        <v>0</v>
      </c>
    </row>
    <row r="3037" spans="1:5" x14ac:dyDescent="0.3">
      <c r="A3037" s="16" t="s">
        <v>444</v>
      </c>
      <c r="B3037" s="16" t="s">
        <v>366</v>
      </c>
      <c r="C3037" s="17">
        <v>19000</v>
      </c>
      <c r="D3037" s="18">
        <v>0</v>
      </c>
      <c r="E3037" s="19">
        <v>0</v>
      </c>
    </row>
    <row r="3038" spans="1:5" x14ac:dyDescent="0.3">
      <c r="A3038" s="20" t="s">
        <v>444</v>
      </c>
      <c r="B3038" s="21" t="s">
        <v>367</v>
      </c>
      <c r="C3038" s="22">
        <v>19000</v>
      </c>
      <c r="D3038" s="23">
        <v>0</v>
      </c>
      <c r="E3038" s="24">
        <v>0</v>
      </c>
    </row>
    <row r="3039" spans="1:5" x14ac:dyDescent="0.3">
      <c r="A3039" s="20" t="s">
        <v>444</v>
      </c>
      <c r="B3039" s="21" t="s">
        <v>368</v>
      </c>
      <c r="C3039" s="22">
        <v>19000</v>
      </c>
      <c r="D3039" s="23">
        <v>0</v>
      </c>
      <c r="E3039" s="24">
        <v>0</v>
      </c>
    </row>
    <row r="3040" spans="1:5" x14ac:dyDescent="0.3">
      <c r="A3040" s="20" t="s">
        <v>444</v>
      </c>
      <c r="B3040" s="21" t="s">
        <v>369</v>
      </c>
      <c r="C3040" s="22">
        <v>19000</v>
      </c>
      <c r="D3040" s="23">
        <v>0</v>
      </c>
      <c r="E3040" s="24">
        <v>0</v>
      </c>
    </row>
    <row r="3041" spans="1:5" x14ac:dyDescent="0.3">
      <c r="A3041" s="20" t="s">
        <v>444</v>
      </c>
      <c r="B3041" s="21" t="s">
        <v>370</v>
      </c>
      <c r="C3041" s="22">
        <v>19000</v>
      </c>
      <c r="D3041" s="23">
        <v>0</v>
      </c>
      <c r="E3041" s="24">
        <v>0</v>
      </c>
    </row>
    <row r="3042" spans="1:5" x14ac:dyDescent="0.3">
      <c r="A3042" s="20" t="s">
        <v>444</v>
      </c>
      <c r="B3042" s="21" t="s">
        <v>371</v>
      </c>
      <c r="C3042" s="22">
        <v>19000</v>
      </c>
      <c r="D3042" s="23">
        <v>0</v>
      </c>
      <c r="E3042" s="24">
        <v>0</v>
      </c>
    </row>
    <row r="3043" spans="1:5" x14ac:dyDescent="0.3">
      <c r="A3043" s="20" t="s">
        <v>444</v>
      </c>
      <c r="B3043" s="21" t="s">
        <v>372</v>
      </c>
      <c r="C3043" s="22">
        <v>19000</v>
      </c>
      <c r="D3043" s="23">
        <v>0</v>
      </c>
      <c r="E3043" s="24">
        <v>0</v>
      </c>
    </row>
    <row r="3044" spans="1:5" x14ac:dyDescent="0.3">
      <c r="A3044" s="20" t="s">
        <v>444</v>
      </c>
      <c r="B3044" s="21" t="s">
        <v>373</v>
      </c>
      <c r="C3044" s="22">
        <v>9000</v>
      </c>
      <c r="D3044" s="23">
        <v>0</v>
      </c>
      <c r="E3044" s="24">
        <v>0</v>
      </c>
    </row>
    <row r="3045" spans="1:5" x14ac:dyDescent="0.3">
      <c r="A3045" s="20" t="s">
        <v>444</v>
      </c>
      <c r="B3045" s="21" t="s">
        <v>374</v>
      </c>
      <c r="C3045" s="22">
        <v>19000</v>
      </c>
      <c r="D3045" s="23">
        <v>0</v>
      </c>
      <c r="E3045" s="24">
        <v>0</v>
      </c>
    </row>
    <row r="3046" spans="1:5" x14ac:dyDescent="0.3">
      <c r="A3046" s="20" t="s">
        <v>444</v>
      </c>
      <c r="B3046" s="21" t="s">
        <v>375</v>
      </c>
      <c r="C3046" s="22">
        <v>19000</v>
      </c>
      <c r="D3046" s="23">
        <v>0</v>
      </c>
      <c r="E3046" s="24">
        <v>0</v>
      </c>
    </row>
    <row r="3047" spans="1:5" x14ac:dyDescent="0.3">
      <c r="A3047" s="20" t="s">
        <v>444</v>
      </c>
      <c r="B3047" s="21" t="s">
        <v>376</v>
      </c>
      <c r="C3047" s="22">
        <v>19000</v>
      </c>
      <c r="D3047" s="23">
        <v>0</v>
      </c>
      <c r="E3047" s="24">
        <v>0</v>
      </c>
    </row>
    <row r="3048" spans="1:5" x14ac:dyDescent="0.3">
      <c r="A3048" s="20" t="s">
        <v>444</v>
      </c>
      <c r="B3048" s="21" t="s">
        <v>377</v>
      </c>
      <c r="C3048" s="22">
        <v>9000</v>
      </c>
      <c r="D3048" s="23">
        <v>0</v>
      </c>
      <c r="E3048" s="24">
        <v>0</v>
      </c>
    </row>
    <row r="3049" spans="1:5" x14ac:dyDescent="0.3">
      <c r="A3049" s="16" t="s">
        <v>445</v>
      </c>
      <c r="B3049" s="16" t="s">
        <v>366</v>
      </c>
      <c r="C3049" s="17">
        <v>0</v>
      </c>
      <c r="D3049" s="18">
        <v>0</v>
      </c>
      <c r="E3049" s="19">
        <v>0</v>
      </c>
    </row>
    <row r="3050" spans="1:5" x14ac:dyDescent="0.3">
      <c r="A3050" s="16" t="s">
        <v>132</v>
      </c>
      <c r="B3050" s="16" t="s">
        <v>366</v>
      </c>
      <c r="C3050" s="17">
        <v>27000</v>
      </c>
      <c r="D3050" s="18">
        <v>0</v>
      </c>
      <c r="E3050" s="19">
        <v>0</v>
      </c>
    </row>
    <row r="3051" spans="1:5" x14ac:dyDescent="0.3">
      <c r="A3051" s="20" t="s">
        <v>132</v>
      </c>
      <c r="B3051" s="21" t="s">
        <v>367</v>
      </c>
      <c r="C3051" s="22">
        <v>27000</v>
      </c>
      <c r="D3051" s="23">
        <v>0</v>
      </c>
      <c r="E3051" s="24">
        <v>0</v>
      </c>
    </row>
    <row r="3052" spans="1:5" x14ac:dyDescent="0.3">
      <c r="A3052" s="20" t="s">
        <v>132</v>
      </c>
      <c r="B3052" s="21" t="s">
        <v>368</v>
      </c>
      <c r="C3052" s="22">
        <v>27000</v>
      </c>
      <c r="D3052" s="23">
        <v>0</v>
      </c>
      <c r="E3052" s="24">
        <v>0</v>
      </c>
    </row>
    <row r="3053" spans="1:5" x14ac:dyDescent="0.3">
      <c r="A3053" s="20" t="s">
        <v>132</v>
      </c>
      <c r="B3053" s="21" t="s">
        <v>369</v>
      </c>
      <c r="C3053" s="22">
        <v>27000</v>
      </c>
      <c r="D3053" s="23">
        <v>0</v>
      </c>
      <c r="E3053" s="24">
        <v>0</v>
      </c>
    </row>
    <row r="3054" spans="1:5" x14ac:dyDescent="0.3">
      <c r="A3054" s="20" t="s">
        <v>132</v>
      </c>
      <c r="B3054" s="21" t="s">
        <v>370</v>
      </c>
      <c r="C3054" s="22">
        <v>27000</v>
      </c>
      <c r="D3054" s="23">
        <v>0</v>
      </c>
      <c r="E3054" s="24">
        <v>0</v>
      </c>
    </row>
    <row r="3055" spans="1:5" x14ac:dyDescent="0.3">
      <c r="A3055" s="20" t="s">
        <v>132</v>
      </c>
      <c r="B3055" s="21" t="s">
        <v>371</v>
      </c>
      <c r="C3055" s="22">
        <v>27000</v>
      </c>
      <c r="D3055" s="23">
        <v>0</v>
      </c>
      <c r="E3055" s="24">
        <v>0</v>
      </c>
    </row>
    <row r="3056" spans="1:5" x14ac:dyDescent="0.3">
      <c r="A3056" s="20" t="s">
        <v>132</v>
      </c>
      <c r="B3056" s="21" t="s">
        <v>372</v>
      </c>
      <c r="C3056" s="22">
        <v>27000</v>
      </c>
      <c r="D3056" s="23">
        <v>0</v>
      </c>
      <c r="E3056" s="24">
        <v>0</v>
      </c>
    </row>
    <row r="3057" spans="1:5" x14ac:dyDescent="0.3">
      <c r="A3057" s="20" t="s">
        <v>132</v>
      </c>
      <c r="B3057" s="21" t="s">
        <v>373</v>
      </c>
      <c r="C3057" s="22">
        <v>14000</v>
      </c>
      <c r="D3057" s="23">
        <v>0</v>
      </c>
      <c r="E3057" s="24">
        <v>0</v>
      </c>
    </row>
    <row r="3058" spans="1:5" x14ac:dyDescent="0.3">
      <c r="A3058" s="20" t="s">
        <v>132</v>
      </c>
      <c r="B3058" s="21" t="s">
        <v>374</v>
      </c>
      <c r="C3058" s="22">
        <v>27000</v>
      </c>
      <c r="D3058" s="23">
        <v>0</v>
      </c>
      <c r="E3058" s="24">
        <v>0</v>
      </c>
    </row>
    <row r="3059" spans="1:5" x14ac:dyDescent="0.3">
      <c r="A3059" s="20" t="s">
        <v>132</v>
      </c>
      <c r="B3059" s="21" t="s">
        <v>375</v>
      </c>
      <c r="C3059" s="22">
        <v>27000</v>
      </c>
      <c r="D3059" s="23">
        <v>0</v>
      </c>
      <c r="E3059" s="24">
        <v>0</v>
      </c>
    </row>
    <row r="3060" spans="1:5" x14ac:dyDescent="0.3">
      <c r="A3060" s="20" t="s">
        <v>132</v>
      </c>
      <c r="B3060" s="21" t="s">
        <v>376</v>
      </c>
      <c r="C3060" s="22">
        <v>27000</v>
      </c>
      <c r="D3060" s="23">
        <v>0</v>
      </c>
      <c r="E3060" s="24">
        <v>0</v>
      </c>
    </row>
    <row r="3061" spans="1:5" x14ac:dyDescent="0.3">
      <c r="A3061" s="20" t="s">
        <v>132</v>
      </c>
      <c r="B3061" s="21" t="s">
        <v>377</v>
      </c>
      <c r="C3061" s="22">
        <v>14000</v>
      </c>
      <c r="D3061" s="23">
        <v>0</v>
      </c>
      <c r="E3061" s="24">
        <v>0</v>
      </c>
    </row>
    <row r="3062" spans="1:5" x14ac:dyDescent="0.3">
      <c r="A3062" s="16" t="s">
        <v>190</v>
      </c>
      <c r="B3062" s="16" t="s">
        <v>366</v>
      </c>
      <c r="C3062" s="17">
        <v>4000</v>
      </c>
      <c r="D3062" s="18">
        <v>0</v>
      </c>
      <c r="E3062" s="19">
        <v>0</v>
      </c>
    </row>
    <row r="3063" spans="1:5" x14ac:dyDescent="0.3">
      <c r="A3063" s="20" t="s">
        <v>190</v>
      </c>
      <c r="B3063" s="21" t="s">
        <v>367</v>
      </c>
      <c r="C3063" s="22">
        <v>4000</v>
      </c>
      <c r="D3063" s="23">
        <v>0</v>
      </c>
      <c r="E3063" s="24">
        <v>0</v>
      </c>
    </row>
    <row r="3064" spans="1:5" x14ac:dyDescent="0.3">
      <c r="A3064" s="20" t="s">
        <v>190</v>
      </c>
      <c r="B3064" s="21" t="s">
        <v>368</v>
      </c>
      <c r="C3064" s="22">
        <v>4000</v>
      </c>
      <c r="D3064" s="23">
        <v>0</v>
      </c>
      <c r="E3064" s="24">
        <v>0</v>
      </c>
    </row>
    <row r="3065" spans="1:5" x14ac:dyDescent="0.3">
      <c r="A3065" s="20" t="s">
        <v>190</v>
      </c>
      <c r="B3065" s="21" t="s">
        <v>369</v>
      </c>
      <c r="C3065" s="22">
        <v>4000</v>
      </c>
      <c r="D3065" s="23">
        <v>0</v>
      </c>
      <c r="E3065" s="24">
        <v>0</v>
      </c>
    </row>
    <row r="3066" spans="1:5" x14ac:dyDescent="0.3">
      <c r="A3066" s="20" t="s">
        <v>190</v>
      </c>
      <c r="B3066" s="21" t="s">
        <v>370</v>
      </c>
      <c r="C3066" s="22">
        <v>4000</v>
      </c>
      <c r="D3066" s="23">
        <v>0</v>
      </c>
      <c r="E3066" s="24">
        <v>0</v>
      </c>
    </row>
    <row r="3067" spans="1:5" x14ac:dyDescent="0.3">
      <c r="A3067" s="20" t="s">
        <v>190</v>
      </c>
      <c r="B3067" s="21" t="s">
        <v>371</v>
      </c>
      <c r="C3067" s="22">
        <v>4000</v>
      </c>
      <c r="D3067" s="23">
        <v>0</v>
      </c>
      <c r="E3067" s="24">
        <v>0</v>
      </c>
    </row>
    <row r="3068" spans="1:5" x14ac:dyDescent="0.3">
      <c r="A3068" s="20" t="s">
        <v>190</v>
      </c>
      <c r="B3068" s="21" t="s">
        <v>372</v>
      </c>
      <c r="C3068" s="22">
        <v>4000</v>
      </c>
      <c r="D3068" s="23">
        <v>0</v>
      </c>
      <c r="E3068" s="24">
        <v>0</v>
      </c>
    </row>
    <row r="3069" spans="1:5" x14ac:dyDescent="0.3">
      <c r="A3069" s="20" t="s">
        <v>190</v>
      </c>
      <c r="B3069" s="21" t="s">
        <v>373</v>
      </c>
      <c r="C3069" s="22">
        <v>2000</v>
      </c>
      <c r="D3069" s="23">
        <v>0</v>
      </c>
      <c r="E3069" s="24">
        <v>0</v>
      </c>
    </row>
    <row r="3070" spans="1:5" x14ac:dyDescent="0.3">
      <c r="A3070" s="20" t="s">
        <v>190</v>
      </c>
      <c r="B3070" s="21" t="s">
        <v>374</v>
      </c>
      <c r="C3070" s="22">
        <v>4000</v>
      </c>
      <c r="D3070" s="23">
        <v>0</v>
      </c>
      <c r="E3070" s="24">
        <v>0</v>
      </c>
    </row>
    <row r="3071" spans="1:5" x14ac:dyDescent="0.3">
      <c r="A3071" s="20" t="s">
        <v>190</v>
      </c>
      <c r="B3071" s="21" t="s">
        <v>375</v>
      </c>
      <c r="C3071" s="22">
        <v>4000</v>
      </c>
      <c r="D3071" s="23">
        <v>0</v>
      </c>
      <c r="E3071" s="24">
        <v>0</v>
      </c>
    </row>
    <row r="3072" spans="1:5" x14ac:dyDescent="0.3">
      <c r="A3072" s="20" t="s">
        <v>190</v>
      </c>
      <c r="B3072" s="21" t="s">
        <v>376</v>
      </c>
      <c r="C3072" s="22">
        <v>4000</v>
      </c>
      <c r="D3072" s="23">
        <v>0</v>
      </c>
      <c r="E3072" s="24">
        <v>0</v>
      </c>
    </row>
    <row r="3073" spans="1:5" x14ac:dyDescent="0.3">
      <c r="A3073" s="20" t="s">
        <v>190</v>
      </c>
      <c r="B3073" s="21" t="s">
        <v>377</v>
      </c>
      <c r="C3073" s="22">
        <v>2000</v>
      </c>
      <c r="D3073" s="23">
        <v>0</v>
      </c>
      <c r="E3073" s="24">
        <v>0</v>
      </c>
    </row>
    <row r="3074" spans="1:5" x14ac:dyDescent="0.3">
      <c r="A3074" s="16" t="s">
        <v>221</v>
      </c>
      <c r="B3074" s="16" t="s">
        <v>366</v>
      </c>
      <c r="C3074" s="17">
        <v>16000</v>
      </c>
      <c r="D3074" s="18">
        <v>50000</v>
      </c>
      <c r="E3074" s="19">
        <v>0</v>
      </c>
    </row>
    <row r="3075" spans="1:5" x14ac:dyDescent="0.3">
      <c r="A3075" s="20" t="s">
        <v>221</v>
      </c>
      <c r="B3075" s="21" t="s">
        <v>367</v>
      </c>
      <c r="C3075" s="22">
        <v>16000</v>
      </c>
      <c r="D3075" s="23">
        <v>0</v>
      </c>
      <c r="E3075" s="24">
        <v>0</v>
      </c>
    </row>
    <row r="3076" spans="1:5" x14ac:dyDescent="0.3">
      <c r="A3076" s="20" t="s">
        <v>221</v>
      </c>
      <c r="B3076" s="21" t="s">
        <v>368</v>
      </c>
      <c r="C3076" s="22">
        <v>16000</v>
      </c>
      <c r="D3076" s="23">
        <v>50000</v>
      </c>
      <c r="E3076" s="24">
        <v>0</v>
      </c>
    </row>
    <row r="3077" spans="1:5" x14ac:dyDescent="0.3">
      <c r="A3077" s="20" t="s">
        <v>221</v>
      </c>
      <c r="B3077" s="21" t="s">
        <v>369</v>
      </c>
      <c r="C3077" s="22">
        <v>16000</v>
      </c>
      <c r="D3077" s="23">
        <v>0</v>
      </c>
      <c r="E3077" s="24">
        <v>0</v>
      </c>
    </row>
    <row r="3078" spans="1:5" x14ac:dyDescent="0.3">
      <c r="A3078" s="20" t="s">
        <v>221</v>
      </c>
      <c r="B3078" s="21" t="s">
        <v>370</v>
      </c>
      <c r="C3078" s="22">
        <v>16000</v>
      </c>
      <c r="D3078" s="23">
        <v>0</v>
      </c>
      <c r="E3078" s="24">
        <v>0</v>
      </c>
    </row>
    <row r="3079" spans="1:5" x14ac:dyDescent="0.3">
      <c r="A3079" s="20" t="s">
        <v>221</v>
      </c>
      <c r="B3079" s="21" t="s">
        <v>371</v>
      </c>
      <c r="C3079" s="22">
        <v>16000</v>
      </c>
      <c r="D3079" s="23">
        <v>0</v>
      </c>
      <c r="E3079" s="24">
        <v>0</v>
      </c>
    </row>
    <row r="3080" spans="1:5" x14ac:dyDescent="0.3">
      <c r="A3080" s="20" t="s">
        <v>221</v>
      </c>
      <c r="B3080" s="21" t="s">
        <v>372</v>
      </c>
      <c r="C3080" s="22">
        <v>16000</v>
      </c>
      <c r="D3080" s="23">
        <v>0</v>
      </c>
      <c r="E3080" s="24">
        <v>0</v>
      </c>
    </row>
    <row r="3081" spans="1:5" x14ac:dyDescent="0.3">
      <c r="A3081" s="20" t="s">
        <v>221</v>
      </c>
      <c r="B3081" s="21" t="s">
        <v>373</v>
      </c>
      <c r="C3081" s="22">
        <v>8000</v>
      </c>
      <c r="D3081" s="23">
        <v>0</v>
      </c>
      <c r="E3081" s="24">
        <v>0</v>
      </c>
    </row>
    <row r="3082" spans="1:5" x14ac:dyDescent="0.3">
      <c r="A3082" s="20" t="s">
        <v>221</v>
      </c>
      <c r="B3082" s="21" t="s">
        <v>374</v>
      </c>
      <c r="C3082" s="22">
        <v>16000</v>
      </c>
      <c r="D3082" s="23">
        <v>0</v>
      </c>
      <c r="E3082" s="24">
        <v>0</v>
      </c>
    </row>
    <row r="3083" spans="1:5" x14ac:dyDescent="0.3">
      <c r="A3083" s="20" t="s">
        <v>221</v>
      </c>
      <c r="B3083" s="21" t="s">
        <v>375</v>
      </c>
      <c r="C3083" s="22">
        <v>16000</v>
      </c>
      <c r="D3083" s="23">
        <v>0</v>
      </c>
      <c r="E3083" s="24">
        <v>0</v>
      </c>
    </row>
    <row r="3084" spans="1:5" x14ac:dyDescent="0.3">
      <c r="A3084" s="20" t="s">
        <v>221</v>
      </c>
      <c r="B3084" s="21" t="s">
        <v>376</v>
      </c>
      <c r="C3084" s="22">
        <v>16000</v>
      </c>
      <c r="D3084" s="23">
        <v>0</v>
      </c>
      <c r="E3084" s="24">
        <v>0</v>
      </c>
    </row>
    <row r="3085" spans="1:5" x14ac:dyDescent="0.3">
      <c r="A3085" s="20" t="s">
        <v>221</v>
      </c>
      <c r="B3085" s="21" t="s">
        <v>377</v>
      </c>
      <c r="C3085" s="22">
        <v>8000</v>
      </c>
      <c r="D3085" s="23">
        <v>0</v>
      </c>
      <c r="E3085" s="24">
        <v>0</v>
      </c>
    </row>
    <row r="3086" spans="1:5" x14ac:dyDescent="0.3">
      <c r="A3086" s="16" t="s">
        <v>225</v>
      </c>
      <c r="B3086" s="16" t="s">
        <v>366</v>
      </c>
      <c r="C3086" s="17">
        <v>86000</v>
      </c>
      <c r="D3086" s="18">
        <v>200000</v>
      </c>
      <c r="E3086" s="19">
        <v>0</v>
      </c>
    </row>
    <row r="3087" spans="1:5" x14ac:dyDescent="0.3">
      <c r="A3087" s="20" t="s">
        <v>225</v>
      </c>
      <c r="B3087" s="21" t="s">
        <v>367</v>
      </c>
      <c r="C3087" s="22">
        <v>86000</v>
      </c>
      <c r="D3087" s="23">
        <v>0</v>
      </c>
      <c r="E3087" s="24">
        <v>0</v>
      </c>
    </row>
    <row r="3088" spans="1:5" x14ac:dyDescent="0.3">
      <c r="A3088" s="20" t="s">
        <v>225</v>
      </c>
      <c r="B3088" s="21" t="s">
        <v>368</v>
      </c>
      <c r="C3088" s="22">
        <v>86000</v>
      </c>
      <c r="D3088" s="23">
        <v>0</v>
      </c>
      <c r="E3088" s="24">
        <v>0</v>
      </c>
    </row>
    <row r="3089" spans="1:5" x14ac:dyDescent="0.3">
      <c r="A3089" s="20" t="s">
        <v>225</v>
      </c>
      <c r="B3089" s="21" t="s">
        <v>369</v>
      </c>
      <c r="C3089" s="22">
        <v>86000</v>
      </c>
      <c r="D3089" s="23">
        <v>0</v>
      </c>
      <c r="E3089" s="24">
        <v>0</v>
      </c>
    </row>
    <row r="3090" spans="1:5" x14ac:dyDescent="0.3">
      <c r="A3090" s="20" t="s">
        <v>225</v>
      </c>
      <c r="B3090" s="21" t="s">
        <v>370</v>
      </c>
      <c r="C3090" s="22">
        <v>86000</v>
      </c>
      <c r="D3090" s="23">
        <v>0</v>
      </c>
      <c r="E3090" s="24">
        <v>0</v>
      </c>
    </row>
    <row r="3091" spans="1:5" x14ac:dyDescent="0.3">
      <c r="A3091" s="20" t="s">
        <v>225</v>
      </c>
      <c r="B3091" s="21" t="s">
        <v>371</v>
      </c>
      <c r="C3091" s="22">
        <v>86000</v>
      </c>
      <c r="D3091" s="23">
        <v>0</v>
      </c>
      <c r="E3091" s="24">
        <v>0</v>
      </c>
    </row>
    <row r="3092" spans="1:5" x14ac:dyDescent="0.3">
      <c r="A3092" s="20" t="s">
        <v>225</v>
      </c>
      <c r="B3092" s="21" t="s">
        <v>372</v>
      </c>
      <c r="C3092" s="22">
        <v>86000</v>
      </c>
      <c r="D3092" s="23">
        <v>0</v>
      </c>
      <c r="E3092" s="24">
        <v>0</v>
      </c>
    </row>
    <row r="3093" spans="1:5" x14ac:dyDescent="0.3">
      <c r="A3093" s="20" t="s">
        <v>225</v>
      </c>
      <c r="B3093" s="21" t="s">
        <v>373</v>
      </c>
      <c r="C3093" s="22">
        <v>43000</v>
      </c>
      <c r="D3093" s="23">
        <v>0</v>
      </c>
      <c r="E3093" s="24">
        <v>0</v>
      </c>
    </row>
    <row r="3094" spans="1:5" x14ac:dyDescent="0.3">
      <c r="A3094" s="20" t="s">
        <v>225</v>
      </c>
      <c r="B3094" s="21" t="s">
        <v>374</v>
      </c>
      <c r="C3094" s="22">
        <v>86000</v>
      </c>
      <c r="D3094" s="23">
        <v>0</v>
      </c>
      <c r="E3094" s="24">
        <v>0</v>
      </c>
    </row>
    <row r="3095" spans="1:5" x14ac:dyDescent="0.3">
      <c r="A3095" s="20" t="s">
        <v>225</v>
      </c>
      <c r="B3095" s="21" t="s">
        <v>375</v>
      </c>
      <c r="C3095" s="22">
        <v>86000</v>
      </c>
      <c r="D3095" s="23">
        <v>0</v>
      </c>
      <c r="E3095" s="24">
        <v>0</v>
      </c>
    </row>
    <row r="3096" spans="1:5" x14ac:dyDescent="0.3">
      <c r="A3096" s="20" t="s">
        <v>225</v>
      </c>
      <c r="B3096" s="21" t="s">
        <v>376</v>
      </c>
      <c r="C3096" s="22">
        <v>86000</v>
      </c>
      <c r="D3096" s="23">
        <v>0</v>
      </c>
      <c r="E3096" s="24">
        <v>0</v>
      </c>
    </row>
    <row r="3097" spans="1:5" x14ac:dyDescent="0.3">
      <c r="A3097" s="20" t="s">
        <v>225</v>
      </c>
      <c r="B3097" s="21" t="s">
        <v>377</v>
      </c>
      <c r="C3097" s="22">
        <v>43000</v>
      </c>
      <c r="D3097" s="23">
        <v>0</v>
      </c>
      <c r="E3097" s="24">
        <v>0</v>
      </c>
    </row>
    <row r="3098" spans="1:5" x14ac:dyDescent="0.3">
      <c r="A3098" s="16" t="s">
        <v>226</v>
      </c>
      <c r="B3098" s="16" t="s">
        <v>369</v>
      </c>
      <c r="C3098" s="17">
        <v>0</v>
      </c>
      <c r="D3098" s="18">
        <v>0</v>
      </c>
      <c r="E3098" s="19">
        <v>0</v>
      </c>
    </row>
    <row r="3099" spans="1:5" x14ac:dyDescent="0.3">
      <c r="A3099" s="16" t="s">
        <v>227</v>
      </c>
      <c r="B3099" s="16" t="s">
        <v>366</v>
      </c>
      <c r="C3099" s="17">
        <v>6000</v>
      </c>
      <c r="D3099" s="18">
        <v>0</v>
      </c>
      <c r="E3099" s="19">
        <v>0</v>
      </c>
    </row>
    <row r="3100" spans="1:5" x14ac:dyDescent="0.3">
      <c r="A3100" s="20" t="s">
        <v>227</v>
      </c>
      <c r="B3100" s="21" t="s">
        <v>367</v>
      </c>
      <c r="C3100" s="22">
        <v>6000</v>
      </c>
      <c r="D3100" s="23">
        <v>0</v>
      </c>
      <c r="E3100" s="24">
        <v>0</v>
      </c>
    </row>
    <row r="3101" spans="1:5" x14ac:dyDescent="0.3">
      <c r="A3101" s="20" t="s">
        <v>227</v>
      </c>
      <c r="B3101" s="21" t="s">
        <v>368</v>
      </c>
      <c r="C3101" s="22">
        <v>6000</v>
      </c>
      <c r="D3101" s="23">
        <v>0</v>
      </c>
      <c r="E3101" s="24">
        <v>0</v>
      </c>
    </row>
    <row r="3102" spans="1:5" x14ac:dyDescent="0.3">
      <c r="A3102" s="20" t="s">
        <v>227</v>
      </c>
      <c r="B3102" s="21" t="s">
        <v>369</v>
      </c>
      <c r="C3102" s="22">
        <v>6000</v>
      </c>
      <c r="D3102" s="23">
        <v>0</v>
      </c>
      <c r="E3102" s="24">
        <v>0</v>
      </c>
    </row>
    <row r="3103" spans="1:5" x14ac:dyDescent="0.3">
      <c r="A3103" s="20" t="s">
        <v>227</v>
      </c>
      <c r="B3103" s="21" t="s">
        <v>370</v>
      </c>
      <c r="C3103" s="22">
        <v>6000</v>
      </c>
      <c r="D3103" s="23">
        <v>0</v>
      </c>
      <c r="E3103" s="24">
        <v>0</v>
      </c>
    </row>
    <row r="3104" spans="1:5" x14ac:dyDescent="0.3">
      <c r="A3104" s="20" t="s">
        <v>227</v>
      </c>
      <c r="B3104" s="21" t="s">
        <v>371</v>
      </c>
      <c r="C3104" s="22">
        <v>6000</v>
      </c>
      <c r="D3104" s="23">
        <v>0</v>
      </c>
      <c r="E3104" s="24">
        <v>0</v>
      </c>
    </row>
    <row r="3105" spans="1:5" x14ac:dyDescent="0.3">
      <c r="A3105" s="20" t="s">
        <v>227</v>
      </c>
      <c r="B3105" s="21" t="s">
        <v>372</v>
      </c>
      <c r="C3105" s="22">
        <v>6000</v>
      </c>
      <c r="D3105" s="23">
        <v>0</v>
      </c>
      <c r="E3105" s="24">
        <v>0</v>
      </c>
    </row>
    <row r="3106" spans="1:5" x14ac:dyDescent="0.3">
      <c r="A3106" s="20" t="s">
        <v>227</v>
      </c>
      <c r="B3106" s="21" t="s">
        <v>373</v>
      </c>
      <c r="C3106" s="22">
        <v>3000</v>
      </c>
      <c r="D3106" s="23">
        <v>0</v>
      </c>
      <c r="E3106" s="24">
        <v>0</v>
      </c>
    </row>
    <row r="3107" spans="1:5" x14ac:dyDescent="0.3">
      <c r="A3107" s="20" t="s">
        <v>227</v>
      </c>
      <c r="B3107" s="21" t="s">
        <v>374</v>
      </c>
      <c r="C3107" s="22">
        <v>6000</v>
      </c>
      <c r="D3107" s="23">
        <v>0</v>
      </c>
      <c r="E3107" s="24">
        <v>0</v>
      </c>
    </row>
    <row r="3108" spans="1:5" x14ac:dyDescent="0.3">
      <c r="A3108" s="20" t="s">
        <v>227</v>
      </c>
      <c r="B3108" s="21" t="s">
        <v>375</v>
      </c>
      <c r="C3108" s="22">
        <v>6000</v>
      </c>
      <c r="D3108" s="23">
        <v>0</v>
      </c>
      <c r="E3108" s="24">
        <v>0</v>
      </c>
    </row>
    <row r="3109" spans="1:5" x14ac:dyDescent="0.3">
      <c r="A3109" s="20" t="s">
        <v>227</v>
      </c>
      <c r="B3109" s="21" t="s">
        <v>376</v>
      </c>
      <c r="C3109" s="22">
        <v>6000</v>
      </c>
      <c r="D3109" s="23">
        <v>0</v>
      </c>
      <c r="E3109" s="24">
        <v>0</v>
      </c>
    </row>
    <row r="3110" spans="1:5" x14ac:dyDescent="0.3">
      <c r="A3110" s="20" t="s">
        <v>227</v>
      </c>
      <c r="B3110" s="21" t="s">
        <v>377</v>
      </c>
      <c r="C3110" s="22">
        <v>3000</v>
      </c>
      <c r="D3110" s="23">
        <v>0</v>
      </c>
      <c r="E3110" s="24">
        <v>0</v>
      </c>
    </row>
    <row r="3111" spans="1:5" x14ac:dyDescent="0.3">
      <c r="A3111" s="16" t="s">
        <v>253</v>
      </c>
      <c r="B3111" s="16" t="s">
        <v>366</v>
      </c>
      <c r="C3111" s="17">
        <v>6000</v>
      </c>
      <c r="D3111" s="18">
        <v>0</v>
      </c>
      <c r="E3111" s="19">
        <v>0</v>
      </c>
    </row>
    <row r="3112" spans="1:5" x14ac:dyDescent="0.3">
      <c r="A3112" s="20" t="s">
        <v>253</v>
      </c>
      <c r="B3112" s="21" t="s">
        <v>367</v>
      </c>
      <c r="C3112" s="22">
        <v>6000</v>
      </c>
      <c r="D3112" s="23">
        <v>0</v>
      </c>
      <c r="E3112" s="24">
        <v>0</v>
      </c>
    </row>
    <row r="3113" spans="1:5" x14ac:dyDescent="0.3">
      <c r="A3113" s="20" t="s">
        <v>253</v>
      </c>
      <c r="B3113" s="21" t="s">
        <v>368</v>
      </c>
      <c r="C3113" s="22">
        <v>6000</v>
      </c>
      <c r="D3113" s="23">
        <v>0</v>
      </c>
      <c r="E3113" s="24">
        <v>0</v>
      </c>
    </row>
    <row r="3114" spans="1:5" x14ac:dyDescent="0.3">
      <c r="A3114" s="20" t="s">
        <v>253</v>
      </c>
      <c r="B3114" s="21" t="s">
        <v>369</v>
      </c>
      <c r="C3114" s="22">
        <v>6000</v>
      </c>
      <c r="D3114" s="23">
        <v>0</v>
      </c>
      <c r="E3114" s="24">
        <v>0</v>
      </c>
    </row>
    <row r="3115" spans="1:5" x14ac:dyDescent="0.3">
      <c r="A3115" s="20" t="s">
        <v>253</v>
      </c>
      <c r="B3115" s="21" t="s">
        <v>370</v>
      </c>
      <c r="C3115" s="22">
        <v>6000</v>
      </c>
      <c r="D3115" s="23">
        <v>0</v>
      </c>
      <c r="E3115" s="24">
        <v>0</v>
      </c>
    </row>
    <row r="3116" spans="1:5" x14ac:dyDescent="0.3">
      <c r="A3116" s="20" t="s">
        <v>253</v>
      </c>
      <c r="B3116" s="21" t="s">
        <v>371</v>
      </c>
      <c r="C3116" s="22">
        <v>6000</v>
      </c>
      <c r="D3116" s="23">
        <v>0</v>
      </c>
      <c r="E3116" s="24">
        <v>0</v>
      </c>
    </row>
    <row r="3117" spans="1:5" x14ac:dyDescent="0.3">
      <c r="A3117" s="20" t="s">
        <v>253</v>
      </c>
      <c r="B3117" s="21" t="s">
        <v>372</v>
      </c>
      <c r="C3117" s="22">
        <v>6000</v>
      </c>
      <c r="D3117" s="23">
        <v>0</v>
      </c>
      <c r="E3117" s="24">
        <v>0</v>
      </c>
    </row>
    <row r="3118" spans="1:5" x14ac:dyDescent="0.3">
      <c r="A3118" s="20" t="s">
        <v>253</v>
      </c>
      <c r="B3118" s="21" t="s">
        <v>373</v>
      </c>
      <c r="C3118" s="22">
        <v>3000</v>
      </c>
      <c r="D3118" s="23">
        <v>0</v>
      </c>
      <c r="E3118" s="24">
        <v>0</v>
      </c>
    </row>
    <row r="3119" spans="1:5" x14ac:dyDescent="0.3">
      <c r="A3119" s="20" t="s">
        <v>253</v>
      </c>
      <c r="B3119" s="21" t="s">
        <v>374</v>
      </c>
      <c r="C3119" s="22">
        <v>6000</v>
      </c>
      <c r="D3119" s="23">
        <v>0</v>
      </c>
      <c r="E3119" s="24">
        <v>0</v>
      </c>
    </row>
    <row r="3120" spans="1:5" x14ac:dyDescent="0.3">
      <c r="A3120" s="20" t="s">
        <v>253</v>
      </c>
      <c r="B3120" s="21" t="s">
        <v>375</v>
      </c>
      <c r="C3120" s="22">
        <v>6000</v>
      </c>
      <c r="D3120" s="23">
        <v>0</v>
      </c>
      <c r="E3120" s="24">
        <v>0</v>
      </c>
    </row>
    <row r="3121" spans="1:5" x14ac:dyDescent="0.3">
      <c r="A3121" s="20" t="s">
        <v>253</v>
      </c>
      <c r="B3121" s="21" t="s">
        <v>376</v>
      </c>
      <c r="C3121" s="22">
        <v>6000</v>
      </c>
      <c r="D3121" s="23">
        <v>0</v>
      </c>
      <c r="E3121" s="24">
        <v>0</v>
      </c>
    </row>
    <row r="3122" spans="1:5" x14ac:dyDescent="0.3">
      <c r="A3122" s="20" t="s">
        <v>253</v>
      </c>
      <c r="B3122" s="21" t="s">
        <v>377</v>
      </c>
      <c r="C3122" s="22">
        <v>3000</v>
      </c>
      <c r="D3122" s="23">
        <v>0</v>
      </c>
      <c r="E3122" s="24">
        <v>0</v>
      </c>
    </row>
    <row r="3123" spans="1:5" x14ac:dyDescent="0.3">
      <c r="A3123" s="16" t="s">
        <v>446</v>
      </c>
      <c r="B3123" s="16" t="s">
        <v>366</v>
      </c>
      <c r="C3123" s="17">
        <v>17000</v>
      </c>
      <c r="D3123" s="18">
        <v>24000</v>
      </c>
      <c r="E3123" s="19">
        <v>0</v>
      </c>
    </row>
    <row r="3124" spans="1:5" x14ac:dyDescent="0.3">
      <c r="A3124" s="20" t="s">
        <v>446</v>
      </c>
      <c r="B3124" s="21" t="s">
        <v>367</v>
      </c>
      <c r="C3124" s="22">
        <v>17000</v>
      </c>
      <c r="D3124" s="23">
        <v>0</v>
      </c>
      <c r="E3124" s="24">
        <v>0</v>
      </c>
    </row>
    <row r="3125" spans="1:5" x14ac:dyDescent="0.3">
      <c r="A3125" s="20" t="s">
        <v>446</v>
      </c>
      <c r="B3125" s="21" t="s">
        <v>368</v>
      </c>
      <c r="C3125" s="22">
        <v>17000</v>
      </c>
      <c r="D3125" s="23">
        <v>24000</v>
      </c>
      <c r="E3125" s="24">
        <v>0</v>
      </c>
    </row>
    <row r="3126" spans="1:5" x14ac:dyDescent="0.3">
      <c r="A3126" s="20" t="s">
        <v>446</v>
      </c>
      <c r="B3126" s="21" t="s">
        <v>369</v>
      </c>
      <c r="C3126" s="22">
        <v>17000</v>
      </c>
      <c r="D3126" s="23">
        <v>0</v>
      </c>
      <c r="E3126" s="24">
        <v>0</v>
      </c>
    </row>
    <row r="3127" spans="1:5" x14ac:dyDescent="0.3">
      <c r="A3127" s="20" t="s">
        <v>446</v>
      </c>
      <c r="B3127" s="21" t="s">
        <v>370</v>
      </c>
      <c r="C3127" s="22">
        <v>17000</v>
      </c>
      <c r="D3127" s="23">
        <v>0</v>
      </c>
      <c r="E3127" s="24">
        <v>0</v>
      </c>
    </row>
    <row r="3128" spans="1:5" x14ac:dyDescent="0.3">
      <c r="A3128" s="20" t="s">
        <v>446</v>
      </c>
      <c r="B3128" s="21" t="s">
        <v>371</v>
      </c>
      <c r="C3128" s="22">
        <v>17000</v>
      </c>
      <c r="D3128" s="23">
        <v>0</v>
      </c>
      <c r="E3128" s="24">
        <v>0</v>
      </c>
    </row>
    <row r="3129" spans="1:5" x14ac:dyDescent="0.3">
      <c r="A3129" s="20" t="s">
        <v>446</v>
      </c>
      <c r="B3129" s="21" t="s">
        <v>372</v>
      </c>
      <c r="C3129" s="22">
        <v>17000</v>
      </c>
      <c r="D3129" s="23">
        <v>0</v>
      </c>
      <c r="E3129" s="24">
        <v>0</v>
      </c>
    </row>
    <row r="3130" spans="1:5" x14ac:dyDescent="0.3">
      <c r="A3130" s="20" t="s">
        <v>446</v>
      </c>
      <c r="B3130" s="21" t="s">
        <v>373</v>
      </c>
      <c r="C3130" s="22">
        <v>9000</v>
      </c>
      <c r="D3130" s="23">
        <v>0</v>
      </c>
      <c r="E3130" s="24">
        <v>0</v>
      </c>
    </row>
    <row r="3131" spans="1:5" x14ac:dyDescent="0.3">
      <c r="A3131" s="20" t="s">
        <v>446</v>
      </c>
      <c r="B3131" s="21" t="s">
        <v>374</v>
      </c>
      <c r="C3131" s="22">
        <v>17000</v>
      </c>
      <c r="D3131" s="23">
        <v>0</v>
      </c>
      <c r="E3131" s="24">
        <v>0</v>
      </c>
    </row>
    <row r="3132" spans="1:5" x14ac:dyDescent="0.3">
      <c r="A3132" s="20" t="s">
        <v>446</v>
      </c>
      <c r="B3132" s="21" t="s">
        <v>375</v>
      </c>
      <c r="C3132" s="22">
        <v>17000</v>
      </c>
      <c r="D3132" s="23">
        <v>0</v>
      </c>
      <c r="E3132" s="24">
        <v>0</v>
      </c>
    </row>
    <row r="3133" spans="1:5" x14ac:dyDescent="0.3">
      <c r="A3133" s="20" t="s">
        <v>446</v>
      </c>
      <c r="B3133" s="21" t="s">
        <v>376</v>
      </c>
      <c r="C3133" s="22">
        <v>17000</v>
      </c>
      <c r="D3133" s="23">
        <v>0</v>
      </c>
      <c r="E3133" s="24">
        <v>0</v>
      </c>
    </row>
    <row r="3134" spans="1:5" x14ac:dyDescent="0.3">
      <c r="A3134" s="20" t="s">
        <v>446</v>
      </c>
      <c r="B3134" s="21" t="s">
        <v>377</v>
      </c>
      <c r="C3134" s="22">
        <v>9000</v>
      </c>
      <c r="D3134" s="23">
        <v>0</v>
      </c>
      <c r="E3134" s="24">
        <v>0</v>
      </c>
    </row>
    <row r="3135" spans="1:5" x14ac:dyDescent="0.3">
      <c r="A3135" s="16" t="s">
        <v>447</v>
      </c>
      <c r="B3135" s="16" t="s">
        <v>373</v>
      </c>
      <c r="C3135" s="17">
        <v>0</v>
      </c>
      <c r="D3135" s="18">
        <v>0</v>
      </c>
      <c r="E3135" s="19">
        <v>0</v>
      </c>
    </row>
    <row r="3136" spans="1:5" x14ac:dyDescent="0.3">
      <c r="A3136" s="16" t="s">
        <v>263</v>
      </c>
      <c r="B3136" s="16" t="s">
        <v>366</v>
      </c>
      <c r="C3136" s="17">
        <v>200000</v>
      </c>
      <c r="D3136" s="18">
        <v>450000</v>
      </c>
      <c r="E3136" s="19">
        <v>0</v>
      </c>
    </row>
    <row r="3137" spans="1:5" x14ac:dyDescent="0.3">
      <c r="A3137" s="20" t="s">
        <v>263</v>
      </c>
      <c r="B3137" s="21" t="s">
        <v>367</v>
      </c>
      <c r="C3137" s="22">
        <v>200000</v>
      </c>
      <c r="D3137" s="23">
        <v>50000</v>
      </c>
      <c r="E3137" s="24">
        <v>0</v>
      </c>
    </row>
    <row r="3138" spans="1:5" x14ac:dyDescent="0.3">
      <c r="A3138" s="20" t="s">
        <v>263</v>
      </c>
      <c r="B3138" s="21" t="s">
        <v>368</v>
      </c>
      <c r="C3138" s="22">
        <v>200000</v>
      </c>
      <c r="D3138" s="23">
        <v>200000</v>
      </c>
      <c r="E3138" s="24">
        <v>0</v>
      </c>
    </row>
    <row r="3139" spans="1:5" x14ac:dyDescent="0.3">
      <c r="A3139" s="20" t="s">
        <v>263</v>
      </c>
      <c r="B3139" s="21" t="s">
        <v>369</v>
      </c>
      <c r="C3139" s="22">
        <v>200000</v>
      </c>
      <c r="D3139" s="23">
        <v>250000</v>
      </c>
      <c r="E3139" s="24">
        <v>0</v>
      </c>
    </row>
    <row r="3140" spans="1:5" x14ac:dyDescent="0.3">
      <c r="A3140" s="20" t="s">
        <v>263</v>
      </c>
      <c r="B3140" s="21" t="s">
        <v>370</v>
      </c>
      <c r="C3140" s="22">
        <v>200000</v>
      </c>
      <c r="D3140" s="23">
        <v>100000</v>
      </c>
      <c r="E3140" s="24">
        <v>0</v>
      </c>
    </row>
    <row r="3141" spans="1:5" x14ac:dyDescent="0.3">
      <c r="A3141" s="20" t="s">
        <v>263</v>
      </c>
      <c r="B3141" s="21" t="s">
        <v>371</v>
      </c>
      <c r="C3141" s="22">
        <v>200000</v>
      </c>
      <c r="D3141" s="23">
        <v>150000</v>
      </c>
      <c r="E3141" s="24">
        <v>0</v>
      </c>
    </row>
    <row r="3142" spans="1:5" x14ac:dyDescent="0.3">
      <c r="A3142" s="20" t="s">
        <v>263</v>
      </c>
      <c r="B3142" s="21" t="s">
        <v>372</v>
      </c>
      <c r="C3142" s="22">
        <v>200000</v>
      </c>
      <c r="D3142" s="23">
        <v>50000</v>
      </c>
      <c r="E3142" s="24">
        <v>0</v>
      </c>
    </row>
    <row r="3143" spans="1:5" x14ac:dyDescent="0.3">
      <c r="A3143" s="20" t="s">
        <v>263</v>
      </c>
      <c r="B3143" s="21" t="s">
        <v>373</v>
      </c>
      <c r="C3143" s="22">
        <v>200000</v>
      </c>
      <c r="D3143" s="23">
        <v>150000</v>
      </c>
      <c r="E3143" s="24">
        <v>0</v>
      </c>
    </row>
    <row r="3144" spans="1:5" x14ac:dyDescent="0.3">
      <c r="A3144" s="20" t="s">
        <v>263</v>
      </c>
      <c r="B3144" s="21" t="s">
        <v>374</v>
      </c>
      <c r="C3144" s="22">
        <v>200000</v>
      </c>
      <c r="D3144" s="23">
        <v>100000</v>
      </c>
      <c r="E3144" s="24">
        <v>0</v>
      </c>
    </row>
    <row r="3145" spans="1:5" x14ac:dyDescent="0.3">
      <c r="A3145" s="20" t="s">
        <v>263</v>
      </c>
      <c r="B3145" s="21" t="s">
        <v>375</v>
      </c>
      <c r="C3145" s="22">
        <v>200000</v>
      </c>
      <c r="D3145" s="23">
        <v>0</v>
      </c>
      <c r="E3145" s="24">
        <v>0</v>
      </c>
    </row>
    <row r="3146" spans="1:5" x14ac:dyDescent="0.3">
      <c r="A3146" s="20" t="s">
        <v>263</v>
      </c>
      <c r="B3146" s="21" t="s">
        <v>376</v>
      </c>
      <c r="C3146" s="22">
        <v>200000</v>
      </c>
      <c r="D3146" s="23">
        <v>150000</v>
      </c>
      <c r="E3146" s="24">
        <v>0</v>
      </c>
    </row>
    <row r="3147" spans="1:5" x14ac:dyDescent="0.3">
      <c r="A3147" s="20" t="s">
        <v>263</v>
      </c>
      <c r="B3147" s="21" t="s">
        <v>377</v>
      </c>
      <c r="C3147" s="22">
        <v>200000</v>
      </c>
      <c r="D3147" s="23">
        <v>0</v>
      </c>
      <c r="E3147" s="24">
        <v>0</v>
      </c>
    </row>
    <row r="3148" spans="1:5" x14ac:dyDescent="0.3">
      <c r="A3148" s="16" t="s">
        <v>171</v>
      </c>
      <c r="B3148" s="16" t="s">
        <v>366</v>
      </c>
      <c r="C3148" s="17">
        <v>2000</v>
      </c>
      <c r="D3148" s="18">
        <v>0</v>
      </c>
      <c r="E3148" s="19">
        <v>0</v>
      </c>
    </row>
    <row r="3149" spans="1:5" x14ac:dyDescent="0.3">
      <c r="A3149" s="20" t="s">
        <v>171</v>
      </c>
      <c r="B3149" s="21" t="s">
        <v>369</v>
      </c>
      <c r="C3149" s="22">
        <v>3000</v>
      </c>
      <c r="D3149" s="23">
        <v>0</v>
      </c>
      <c r="E3149" s="24">
        <v>0</v>
      </c>
    </row>
    <row r="3150" spans="1:5" x14ac:dyDescent="0.3">
      <c r="A3150" s="20" t="s">
        <v>171</v>
      </c>
      <c r="B3150" s="21" t="s">
        <v>372</v>
      </c>
      <c r="C3150" s="22">
        <v>1000</v>
      </c>
      <c r="D3150" s="23">
        <v>0</v>
      </c>
      <c r="E3150" s="24">
        <v>0</v>
      </c>
    </row>
    <row r="3151" spans="1:5" x14ac:dyDescent="0.3">
      <c r="A3151" s="20" t="s">
        <v>171</v>
      </c>
      <c r="B3151" s="21" t="s">
        <v>373</v>
      </c>
      <c r="C3151" s="22">
        <v>15000</v>
      </c>
      <c r="D3151" s="23">
        <v>0</v>
      </c>
      <c r="E3151" s="24">
        <v>0</v>
      </c>
    </row>
    <row r="3152" spans="1:5" x14ac:dyDescent="0.3">
      <c r="A3152" s="20" t="s">
        <v>171</v>
      </c>
      <c r="B3152" s="21" t="s">
        <v>374</v>
      </c>
      <c r="C3152" s="22">
        <v>15000</v>
      </c>
      <c r="D3152" s="23">
        <v>0</v>
      </c>
      <c r="E3152" s="24">
        <v>0</v>
      </c>
    </row>
    <row r="3153" spans="1:5" x14ac:dyDescent="0.3">
      <c r="A3153" s="20" t="s">
        <v>171</v>
      </c>
      <c r="B3153" s="21" t="s">
        <v>375</v>
      </c>
      <c r="C3153" s="22">
        <v>15000</v>
      </c>
      <c r="D3153" s="23">
        <v>0</v>
      </c>
      <c r="E3153" s="24">
        <v>0</v>
      </c>
    </row>
    <row r="3154" spans="1:5" x14ac:dyDescent="0.3">
      <c r="A3154" s="20" t="s">
        <v>171</v>
      </c>
      <c r="B3154" s="21" t="s">
        <v>376</v>
      </c>
      <c r="C3154" s="22">
        <v>15000</v>
      </c>
      <c r="D3154" s="23">
        <v>0</v>
      </c>
      <c r="E3154" s="24">
        <v>0</v>
      </c>
    </row>
    <row r="3155" spans="1:5" x14ac:dyDescent="0.3">
      <c r="A3155" s="20" t="s">
        <v>171</v>
      </c>
      <c r="B3155" s="21" t="s">
        <v>377</v>
      </c>
      <c r="C3155" s="22">
        <v>15000</v>
      </c>
      <c r="D3155" s="23">
        <v>0</v>
      </c>
      <c r="E3155" s="24">
        <v>0</v>
      </c>
    </row>
    <row r="3156" spans="1:5" x14ac:dyDescent="0.3">
      <c r="A3156" s="16" t="s">
        <v>437</v>
      </c>
      <c r="B3156" s="16" t="s">
        <v>366</v>
      </c>
      <c r="C3156" s="17">
        <v>0</v>
      </c>
      <c r="D3156" s="18">
        <v>0</v>
      </c>
      <c r="E3156" s="19">
        <v>0</v>
      </c>
    </row>
    <row r="3157" spans="1:5" x14ac:dyDescent="0.3">
      <c r="A3157" s="20" t="s">
        <v>437</v>
      </c>
      <c r="B3157" s="21" t="s">
        <v>370</v>
      </c>
      <c r="C3157" s="22">
        <v>0</v>
      </c>
      <c r="D3157" s="23">
        <v>0</v>
      </c>
      <c r="E3157" s="24">
        <v>0</v>
      </c>
    </row>
    <row r="3158" spans="1:5" x14ac:dyDescent="0.3">
      <c r="A3158" s="16" t="s">
        <v>438</v>
      </c>
      <c r="B3158" s="16" t="s">
        <v>369</v>
      </c>
      <c r="C3158" s="17">
        <v>10000</v>
      </c>
      <c r="D3158" s="18">
        <v>0</v>
      </c>
      <c r="E3158" s="19">
        <v>0</v>
      </c>
    </row>
    <row r="3159" spans="1:5" x14ac:dyDescent="0.3">
      <c r="A3159" s="20" t="s">
        <v>438</v>
      </c>
      <c r="B3159" s="21" t="s">
        <v>371</v>
      </c>
      <c r="C3159" s="22">
        <v>10000</v>
      </c>
      <c r="D3159" s="23">
        <v>0</v>
      </c>
      <c r="E3159" s="24">
        <v>0</v>
      </c>
    </row>
    <row r="3160" spans="1:5" x14ac:dyDescent="0.3">
      <c r="A3160" s="20" t="s">
        <v>438</v>
      </c>
      <c r="B3160" s="21" t="s">
        <v>374</v>
      </c>
      <c r="C3160" s="22">
        <v>10000</v>
      </c>
      <c r="D3160" s="23">
        <v>0</v>
      </c>
      <c r="E3160" s="24">
        <v>0</v>
      </c>
    </row>
    <row r="3161" spans="1:5" x14ac:dyDescent="0.3">
      <c r="A3161" s="20" t="s">
        <v>438</v>
      </c>
      <c r="B3161" s="21" t="s">
        <v>376</v>
      </c>
      <c r="C3161" s="22">
        <v>10000</v>
      </c>
      <c r="D3161" s="23">
        <v>0</v>
      </c>
      <c r="E3161" s="24">
        <v>0</v>
      </c>
    </row>
    <row r="3162" spans="1:5" x14ac:dyDescent="0.3">
      <c r="A3162" s="16" t="s">
        <v>142</v>
      </c>
      <c r="B3162" s="16" t="s">
        <v>366</v>
      </c>
      <c r="C3162" s="17">
        <v>13000</v>
      </c>
      <c r="D3162" s="18">
        <v>0</v>
      </c>
      <c r="E3162" s="19">
        <v>0</v>
      </c>
    </row>
    <row r="3163" spans="1:5" x14ac:dyDescent="0.3">
      <c r="A3163" s="20" t="s">
        <v>142</v>
      </c>
      <c r="B3163" s="21" t="s">
        <v>367</v>
      </c>
      <c r="C3163" s="22">
        <v>13000</v>
      </c>
      <c r="D3163" s="23">
        <v>0</v>
      </c>
      <c r="E3163" s="24">
        <v>0</v>
      </c>
    </row>
    <row r="3164" spans="1:5" x14ac:dyDescent="0.3">
      <c r="A3164" s="20" t="s">
        <v>142</v>
      </c>
      <c r="B3164" s="21" t="s">
        <v>368</v>
      </c>
      <c r="C3164" s="22">
        <v>13000</v>
      </c>
      <c r="D3164" s="23">
        <v>0</v>
      </c>
      <c r="E3164" s="24">
        <v>0</v>
      </c>
    </row>
    <row r="3165" spans="1:5" x14ac:dyDescent="0.3">
      <c r="A3165" s="20" t="s">
        <v>142</v>
      </c>
      <c r="B3165" s="21" t="s">
        <v>369</v>
      </c>
      <c r="C3165" s="22">
        <v>13000</v>
      </c>
      <c r="D3165" s="23">
        <v>0</v>
      </c>
      <c r="E3165" s="24">
        <v>0</v>
      </c>
    </row>
    <row r="3166" spans="1:5" x14ac:dyDescent="0.3">
      <c r="A3166" s="20" t="s">
        <v>142</v>
      </c>
      <c r="B3166" s="21" t="s">
        <v>370</v>
      </c>
      <c r="C3166" s="22">
        <v>13000</v>
      </c>
      <c r="D3166" s="23">
        <v>0</v>
      </c>
      <c r="E3166" s="24">
        <v>0</v>
      </c>
    </row>
    <row r="3167" spans="1:5" x14ac:dyDescent="0.3">
      <c r="A3167" s="20" t="s">
        <v>142</v>
      </c>
      <c r="B3167" s="21" t="s">
        <v>371</v>
      </c>
      <c r="C3167" s="22">
        <v>13000</v>
      </c>
      <c r="D3167" s="23">
        <v>0</v>
      </c>
      <c r="E3167" s="24">
        <v>0</v>
      </c>
    </row>
    <row r="3168" spans="1:5" x14ac:dyDescent="0.3">
      <c r="A3168" s="20" t="s">
        <v>142</v>
      </c>
      <c r="B3168" s="21" t="s">
        <v>372</v>
      </c>
      <c r="C3168" s="22">
        <v>13000</v>
      </c>
      <c r="D3168" s="23">
        <v>0</v>
      </c>
      <c r="E3168" s="24">
        <v>0</v>
      </c>
    </row>
    <row r="3169" spans="1:5" x14ac:dyDescent="0.3">
      <c r="A3169" s="20" t="s">
        <v>142</v>
      </c>
      <c r="B3169" s="21" t="s">
        <v>373</v>
      </c>
      <c r="C3169" s="22">
        <v>6000</v>
      </c>
      <c r="D3169" s="23">
        <v>0</v>
      </c>
      <c r="E3169" s="24">
        <v>0</v>
      </c>
    </row>
    <row r="3170" spans="1:5" x14ac:dyDescent="0.3">
      <c r="A3170" s="20" t="s">
        <v>142</v>
      </c>
      <c r="B3170" s="21" t="s">
        <v>374</v>
      </c>
      <c r="C3170" s="22">
        <v>13000</v>
      </c>
      <c r="D3170" s="23">
        <v>0</v>
      </c>
      <c r="E3170" s="24">
        <v>0</v>
      </c>
    </row>
    <row r="3171" spans="1:5" x14ac:dyDescent="0.3">
      <c r="A3171" s="20" t="s">
        <v>142</v>
      </c>
      <c r="B3171" s="21" t="s">
        <v>375</v>
      </c>
      <c r="C3171" s="22">
        <v>13000</v>
      </c>
      <c r="D3171" s="23">
        <v>0</v>
      </c>
      <c r="E3171" s="24">
        <v>0</v>
      </c>
    </row>
    <row r="3172" spans="1:5" x14ac:dyDescent="0.3">
      <c r="A3172" s="20" t="s">
        <v>142</v>
      </c>
      <c r="B3172" s="21" t="s">
        <v>376</v>
      </c>
      <c r="C3172" s="22">
        <v>13000</v>
      </c>
      <c r="D3172" s="23">
        <v>0</v>
      </c>
      <c r="E3172" s="24">
        <v>0</v>
      </c>
    </row>
    <row r="3173" spans="1:5" x14ac:dyDescent="0.3">
      <c r="A3173" s="20" t="s">
        <v>142</v>
      </c>
      <c r="B3173" s="21" t="s">
        <v>377</v>
      </c>
      <c r="C3173" s="22">
        <v>6000</v>
      </c>
      <c r="D3173" s="23">
        <v>0</v>
      </c>
      <c r="E3173" s="24">
        <v>0</v>
      </c>
    </row>
    <row r="3174" spans="1:5" x14ac:dyDescent="0.3">
      <c r="A3174" s="16" t="s">
        <v>196</v>
      </c>
      <c r="B3174" s="16" t="s">
        <v>366</v>
      </c>
      <c r="C3174" s="17">
        <v>49000</v>
      </c>
      <c r="D3174" s="18">
        <v>100000</v>
      </c>
      <c r="E3174" s="19">
        <v>0</v>
      </c>
    </row>
    <row r="3175" spans="1:5" x14ac:dyDescent="0.3">
      <c r="A3175" s="20" t="s">
        <v>196</v>
      </c>
      <c r="B3175" s="21" t="s">
        <v>367</v>
      </c>
      <c r="C3175" s="22">
        <v>49000</v>
      </c>
      <c r="D3175" s="23">
        <v>40000</v>
      </c>
      <c r="E3175" s="24">
        <v>0</v>
      </c>
    </row>
    <row r="3176" spans="1:5" x14ac:dyDescent="0.3">
      <c r="A3176" s="20" t="s">
        <v>196</v>
      </c>
      <c r="B3176" s="21" t="s">
        <v>368</v>
      </c>
      <c r="C3176" s="22">
        <v>49000</v>
      </c>
      <c r="D3176" s="23">
        <v>96000</v>
      </c>
      <c r="E3176" s="24">
        <v>0</v>
      </c>
    </row>
    <row r="3177" spans="1:5" x14ac:dyDescent="0.3">
      <c r="A3177" s="20" t="s">
        <v>196</v>
      </c>
      <c r="B3177" s="21" t="s">
        <v>369</v>
      </c>
      <c r="C3177" s="22">
        <v>49000</v>
      </c>
      <c r="D3177" s="23">
        <v>0</v>
      </c>
      <c r="E3177" s="24">
        <v>0</v>
      </c>
    </row>
    <row r="3178" spans="1:5" x14ac:dyDescent="0.3">
      <c r="A3178" s="20" t="s">
        <v>196</v>
      </c>
      <c r="B3178" s="21" t="s">
        <v>370</v>
      </c>
      <c r="C3178" s="22">
        <v>49000</v>
      </c>
      <c r="D3178" s="23">
        <v>0</v>
      </c>
      <c r="E3178" s="24">
        <v>0</v>
      </c>
    </row>
    <row r="3179" spans="1:5" x14ac:dyDescent="0.3">
      <c r="A3179" s="20" t="s">
        <v>196</v>
      </c>
      <c r="B3179" s="21" t="s">
        <v>371</v>
      </c>
      <c r="C3179" s="22">
        <v>49000</v>
      </c>
      <c r="D3179" s="23">
        <v>0</v>
      </c>
      <c r="E3179" s="24">
        <v>0</v>
      </c>
    </row>
    <row r="3180" spans="1:5" x14ac:dyDescent="0.3">
      <c r="A3180" s="20" t="s">
        <v>196</v>
      </c>
      <c r="B3180" s="21" t="s">
        <v>372</v>
      </c>
      <c r="C3180" s="22">
        <v>49000</v>
      </c>
      <c r="D3180" s="23">
        <v>0</v>
      </c>
      <c r="E3180" s="24">
        <v>0</v>
      </c>
    </row>
    <row r="3181" spans="1:5" x14ac:dyDescent="0.3">
      <c r="A3181" s="20" t="s">
        <v>196</v>
      </c>
      <c r="B3181" s="21" t="s">
        <v>373</v>
      </c>
      <c r="C3181" s="22">
        <v>24000</v>
      </c>
      <c r="D3181" s="23">
        <v>0</v>
      </c>
      <c r="E3181" s="24">
        <v>0</v>
      </c>
    </row>
    <row r="3182" spans="1:5" x14ac:dyDescent="0.3">
      <c r="A3182" s="20" t="s">
        <v>196</v>
      </c>
      <c r="B3182" s="21" t="s">
        <v>374</v>
      </c>
      <c r="C3182" s="22">
        <v>49000</v>
      </c>
      <c r="D3182" s="23">
        <v>0</v>
      </c>
      <c r="E3182" s="24">
        <v>0</v>
      </c>
    </row>
    <row r="3183" spans="1:5" x14ac:dyDescent="0.3">
      <c r="A3183" s="20" t="s">
        <v>196</v>
      </c>
      <c r="B3183" s="21" t="s">
        <v>375</v>
      </c>
      <c r="C3183" s="22">
        <v>49000</v>
      </c>
      <c r="D3183" s="23">
        <v>0</v>
      </c>
      <c r="E3183" s="24">
        <v>0</v>
      </c>
    </row>
    <row r="3184" spans="1:5" x14ac:dyDescent="0.3">
      <c r="A3184" s="20" t="s">
        <v>196</v>
      </c>
      <c r="B3184" s="21" t="s">
        <v>376</v>
      </c>
      <c r="C3184" s="22">
        <v>49000</v>
      </c>
      <c r="D3184" s="23">
        <v>0</v>
      </c>
      <c r="E3184" s="24">
        <v>0</v>
      </c>
    </row>
    <row r="3185" spans="1:5" x14ac:dyDescent="0.3">
      <c r="A3185" s="20" t="s">
        <v>196</v>
      </c>
      <c r="B3185" s="21" t="s">
        <v>377</v>
      </c>
      <c r="C3185" s="22">
        <v>24000</v>
      </c>
      <c r="D3185" s="23">
        <v>0</v>
      </c>
      <c r="E3185" s="24">
        <v>0</v>
      </c>
    </row>
    <row r="3186" spans="1:5" x14ac:dyDescent="0.3">
      <c r="A3186" s="16" t="s">
        <v>196</v>
      </c>
      <c r="B3186" s="16" t="s">
        <v>366</v>
      </c>
      <c r="C3186" s="17">
        <v>3000</v>
      </c>
      <c r="D3186" s="18">
        <v>0</v>
      </c>
      <c r="E3186" s="19">
        <v>0</v>
      </c>
    </row>
    <row r="3187" spans="1:5" x14ac:dyDescent="0.3">
      <c r="A3187" s="20" t="s">
        <v>196</v>
      </c>
      <c r="B3187" s="21" t="s">
        <v>367</v>
      </c>
      <c r="C3187" s="22">
        <v>3000</v>
      </c>
      <c r="D3187" s="23">
        <v>0</v>
      </c>
      <c r="E3187" s="24">
        <v>0</v>
      </c>
    </row>
    <row r="3188" spans="1:5" x14ac:dyDescent="0.3">
      <c r="A3188" s="20" t="s">
        <v>196</v>
      </c>
      <c r="B3188" s="21" t="s">
        <v>368</v>
      </c>
      <c r="C3188" s="22">
        <v>3000</v>
      </c>
      <c r="D3188" s="23">
        <v>0</v>
      </c>
      <c r="E3188" s="24">
        <v>0</v>
      </c>
    </row>
    <row r="3189" spans="1:5" x14ac:dyDescent="0.3">
      <c r="A3189" s="20" t="s">
        <v>196</v>
      </c>
      <c r="B3189" s="21" t="s">
        <v>369</v>
      </c>
      <c r="C3189" s="22">
        <v>3000</v>
      </c>
      <c r="D3189" s="23">
        <v>0</v>
      </c>
      <c r="E3189" s="24">
        <v>0</v>
      </c>
    </row>
    <row r="3190" spans="1:5" x14ac:dyDescent="0.3">
      <c r="A3190" s="20" t="s">
        <v>196</v>
      </c>
      <c r="B3190" s="21" t="s">
        <v>370</v>
      </c>
      <c r="C3190" s="22">
        <v>3000</v>
      </c>
      <c r="D3190" s="23">
        <v>0</v>
      </c>
      <c r="E3190" s="24">
        <v>0</v>
      </c>
    </row>
    <row r="3191" spans="1:5" x14ac:dyDescent="0.3">
      <c r="A3191" s="20" t="s">
        <v>196</v>
      </c>
      <c r="B3191" s="21" t="s">
        <v>371</v>
      </c>
      <c r="C3191" s="22">
        <v>3000</v>
      </c>
      <c r="D3191" s="23">
        <v>0</v>
      </c>
      <c r="E3191" s="24">
        <v>0</v>
      </c>
    </row>
    <row r="3192" spans="1:5" x14ac:dyDescent="0.3">
      <c r="A3192" s="20" t="s">
        <v>196</v>
      </c>
      <c r="B3192" s="21" t="s">
        <v>372</v>
      </c>
      <c r="C3192" s="22">
        <v>3000</v>
      </c>
      <c r="D3192" s="23">
        <v>0</v>
      </c>
      <c r="E3192" s="24">
        <v>0</v>
      </c>
    </row>
    <row r="3193" spans="1:5" x14ac:dyDescent="0.3">
      <c r="A3193" s="20" t="s">
        <v>196</v>
      </c>
      <c r="B3193" s="21" t="s">
        <v>373</v>
      </c>
      <c r="C3193" s="22">
        <v>1000</v>
      </c>
      <c r="D3193" s="23">
        <v>0</v>
      </c>
      <c r="E3193" s="24">
        <v>0</v>
      </c>
    </row>
    <row r="3194" spans="1:5" x14ac:dyDescent="0.3">
      <c r="A3194" s="20" t="s">
        <v>196</v>
      </c>
      <c r="B3194" s="21" t="s">
        <v>374</v>
      </c>
      <c r="C3194" s="22">
        <v>3000</v>
      </c>
      <c r="D3194" s="23">
        <v>0</v>
      </c>
      <c r="E3194" s="24">
        <v>0</v>
      </c>
    </row>
    <row r="3195" spans="1:5" x14ac:dyDescent="0.3">
      <c r="A3195" s="20" t="s">
        <v>196</v>
      </c>
      <c r="B3195" s="21" t="s">
        <v>375</v>
      </c>
      <c r="C3195" s="22">
        <v>3000</v>
      </c>
      <c r="D3195" s="23">
        <v>0</v>
      </c>
      <c r="E3195" s="24">
        <v>0</v>
      </c>
    </row>
    <row r="3196" spans="1:5" x14ac:dyDescent="0.3">
      <c r="A3196" s="20" t="s">
        <v>196</v>
      </c>
      <c r="B3196" s="21" t="s">
        <v>376</v>
      </c>
      <c r="C3196" s="22">
        <v>3000</v>
      </c>
      <c r="D3196" s="23">
        <v>0</v>
      </c>
      <c r="E3196" s="24">
        <v>0</v>
      </c>
    </row>
    <row r="3197" spans="1:5" x14ac:dyDescent="0.3">
      <c r="A3197" s="20" t="s">
        <v>196</v>
      </c>
      <c r="B3197" s="21" t="s">
        <v>377</v>
      </c>
      <c r="C3197" s="22">
        <v>1000</v>
      </c>
      <c r="D3197" s="23">
        <v>0</v>
      </c>
      <c r="E3197" s="24">
        <v>0</v>
      </c>
    </row>
    <row r="3198" spans="1:5" x14ac:dyDescent="0.3">
      <c r="A3198" s="16" t="s">
        <v>139</v>
      </c>
      <c r="B3198" s="16" t="s">
        <v>366</v>
      </c>
      <c r="C3198" s="17">
        <v>46000</v>
      </c>
      <c r="D3198" s="18">
        <v>54000</v>
      </c>
      <c r="E3198" s="19">
        <v>0</v>
      </c>
    </row>
    <row r="3199" spans="1:5" x14ac:dyDescent="0.3">
      <c r="A3199" s="20" t="s">
        <v>139</v>
      </c>
      <c r="B3199" s="21" t="s">
        <v>367</v>
      </c>
      <c r="C3199" s="22">
        <v>46000</v>
      </c>
      <c r="D3199" s="23">
        <v>36000</v>
      </c>
      <c r="E3199" s="24">
        <v>0</v>
      </c>
    </row>
    <row r="3200" spans="1:5" x14ac:dyDescent="0.3">
      <c r="A3200" s="20" t="s">
        <v>139</v>
      </c>
      <c r="B3200" s="21" t="s">
        <v>368</v>
      </c>
      <c r="C3200" s="22">
        <v>46000</v>
      </c>
      <c r="D3200" s="23">
        <v>18000</v>
      </c>
      <c r="E3200" s="24">
        <v>0</v>
      </c>
    </row>
    <row r="3201" spans="1:5" x14ac:dyDescent="0.3">
      <c r="A3201" s="20" t="s">
        <v>139</v>
      </c>
      <c r="B3201" s="21" t="s">
        <v>369</v>
      </c>
      <c r="C3201" s="22">
        <v>46000</v>
      </c>
      <c r="D3201" s="23">
        <v>0</v>
      </c>
      <c r="E3201" s="24">
        <v>0</v>
      </c>
    </row>
    <row r="3202" spans="1:5" x14ac:dyDescent="0.3">
      <c r="A3202" s="20" t="s">
        <v>139</v>
      </c>
      <c r="B3202" s="21" t="s">
        <v>370</v>
      </c>
      <c r="C3202" s="22">
        <v>46000</v>
      </c>
      <c r="D3202" s="23">
        <v>0</v>
      </c>
      <c r="E3202" s="24">
        <v>0</v>
      </c>
    </row>
    <row r="3203" spans="1:5" x14ac:dyDescent="0.3">
      <c r="A3203" s="20" t="s">
        <v>139</v>
      </c>
      <c r="B3203" s="21" t="s">
        <v>371</v>
      </c>
      <c r="C3203" s="22">
        <v>46000</v>
      </c>
      <c r="D3203" s="23">
        <v>0</v>
      </c>
      <c r="E3203" s="24">
        <v>0</v>
      </c>
    </row>
    <row r="3204" spans="1:5" x14ac:dyDescent="0.3">
      <c r="A3204" s="20" t="s">
        <v>139</v>
      </c>
      <c r="B3204" s="21" t="s">
        <v>372</v>
      </c>
      <c r="C3204" s="22">
        <v>46000</v>
      </c>
      <c r="D3204" s="23">
        <v>0</v>
      </c>
      <c r="E3204" s="24">
        <v>0</v>
      </c>
    </row>
    <row r="3205" spans="1:5" x14ac:dyDescent="0.3">
      <c r="A3205" s="20" t="s">
        <v>139</v>
      </c>
      <c r="B3205" s="21" t="s">
        <v>373</v>
      </c>
      <c r="C3205" s="22">
        <v>23000</v>
      </c>
      <c r="D3205" s="23">
        <v>0</v>
      </c>
      <c r="E3205" s="24">
        <v>0</v>
      </c>
    </row>
    <row r="3206" spans="1:5" x14ac:dyDescent="0.3">
      <c r="A3206" s="20" t="s">
        <v>139</v>
      </c>
      <c r="B3206" s="21" t="s">
        <v>374</v>
      </c>
      <c r="C3206" s="22">
        <v>46000</v>
      </c>
      <c r="D3206" s="23">
        <v>0</v>
      </c>
      <c r="E3206" s="24">
        <v>0</v>
      </c>
    </row>
    <row r="3207" spans="1:5" x14ac:dyDescent="0.3">
      <c r="A3207" s="20" t="s">
        <v>139</v>
      </c>
      <c r="B3207" s="21" t="s">
        <v>375</v>
      </c>
      <c r="C3207" s="22">
        <v>46000</v>
      </c>
      <c r="D3207" s="23">
        <v>0</v>
      </c>
      <c r="E3207" s="24">
        <v>0</v>
      </c>
    </row>
    <row r="3208" spans="1:5" x14ac:dyDescent="0.3">
      <c r="A3208" s="20" t="s">
        <v>139</v>
      </c>
      <c r="B3208" s="21" t="s">
        <v>376</v>
      </c>
      <c r="C3208" s="22">
        <v>46000</v>
      </c>
      <c r="D3208" s="23">
        <v>0</v>
      </c>
      <c r="E3208" s="24">
        <v>0</v>
      </c>
    </row>
    <row r="3209" spans="1:5" x14ac:dyDescent="0.3">
      <c r="A3209" s="20" t="s">
        <v>139</v>
      </c>
      <c r="B3209" s="21" t="s">
        <v>377</v>
      </c>
      <c r="C3209" s="22">
        <v>23000</v>
      </c>
      <c r="D3209" s="23">
        <v>0</v>
      </c>
      <c r="E3209" s="24">
        <v>0</v>
      </c>
    </row>
    <row r="3210" spans="1:5" x14ac:dyDescent="0.3">
      <c r="A3210" s="16" t="s">
        <v>196</v>
      </c>
      <c r="B3210" s="16" t="s">
        <v>366</v>
      </c>
      <c r="C3210" s="17">
        <v>49000</v>
      </c>
      <c r="D3210" s="18">
        <v>0</v>
      </c>
      <c r="E3210" s="19">
        <v>0</v>
      </c>
    </row>
    <row r="3211" spans="1:5" x14ac:dyDescent="0.3">
      <c r="A3211" s="20" t="s">
        <v>196</v>
      </c>
      <c r="B3211" s="21" t="s">
        <v>367</v>
      </c>
      <c r="C3211" s="22">
        <v>49000</v>
      </c>
      <c r="D3211" s="23">
        <v>0</v>
      </c>
      <c r="E3211" s="24">
        <v>0</v>
      </c>
    </row>
    <row r="3212" spans="1:5" x14ac:dyDescent="0.3">
      <c r="A3212" s="20" t="s">
        <v>196</v>
      </c>
      <c r="B3212" s="21" t="s">
        <v>368</v>
      </c>
      <c r="C3212" s="22">
        <v>49000</v>
      </c>
      <c r="D3212" s="23">
        <v>0</v>
      </c>
      <c r="E3212" s="24">
        <v>0</v>
      </c>
    </row>
    <row r="3213" spans="1:5" x14ac:dyDescent="0.3">
      <c r="A3213" s="20" t="s">
        <v>196</v>
      </c>
      <c r="B3213" s="21" t="s">
        <v>369</v>
      </c>
      <c r="C3213" s="22">
        <v>49000</v>
      </c>
      <c r="D3213" s="23">
        <v>0</v>
      </c>
      <c r="E3213" s="24">
        <v>0</v>
      </c>
    </row>
    <row r="3214" spans="1:5" x14ac:dyDescent="0.3">
      <c r="A3214" s="20" t="s">
        <v>196</v>
      </c>
      <c r="B3214" s="21" t="s">
        <v>370</v>
      </c>
      <c r="C3214" s="22">
        <v>49000</v>
      </c>
      <c r="D3214" s="23">
        <v>0</v>
      </c>
      <c r="E3214" s="24">
        <v>0</v>
      </c>
    </row>
    <row r="3215" spans="1:5" x14ac:dyDescent="0.3">
      <c r="A3215" s="20" t="s">
        <v>196</v>
      </c>
      <c r="B3215" s="21" t="s">
        <v>371</v>
      </c>
      <c r="C3215" s="22">
        <v>49000</v>
      </c>
      <c r="D3215" s="23">
        <v>0</v>
      </c>
      <c r="E3215" s="24">
        <v>0</v>
      </c>
    </row>
    <row r="3216" spans="1:5" x14ac:dyDescent="0.3">
      <c r="A3216" s="20" t="s">
        <v>196</v>
      </c>
      <c r="B3216" s="21" t="s">
        <v>372</v>
      </c>
      <c r="C3216" s="22">
        <v>49000</v>
      </c>
      <c r="D3216" s="23">
        <v>0</v>
      </c>
      <c r="E3216" s="24">
        <v>0</v>
      </c>
    </row>
    <row r="3217" spans="1:5" x14ac:dyDescent="0.3">
      <c r="A3217" s="20" t="s">
        <v>196</v>
      </c>
      <c r="B3217" s="21" t="s">
        <v>373</v>
      </c>
      <c r="C3217" s="22">
        <v>24000</v>
      </c>
      <c r="D3217" s="23">
        <v>0</v>
      </c>
      <c r="E3217" s="24">
        <v>0</v>
      </c>
    </row>
    <row r="3218" spans="1:5" x14ac:dyDescent="0.3">
      <c r="A3218" s="20" t="s">
        <v>196</v>
      </c>
      <c r="B3218" s="21" t="s">
        <v>374</v>
      </c>
      <c r="C3218" s="22">
        <v>49000</v>
      </c>
      <c r="D3218" s="23">
        <v>0</v>
      </c>
      <c r="E3218" s="24">
        <v>0</v>
      </c>
    </row>
    <row r="3219" spans="1:5" x14ac:dyDescent="0.3">
      <c r="A3219" s="20" t="s">
        <v>196</v>
      </c>
      <c r="B3219" s="21" t="s">
        <v>375</v>
      </c>
      <c r="C3219" s="22">
        <v>49000</v>
      </c>
      <c r="D3219" s="23">
        <v>0</v>
      </c>
      <c r="E3219" s="24">
        <v>0</v>
      </c>
    </row>
    <row r="3220" spans="1:5" x14ac:dyDescent="0.3">
      <c r="A3220" s="20" t="s">
        <v>196</v>
      </c>
      <c r="B3220" s="21" t="s">
        <v>376</v>
      </c>
      <c r="C3220" s="22">
        <v>49000</v>
      </c>
      <c r="D3220" s="23">
        <v>0</v>
      </c>
      <c r="E3220" s="24">
        <v>0</v>
      </c>
    </row>
    <row r="3221" spans="1:5" x14ac:dyDescent="0.3">
      <c r="A3221" s="20" t="s">
        <v>196</v>
      </c>
      <c r="B3221" s="21" t="s">
        <v>377</v>
      </c>
      <c r="C3221" s="22">
        <v>24000</v>
      </c>
      <c r="D3221" s="23">
        <v>0</v>
      </c>
      <c r="E3221" s="24">
        <v>0</v>
      </c>
    </row>
    <row r="3222" spans="1:5" x14ac:dyDescent="0.3">
      <c r="A3222" s="16" t="s">
        <v>140</v>
      </c>
      <c r="B3222" s="16" t="s">
        <v>366</v>
      </c>
      <c r="C3222" s="17">
        <v>4000</v>
      </c>
      <c r="D3222" s="18">
        <v>2000</v>
      </c>
      <c r="E3222" s="19">
        <v>0</v>
      </c>
    </row>
    <row r="3223" spans="1:5" x14ac:dyDescent="0.3">
      <c r="A3223" s="20" t="s">
        <v>140</v>
      </c>
      <c r="B3223" s="21" t="s">
        <v>367</v>
      </c>
      <c r="C3223" s="22">
        <v>4000</v>
      </c>
      <c r="D3223" s="23">
        <v>4000</v>
      </c>
      <c r="E3223" s="24">
        <v>0</v>
      </c>
    </row>
    <row r="3224" spans="1:5" x14ac:dyDescent="0.3">
      <c r="A3224" s="20" t="s">
        <v>140</v>
      </c>
      <c r="B3224" s="21" t="s">
        <v>368</v>
      </c>
      <c r="C3224" s="22">
        <v>4000</v>
      </c>
      <c r="D3224" s="23">
        <v>2000</v>
      </c>
      <c r="E3224" s="24">
        <v>0</v>
      </c>
    </row>
    <row r="3225" spans="1:5" x14ac:dyDescent="0.3">
      <c r="A3225" s="20" t="s">
        <v>140</v>
      </c>
      <c r="B3225" s="21" t="s">
        <v>369</v>
      </c>
      <c r="C3225" s="22">
        <v>4000</v>
      </c>
      <c r="D3225" s="23">
        <v>2000</v>
      </c>
      <c r="E3225" s="24">
        <v>0</v>
      </c>
    </row>
    <row r="3226" spans="1:5" x14ac:dyDescent="0.3">
      <c r="A3226" s="20" t="s">
        <v>140</v>
      </c>
      <c r="B3226" s="21" t="s">
        <v>370</v>
      </c>
      <c r="C3226" s="22">
        <v>4000</v>
      </c>
      <c r="D3226" s="23">
        <v>0</v>
      </c>
      <c r="E3226" s="24">
        <v>0</v>
      </c>
    </row>
    <row r="3227" spans="1:5" x14ac:dyDescent="0.3">
      <c r="A3227" s="20" t="s">
        <v>140</v>
      </c>
      <c r="B3227" s="21" t="s">
        <v>371</v>
      </c>
      <c r="C3227" s="22">
        <v>4000</v>
      </c>
      <c r="D3227" s="23">
        <v>0</v>
      </c>
      <c r="E3227" s="24">
        <v>0</v>
      </c>
    </row>
    <row r="3228" spans="1:5" x14ac:dyDescent="0.3">
      <c r="A3228" s="20" t="s">
        <v>140</v>
      </c>
      <c r="B3228" s="21" t="s">
        <v>372</v>
      </c>
      <c r="C3228" s="22">
        <v>4000</v>
      </c>
      <c r="D3228" s="23">
        <v>0</v>
      </c>
      <c r="E3228" s="24">
        <v>0</v>
      </c>
    </row>
    <row r="3229" spans="1:5" x14ac:dyDescent="0.3">
      <c r="A3229" s="20" t="s">
        <v>140</v>
      </c>
      <c r="B3229" s="21" t="s">
        <v>373</v>
      </c>
      <c r="C3229" s="22">
        <v>2000</v>
      </c>
      <c r="D3229" s="23">
        <v>0</v>
      </c>
      <c r="E3229" s="24">
        <v>0</v>
      </c>
    </row>
    <row r="3230" spans="1:5" x14ac:dyDescent="0.3">
      <c r="A3230" s="20" t="s">
        <v>140</v>
      </c>
      <c r="B3230" s="21" t="s">
        <v>374</v>
      </c>
      <c r="C3230" s="22">
        <v>4000</v>
      </c>
      <c r="D3230" s="23">
        <v>0</v>
      </c>
      <c r="E3230" s="24">
        <v>0</v>
      </c>
    </row>
    <row r="3231" spans="1:5" x14ac:dyDescent="0.3">
      <c r="A3231" s="20" t="s">
        <v>140</v>
      </c>
      <c r="B3231" s="21" t="s">
        <v>375</v>
      </c>
      <c r="C3231" s="22">
        <v>4000</v>
      </c>
      <c r="D3231" s="23">
        <v>0</v>
      </c>
      <c r="E3231" s="24">
        <v>0</v>
      </c>
    </row>
    <row r="3232" spans="1:5" x14ac:dyDescent="0.3">
      <c r="A3232" s="20" t="s">
        <v>140</v>
      </c>
      <c r="B3232" s="21" t="s">
        <v>376</v>
      </c>
      <c r="C3232" s="22">
        <v>4000</v>
      </c>
      <c r="D3232" s="23">
        <v>0</v>
      </c>
      <c r="E3232" s="24">
        <v>0</v>
      </c>
    </row>
    <row r="3233" spans="1:5" x14ac:dyDescent="0.3">
      <c r="A3233" s="20" t="s">
        <v>140</v>
      </c>
      <c r="B3233" s="21" t="s">
        <v>377</v>
      </c>
      <c r="C3233" s="22">
        <v>2000</v>
      </c>
      <c r="D3233" s="23">
        <v>0</v>
      </c>
      <c r="E3233" s="24">
        <v>0</v>
      </c>
    </row>
    <row r="3234" spans="1:5" x14ac:dyDescent="0.3">
      <c r="A3234" s="16" t="s">
        <v>141</v>
      </c>
      <c r="B3234" s="16" t="s">
        <v>366</v>
      </c>
      <c r="C3234" s="17">
        <v>4000</v>
      </c>
      <c r="D3234" s="18">
        <v>3000</v>
      </c>
      <c r="E3234" s="19">
        <v>0</v>
      </c>
    </row>
    <row r="3235" spans="1:5" x14ac:dyDescent="0.3">
      <c r="A3235" s="20" t="s">
        <v>141</v>
      </c>
      <c r="B3235" s="21" t="s">
        <v>367</v>
      </c>
      <c r="C3235" s="22">
        <v>4000</v>
      </c>
      <c r="D3235" s="23">
        <v>3000</v>
      </c>
      <c r="E3235" s="24">
        <v>0</v>
      </c>
    </row>
    <row r="3236" spans="1:5" x14ac:dyDescent="0.3">
      <c r="A3236" s="20" t="s">
        <v>141</v>
      </c>
      <c r="B3236" s="21" t="s">
        <v>368</v>
      </c>
      <c r="C3236" s="22">
        <v>4000</v>
      </c>
      <c r="D3236" s="23">
        <v>6000</v>
      </c>
      <c r="E3236" s="24">
        <v>0</v>
      </c>
    </row>
    <row r="3237" spans="1:5" x14ac:dyDescent="0.3">
      <c r="A3237" s="20" t="s">
        <v>141</v>
      </c>
      <c r="B3237" s="21" t="s">
        <v>369</v>
      </c>
      <c r="C3237" s="22">
        <v>4000</v>
      </c>
      <c r="D3237" s="23">
        <v>3000</v>
      </c>
      <c r="E3237" s="24">
        <v>0</v>
      </c>
    </row>
    <row r="3238" spans="1:5" x14ac:dyDescent="0.3">
      <c r="A3238" s="20" t="s">
        <v>141</v>
      </c>
      <c r="B3238" s="21" t="s">
        <v>370</v>
      </c>
      <c r="C3238" s="22">
        <v>4000</v>
      </c>
      <c r="D3238" s="23">
        <v>0</v>
      </c>
      <c r="E3238" s="24">
        <v>0</v>
      </c>
    </row>
    <row r="3239" spans="1:5" x14ac:dyDescent="0.3">
      <c r="A3239" s="20" t="s">
        <v>141</v>
      </c>
      <c r="B3239" s="21" t="s">
        <v>371</v>
      </c>
      <c r="C3239" s="22">
        <v>4000</v>
      </c>
      <c r="D3239" s="23">
        <v>0</v>
      </c>
      <c r="E3239" s="24">
        <v>0</v>
      </c>
    </row>
    <row r="3240" spans="1:5" x14ac:dyDescent="0.3">
      <c r="A3240" s="20" t="s">
        <v>141</v>
      </c>
      <c r="B3240" s="21" t="s">
        <v>372</v>
      </c>
      <c r="C3240" s="22">
        <v>4000</v>
      </c>
      <c r="D3240" s="23">
        <v>0</v>
      </c>
      <c r="E3240" s="24">
        <v>0</v>
      </c>
    </row>
    <row r="3241" spans="1:5" x14ac:dyDescent="0.3">
      <c r="A3241" s="20" t="s">
        <v>141</v>
      </c>
      <c r="B3241" s="21" t="s">
        <v>373</v>
      </c>
      <c r="C3241" s="22">
        <v>2000</v>
      </c>
      <c r="D3241" s="23">
        <v>0</v>
      </c>
      <c r="E3241" s="24">
        <v>0</v>
      </c>
    </row>
    <row r="3242" spans="1:5" x14ac:dyDescent="0.3">
      <c r="A3242" s="20" t="s">
        <v>141</v>
      </c>
      <c r="B3242" s="21" t="s">
        <v>374</v>
      </c>
      <c r="C3242" s="22">
        <v>4000</v>
      </c>
      <c r="D3242" s="23">
        <v>0</v>
      </c>
      <c r="E3242" s="24">
        <v>0</v>
      </c>
    </row>
    <row r="3243" spans="1:5" x14ac:dyDescent="0.3">
      <c r="A3243" s="20" t="s">
        <v>141</v>
      </c>
      <c r="B3243" s="21" t="s">
        <v>375</v>
      </c>
      <c r="C3243" s="22">
        <v>4000</v>
      </c>
      <c r="D3243" s="23">
        <v>0</v>
      </c>
      <c r="E3243" s="24">
        <v>0</v>
      </c>
    </row>
    <row r="3244" spans="1:5" x14ac:dyDescent="0.3">
      <c r="A3244" s="20" t="s">
        <v>141</v>
      </c>
      <c r="B3244" s="21" t="s">
        <v>376</v>
      </c>
      <c r="C3244" s="22">
        <v>4000</v>
      </c>
      <c r="D3244" s="23">
        <v>0</v>
      </c>
      <c r="E3244" s="24">
        <v>0</v>
      </c>
    </row>
    <row r="3245" spans="1:5" x14ac:dyDescent="0.3">
      <c r="A3245" s="20" t="s">
        <v>141</v>
      </c>
      <c r="B3245" s="21" t="s">
        <v>377</v>
      </c>
      <c r="C3245" s="22">
        <v>2000</v>
      </c>
      <c r="D3245" s="23">
        <v>0</v>
      </c>
      <c r="E3245" s="24">
        <v>0</v>
      </c>
    </row>
    <row r="3246" spans="1:5" x14ac:dyDescent="0.3">
      <c r="A3246" s="16" t="s">
        <v>196</v>
      </c>
      <c r="B3246" s="16" t="s">
        <v>366</v>
      </c>
      <c r="C3246" s="17">
        <v>68000</v>
      </c>
      <c r="D3246" s="18">
        <v>96000</v>
      </c>
      <c r="E3246" s="19">
        <v>0</v>
      </c>
    </row>
    <row r="3247" spans="1:5" x14ac:dyDescent="0.3">
      <c r="A3247" s="20" t="s">
        <v>196</v>
      </c>
      <c r="B3247" s="21" t="s">
        <v>367</v>
      </c>
      <c r="C3247" s="22">
        <v>68000</v>
      </c>
      <c r="D3247" s="23">
        <v>96000</v>
      </c>
      <c r="E3247" s="24">
        <v>0</v>
      </c>
    </row>
    <row r="3248" spans="1:5" x14ac:dyDescent="0.3">
      <c r="A3248" s="20" t="s">
        <v>196</v>
      </c>
      <c r="B3248" s="21" t="s">
        <v>368</v>
      </c>
      <c r="C3248" s="22">
        <v>68000</v>
      </c>
      <c r="D3248" s="23">
        <v>32000</v>
      </c>
      <c r="E3248" s="24">
        <v>0</v>
      </c>
    </row>
    <row r="3249" spans="1:5" x14ac:dyDescent="0.3">
      <c r="A3249" s="20" t="s">
        <v>196</v>
      </c>
      <c r="B3249" s="21" t="s">
        <v>369</v>
      </c>
      <c r="C3249" s="22">
        <v>68000</v>
      </c>
      <c r="D3249" s="23">
        <v>64000</v>
      </c>
      <c r="E3249" s="24">
        <v>0</v>
      </c>
    </row>
    <row r="3250" spans="1:5" x14ac:dyDescent="0.3">
      <c r="A3250" s="20" t="s">
        <v>196</v>
      </c>
      <c r="B3250" s="21" t="s">
        <v>370</v>
      </c>
      <c r="C3250" s="22">
        <v>68000</v>
      </c>
      <c r="D3250" s="23">
        <v>0</v>
      </c>
      <c r="E3250" s="24">
        <v>0</v>
      </c>
    </row>
    <row r="3251" spans="1:5" x14ac:dyDescent="0.3">
      <c r="A3251" s="20" t="s">
        <v>196</v>
      </c>
      <c r="B3251" s="21" t="s">
        <v>371</v>
      </c>
      <c r="C3251" s="22">
        <v>68000</v>
      </c>
      <c r="D3251" s="23">
        <v>0</v>
      </c>
      <c r="E3251" s="24">
        <v>0</v>
      </c>
    </row>
    <row r="3252" spans="1:5" x14ac:dyDescent="0.3">
      <c r="A3252" s="20" t="s">
        <v>196</v>
      </c>
      <c r="B3252" s="21" t="s">
        <v>372</v>
      </c>
      <c r="C3252" s="22">
        <v>68000</v>
      </c>
      <c r="D3252" s="23">
        <v>0</v>
      </c>
      <c r="E3252" s="24">
        <v>0</v>
      </c>
    </row>
    <row r="3253" spans="1:5" x14ac:dyDescent="0.3">
      <c r="A3253" s="20" t="s">
        <v>196</v>
      </c>
      <c r="B3253" s="21" t="s">
        <v>373</v>
      </c>
      <c r="C3253" s="22">
        <v>34000</v>
      </c>
      <c r="D3253" s="23">
        <v>0</v>
      </c>
      <c r="E3253" s="24">
        <v>0</v>
      </c>
    </row>
    <row r="3254" spans="1:5" x14ac:dyDescent="0.3">
      <c r="A3254" s="20" t="s">
        <v>196</v>
      </c>
      <c r="B3254" s="21" t="s">
        <v>374</v>
      </c>
      <c r="C3254" s="22">
        <v>68000</v>
      </c>
      <c r="D3254" s="23">
        <v>0</v>
      </c>
      <c r="E3254" s="24">
        <v>0</v>
      </c>
    </row>
    <row r="3255" spans="1:5" x14ac:dyDescent="0.3">
      <c r="A3255" s="20" t="s">
        <v>196</v>
      </c>
      <c r="B3255" s="21" t="s">
        <v>375</v>
      </c>
      <c r="C3255" s="22">
        <v>68000</v>
      </c>
      <c r="D3255" s="23">
        <v>0</v>
      </c>
      <c r="E3255" s="24">
        <v>0</v>
      </c>
    </row>
    <row r="3256" spans="1:5" x14ac:dyDescent="0.3">
      <c r="A3256" s="20" t="s">
        <v>196</v>
      </c>
      <c r="B3256" s="21" t="s">
        <v>376</v>
      </c>
      <c r="C3256" s="22">
        <v>68000</v>
      </c>
      <c r="D3256" s="23">
        <v>0</v>
      </c>
      <c r="E3256" s="24">
        <v>0</v>
      </c>
    </row>
    <row r="3257" spans="1:5" x14ac:dyDescent="0.3">
      <c r="A3257" s="20" t="s">
        <v>196</v>
      </c>
      <c r="B3257" s="21" t="s">
        <v>377</v>
      </c>
      <c r="C3257" s="22">
        <v>34000</v>
      </c>
      <c r="D3257" s="23">
        <v>0</v>
      </c>
      <c r="E3257" s="24">
        <v>0</v>
      </c>
    </row>
    <row r="3258" spans="1:5" x14ac:dyDescent="0.3">
      <c r="A3258" s="16" t="s">
        <v>219</v>
      </c>
      <c r="B3258" s="16" t="s">
        <v>366</v>
      </c>
      <c r="C3258" s="17">
        <v>18000</v>
      </c>
      <c r="D3258" s="18">
        <v>24000</v>
      </c>
      <c r="E3258" s="19">
        <v>0</v>
      </c>
    </row>
    <row r="3259" spans="1:5" x14ac:dyDescent="0.3">
      <c r="A3259" s="20" t="s">
        <v>219</v>
      </c>
      <c r="B3259" s="21" t="s">
        <v>367</v>
      </c>
      <c r="C3259" s="22">
        <v>18000</v>
      </c>
      <c r="D3259" s="23">
        <v>24000</v>
      </c>
      <c r="E3259" s="24">
        <v>0</v>
      </c>
    </row>
    <row r="3260" spans="1:5" x14ac:dyDescent="0.3">
      <c r="A3260" s="20" t="s">
        <v>219</v>
      </c>
      <c r="B3260" s="21" t="s">
        <v>368</v>
      </c>
      <c r="C3260" s="22">
        <v>18000</v>
      </c>
      <c r="D3260" s="23">
        <v>18000</v>
      </c>
      <c r="E3260" s="24">
        <v>0</v>
      </c>
    </row>
    <row r="3261" spans="1:5" x14ac:dyDescent="0.3">
      <c r="A3261" s="20" t="s">
        <v>219</v>
      </c>
      <c r="B3261" s="21" t="s">
        <v>369</v>
      </c>
      <c r="C3261" s="22">
        <v>18000</v>
      </c>
      <c r="D3261" s="23">
        <v>8000</v>
      </c>
      <c r="E3261" s="24">
        <v>0</v>
      </c>
    </row>
    <row r="3262" spans="1:5" x14ac:dyDescent="0.3">
      <c r="A3262" s="20" t="s">
        <v>219</v>
      </c>
      <c r="B3262" s="21" t="s">
        <v>370</v>
      </c>
      <c r="C3262" s="22">
        <v>18000</v>
      </c>
      <c r="D3262" s="23">
        <v>0</v>
      </c>
      <c r="E3262" s="24">
        <v>0</v>
      </c>
    </row>
    <row r="3263" spans="1:5" x14ac:dyDescent="0.3">
      <c r="A3263" s="20" t="s">
        <v>219</v>
      </c>
      <c r="B3263" s="21" t="s">
        <v>371</v>
      </c>
      <c r="C3263" s="22">
        <v>18000</v>
      </c>
      <c r="D3263" s="23">
        <v>0</v>
      </c>
      <c r="E3263" s="24">
        <v>0</v>
      </c>
    </row>
    <row r="3264" spans="1:5" x14ac:dyDescent="0.3">
      <c r="A3264" s="20" t="s">
        <v>219</v>
      </c>
      <c r="B3264" s="21" t="s">
        <v>372</v>
      </c>
      <c r="C3264" s="22">
        <v>18000</v>
      </c>
      <c r="D3264" s="23">
        <v>0</v>
      </c>
      <c r="E3264" s="24">
        <v>0</v>
      </c>
    </row>
    <row r="3265" spans="1:5" x14ac:dyDescent="0.3">
      <c r="A3265" s="20" t="s">
        <v>219</v>
      </c>
      <c r="B3265" s="21" t="s">
        <v>373</v>
      </c>
      <c r="C3265" s="22">
        <v>9000</v>
      </c>
      <c r="D3265" s="23">
        <v>0</v>
      </c>
      <c r="E3265" s="24">
        <v>0</v>
      </c>
    </row>
    <row r="3266" spans="1:5" x14ac:dyDescent="0.3">
      <c r="A3266" s="20" t="s">
        <v>219</v>
      </c>
      <c r="B3266" s="21" t="s">
        <v>374</v>
      </c>
      <c r="C3266" s="22">
        <v>18000</v>
      </c>
      <c r="D3266" s="23">
        <v>0</v>
      </c>
      <c r="E3266" s="24">
        <v>0</v>
      </c>
    </row>
    <row r="3267" spans="1:5" x14ac:dyDescent="0.3">
      <c r="A3267" s="20" t="s">
        <v>219</v>
      </c>
      <c r="B3267" s="21" t="s">
        <v>375</v>
      </c>
      <c r="C3267" s="22">
        <v>18000</v>
      </c>
      <c r="D3267" s="23">
        <v>0</v>
      </c>
      <c r="E3267" s="24">
        <v>0</v>
      </c>
    </row>
    <row r="3268" spans="1:5" x14ac:dyDescent="0.3">
      <c r="A3268" s="20" t="s">
        <v>219</v>
      </c>
      <c r="B3268" s="21" t="s">
        <v>376</v>
      </c>
      <c r="C3268" s="22">
        <v>18000</v>
      </c>
      <c r="D3268" s="23">
        <v>0</v>
      </c>
      <c r="E3268" s="24">
        <v>0</v>
      </c>
    </row>
    <row r="3269" spans="1:5" x14ac:dyDescent="0.3">
      <c r="A3269" s="20" t="s">
        <v>219</v>
      </c>
      <c r="B3269" s="21" t="s">
        <v>377</v>
      </c>
      <c r="C3269" s="22">
        <v>9000</v>
      </c>
      <c r="D3269" s="23">
        <v>0</v>
      </c>
      <c r="E3269" s="24">
        <v>0</v>
      </c>
    </row>
    <row r="3270" spans="1:5" x14ac:dyDescent="0.3">
      <c r="A3270" s="16" t="s">
        <v>96</v>
      </c>
      <c r="B3270" s="16" t="s">
        <v>366</v>
      </c>
      <c r="C3270" s="17">
        <v>0</v>
      </c>
      <c r="D3270" s="18">
        <v>0</v>
      </c>
      <c r="E3270" s="19">
        <v>0</v>
      </c>
    </row>
    <row r="3271" spans="1:5" x14ac:dyDescent="0.3">
      <c r="A3271" s="20" t="s">
        <v>96</v>
      </c>
      <c r="B3271" s="21" t="s">
        <v>367</v>
      </c>
      <c r="C3271" s="22">
        <v>0</v>
      </c>
      <c r="D3271" s="23">
        <v>0</v>
      </c>
      <c r="E3271" s="24">
        <v>0</v>
      </c>
    </row>
    <row r="3272" spans="1:5" x14ac:dyDescent="0.3">
      <c r="A3272" s="20" t="s">
        <v>96</v>
      </c>
      <c r="B3272" s="21" t="s">
        <v>368</v>
      </c>
      <c r="C3272" s="22">
        <v>0</v>
      </c>
      <c r="D3272" s="23">
        <v>0</v>
      </c>
      <c r="E3272" s="24">
        <v>0</v>
      </c>
    </row>
    <row r="3273" spans="1:5" x14ac:dyDescent="0.3">
      <c r="A3273" s="20" t="s">
        <v>96</v>
      </c>
      <c r="B3273" s="21" t="s">
        <v>369</v>
      </c>
      <c r="C3273" s="22">
        <v>0</v>
      </c>
      <c r="D3273" s="23">
        <v>0</v>
      </c>
      <c r="E3273" s="24">
        <v>0</v>
      </c>
    </row>
    <row r="3274" spans="1:5" x14ac:dyDescent="0.3">
      <c r="A3274" s="20" t="s">
        <v>96</v>
      </c>
      <c r="B3274" s="21" t="s">
        <v>370</v>
      </c>
      <c r="C3274" s="22">
        <v>0</v>
      </c>
      <c r="D3274" s="23">
        <v>0</v>
      </c>
      <c r="E3274" s="24">
        <v>0</v>
      </c>
    </row>
    <row r="3275" spans="1:5" x14ac:dyDescent="0.3">
      <c r="A3275" s="20" t="s">
        <v>96</v>
      </c>
      <c r="B3275" s="21" t="s">
        <v>371</v>
      </c>
      <c r="C3275" s="22">
        <v>0</v>
      </c>
      <c r="D3275" s="23">
        <v>0</v>
      </c>
      <c r="E3275" s="24">
        <v>0</v>
      </c>
    </row>
    <row r="3276" spans="1:5" x14ac:dyDescent="0.3">
      <c r="A3276" s="16" t="s">
        <v>96</v>
      </c>
      <c r="B3276" s="16" t="s">
        <v>367</v>
      </c>
      <c r="C3276" s="17">
        <v>0</v>
      </c>
      <c r="D3276" s="18">
        <v>0</v>
      </c>
      <c r="E3276" s="19">
        <v>0</v>
      </c>
    </row>
    <row r="3277" spans="1:5" x14ac:dyDescent="0.3">
      <c r="A3277" s="20" t="s">
        <v>96</v>
      </c>
      <c r="B3277" s="21" t="s">
        <v>368</v>
      </c>
      <c r="C3277" s="22">
        <v>0</v>
      </c>
      <c r="D3277" s="23">
        <v>0</v>
      </c>
      <c r="E3277" s="24">
        <v>0</v>
      </c>
    </row>
    <row r="3278" spans="1:5" x14ac:dyDescent="0.3">
      <c r="A3278" s="20" t="s">
        <v>96</v>
      </c>
      <c r="B3278" s="21" t="s">
        <v>369</v>
      </c>
      <c r="C3278" s="22">
        <v>0</v>
      </c>
      <c r="D3278" s="23">
        <v>0</v>
      </c>
      <c r="E3278" s="24">
        <v>0</v>
      </c>
    </row>
    <row r="3279" spans="1:5" x14ac:dyDescent="0.3">
      <c r="A3279" s="20" t="s">
        <v>96</v>
      </c>
      <c r="B3279" s="21" t="s">
        <v>370</v>
      </c>
      <c r="C3279" s="22">
        <v>0</v>
      </c>
      <c r="D3279" s="23">
        <v>0</v>
      </c>
      <c r="E3279" s="24">
        <v>0</v>
      </c>
    </row>
    <row r="3280" spans="1:5" x14ac:dyDescent="0.3">
      <c r="A3280" s="20" t="s">
        <v>96</v>
      </c>
      <c r="B3280" s="21" t="s">
        <v>371</v>
      </c>
      <c r="C3280" s="22">
        <v>0</v>
      </c>
      <c r="D3280" s="23">
        <v>0</v>
      </c>
      <c r="E3280" s="24">
        <v>0</v>
      </c>
    </row>
    <row r="3281" spans="1:5" x14ac:dyDescent="0.3">
      <c r="A3281" s="20" t="s">
        <v>96</v>
      </c>
      <c r="B3281" s="21" t="s">
        <v>373</v>
      </c>
      <c r="C3281" s="22">
        <v>0</v>
      </c>
      <c r="D3281" s="23">
        <v>0</v>
      </c>
      <c r="E3281" s="24">
        <v>0</v>
      </c>
    </row>
    <row r="3282" spans="1:5" x14ac:dyDescent="0.3">
      <c r="A3282" s="16" t="s">
        <v>96</v>
      </c>
      <c r="B3282" s="16" t="s">
        <v>366</v>
      </c>
      <c r="C3282" s="17">
        <v>0</v>
      </c>
      <c r="D3282" s="18">
        <v>0</v>
      </c>
      <c r="E3282" s="19">
        <v>0</v>
      </c>
    </row>
    <row r="3283" spans="1:5" x14ac:dyDescent="0.3">
      <c r="A3283" s="20" t="s">
        <v>96</v>
      </c>
      <c r="B3283" s="21" t="s">
        <v>367</v>
      </c>
      <c r="C3283" s="22">
        <v>0</v>
      </c>
      <c r="D3283" s="23">
        <v>0</v>
      </c>
      <c r="E3283" s="24">
        <v>0</v>
      </c>
    </row>
    <row r="3284" spans="1:5" x14ac:dyDescent="0.3">
      <c r="A3284" s="20" t="s">
        <v>96</v>
      </c>
      <c r="B3284" s="21" t="s">
        <v>373</v>
      </c>
      <c r="C3284" s="22">
        <v>0</v>
      </c>
      <c r="D3284" s="23">
        <v>0</v>
      </c>
      <c r="E3284" s="24">
        <v>0</v>
      </c>
    </row>
    <row r="3285" spans="1:5" x14ac:dyDescent="0.3">
      <c r="A3285" s="16" t="s">
        <v>38</v>
      </c>
      <c r="B3285" s="16" t="s">
        <v>371</v>
      </c>
      <c r="C3285" s="17">
        <v>0</v>
      </c>
      <c r="D3285" s="18">
        <v>0</v>
      </c>
      <c r="E3285" s="19">
        <v>0</v>
      </c>
    </row>
    <row r="3286" spans="1:5" x14ac:dyDescent="0.3">
      <c r="A3286" s="16" t="s">
        <v>215</v>
      </c>
      <c r="B3286" s="16" t="s">
        <v>366</v>
      </c>
      <c r="C3286" s="17">
        <v>1008000</v>
      </c>
      <c r="D3286" s="18">
        <v>1008000</v>
      </c>
      <c r="E3286" s="19">
        <v>0</v>
      </c>
    </row>
    <row r="3287" spans="1:5" x14ac:dyDescent="0.3">
      <c r="A3287" s="20" t="s">
        <v>215</v>
      </c>
      <c r="B3287" s="21" t="s">
        <v>367</v>
      </c>
      <c r="C3287" s="22">
        <v>0</v>
      </c>
      <c r="D3287" s="23">
        <v>1008000</v>
      </c>
      <c r="E3287" s="24">
        <v>0</v>
      </c>
    </row>
    <row r="3288" spans="1:5" x14ac:dyDescent="0.3">
      <c r="A3288" s="20" t="s">
        <v>215</v>
      </c>
      <c r="B3288" s="21" t="s">
        <v>368</v>
      </c>
      <c r="C3288" s="22">
        <v>0</v>
      </c>
      <c r="D3288" s="23">
        <v>0</v>
      </c>
      <c r="E3288" s="24">
        <v>0</v>
      </c>
    </row>
    <row r="3289" spans="1:5" x14ac:dyDescent="0.3">
      <c r="A3289" s="20" t="s">
        <v>215</v>
      </c>
      <c r="B3289" s="21" t="s">
        <v>369</v>
      </c>
      <c r="C3289" s="22">
        <v>1008000</v>
      </c>
      <c r="D3289" s="23">
        <v>1008000</v>
      </c>
      <c r="E3289" s="24">
        <v>0</v>
      </c>
    </row>
    <row r="3290" spans="1:5" x14ac:dyDescent="0.3">
      <c r="A3290" s="20" t="s">
        <v>215</v>
      </c>
      <c r="B3290" s="21" t="s">
        <v>373</v>
      </c>
      <c r="C3290" s="22">
        <v>1008000</v>
      </c>
      <c r="D3290" s="23">
        <v>1008000</v>
      </c>
      <c r="E3290" s="24">
        <v>0</v>
      </c>
    </row>
    <row r="3291" spans="1:5" x14ac:dyDescent="0.3">
      <c r="A3291" s="20" t="s">
        <v>215</v>
      </c>
      <c r="B3291" s="21" t="s">
        <v>375</v>
      </c>
      <c r="C3291" s="22">
        <v>0</v>
      </c>
      <c r="D3291" s="23">
        <v>1008000</v>
      </c>
      <c r="E3291" s="24">
        <v>0</v>
      </c>
    </row>
    <row r="3292" spans="1:5" x14ac:dyDescent="0.3">
      <c r="A3292" s="20" t="s">
        <v>215</v>
      </c>
      <c r="B3292" s="21" t="s">
        <v>376</v>
      </c>
      <c r="C3292" s="22">
        <v>1008000</v>
      </c>
      <c r="D3292" s="23">
        <v>0</v>
      </c>
      <c r="E3292" s="24">
        <v>0</v>
      </c>
    </row>
    <row r="3293" spans="1:5" x14ac:dyDescent="0.3">
      <c r="A3293" s="16" t="s">
        <v>185</v>
      </c>
      <c r="B3293" s="16" t="s">
        <v>366</v>
      </c>
      <c r="C3293" s="17">
        <v>13000</v>
      </c>
      <c r="D3293" s="18">
        <v>0</v>
      </c>
      <c r="E3293" s="19">
        <v>0</v>
      </c>
    </row>
    <row r="3294" spans="1:5" x14ac:dyDescent="0.3">
      <c r="A3294" s="20" t="s">
        <v>185</v>
      </c>
      <c r="B3294" s="21" t="s">
        <v>367</v>
      </c>
      <c r="C3294" s="22">
        <v>13000</v>
      </c>
      <c r="D3294" s="23">
        <v>40000</v>
      </c>
      <c r="E3294" s="24">
        <v>0</v>
      </c>
    </row>
    <row r="3295" spans="1:5" x14ac:dyDescent="0.3">
      <c r="A3295" s="20" t="s">
        <v>185</v>
      </c>
      <c r="B3295" s="21" t="s">
        <v>368</v>
      </c>
      <c r="C3295" s="22">
        <v>13000</v>
      </c>
      <c r="D3295" s="23">
        <v>0</v>
      </c>
      <c r="E3295" s="24">
        <v>0</v>
      </c>
    </row>
    <row r="3296" spans="1:5" x14ac:dyDescent="0.3">
      <c r="A3296" s="20" t="s">
        <v>185</v>
      </c>
      <c r="B3296" s="21" t="s">
        <v>370</v>
      </c>
      <c r="C3296" s="22">
        <v>0</v>
      </c>
      <c r="D3296" s="23">
        <v>0</v>
      </c>
      <c r="E3296" s="24">
        <v>0</v>
      </c>
    </row>
    <row r="3297" spans="1:5" x14ac:dyDescent="0.3">
      <c r="A3297" s="20" t="s">
        <v>185</v>
      </c>
      <c r="B3297" s="21" t="s">
        <v>373</v>
      </c>
      <c r="C3297" s="22">
        <v>0</v>
      </c>
      <c r="D3297" s="23">
        <v>0</v>
      </c>
      <c r="E3297" s="24">
        <v>0</v>
      </c>
    </row>
    <row r="3298" spans="1:5" x14ac:dyDescent="0.3">
      <c r="A3298" s="20" t="s">
        <v>185</v>
      </c>
      <c r="B3298" s="21" t="s">
        <v>375</v>
      </c>
      <c r="C3298" s="22">
        <v>0</v>
      </c>
      <c r="D3298" s="23">
        <v>0</v>
      </c>
      <c r="E3298" s="24">
        <v>0</v>
      </c>
    </row>
    <row r="3299" spans="1:5" x14ac:dyDescent="0.3">
      <c r="A3299" s="16" t="s">
        <v>351</v>
      </c>
      <c r="B3299" s="16" t="s">
        <v>366</v>
      </c>
      <c r="C3299" s="17">
        <v>4000</v>
      </c>
      <c r="D3299" s="18">
        <v>0</v>
      </c>
      <c r="E3299" s="19">
        <v>0</v>
      </c>
    </row>
    <row r="3300" spans="1:5" x14ac:dyDescent="0.3">
      <c r="A3300" s="20" t="s">
        <v>351</v>
      </c>
      <c r="B3300" s="21" t="s">
        <v>367</v>
      </c>
      <c r="C3300" s="22">
        <v>4000</v>
      </c>
      <c r="D3300" s="23">
        <v>0</v>
      </c>
      <c r="E3300" s="24">
        <v>0</v>
      </c>
    </row>
    <row r="3301" spans="1:5" x14ac:dyDescent="0.3">
      <c r="A3301" s="20" t="s">
        <v>351</v>
      </c>
      <c r="B3301" s="21" t="s">
        <v>368</v>
      </c>
      <c r="C3301" s="22">
        <v>4000</v>
      </c>
      <c r="D3301" s="23">
        <v>0</v>
      </c>
      <c r="E3301" s="24">
        <v>0</v>
      </c>
    </row>
    <row r="3302" spans="1:5" x14ac:dyDescent="0.3">
      <c r="A3302" s="20" t="s">
        <v>351</v>
      </c>
      <c r="B3302" s="21" t="s">
        <v>369</v>
      </c>
      <c r="C3302" s="22">
        <v>4000</v>
      </c>
      <c r="D3302" s="23">
        <v>0</v>
      </c>
      <c r="E3302" s="24">
        <v>0</v>
      </c>
    </row>
    <row r="3303" spans="1:5" x14ac:dyDescent="0.3">
      <c r="A3303" s="20" t="s">
        <v>351</v>
      </c>
      <c r="B3303" s="21" t="s">
        <v>370</v>
      </c>
      <c r="C3303" s="22">
        <v>4000</v>
      </c>
      <c r="D3303" s="23">
        <v>0</v>
      </c>
      <c r="E3303" s="24">
        <v>0</v>
      </c>
    </row>
    <row r="3304" spans="1:5" x14ac:dyDescent="0.3">
      <c r="A3304" s="20" t="s">
        <v>351</v>
      </c>
      <c r="B3304" s="21" t="s">
        <v>371</v>
      </c>
      <c r="C3304" s="22">
        <v>4000</v>
      </c>
      <c r="D3304" s="23">
        <v>0</v>
      </c>
      <c r="E3304" s="24">
        <v>0</v>
      </c>
    </row>
    <row r="3305" spans="1:5" x14ac:dyDescent="0.3">
      <c r="A3305" s="20" t="s">
        <v>351</v>
      </c>
      <c r="B3305" s="21" t="s">
        <v>372</v>
      </c>
      <c r="C3305" s="22">
        <v>4000</v>
      </c>
      <c r="D3305" s="23">
        <v>0</v>
      </c>
      <c r="E3305" s="24">
        <v>0</v>
      </c>
    </row>
    <row r="3306" spans="1:5" x14ac:dyDescent="0.3">
      <c r="A3306" s="20" t="s">
        <v>351</v>
      </c>
      <c r="B3306" s="21" t="s">
        <v>373</v>
      </c>
      <c r="C3306" s="22">
        <v>2000</v>
      </c>
      <c r="D3306" s="23">
        <v>0</v>
      </c>
      <c r="E3306" s="24">
        <v>0</v>
      </c>
    </row>
    <row r="3307" spans="1:5" x14ac:dyDescent="0.3">
      <c r="A3307" s="20" t="s">
        <v>351</v>
      </c>
      <c r="B3307" s="21" t="s">
        <v>374</v>
      </c>
      <c r="C3307" s="22">
        <v>4000</v>
      </c>
      <c r="D3307" s="23">
        <v>0</v>
      </c>
      <c r="E3307" s="24">
        <v>0</v>
      </c>
    </row>
    <row r="3308" spans="1:5" x14ac:dyDescent="0.3">
      <c r="A3308" s="20" t="s">
        <v>351</v>
      </c>
      <c r="B3308" s="21" t="s">
        <v>375</v>
      </c>
      <c r="C3308" s="22">
        <v>4000</v>
      </c>
      <c r="D3308" s="23">
        <v>0</v>
      </c>
      <c r="E3308" s="24">
        <v>0</v>
      </c>
    </row>
    <row r="3309" spans="1:5" x14ac:dyDescent="0.3">
      <c r="A3309" s="20" t="s">
        <v>351</v>
      </c>
      <c r="B3309" s="21" t="s">
        <v>376</v>
      </c>
      <c r="C3309" s="22">
        <v>4000</v>
      </c>
      <c r="D3309" s="23">
        <v>0</v>
      </c>
      <c r="E3309" s="24">
        <v>0</v>
      </c>
    </row>
    <row r="3310" spans="1:5" x14ac:dyDescent="0.3">
      <c r="A3310" s="20" t="s">
        <v>351</v>
      </c>
      <c r="B3310" s="21" t="s">
        <v>377</v>
      </c>
      <c r="C3310" s="22">
        <v>2000</v>
      </c>
      <c r="D3310" s="23">
        <v>0</v>
      </c>
      <c r="E3310" s="24">
        <v>0</v>
      </c>
    </row>
    <row r="3311" spans="1:5" x14ac:dyDescent="0.3">
      <c r="A3311" s="16" t="s">
        <v>236</v>
      </c>
      <c r="B3311" s="16" t="s">
        <v>366</v>
      </c>
      <c r="C3311" s="17">
        <v>28000</v>
      </c>
      <c r="D3311" s="18">
        <v>0</v>
      </c>
      <c r="E3311" s="19">
        <v>0</v>
      </c>
    </row>
    <row r="3312" spans="1:5" x14ac:dyDescent="0.3">
      <c r="A3312" s="20" t="s">
        <v>236</v>
      </c>
      <c r="B3312" s="21" t="s">
        <v>367</v>
      </c>
      <c r="C3312" s="22">
        <v>28000</v>
      </c>
      <c r="D3312" s="23">
        <v>50400</v>
      </c>
      <c r="E3312" s="24">
        <v>0</v>
      </c>
    </row>
    <row r="3313" spans="1:5" x14ac:dyDescent="0.3">
      <c r="A3313" s="20" t="s">
        <v>236</v>
      </c>
      <c r="B3313" s="21" t="s">
        <v>368</v>
      </c>
      <c r="C3313" s="22">
        <v>28000</v>
      </c>
      <c r="D3313" s="23">
        <v>0</v>
      </c>
      <c r="E3313" s="24">
        <v>0</v>
      </c>
    </row>
    <row r="3314" spans="1:5" x14ac:dyDescent="0.3">
      <c r="A3314" s="20" t="s">
        <v>236</v>
      </c>
      <c r="B3314" s="21" t="s">
        <v>369</v>
      </c>
      <c r="C3314" s="22">
        <v>28000</v>
      </c>
      <c r="D3314" s="23">
        <v>50400</v>
      </c>
      <c r="E3314" s="24">
        <v>0</v>
      </c>
    </row>
    <row r="3315" spans="1:5" x14ac:dyDescent="0.3">
      <c r="A3315" s="20" t="s">
        <v>236</v>
      </c>
      <c r="B3315" s="21" t="s">
        <v>370</v>
      </c>
      <c r="C3315" s="22">
        <v>28000</v>
      </c>
      <c r="D3315" s="23">
        <v>0</v>
      </c>
      <c r="E3315" s="24">
        <v>0</v>
      </c>
    </row>
    <row r="3316" spans="1:5" x14ac:dyDescent="0.3">
      <c r="A3316" s="20" t="s">
        <v>236</v>
      </c>
      <c r="B3316" s="21" t="s">
        <v>371</v>
      </c>
      <c r="C3316" s="22">
        <v>28000</v>
      </c>
      <c r="D3316" s="23">
        <v>0</v>
      </c>
      <c r="E3316" s="24">
        <v>0</v>
      </c>
    </row>
    <row r="3317" spans="1:5" x14ac:dyDescent="0.3">
      <c r="A3317" s="20" t="s">
        <v>236</v>
      </c>
      <c r="B3317" s="21" t="s">
        <v>372</v>
      </c>
      <c r="C3317" s="22">
        <v>28000</v>
      </c>
      <c r="D3317" s="23">
        <v>0</v>
      </c>
      <c r="E3317" s="24">
        <v>0</v>
      </c>
    </row>
    <row r="3318" spans="1:5" x14ac:dyDescent="0.3">
      <c r="A3318" s="20" t="s">
        <v>236</v>
      </c>
      <c r="B3318" s="21" t="s">
        <v>373</v>
      </c>
      <c r="C3318" s="22">
        <v>14000</v>
      </c>
      <c r="D3318" s="23">
        <v>0</v>
      </c>
      <c r="E3318" s="24">
        <v>0</v>
      </c>
    </row>
    <row r="3319" spans="1:5" x14ac:dyDescent="0.3">
      <c r="A3319" s="20" t="s">
        <v>236</v>
      </c>
      <c r="B3319" s="21" t="s">
        <v>374</v>
      </c>
      <c r="C3319" s="22">
        <v>28000</v>
      </c>
      <c r="D3319" s="23">
        <v>0</v>
      </c>
      <c r="E3319" s="24">
        <v>0</v>
      </c>
    </row>
    <row r="3320" spans="1:5" x14ac:dyDescent="0.3">
      <c r="A3320" s="20" t="s">
        <v>236</v>
      </c>
      <c r="B3320" s="21" t="s">
        <v>375</v>
      </c>
      <c r="C3320" s="22">
        <v>28000</v>
      </c>
      <c r="D3320" s="23">
        <v>0</v>
      </c>
      <c r="E3320" s="24">
        <v>0</v>
      </c>
    </row>
    <row r="3321" spans="1:5" x14ac:dyDescent="0.3">
      <c r="A3321" s="20" t="s">
        <v>236</v>
      </c>
      <c r="B3321" s="21" t="s">
        <v>376</v>
      </c>
      <c r="C3321" s="22">
        <v>28000</v>
      </c>
      <c r="D3321" s="23">
        <v>0</v>
      </c>
      <c r="E3321" s="24">
        <v>0</v>
      </c>
    </row>
    <row r="3322" spans="1:5" x14ac:dyDescent="0.3">
      <c r="A3322" s="20" t="s">
        <v>236</v>
      </c>
      <c r="B3322" s="21" t="s">
        <v>377</v>
      </c>
      <c r="C3322" s="22">
        <v>14000</v>
      </c>
      <c r="D3322" s="23">
        <v>0</v>
      </c>
      <c r="E3322" s="24">
        <v>0</v>
      </c>
    </row>
    <row r="3323" spans="1:5" x14ac:dyDescent="0.3">
      <c r="A3323" s="16" t="s">
        <v>252</v>
      </c>
      <c r="B3323" s="16" t="s">
        <v>366</v>
      </c>
      <c r="C3323" s="17">
        <v>67000</v>
      </c>
      <c r="D3323" s="18">
        <v>31500</v>
      </c>
      <c r="E3323" s="19">
        <v>0</v>
      </c>
    </row>
    <row r="3324" spans="1:5" x14ac:dyDescent="0.3">
      <c r="A3324" s="20" t="s">
        <v>252</v>
      </c>
      <c r="B3324" s="21" t="s">
        <v>367</v>
      </c>
      <c r="C3324" s="22">
        <v>67000</v>
      </c>
      <c r="D3324" s="23">
        <v>31500</v>
      </c>
      <c r="E3324" s="24">
        <v>0</v>
      </c>
    </row>
    <row r="3325" spans="1:5" x14ac:dyDescent="0.3">
      <c r="A3325" s="20" t="s">
        <v>252</v>
      </c>
      <c r="B3325" s="21" t="s">
        <v>368</v>
      </c>
      <c r="C3325" s="22">
        <v>67000</v>
      </c>
      <c r="D3325" s="23">
        <v>63000</v>
      </c>
      <c r="E3325" s="24">
        <v>0</v>
      </c>
    </row>
    <row r="3326" spans="1:5" x14ac:dyDescent="0.3">
      <c r="A3326" s="20" t="s">
        <v>252</v>
      </c>
      <c r="B3326" s="21" t="s">
        <v>369</v>
      </c>
      <c r="C3326" s="22">
        <v>67000</v>
      </c>
      <c r="D3326" s="23">
        <v>0</v>
      </c>
      <c r="E3326" s="24">
        <v>0</v>
      </c>
    </row>
    <row r="3327" spans="1:5" x14ac:dyDescent="0.3">
      <c r="A3327" s="20" t="s">
        <v>252</v>
      </c>
      <c r="B3327" s="21" t="s">
        <v>370</v>
      </c>
      <c r="C3327" s="22">
        <v>67000</v>
      </c>
      <c r="D3327" s="23">
        <v>0</v>
      </c>
      <c r="E3327" s="24">
        <v>0</v>
      </c>
    </row>
    <row r="3328" spans="1:5" x14ac:dyDescent="0.3">
      <c r="A3328" s="20" t="s">
        <v>252</v>
      </c>
      <c r="B3328" s="21" t="s">
        <v>371</v>
      </c>
      <c r="C3328" s="22">
        <v>67000</v>
      </c>
      <c r="D3328" s="23">
        <v>0</v>
      </c>
      <c r="E3328" s="24">
        <v>0</v>
      </c>
    </row>
    <row r="3329" spans="1:5" x14ac:dyDescent="0.3">
      <c r="A3329" s="20" t="s">
        <v>252</v>
      </c>
      <c r="B3329" s="21" t="s">
        <v>372</v>
      </c>
      <c r="C3329" s="22">
        <v>67000</v>
      </c>
      <c r="D3329" s="23">
        <v>0</v>
      </c>
      <c r="E3329" s="24">
        <v>0</v>
      </c>
    </row>
    <row r="3330" spans="1:5" x14ac:dyDescent="0.3">
      <c r="A3330" s="20" t="s">
        <v>252</v>
      </c>
      <c r="B3330" s="21" t="s">
        <v>373</v>
      </c>
      <c r="C3330" s="22">
        <v>34000</v>
      </c>
      <c r="D3330" s="23">
        <v>0</v>
      </c>
      <c r="E3330" s="24">
        <v>0</v>
      </c>
    </row>
    <row r="3331" spans="1:5" x14ac:dyDescent="0.3">
      <c r="A3331" s="20" t="s">
        <v>252</v>
      </c>
      <c r="B3331" s="21" t="s">
        <v>374</v>
      </c>
      <c r="C3331" s="22">
        <v>67000</v>
      </c>
      <c r="D3331" s="23">
        <v>0</v>
      </c>
      <c r="E3331" s="24">
        <v>0</v>
      </c>
    </row>
    <row r="3332" spans="1:5" x14ac:dyDescent="0.3">
      <c r="A3332" s="20" t="s">
        <v>252</v>
      </c>
      <c r="B3332" s="21" t="s">
        <v>375</v>
      </c>
      <c r="C3332" s="22">
        <v>67000</v>
      </c>
      <c r="D3332" s="23">
        <v>0</v>
      </c>
      <c r="E3332" s="24">
        <v>0</v>
      </c>
    </row>
    <row r="3333" spans="1:5" x14ac:dyDescent="0.3">
      <c r="A3333" s="20" t="s">
        <v>252</v>
      </c>
      <c r="B3333" s="21" t="s">
        <v>376</v>
      </c>
      <c r="C3333" s="22">
        <v>67000</v>
      </c>
      <c r="D3333" s="23">
        <v>0</v>
      </c>
      <c r="E3333" s="24">
        <v>0</v>
      </c>
    </row>
    <row r="3334" spans="1:5" x14ac:dyDescent="0.3">
      <c r="A3334" s="20" t="s">
        <v>252</v>
      </c>
      <c r="B3334" s="21" t="s">
        <v>377</v>
      </c>
      <c r="C3334" s="22">
        <v>34000</v>
      </c>
      <c r="D3334" s="23">
        <v>0</v>
      </c>
      <c r="E3334" s="24">
        <v>0</v>
      </c>
    </row>
    <row r="3335" spans="1:5" x14ac:dyDescent="0.3">
      <c r="A3335" s="16" t="s">
        <v>266</v>
      </c>
      <c r="B3335" s="16" t="s">
        <v>366</v>
      </c>
      <c r="C3335" s="17">
        <v>16000</v>
      </c>
      <c r="D3335" s="18">
        <v>0</v>
      </c>
      <c r="E3335" s="19">
        <v>0</v>
      </c>
    </row>
    <row r="3336" spans="1:5" x14ac:dyDescent="0.3">
      <c r="A3336" s="20" t="s">
        <v>266</v>
      </c>
      <c r="B3336" s="21" t="s">
        <v>367</v>
      </c>
      <c r="C3336" s="22">
        <v>16000</v>
      </c>
      <c r="D3336" s="23">
        <v>0</v>
      </c>
      <c r="E3336" s="24">
        <v>0</v>
      </c>
    </row>
    <row r="3337" spans="1:5" x14ac:dyDescent="0.3">
      <c r="A3337" s="20" t="s">
        <v>266</v>
      </c>
      <c r="B3337" s="21" t="s">
        <v>368</v>
      </c>
      <c r="C3337" s="22">
        <v>16000</v>
      </c>
      <c r="D3337" s="23">
        <v>0</v>
      </c>
      <c r="E3337" s="24">
        <v>0</v>
      </c>
    </row>
    <row r="3338" spans="1:5" x14ac:dyDescent="0.3">
      <c r="A3338" s="20" t="s">
        <v>266</v>
      </c>
      <c r="B3338" s="21" t="s">
        <v>369</v>
      </c>
      <c r="C3338" s="22">
        <v>16000</v>
      </c>
      <c r="D3338" s="23">
        <v>0</v>
      </c>
      <c r="E3338" s="24">
        <v>0</v>
      </c>
    </row>
    <row r="3339" spans="1:5" x14ac:dyDescent="0.3">
      <c r="A3339" s="20" t="s">
        <v>266</v>
      </c>
      <c r="B3339" s="21" t="s">
        <v>370</v>
      </c>
      <c r="C3339" s="22">
        <v>16000</v>
      </c>
      <c r="D3339" s="23">
        <v>0</v>
      </c>
      <c r="E3339" s="24">
        <v>0</v>
      </c>
    </row>
    <row r="3340" spans="1:5" x14ac:dyDescent="0.3">
      <c r="A3340" s="20" t="s">
        <v>266</v>
      </c>
      <c r="B3340" s="21" t="s">
        <v>371</v>
      </c>
      <c r="C3340" s="22">
        <v>16000</v>
      </c>
      <c r="D3340" s="23">
        <v>0</v>
      </c>
      <c r="E3340" s="24">
        <v>0</v>
      </c>
    </row>
    <row r="3341" spans="1:5" x14ac:dyDescent="0.3">
      <c r="A3341" s="20" t="s">
        <v>266</v>
      </c>
      <c r="B3341" s="21" t="s">
        <v>372</v>
      </c>
      <c r="C3341" s="22">
        <v>16000</v>
      </c>
      <c r="D3341" s="23">
        <v>0</v>
      </c>
      <c r="E3341" s="24">
        <v>0</v>
      </c>
    </row>
    <row r="3342" spans="1:5" x14ac:dyDescent="0.3">
      <c r="A3342" s="20" t="s">
        <v>266</v>
      </c>
      <c r="B3342" s="21" t="s">
        <v>373</v>
      </c>
      <c r="C3342" s="22">
        <v>8000</v>
      </c>
      <c r="D3342" s="23">
        <v>0</v>
      </c>
      <c r="E3342" s="24">
        <v>0</v>
      </c>
    </row>
    <row r="3343" spans="1:5" x14ac:dyDescent="0.3">
      <c r="A3343" s="20" t="s">
        <v>266</v>
      </c>
      <c r="B3343" s="21" t="s">
        <v>374</v>
      </c>
      <c r="C3343" s="22">
        <v>16000</v>
      </c>
      <c r="D3343" s="23">
        <v>0</v>
      </c>
      <c r="E3343" s="24">
        <v>0</v>
      </c>
    </row>
    <row r="3344" spans="1:5" x14ac:dyDescent="0.3">
      <c r="A3344" s="20" t="s">
        <v>266</v>
      </c>
      <c r="B3344" s="21" t="s">
        <v>375</v>
      </c>
      <c r="C3344" s="22">
        <v>16000</v>
      </c>
      <c r="D3344" s="23">
        <v>0</v>
      </c>
      <c r="E3344" s="24">
        <v>0</v>
      </c>
    </row>
    <row r="3345" spans="1:5" x14ac:dyDescent="0.3">
      <c r="A3345" s="20" t="s">
        <v>266</v>
      </c>
      <c r="B3345" s="21" t="s">
        <v>376</v>
      </c>
      <c r="C3345" s="22">
        <v>16000</v>
      </c>
      <c r="D3345" s="23">
        <v>0</v>
      </c>
      <c r="E3345" s="24">
        <v>0</v>
      </c>
    </row>
    <row r="3346" spans="1:5" x14ac:dyDescent="0.3">
      <c r="A3346" s="20" t="s">
        <v>266</v>
      </c>
      <c r="B3346" s="21" t="s">
        <v>377</v>
      </c>
      <c r="C3346" s="22">
        <v>8000</v>
      </c>
      <c r="D3346" s="23">
        <v>0</v>
      </c>
      <c r="E3346" s="24">
        <v>0</v>
      </c>
    </row>
    <row r="3347" spans="1:5" x14ac:dyDescent="0.3">
      <c r="A3347" s="16" t="s">
        <v>273</v>
      </c>
      <c r="B3347" s="16" t="s">
        <v>366</v>
      </c>
      <c r="C3347" s="17">
        <v>5000</v>
      </c>
      <c r="D3347" s="18">
        <v>8000</v>
      </c>
      <c r="E3347" s="19">
        <v>0</v>
      </c>
    </row>
    <row r="3348" spans="1:5" x14ac:dyDescent="0.3">
      <c r="A3348" s="20" t="s">
        <v>273</v>
      </c>
      <c r="B3348" s="21" t="s">
        <v>367</v>
      </c>
      <c r="C3348" s="22">
        <v>5000</v>
      </c>
      <c r="D3348" s="23">
        <v>4000</v>
      </c>
      <c r="E3348" s="24">
        <v>0</v>
      </c>
    </row>
    <row r="3349" spans="1:5" x14ac:dyDescent="0.3">
      <c r="A3349" s="20" t="s">
        <v>273</v>
      </c>
      <c r="B3349" s="21" t="s">
        <v>368</v>
      </c>
      <c r="C3349" s="22">
        <v>5000</v>
      </c>
      <c r="D3349" s="23">
        <v>0</v>
      </c>
      <c r="E3349" s="24">
        <v>0</v>
      </c>
    </row>
    <row r="3350" spans="1:5" x14ac:dyDescent="0.3">
      <c r="A3350" s="20" t="s">
        <v>273</v>
      </c>
      <c r="B3350" s="21" t="s">
        <v>369</v>
      </c>
      <c r="C3350" s="22">
        <v>5000</v>
      </c>
      <c r="D3350" s="23">
        <v>4000</v>
      </c>
      <c r="E3350" s="24">
        <v>0</v>
      </c>
    </row>
    <row r="3351" spans="1:5" x14ac:dyDescent="0.3">
      <c r="A3351" s="20" t="s">
        <v>273</v>
      </c>
      <c r="B3351" s="21" t="s">
        <v>370</v>
      </c>
      <c r="C3351" s="22">
        <v>5000</v>
      </c>
      <c r="D3351" s="23">
        <v>4000</v>
      </c>
      <c r="E3351" s="24">
        <v>0</v>
      </c>
    </row>
    <row r="3352" spans="1:5" x14ac:dyDescent="0.3">
      <c r="A3352" s="20" t="s">
        <v>273</v>
      </c>
      <c r="B3352" s="21" t="s">
        <v>371</v>
      </c>
      <c r="C3352" s="22">
        <v>5000</v>
      </c>
      <c r="D3352" s="23">
        <v>0</v>
      </c>
      <c r="E3352" s="24">
        <v>0</v>
      </c>
    </row>
    <row r="3353" spans="1:5" x14ac:dyDescent="0.3">
      <c r="A3353" s="20" t="s">
        <v>273</v>
      </c>
      <c r="B3353" s="21" t="s">
        <v>372</v>
      </c>
      <c r="C3353" s="22">
        <v>5000</v>
      </c>
      <c r="D3353" s="23">
        <v>0</v>
      </c>
      <c r="E3353" s="24">
        <v>0</v>
      </c>
    </row>
    <row r="3354" spans="1:5" x14ac:dyDescent="0.3">
      <c r="A3354" s="20" t="s">
        <v>273</v>
      </c>
      <c r="B3354" s="21" t="s">
        <v>373</v>
      </c>
      <c r="C3354" s="22">
        <v>3000</v>
      </c>
      <c r="D3354" s="23">
        <v>0</v>
      </c>
      <c r="E3354" s="24">
        <v>0</v>
      </c>
    </row>
    <row r="3355" spans="1:5" x14ac:dyDescent="0.3">
      <c r="A3355" s="20" t="s">
        <v>273</v>
      </c>
      <c r="B3355" s="21" t="s">
        <v>374</v>
      </c>
      <c r="C3355" s="22">
        <v>5000</v>
      </c>
      <c r="D3355" s="23">
        <v>0</v>
      </c>
      <c r="E3355" s="24">
        <v>0</v>
      </c>
    </row>
    <row r="3356" spans="1:5" x14ac:dyDescent="0.3">
      <c r="A3356" s="20" t="s">
        <v>273</v>
      </c>
      <c r="B3356" s="21" t="s">
        <v>375</v>
      </c>
      <c r="C3356" s="22">
        <v>5000</v>
      </c>
      <c r="D3356" s="23">
        <v>0</v>
      </c>
      <c r="E3356" s="24">
        <v>0</v>
      </c>
    </row>
    <row r="3357" spans="1:5" x14ac:dyDescent="0.3">
      <c r="A3357" s="20" t="s">
        <v>273</v>
      </c>
      <c r="B3357" s="21" t="s">
        <v>376</v>
      </c>
      <c r="C3357" s="22">
        <v>5000</v>
      </c>
      <c r="D3357" s="23">
        <v>0</v>
      </c>
      <c r="E3357" s="24">
        <v>0</v>
      </c>
    </row>
    <row r="3358" spans="1:5" x14ac:dyDescent="0.3">
      <c r="A3358" s="20" t="s">
        <v>273</v>
      </c>
      <c r="B3358" s="21" t="s">
        <v>377</v>
      </c>
      <c r="C3358" s="22">
        <v>3000</v>
      </c>
      <c r="D3358" s="23">
        <v>0</v>
      </c>
      <c r="E3358" s="24">
        <v>0</v>
      </c>
    </row>
    <row r="3359" spans="1:5" x14ac:dyDescent="0.3">
      <c r="A3359" s="16" t="s">
        <v>279</v>
      </c>
      <c r="B3359" s="16" t="s">
        <v>366</v>
      </c>
      <c r="C3359" s="17">
        <v>5000</v>
      </c>
      <c r="D3359" s="18">
        <v>9600</v>
      </c>
      <c r="E3359" s="19">
        <v>0</v>
      </c>
    </row>
    <row r="3360" spans="1:5" x14ac:dyDescent="0.3">
      <c r="A3360" s="20" t="s">
        <v>279</v>
      </c>
      <c r="B3360" s="21" t="s">
        <v>367</v>
      </c>
      <c r="C3360" s="22">
        <v>5000</v>
      </c>
      <c r="D3360" s="23">
        <v>0</v>
      </c>
      <c r="E3360" s="24">
        <v>0</v>
      </c>
    </row>
    <row r="3361" spans="1:5" x14ac:dyDescent="0.3">
      <c r="A3361" s="20" t="s">
        <v>279</v>
      </c>
      <c r="B3361" s="21" t="s">
        <v>368</v>
      </c>
      <c r="C3361" s="22">
        <v>5000</v>
      </c>
      <c r="D3361" s="23">
        <v>0</v>
      </c>
      <c r="E3361" s="24">
        <v>0</v>
      </c>
    </row>
    <row r="3362" spans="1:5" x14ac:dyDescent="0.3">
      <c r="A3362" s="20" t="s">
        <v>279</v>
      </c>
      <c r="B3362" s="21" t="s">
        <v>369</v>
      </c>
      <c r="C3362" s="22">
        <v>5000</v>
      </c>
      <c r="D3362" s="23">
        <v>9600</v>
      </c>
      <c r="E3362" s="24">
        <v>0</v>
      </c>
    </row>
    <row r="3363" spans="1:5" x14ac:dyDescent="0.3">
      <c r="A3363" s="20" t="s">
        <v>279</v>
      </c>
      <c r="B3363" s="21" t="s">
        <v>370</v>
      </c>
      <c r="C3363" s="22">
        <v>5000</v>
      </c>
      <c r="D3363" s="23">
        <v>0</v>
      </c>
      <c r="E3363" s="24">
        <v>0</v>
      </c>
    </row>
    <row r="3364" spans="1:5" x14ac:dyDescent="0.3">
      <c r="A3364" s="20" t="s">
        <v>279</v>
      </c>
      <c r="B3364" s="21" t="s">
        <v>371</v>
      </c>
      <c r="C3364" s="22">
        <v>5000</v>
      </c>
      <c r="D3364" s="23">
        <v>0</v>
      </c>
      <c r="E3364" s="24">
        <v>0</v>
      </c>
    </row>
    <row r="3365" spans="1:5" x14ac:dyDescent="0.3">
      <c r="A3365" s="20" t="s">
        <v>279</v>
      </c>
      <c r="B3365" s="21" t="s">
        <v>372</v>
      </c>
      <c r="C3365" s="22">
        <v>5000</v>
      </c>
      <c r="D3365" s="23">
        <v>0</v>
      </c>
      <c r="E3365" s="24">
        <v>0</v>
      </c>
    </row>
    <row r="3366" spans="1:5" x14ac:dyDescent="0.3">
      <c r="A3366" s="20" t="s">
        <v>279</v>
      </c>
      <c r="B3366" s="21" t="s">
        <v>373</v>
      </c>
      <c r="C3366" s="22">
        <v>3000</v>
      </c>
      <c r="D3366" s="23">
        <v>0</v>
      </c>
      <c r="E3366" s="24">
        <v>0</v>
      </c>
    </row>
    <row r="3367" spans="1:5" x14ac:dyDescent="0.3">
      <c r="A3367" s="20" t="s">
        <v>279</v>
      </c>
      <c r="B3367" s="21" t="s">
        <v>374</v>
      </c>
      <c r="C3367" s="22">
        <v>5000</v>
      </c>
      <c r="D3367" s="23">
        <v>0</v>
      </c>
      <c r="E3367" s="24">
        <v>0</v>
      </c>
    </row>
    <row r="3368" spans="1:5" x14ac:dyDescent="0.3">
      <c r="A3368" s="20" t="s">
        <v>279</v>
      </c>
      <c r="B3368" s="21" t="s">
        <v>375</v>
      </c>
      <c r="C3368" s="22">
        <v>5000</v>
      </c>
      <c r="D3368" s="23">
        <v>0</v>
      </c>
      <c r="E3368" s="24">
        <v>0</v>
      </c>
    </row>
    <row r="3369" spans="1:5" x14ac:dyDescent="0.3">
      <c r="A3369" s="20" t="s">
        <v>279</v>
      </c>
      <c r="B3369" s="21" t="s">
        <v>376</v>
      </c>
      <c r="C3369" s="22">
        <v>5000</v>
      </c>
      <c r="D3369" s="23">
        <v>0</v>
      </c>
      <c r="E3369" s="24">
        <v>0</v>
      </c>
    </row>
    <row r="3370" spans="1:5" x14ac:dyDescent="0.3">
      <c r="A3370" s="20" t="s">
        <v>279</v>
      </c>
      <c r="B3370" s="21" t="s">
        <v>377</v>
      </c>
      <c r="C3370" s="22">
        <v>3000</v>
      </c>
      <c r="D3370" s="23">
        <v>0</v>
      </c>
      <c r="E3370" s="24">
        <v>0</v>
      </c>
    </row>
    <row r="3371" spans="1:5" x14ac:dyDescent="0.3">
      <c r="A3371" s="16" t="s">
        <v>97</v>
      </c>
      <c r="B3371" s="16" t="s">
        <v>368</v>
      </c>
      <c r="C3371" s="17">
        <v>0</v>
      </c>
      <c r="D3371" s="18">
        <v>0</v>
      </c>
      <c r="E3371" s="19">
        <v>0</v>
      </c>
    </row>
    <row r="3372" spans="1:5" x14ac:dyDescent="0.3">
      <c r="A3372" s="16" t="s">
        <v>98</v>
      </c>
      <c r="B3372" s="16" t="s">
        <v>366</v>
      </c>
      <c r="C3372" s="17">
        <v>0</v>
      </c>
      <c r="D3372" s="18">
        <v>0</v>
      </c>
      <c r="E3372" s="19">
        <v>0</v>
      </c>
    </row>
    <row r="3373" spans="1:5" x14ac:dyDescent="0.3">
      <c r="A3373" s="20" t="s">
        <v>98</v>
      </c>
      <c r="B3373" s="21" t="s">
        <v>367</v>
      </c>
      <c r="C3373" s="22">
        <v>0</v>
      </c>
      <c r="D3373" s="23">
        <v>0</v>
      </c>
      <c r="E3373" s="24">
        <v>0</v>
      </c>
    </row>
    <row r="3374" spans="1:5" x14ac:dyDescent="0.3">
      <c r="A3374" s="20" t="s">
        <v>98</v>
      </c>
      <c r="B3374" s="21" t="s">
        <v>368</v>
      </c>
      <c r="C3374" s="22">
        <v>0</v>
      </c>
      <c r="D3374" s="23">
        <v>0</v>
      </c>
      <c r="E3374" s="24">
        <v>0</v>
      </c>
    </row>
    <row r="3375" spans="1:5" x14ac:dyDescent="0.3">
      <c r="A3375" s="16" t="s">
        <v>99</v>
      </c>
      <c r="B3375" s="16" t="s">
        <v>368</v>
      </c>
      <c r="C3375" s="17">
        <v>0</v>
      </c>
      <c r="D3375" s="18">
        <v>0</v>
      </c>
      <c r="E3375" s="19">
        <v>0</v>
      </c>
    </row>
    <row r="3376" spans="1:5" x14ac:dyDescent="0.3">
      <c r="A3376" s="20" t="s">
        <v>99</v>
      </c>
      <c r="B3376" s="21" t="s">
        <v>369</v>
      </c>
      <c r="C3376" s="22">
        <v>0</v>
      </c>
      <c r="D3376" s="23">
        <v>0</v>
      </c>
      <c r="E3376" s="24">
        <v>0</v>
      </c>
    </row>
    <row r="3377" spans="1:5" x14ac:dyDescent="0.3">
      <c r="A3377" s="16" t="s">
        <v>448</v>
      </c>
      <c r="B3377" s="16" t="s">
        <v>368</v>
      </c>
      <c r="C3377" s="17">
        <v>0</v>
      </c>
      <c r="D3377" s="18">
        <v>0</v>
      </c>
      <c r="E3377" s="19">
        <v>0</v>
      </c>
    </row>
    <row r="3378" spans="1:5" x14ac:dyDescent="0.3">
      <c r="A3378" s="16" t="s">
        <v>100</v>
      </c>
      <c r="B3378" s="16" t="s">
        <v>366</v>
      </c>
      <c r="C3378" s="17">
        <v>0</v>
      </c>
      <c r="D3378" s="18">
        <v>0</v>
      </c>
      <c r="E3378" s="19">
        <v>0</v>
      </c>
    </row>
    <row r="3379" spans="1:5" x14ac:dyDescent="0.3">
      <c r="A3379" s="16" t="s">
        <v>323</v>
      </c>
      <c r="B3379" s="16" t="s">
        <v>366</v>
      </c>
      <c r="C3379" s="17">
        <v>0</v>
      </c>
      <c r="D3379" s="18">
        <v>0</v>
      </c>
      <c r="E3379" s="19">
        <v>0</v>
      </c>
    </row>
    <row r="3380" spans="1:5" x14ac:dyDescent="0.3">
      <c r="A3380" s="16" t="s">
        <v>102</v>
      </c>
      <c r="B3380" s="16" t="s">
        <v>366</v>
      </c>
      <c r="C3380" s="17">
        <v>0</v>
      </c>
      <c r="D3380" s="18">
        <v>0</v>
      </c>
      <c r="E3380" s="19">
        <v>0</v>
      </c>
    </row>
    <row r="3381" spans="1:5" x14ac:dyDescent="0.3">
      <c r="A3381" s="20" t="s">
        <v>102</v>
      </c>
      <c r="B3381" s="21" t="s">
        <v>367</v>
      </c>
      <c r="C3381" s="22">
        <v>0</v>
      </c>
      <c r="D3381" s="23">
        <v>0</v>
      </c>
      <c r="E3381" s="24">
        <v>0</v>
      </c>
    </row>
    <row r="3382" spans="1:5" x14ac:dyDescent="0.3">
      <c r="A3382" s="20" t="s">
        <v>102</v>
      </c>
      <c r="B3382" s="21" t="s">
        <v>369</v>
      </c>
      <c r="C3382" s="22">
        <v>0</v>
      </c>
      <c r="D3382" s="23">
        <v>0</v>
      </c>
      <c r="E3382" s="24">
        <v>0</v>
      </c>
    </row>
    <row r="3383" spans="1:5" x14ac:dyDescent="0.3">
      <c r="A3383" s="20" t="s">
        <v>102</v>
      </c>
      <c r="B3383" s="21" t="s">
        <v>370</v>
      </c>
      <c r="C3383" s="22">
        <v>0</v>
      </c>
      <c r="D3383" s="23">
        <v>0</v>
      </c>
      <c r="E3383" s="24">
        <v>0</v>
      </c>
    </row>
    <row r="3384" spans="1:5" x14ac:dyDescent="0.3">
      <c r="A3384" s="20" t="s">
        <v>102</v>
      </c>
      <c r="B3384" s="21" t="s">
        <v>372</v>
      </c>
      <c r="C3384" s="22">
        <v>0</v>
      </c>
      <c r="D3384" s="23">
        <v>0</v>
      </c>
      <c r="E3384" s="24">
        <v>0</v>
      </c>
    </row>
    <row r="3385" spans="1:5" x14ac:dyDescent="0.3">
      <c r="A3385" s="20" t="s">
        <v>102</v>
      </c>
      <c r="B3385" s="21" t="s">
        <v>374</v>
      </c>
      <c r="C3385" s="22">
        <v>0</v>
      </c>
      <c r="D3385" s="23">
        <v>0</v>
      </c>
      <c r="E3385" s="24">
        <v>0</v>
      </c>
    </row>
    <row r="3386" spans="1:5" x14ac:dyDescent="0.3">
      <c r="A3386" s="16" t="s">
        <v>449</v>
      </c>
      <c r="B3386" s="16" t="s">
        <v>367</v>
      </c>
      <c r="C3386" s="17">
        <v>0</v>
      </c>
      <c r="D3386" s="18">
        <v>0</v>
      </c>
      <c r="E3386" s="19">
        <v>0</v>
      </c>
    </row>
    <row r="3387" spans="1:5" x14ac:dyDescent="0.3">
      <c r="A3387" s="20" t="s">
        <v>449</v>
      </c>
      <c r="B3387" s="21" t="s">
        <v>369</v>
      </c>
      <c r="C3387" s="22">
        <v>0</v>
      </c>
      <c r="D3387" s="23">
        <v>0</v>
      </c>
      <c r="E3387" s="24">
        <v>0</v>
      </c>
    </row>
    <row r="3388" spans="1:5" x14ac:dyDescent="0.3">
      <c r="A3388" s="20" t="s">
        <v>449</v>
      </c>
      <c r="B3388" s="21" t="s">
        <v>371</v>
      </c>
      <c r="C3388" s="22">
        <v>0</v>
      </c>
      <c r="D3388" s="23">
        <v>0</v>
      </c>
      <c r="E3388" s="24">
        <v>0</v>
      </c>
    </row>
    <row r="3389" spans="1:5" x14ac:dyDescent="0.3">
      <c r="A3389" s="16" t="s">
        <v>103</v>
      </c>
      <c r="B3389" s="16" t="s">
        <v>366</v>
      </c>
      <c r="C3389" s="17">
        <v>0</v>
      </c>
      <c r="D3389" s="18">
        <v>0</v>
      </c>
      <c r="E3389" s="19">
        <v>0</v>
      </c>
    </row>
    <row r="3390" spans="1:5" x14ac:dyDescent="0.3">
      <c r="A3390" s="16" t="s">
        <v>324</v>
      </c>
      <c r="B3390" s="16" t="s">
        <v>367</v>
      </c>
      <c r="C3390" s="17">
        <v>0</v>
      </c>
      <c r="D3390" s="18">
        <v>0</v>
      </c>
      <c r="E3390" s="19">
        <v>0</v>
      </c>
    </row>
    <row r="3391" spans="1:5" x14ac:dyDescent="0.3">
      <c r="A3391" s="16" t="s">
        <v>325</v>
      </c>
      <c r="B3391" s="16" t="s">
        <v>370</v>
      </c>
      <c r="C3391" s="17">
        <v>0</v>
      </c>
      <c r="D3391" s="18">
        <v>0</v>
      </c>
      <c r="E3391" s="19">
        <v>0</v>
      </c>
    </row>
    <row r="3392" spans="1:5" x14ac:dyDescent="0.3">
      <c r="A3392" s="16" t="s">
        <v>104</v>
      </c>
      <c r="B3392" s="16" t="s">
        <v>367</v>
      </c>
      <c r="C3392" s="17">
        <v>0</v>
      </c>
      <c r="D3392" s="18">
        <v>0</v>
      </c>
      <c r="E3392" s="19">
        <v>0</v>
      </c>
    </row>
    <row r="3393" spans="1:5" x14ac:dyDescent="0.3">
      <c r="A3393" s="16" t="s">
        <v>172</v>
      </c>
      <c r="B3393" s="16" t="s">
        <v>366</v>
      </c>
      <c r="C3393" s="17">
        <v>0</v>
      </c>
      <c r="D3393" s="18">
        <v>0</v>
      </c>
      <c r="E3393" s="19">
        <v>0</v>
      </c>
    </row>
    <row r="3394" spans="1:5" x14ac:dyDescent="0.3">
      <c r="A3394" s="16" t="s">
        <v>176</v>
      </c>
      <c r="B3394" s="16" t="s">
        <v>367</v>
      </c>
      <c r="C3394" s="17">
        <v>0</v>
      </c>
      <c r="D3394" s="18">
        <v>0</v>
      </c>
      <c r="E3394" s="19">
        <v>0</v>
      </c>
    </row>
    <row r="3395" spans="1:5" x14ac:dyDescent="0.3">
      <c r="A3395" s="16" t="s">
        <v>231</v>
      </c>
      <c r="B3395" s="16" t="s">
        <v>366</v>
      </c>
      <c r="C3395" s="17">
        <v>0</v>
      </c>
      <c r="D3395" s="18">
        <v>0</v>
      </c>
      <c r="E3395" s="19">
        <v>0</v>
      </c>
    </row>
    <row r="3396" spans="1:5" x14ac:dyDescent="0.3">
      <c r="A3396" s="20" t="s">
        <v>231</v>
      </c>
      <c r="B3396" s="21" t="s">
        <v>367</v>
      </c>
      <c r="C3396" s="22">
        <v>0</v>
      </c>
      <c r="D3396" s="23">
        <v>0</v>
      </c>
      <c r="E3396" s="24">
        <v>0</v>
      </c>
    </row>
    <row r="3397" spans="1:5" x14ac:dyDescent="0.3">
      <c r="A3397" s="20" t="s">
        <v>231</v>
      </c>
      <c r="B3397" s="21" t="s">
        <v>368</v>
      </c>
      <c r="C3397" s="22">
        <v>0</v>
      </c>
      <c r="D3397" s="23">
        <v>0</v>
      </c>
      <c r="E3397" s="24">
        <v>0</v>
      </c>
    </row>
    <row r="3398" spans="1:5" x14ac:dyDescent="0.3">
      <c r="A3398" s="16" t="s">
        <v>128</v>
      </c>
      <c r="B3398" s="16" t="s">
        <v>366</v>
      </c>
      <c r="C3398" s="17">
        <v>60000</v>
      </c>
      <c r="D3398" s="18">
        <v>0</v>
      </c>
      <c r="E3398" s="19">
        <v>0</v>
      </c>
    </row>
    <row r="3399" spans="1:5" x14ac:dyDescent="0.3">
      <c r="A3399" s="20" t="s">
        <v>128</v>
      </c>
      <c r="B3399" s="21" t="s">
        <v>367</v>
      </c>
      <c r="C3399" s="22">
        <v>60000</v>
      </c>
      <c r="D3399" s="23">
        <v>0</v>
      </c>
      <c r="E3399" s="24">
        <v>0</v>
      </c>
    </row>
    <row r="3400" spans="1:5" x14ac:dyDescent="0.3">
      <c r="A3400" s="20" t="s">
        <v>128</v>
      </c>
      <c r="B3400" s="21" t="s">
        <v>368</v>
      </c>
      <c r="C3400" s="22">
        <v>60000</v>
      </c>
      <c r="D3400" s="23">
        <v>0</v>
      </c>
      <c r="E3400" s="24">
        <v>0</v>
      </c>
    </row>
    <row r="3401" spans="1:5" x14ac:dyDescent="0.3">
      <c r="A3401" s="20" t="s">
        <v>128</v>
      </c>
      <c r="B3401" s="21" t="s">
        <v>369</v>
      </c>
      <c r="C3401" s="22">
        <v>60000</v>
      </c>
      <c r="D3401" s="23">
        <v>0</v>
      </c>
      <c r="E3401" s="24">
        <v>0</v>
      </c>
    </row>
    <row r="3402" spans="1:5" x14ac:dyDescent="0.3">
      <c r="A3402" s="20" t="s">
        <v>128</v>
      </c>
      <c r="B3402" s="21" t="s">
        <v>370</v>
      </c>
      <c r="C3402" s="22">
        <v>60000</v>
      </c>
      <c r="D3402" s="23">
        <v>0</v>
      </c>
      <c r="E3402" s="24">
        <v>0</v>
      </c>
    </row>
    <row r="3403" spans="1:5" x14ac:dyDescent="0.3">
      <c r="A3403" s="20" t="s">
        <v>128</v>
      </c>
      <c r="B3403" s="21" t="s">
        <v>371</v>
      </c>
      <c r="C3403" s="22">
        <v>60000</v>
      </c>
      <c r="D3403" s="23">
        <v>0</v>
      </c>
      <c r="E3403" s="24">
        <v>0</v>
      </c>
    </row>
    <row r="3404" spans="1:5" x14ac:dyDescent="0.3">
      <c r="A3404" s="20" t="s">
        <v>128</v>
      </c>
      <c r="B3404" s="21" t="s">
        <v>372</v>
      </c>
      <c r="C3404" s="22">
        <v>60000</v>
      </c>
      <c r="D3404" s="23">
        <v>0</v>
      </c>
      <c r="E3404" s="24">
        <v>0</v>
      </c>
    </row>
    <row r="3405" spans="1:5" x14ac:dyDescent="0.3">
      <c r="A3405" s="20" t="s">
        <v>128</v>
      </c>
      <c r="B3405" s="21" t="s">
        <v>373</v>
      </c>
      <c r="C3405" s="22">
        <v>30000</v>
      </c>
      <c r="D3405" s="23">
        <v>0</v>
      </c>
      <c r="E3405" s="24">
        <v>0</v>
      </c>
    </row>
    <row r="3406" spans="1:5" x14ac:dyDescent="0.3">
      <c r="A3406" s="20" t="s">
        <v>128</v>
      </c>
      <c r="B3406" s="21" t="s">
        <v>374</v>
      </c>
      <c r="C3406" s="22">
        <v>60000</v>
      </c>
      <c r="D3406" s="23">
        <v>0</v>
      </c>
      <c r="E3406" s="24">
        <v>0</v>
      </c>
    </row>
    <row r="3407" spans="1:5" x14ac:dyDescent="0.3">
      <c r="A3407" s="20" t="s">
        <v>128</v>
      </c>
      <c r="B3407" s="21" t="s">
        <v>375</v>
      </c>
      <c r="C3407" s="22">
        <v>60000</v>
      </c>
      <c r="D3407" s="23">
        <v>0</v>
      </c>
      <c r="E3407" s="24">
        <v>0</v>
      </c>
    </row>
    <row r="3408" spans="1:5" x14ac:dyDescent="0.3">
      <c r="A3408" s="20" t="s">
        <v>128</v>
      </c>
      <c r="B3408" s="21" t="s">
        <v>376</v>
      </c>
      <c r="C3408" s="22">
        <v>60000</v>
      </c>
      <c r="D3408" s="23">
        <v>0</v>
      </c>
      <c r="E3408" s="24">
        <v>0</v>
      </c>
    </row>
    <row r="3409" spans="1:5" x14ac:dyDescent="0.3">
      <c r="A3409" s="20" t="s">
        <v>128</v>
      </c>
      <c r="B3409" s="21" t="s">
        <v>377</v>
      </c>
      <c r="C3409" s="22">
        <v>30000</v>
      </c>
      <c r="D3409" s="23">
        <v>0</v>
      </c>
      <c r="E3409" s="24">
        <v>0</v>
      </c>
    </row>
    <row r="3410" spans="1:5" x14ac:dyDescent="0.3">
      <c r="A3410" s="16" t="s">
        <v>129</v>
      </c>
      <c r="B3410" s="16" t="s">
        <v>375</v>
      </c>
      <c r="C3410" s="17">
        <v>0</v>
      </c>
      <c r="D3410" s="18">
        <v>0</v>
      </c>
      <c r="E3410" s="19">
        <v>0</v>
      </c>
    </row>
    <row r="3411" spans="1:5" x14ac:dyDescent="0.3">
      <c r="A3411" s="16" t="s">
        <v>130</v>
      </c>
      <c r="B3411" s="16" t="s">
        <v>366</v>
      </c>
      <c r="C3411" s="17">
        <v>24000</v>
      </c>
      <c r="D3411" s="18">
        <v>0</v>
      </c>
      <c r="E3411" s="19">
        <v>0</v>
      </c>
    </row>
    <row r="3412" spans="1:5" x14ac:dyDescent="0.3">
      <c r="A3412" s="20" t="s">
        <v>130</v>
      </c>
      <c r="B3412" s="21" t="s">
        <v>367</v>
      </c>
      <c r="C3412" s="22">
        <v>24000</v>
      </c>
      <c r="D3412" s="23">
        <v>0</v>
      </c>
      <c r="E3412" s="24">
        <v>0</v>
      </c>
    </row>
    <row r="3413" spans="1:5" x14ac:dyDescent="0.3">
      <c r="A3413" s="20" t="s">
        <v>130</v>
      </c>
      <c r="B3413" s="21" t="s">
        <v>368</v>
      </c>
      <c r="C3413" s="22">
        <v>24000</v>
      </c>
      <c r="D3413" s="23">
        <v>0</v>
      </c>
      <c r="E3413" s="24">
        <v>0</v>
      </c>
    </row>
    <row r="3414" spans="1:5" x14ac:dyDescent="0.3">
      <c r="A3414" s="20" t="s">
        <v>130</v>
      </c>
      <c r="B3414" s="21" t="s">
        <v>369</v>
      </c>
      <c r="C3414" s="22">
        <v>24000</v>
      </c>
      <c r="D3414" s="23">
        <v>0</v>
      </c>
      <c r="E3414" s="24">
        <v>0</v>
      </c>
    </row>
    <row r="3415" spans="1:5" x14ac:dyDescent="0.3">
      <c r="A3415" s="20" t="s">
        <v>130</v>
      </c>
      <c r="B3415" s="21" t="s">
        <v>370</v>
      </c>
      <c r="C3415" s="22">
        <v>24000</v>
      </c>
      <c r="D3415" s="23">
        <v>0</v>
      </c>
      <c r="E3415" s="24">
        <v>0</v>
      </c>
    </row>
    <row r="3416" spans="1:5" x14ac:dyDescent="0.3">
      <c r="A3416" s="20" t="s">
        <v>130</v>
      </c>
      <c r="B3416" s="21" t="s">
        <v>371</v>
      </c>
      <c r="C3416" s="22">
        <v>24000</v>
      </c>
      <c r="D3416" s="23">
        <v>0</v>
      </c>
      <c r="E3416" s="24">
        <v>0</v>
      </c>
    </row>
    <row r="3417" spans="1:5" x14ac:dyDescent="0.3">
      <c r="A3417" s="20" t="s">
        <v>130</v>
      </c>
      <c r="B3417" s="21" t="s">
        <v>372</v>
      </c>
      <c r="C3417" s="22">
        <v>24000</v>
      </c>
      <c r="D3417" s="23">
        <v>0</v>
      </c>
      <c r="E3417" s="24">
        <v>0</v>
      </c>
    </row>
    <row r="3418" spans="1:5" x14ac:dyDescent="0.3">
      <c r="A3418" s="20" t="s">
        <v>130</v>
      </c>
      <c r="B3418" s="21" t="s">
        <v>373</v>
      </c>
      <c r="C3418" s="22">
        <v>12000</v>
      </c>
      <c r="D3418" s="23">
        <v>0</v>
      </c>
      <c r="E3418" s="24">
        <v>0</v>
      </c>
    </row>
    <row r="3419" spans="1:5" x14ac:dyDescent="0.3">
      <c r="A3419" s="20" t="s">
        <v>130</v>
      </c>
      <c r="B3419" s="21" t="s">
        <v>374</v>
      </c>
      <c r="C3419" s="22">
        <v>24000</v>
      </c>
      <c r="D3419" s="23">
        <v>0</v>
      </c>
      <c r="E3419" s="24">
        <v>0</v>
      </c>
    </row>
    <row r="3420" spans="1:5" x14ac:dyDescent="0.3">
      <c r="A3420" s="20" t="s">
        <v>130</v>
      </c>
      <c r="B3420" s="21" t="s">
        <v>375</v>
      </c>
      <c r="C3420" s="22">
        <v>24000</v>
      </c>
      <c r="D3420" s="23">
        <v>0</v>
      </c>
      <c r="E3420" s="24">
        <v>0</v>
      </c>
    </row>
    <row r="3421" spans="1:5" x14ac:dyDescent="0.3">
      <c r="A3421" s="20" t="s">
        <v>130</v>
      </c>
      <c r="B3421" s="21" t="s">
        <v>376</v>
      </c>
      <c r="C3421" s="22">
        <v>24000</v>
      </c>
      <c r="D3421" s="23">
        <v>0</v>
      </c>
      <c r="E3421" s="24">
        <v>0</v>
      </c>
    </row>
    <row r="3422" spans="1:5" x14ac:dyDescent="0.3">
      <c r="A3422" s="20" t="s">
        <v>130</v>
      </c>
      <c r="B3422" s="21" t="s">
        <v>377</v>
      </c>
      <c r="C3422" s="22">
        <v>12000</v>
      </c>
      <c r="D3422" s="23">
        <v>0</v>
      </c>
      <c r="E3422" s="24">
        <v>0</v>
      </c>
    </row>
    <row r="3423" spans="1:5" x14ac:dyDescent="0.3">
      <c r="A3423" s="16" t="s">
        <v>8</v>
      </c>
      <c r="B3423" s="16" t="s">
        <v>366</v>
      </c>
      <c r="C3423" s="17">
        <v>150000</v>
      </c>
      <c r="D3423" s="18">
        <v>50000</v>
      </c>
      <c r="E3423" s="19">
        <v>0</v>
      </c>
    </row>
    <row r="3424" spans="1:5" x14ac:dyDescent="0.3">
      <c r="A3424" s="20" t="s">
        <v>8</v>
      </c>
      <c r="B3424" s="21" t="s">
        <v>367</v>
      </c>
      <c r="C3424" s="22">
        <v>100000</v>
      </c>
      <c r="D3424" s="23">
        <v>0</v>
      </c>
      <c r="E3424" s="24">
        <v>0</v>
      </c>
    </row>
    <row r="3425" spans="1:5" x14ac:dyDescent="0.3">
      <c r="A3425" s="20" t="s">
        <v>8</v>
      </c>
      <c r="B3425" s="21" t="s">
        <v>368</v>
      </c>
      <c r="C3425" s="22">
        <v>200000</v>
      </c>
      <c r="D3425" s="23">
        <v>0</v>
      </c>
      <c r="E3425" s="24">
        <v>0</v>
      </c>
    </row>
    <row r="3426" spans="1:5" x14ac:dyDescent="0.3">
      <c r="A3426" s="20" t="s">
        <v>8</v>
      </c>
      <c r="B3426" s="21" t="s">
        <v>369</v>
      </c>
      <c r="C3426" s="22">
        <v>100000</v>
      </c>
      <c r="D3426" s="23">
        <v>0</v>
      </c>
      <c r="E3426" s="24">
        <v>0</v>
      </c>
    </row>
    <row r="3427" spans="1:5" x14ac:dyDescent="0.3">
      <c r="A3427" s="20" t="s">
        <v>8</v>
      </c>
      <c r="B3427" s="21" t="s">
        <v>370</v>
      </c>
      <c r="C3427" s="22">
        <v>150000</v>
      </c>
      <c r="D3427" s="23">
        <v>0</v>
      </c>
      <c r="E3427" s="24">
        <v>0</v>
      </c>
    </row>
    <row r="3428" spans="1:5" x14ac:dyDescent="0.3">
      <c r="A3428" s="20" t="s">
        <v>8</v>
      </c>
      <c r="B3428" s="21" t="s">
        <v>371</v>
      </c>
      <c r="C3428" s="22">
        <v>150000</v>
      </c>
      <c r="D3428" s="23">
        <v>0</v>
      </c>
      <c r="E3428" s="24">
        <v>0</v>
      </c>
    </row>
    <row r="3429" spans="1:5" x14ac:dyDescent="0.3">
      <c r="A3429" s="20" t="s">
        <v>8</v>
      </c>
      <c r="B3429" s="21" t="s">
        <v>372</v>
      </c>
      <c r="C3429" s="22">
        <v>100000</v>
      </c>
      <c r="D3429" s="23">
        <v>0</v>
      </c>
      <c r="E3429" s="24">
        <v>0</v>
      </c>
    </row>
    <row r="3430" spans="1:5" x14ac:dyDescent="0.3">
      <c r="A3430" s="20" t="s">
        <v>8</v>
      </c>
      <c r="B3430" s="21" t="s">
        <v>373</v>
      </c>
      <c r="C3430" s="22">
        <v>150000</v>
      </c>
      <c r="D3430" s="23">
        <v>0</v>
      </c>
      <c r="E3430" s="24">
        <v>0</v>
      </c>
    </row>
    <row r="3431" spans="1:5" x14ac:dyDescent="0.3">
      <c r="A3431" s="20" t="s">
        <v>8</v>
      </c>
      <c r="B3431" s="21" t="s">
        <v>374</v>
      </c>
      <c r="C3431" s="22">
        <v>150000</v>
      </c>
      <c r="D3431" s="23">
        <v>0</v>
      </c>
      <c r="E3431" s="24">
        <v>0</v>
      </c>
    </row>
    <row r="3432" spans="1:5" x14ac:dyDescent="0.3">
      <c r="A3432" s="20" t="s">
        <v>8</v>
      </c>
      <c r="B3432" s="21" t="s">
        <v>375</v>
      </c>
      <c r="C3432" s="22">
        <v>100000</v>
      </c>
      <c r="D3432" s="23">
        <v>0</v>
      </c>
      <c r="E3432" s="24">
        <v>0</v>
      </c>
    </row>
    <row r="3433" spans="1:5" x14ac:dyDescent="0.3">
      <c r="A3433" s="20" t="s">
        <v>8</v>
      </c>
      <c r="B3433" s="21" t="s">
        <v>376</v>
      </c>
      <c r="C3433" s="22">
        <v>100000</v>
      </c>
      <c r="D3433" s="23">
        <v>0</v>
      </c>
      <c r="E3433" s="24">
        <v>0</v>
      </c>
    </row>
    <row r="3434" spans="1:5" x14ac:dyDescent="0.3">
      <c r="A3434" s="20" t="s">
        <v>8</v>
      </c>
      <c r="B3434" s="21" t="s">
        <v>377</v>
      </c>
      <c r="C3434" s="22">
        <v>50000</v>
      </c>
      <c r="D3434" s="23">
        <v>0</v>
      </c>
      <c r="E3434" s="24">
        <v>0</v>
      </c>
    </row>
    <row r="3435" spans="1:5" x14ac:dyDescent="0.3">
      <c r="A3435" s="16" t="s">
        <v>288</v>
      </c>
      <c r="B3435" s="16" t="s">
        <v>366</v>
      </c>
      <c r="C3435" s="17">
        <v>50000</v>
      </c>
      <c r="D3435" s="18">
        <v>0</v>
      </c>
      <c r="E3435" s="19">
        <v>0</v>
      </c>
    </row>
    <row r="3436" spans="1:5" x14ac:dyDescent="0.3">
      <c r="A3436" s="20" t="s">
        <v>288</v>
      </c>
      <c r="B3436" s="21" t="s">
        <v>367</v>
      </c>
      <c r="C3436" s="22">
        <v>0</v>
      </c>
      <c r="D3436" s="23">
        <v>0</v>
      </c>
      <c r="E3436" s="24">
        <v>0</v>
      </c>
    </row>
    <row r="3437" spans="1:5" x14ac:dyDescent="0.3">
      <c r="A3437" s="20" t="s">
        <v>288</v>
      </c>
      <c r="B3437" s="21" t="s">
        <v>368</v>
      </c>
      <c r="C3437" s="22">
        <v>50000</v>
      </c>
      <c r="D3437" s="23">
        <v>0</v>
      </c>
      <c r="E3437" s="24">
        <v>0</v>
      </c>
    </row>
    <row r="3438" spans="1:5" x14ac:dyDescent="0.3">
      <c r="A3438" s="20" t="s">
        <v>288</v>
      </c>
      <c r="B3438" s="21" t="s">
        <v>370</v>
      </c>
      <c r="C3438" s="22">
        <v>50000</v>
      </c>
      <c r="D3438" s="23">
        <v>0</v>
      </c>
      <c r="E3438" s="24">
        <v>0</v>
      </c>
    </row>
    <row r="3439" spans="1:5" x14ac:dyDescent="0.3">
      <c r="A3439" s="20" t="s">
        <v>288</v>
      </c>
      <c r="B3439" s="21" t="s">
        <v>371</v>
      </c>
      <c r="C3439" s="22">
        <v>50000</v>
      </c>
      <c r="D3439" s="23">
        <v>0</v>
      </c>
      <c r="E3439" s="24">
        <v>0</v>
      </c>
    </row>
    <row r="3440" spans="1:5" x14ac:dyDescent="0.3">
      <c r="A3440" s="20" t="s">
        <v>288</v>
      </c>
      <c r="B3440" s="21" t="s">
        <v>372</v>
      </c>
      <c r="C3440" s="22">
        <v>50000</v>
      </c>
      <c r="D3440" s="23">
        <v>0</v>
      </c>
      <c r="E3440" s="24">
        <v>0</v>
      </c>
    </row>
    <row r="3441" spans="1:5" x14ac:dyDescent="0.3">
      <c r="A3441" s="20" t="s">
        <v>288</v>
      </c>
      <c r="B3441" s="21" t="s">
        <v>373</v>
      </c>
      <c r="C3441" s="22">
        <v>50000</v>
      </c>
      <c r="D3441" s="23">
        <v>0</v>
      </c>
      <c r="E3441" s="24">
        <v>0</v>
      </c>
    </row>
    <row r="3442" spans="1:5" x14ac:dyDescent="0.3">
      <c r="A3442" s="20" t="s">
        <v>288</v>
      </c>
      <c r="B3442" s="21" t="s">
        <v>374</v>
      </c>
      <c r="C3442" s="22">
        <v>0</v>
      </c>
      <c r="D3442" s="23">
        <v>0</v>
      </c>
      <c r="E3442" s="24">
        <v>0</v>
      </c>
    </row>
    <row r="3443" spans="1:5" x14ac:dyDescent="0.3">
      <c r="A3443" s="20" t="s">
        <v>288</v>
      </c>
      <c r="B3443" s="21" t="s">
        <v>375</v>
      </c>
      <c r="C3443" s="22">
        <v>50000</v>
      </c>
      <c r="D3443" s="23">
        <v>0</v>
      </c>
      <c r="E3443" s="24">
        <v>0</v>
      </c>
    </row>
    <row r="3444" spans="1:5" x14ac:dyDescent="0.3">
      <c r="A3444" s="20" t="s">
        <v>288</v>
      </c>
      <c r="B3444" s="21" t="s">
        <v>377</v>
      </c>
      <c r="C3444" s="22">
        <v>50000</v>
      </c>
      <c r="D3444" s="23">
        <v>0</v>
      </c>
      <c r="E3444" s="24">
        <v>0</v>
      </c>
    </row>
    <row r="3445" spans="1:5" x14ac:dyDescent="0.3">
      <c r="A3445" s="16" t="s">
        <v>85</v>
      </c>
      <c r="B3445" s="16" t="s">
        <v>366</v>
      </c>
      <c r="C3445" s="17">
        <v>5500</v>
      </c>
      <c r="D3445" s="18">
        <v>0</v>
      </c>
      <c r="E3445" s="19">
        <v>0</v>
      </c>
    </row>
    <row r="3446" spans="1:5" x14ac:dyDescent="0.3">
      <c r="A3446" s="20" t="s">
        <v>85</v>
      </c>
      <c r="B3446" s="21" t="s">
        <v>367</v>
      </c>
      <c r="C3446" s="22">
        <v>5500</v>
      </c>
      <c r="D3446" s="23">
        <v>0</v>
      </c>
      <c r="E3446" s="24">
        <v>0</v>
      </c>
    </row>
    <row r="3447" spans="1:5" x14ac:dyDescent="0.3">
      <c r="A3447" s="20" t="s">
        <v>85</v>
      </c>
      <c r="B3447" s="21" t="s">
        <v>368</v>
      </c>
      <c r="C3447" s="22">
        <v>5500</v>
      </c>
      <c r="D3447" s="23">
        <v>0</v>
      </c>
      <c r="E3447" s="24">
        <v>0</v>
      </c>
    </row>
    <row r="3448" spans="1:5" x14ac:dyDescent="0.3">
      <c r="A3448" s="20" t="s">
        <v>85</v>
      </c>
      <c r="B3448" s="21" t="s">
        <v>369</v>
      </c>
      <c r="C3448" s="22">
        <v>5500</v>
      </c>
      <c r="D3448" s="23">
        <v>0</v>
      </c>
      <c r="E3448" s="24">
        <v>0</v>
      </c>
    </row>
    <row r="3449" spans="1:5" x14ac:dyDescent="0.3">
      <c r="A3449" s="20" t="s">
        <v>85</v>
      </c>
      <c r="B3449" s="21" t="s">
        <v>370</v>
      </c>
      <c r="C3449" s="22">
        <v>5500</v>
      </c>
      <c r="D3449" s="23">
        <v>20000</v>
      </c>
      <c r="E3449" s="24">
        <v>0</v>
      </c>
    </row>
    <row r="3450" spans="1:5" x14ac:dyDescent="0.3">
      <c r="A3450" s="20" t="s">
        <v>85</v>
      </c>
      <c r="B3450" s="21" t="s">
        <v>371</v>
      </c>
      <c r="C3450" s="22">
        <v>5500</v>
      </c>
      <c r="D3450" s="23">
        <v>0</v>
      </c>
      <c r="E3450" s="24">
        <v>0</v>
      </c>
    </row>
    <row r="3451" spans="1:5" x14ac:dyDescent="0.3">
      <c r="A3451" s="20" t="s">
        <v>85</v>
      </c>
      <c r="B3451" s="21" t="s">
        <v>372</v>
      </c>
      <c r="C3451" s="22">
        <v>5500</v>
      </c>
      <c r="D3451" s="23">
        <v>0</v>
      </c>
      <c r="E3451" s="24">
        <v>0</v>
      </c>
    </row>
    <row r="3452" spans="1:5" x14ac:dyDescent="0.3">
      <c r="A3452" s="20" t="s">
        <v>85</v>
      </c>
      <c r="B3452" s="21" t="s">
        <v>373</v>
      </c>
      <c r="C3452" s="22">
        <v>2500</v>
      </c>
      <c r="D3452" s="23">
        <v>0</v>
      </c>
      <c r="E3452" s="24">
        <v>0</v>
      </c>
    </row>
    <row r="3453" spans="1:5" x14ac:dyDescent="0.3">
      <c r="A3453" s="20" t="s">
        <v>85</v>
      </c>
      <c r="B3453" s="21" t="s">
        <v>374</v>
      </c>
      <c r="C3453" s="22">
        <v>5500</v>
      </c>
      <c r="D3453" s="23">
        <v>0</v>
      </c>
      <c r="E3453" s="24">
        <v>0</v>
      </c>
    </row>
    <row r="3454" spans="1:5" x14ac:dyDescent="0.3">
      <c r="A3454" s="20" t="s">
        <v>85</v>
      </c>
      <c r="B3454" s="21" t="s">
        <v>375</v>
      </c>
      <c r="C3454" s="22">
        <v>5500</v>
      </c>
      <c r="D3454" s="23">
        <v>0</v>
      </c>
      <c r="E3454" s="24">
        <v>0</v>
      </c>
    </row>
    <row r="3455" spans="1:5" x14ac:dyDescent="0.3">
      <c r="A3455" s="20" t="s">
        <v>85</v>
      </c>
      <c r="B3455" s="21" t="s">
        <v>376</v>
      </c>
      <c r="C3455" s="22">
        <v>5500</v>
      </c>
      <c r="D3455" s="23">
        <v>0</v>
      </c>
      <c r="E3455" s="24">
        <v>0</v>
      </c>
    </row>
    <row r="3456" spans="1:5" x14ac:dyDescent="0.3">
      <c r="A3456" s="20" t="s">
        <v>85</v>
      </c>
      <c r="B3456" s="21" t="s">
        <v>377</v>
      </c>
      <c r="C3456" s="22">
        <v>2500</v>
      </c>
      <c r="D3456" s="23">
        <v>0</v>
      </c>
      <c r="E3456" s="24">
        <v>0</v>
      </c>
    </row>
    <row r="3457" spans="1:5" x14ac:dyDescent="0.3">
      <c r="A3457" s="16" t="s">
        <v>87</v>
      </c>
      <c r="B3457" s="16" t="s">
        <v>366</v>
      </c>
      <c r="C3457" s="17">
        <v>41800</v>
      </c>
      <c r="D3457" s="18">
        <v>0</v>
      </c>
      <c r="E3457" s="19">
        <v>0</v>
      </c>
    </row>
    <row r="3458" spans="1:5" x14ac:dyDescent="0.3">
      <c r="A3458" s="20" t="s">
        <v>87</v>
      </c>
      <c r="B3458" s="21" t="s">
        <v>367</v>
      </c>
      <c r="C3458" s="22">
        <v>41800</v>
      </c>
      <c r="D3458" s="23">
        <v>0</v>
      </c>
      <c r="E3458" s="24">
        <v>0</v>
      </c>
    </row>
    <row r="3459" spans="1:5" x14ac:dyDescent="0.3">
      <c r="A3459" s="20" t="s">
        <v>87</v>
      </c>
      <c r="B3459" s="21" t="s">
        <v>368</v>
      </c>
      <c r="C3459" s="22">
        <v>41800</v>
      </c>
      <c r="D3459" s="23">
        <v>60000</v>
      </c>
      <c r="E3459" s="24">
        <v>0</v>
      </c>
    </row>
    <row r="3460" spans="1:5" x14ac:dyDescent="0.3">
      <c r="A3460" s="20" t="s">
        <v>87</v>
      </c>
      <c r="B3460" s="21" t="s">
        <v>369</v>
      </c>
      <c r="C3460" s="22">
        <v>41800</v>
      </c>
      <c r="D3460" s="23">
        <v>0</v>
      </c>
      <c r="E3460" s="24">
        <v>0</v>
      </c>
    </row>
    <row r="3461" spans="1:5" x14ac:dyDescent="0.3">
      <c r="A3461" s="20" t="s">
        <v>87</v>
      </c>
      <c r="B3461" s="21" t="s">
        <v>370</v>
      </c>
      <c r="C3461" s="22">
        <v>41800</v>
      </c>
      <c r="D3461" s="23">
        <v>0</v>
      </c>
      <c r="E3461" s="24">
        <v>0</v>
      </c>
    </row>
    <row r="3462" spans="1:5" x14ac:dyDescent="0.3">
      <c r="A3462" s="20" t="s">
        <v>87</v>
      </c>
      <c r="B3462" s="21" t="s">
        <v>371</v>
      </c>
      <c r="C3462" s="22">
        <v>41800</v>
      </c>
      <c r="D3462" s="23">
        <v>0</v>
      </c>
      <c r="E3462" s="24">
        <v>0</v>
      </c>
    </row>
    <row r="3463" spans="1:5" x14ac:dyDescent="0.3">
      <c r="A3463" s="20" t="s">
        <v>87</v>
      </c>
      <c r="B3463" s="21" t="s">
        <v>372</v>
      </c>
      <c r="C3463" s="22">
        <v>41800</v>
      </c>
      <c r="D3463" s="23">
        <v>60000</v>
      </c>
      <c r="E3463" s="24">
        <v>0</v>
      </c>
    </row>
    <row r="3464" spans="1:5" x14ac:dyDescent="0.3">
      <c r="A3464" s="20" t="s">
        <v>87</v>
      </c>
      <c r="B3464" s="21" t="s">
        <v>373</v>
      </c>
      <c r="C3464" s="22">
        <v>19000</v>
      </c>
      <c r="D3464" s="23">
        <v>0</v>
      </c>
      <c r="E3464" s="24">
        <v>0</v>
      </c>
    </row>
    <row r="3465" spans="1:5" x14ac:dyDescent="0.3">
      <c r="A3465" s="20" t="s">
        <v>87</v>
      </c>
      <c r="B3465" s="21" t="s">
        <v>374</v>
      </c>
      <c r="C3465" s="22">
        <v>41800</v>
      </c>
      <c r="D3465" s="23">
        <v>0</v>
      </c>
      <c r="E3465" s="24">
        <v>0</v>
      </c>
    </row>
    <row r="3466" spans="1:5" x14ac:dyDescent="0.3">
      <c r="A3466" s="20" t="s">
        <v>87</v>
      </c>
      <c r="B3466" s="21" t="s">
        <v>375</v>
      </c>
      <c r="C3466" s="22">
        <v>41800</v>
      </c>
      <c r="D3466" s="23">
        <v>0</v>
      </c>
      <c r="E3466" s="24">
        <v>0</v>
      </c>
    </row>
    <row r="3467" spans="1:5" x14ac:dyDescent="0.3">
      <c r="A3467" s="20" t="s">
        <v>87</v>
      </c>
      <c r="B3467" s="21" t="s">
        <v>376</v>
      </c>
      <c r="C3467" s="22">
        <v>41800</v>
      </c>
      <c r="D3467" s="23">
        <v>0</v>
      </c>
      <c r="E3467" s="24">
        <v>0</v>
      </c>
    </row>
    <row r="3468" spans="1:5" x14ac:dyDescent="0.3">
      <c r="A3468" s="20" t="s">
        <v>87</v>
      </c>
      <c r="B3468" s="21" t="s">
        <v>377</v>
      </c>
      <c r="C3468" s="22">
        <v>19000</v>
      </c>
      <c r="D3468" s="23">
        <v>0</v>
      </c>
      <c r="E3468" s="24">
        <v>0</v>
      </c>
    </row>
    <row r="3469" spans="1:5" x14ac:dyDescent="0.3">
      <c r="A3469" s="16" t="s">
        <v>319</v>
      </c>
      <c r="B3469" s="16" t="s">
        <v>366</v>
      </c>
      <c r="C3469" s="17">
        <v>8800</v>
      </c>
      <c r="D3469" s="18">
        <v>0</v>
      </c>
      <c r="E3469" s="19">
        <v>0</v>
      </c>
    </row>
    <row r="3470" spans="1:5" x14ac:dyDescent="0.3">
      <c r="A3470" s="20" t="s">
        <v>319</v>
      </c>
      <c r="B3470" s="21" t="s">
        <v>367</v>
      </c>
      <c r="C3470" s="22">
        <v>8800</v>
      </c>
      <c r="D3470" s="23">
        <v>0</v>
      </c>
      <c r="E3470" s="24">
        <v>0</v>
      </c>
    </row>
    <row r="3471" spans="1:5" x14ac:dyDescent="0.3">
      <c r="A3471" s="20" t="s">
        <v>319</v>
      </c>
      <c r="B3471" s="21" t="s">
        <v>368</v>
      </c>
      <c r="C3471" s="22">
        <v>8800</v>
      </c>
      <c r="D3471" s="23">
        <v>0</v>
      </c>
      <c r="E3471" s="24">
        <v>0</v>
      </c>
    </row>
    <row r="3472" spans="1:5" x14ac:dyDescent="0.3">
      <c r="A3472" s="20" t="s">
        <v>319</v>
      </c>
      <c r="B3472" s="21" t="s">
        <v>369</v>
      </c>
      <c r="C3472" s="22">
        <v>8800</v>
      </c>
      <c r="D3472" s="23">
        <v>0</v>
      </c>
      <c r="E3472" s="24">
        <v>0</v>
      </c>
    </row>
    <row r="3473" spans="1:5" x14ac:dyDescent="0.3">
      <c r="A3473" s="20" t="s">
        <v>319</v>
      </c>
      <c r="B3473" s="21" t="s">
        <v>370</v>
      </c>
      <c r="C3473" s="22">
        <v>8800</v>
      </c>
      <c r="D3473" s="23">
        <v>0</v>
      </c>
      <c r="E3473" s="24">
        <v>0</v>
      </c>
    </row>
    <row r="3474" spans="1:5" x14ac:dyDescent="0.3">
      <c r="A3474" s="20" t="s">
        <v>319</v>
      </c>
      <c r="B3474" s="21" t="s">
        <v>371</v>
      </c>
      <c r="C3474" s="22">
        <v>8800</v>
      </c>
      <c r="D3474" s="23">
        <v>0</v>
      </c>
      <c r="E3474" s="24">
        <v>0</v>
      </c>
    </row>
    <row r="3475" spans="1:5" x14ac:dyDescent="0.3">
      <c r="A3475" s="20" t="s">
        <v>319</v>
      </c>
      <c r="B3475" s="21" t="s">
        <v>372</v>
      </c>
      <c r="C3475" s="22">
        <v>8800</v>
      </c>
      <c r="D3475" s="23">
        <v>10000</v>
      </c>
      <c r="E3475" s="24">
        <v>0</v>
      </c>
    </row>
    <row r="3476" spans="1:5" x14ac:dyDescent="0.3">
      <c r="A3476" s="20" t="s">
        <v>319</v>
      </c>
      <c r="B3476" s="21" t="s">
        <v>373</v>
      </c>
      <c r="C3476" s="22">
        <v>4000</v>
      </c>
      <c r="D3476" s="23">
        <v>0</v>
      </c>
      <c r="E3476" s="24">
        <v>0</v>
      </c>
    </row>
    <row r="3477" spans="1:5" x14ac:dyDescent="0.3">
      <c r="A3477" s="20" t="s">
        <v>319</v>
      </c>
      <c r="B3477" s="21" t="s">
        <v>374</v>
      </c>
      <c r="C3477" s="22">
        <v>8800</v>
      </c>
      <c r="D3477" s="23">
        <v>0</v>
      </c>
      <c r="E3477" s="24">
        <v>0</v>
      </c>
    </row>
    <row r="3478" spans="1:5" x14ac:dyDescent="0.3">
      <c r="A3478" s="20" t="s">
        <v>319</v>
      </c>
      <c r="B3478" s="21" t="s">
        <v>375</v>
      </c>
      <c r="C3478" s="22">
        <v>8800</v>
      </c>
      <c r="D3478" s="23">
        <v>0</v>
      </c>
      <c r="E3478" s="24">
        <v>0</v>
      </c>
    </row>
    <row r="3479" spans="1:5" x14ac:dyDescent="0.3">
      <c r="A3479" s="20" t="s">
        <v>319</v>
      </c>
      <c r="B3479" s="21" t="s">
        <v>376</v>
      </c>
      <c r="C3479" s="22">
        <v>8800</v>
      </c>
      <c r="D3479" s="23">
        <v>0</v>
      </c>
      <c r="E3479" s="24">
        <v>0</v>
      </c>
    </row>
    <row r="3480" spans="1:5" x14ac:dyDescent="0.3">
      <c r="A3480" s="20" t="s">
        <v>319</v>
      </c>
      <c r="B3480" s="21" t="s">
        <v>377</v>
      </c>
      <c r="C3480" s="22">
        <v>4000</v>
      </c>
      <c r="D3480" s="23">
        <v>0</v>
      </c>
      <c r="E3480" s="24">
        <v>0</v>
      </c>
    </row>
    <row r="3481" spans="1:5" x14ac:dyDescent="0.3">
      <c r="A3481" s="16" t="s">
        <v>450</v>
      </c>
      <c r="B3481" s="16" t="s">
        <v>375</v>
      </c>
      <c r="C3481" s="17">
        <v>0</v>
      </c>
      <c r="D3481" s="18">
        <v>0</v>
      </c>
      <c r="E3481" s="19">
        <v>0</v>
      </c>
    </row>
    <row r="3482" spans="1:5" x14ac:dyDescent="0.3">
      <c r="A3482" s="16" t="s">
        <v>451</v>
      </c>
      <c r="B3482" s="16" t="s">
        <v>370</v>
      </c>
      <c r="C3482" s="17">
        <v>0</v>
      </c>
      <c r="D3482" s="18">
        <v>0</v>
      </c>
      <c r="E3482" s="19">
        <v>0</v>
      </c>
    </row>
    <row r="3483" spans="1:5" x14ac:dyDescent="0.3">
      <c r="A3483" s="20" t="s">
        <v>451</v>
      </c>
      <c r="B3483" s="21" t="s">
        <v>371</v>
      </c>
      <c r="C3483" s="22">
        <v>0</v>
      </c>
      <c r="D3483" s="23">
        <v>0</v>
      </c>
      <c r="E3483" s="24">
        <v>0</v>
      </c>
    </row>
    <row r="3484" spans="1:5" x14ac:dyDescent="0.3">
      <c r="A3484" s="20" t="s">
        <v>451</v>
      </c>
      <c r="B3484" s="21" t="s">
        <v>373</v>
      </c>
      <c r="C3484" s="22">
        <v>0</v>
      </c>
      <c r="D3484" s="23">
        <v>0</v>
      </c>
      <c r="E3484" s="24">
        <v>0</v>
      </c>
    </row>
    <row r="3485" spans="1:5" x14ac:dyDescent="0.3">
      <c r="A3485" s="20" t="s">
        <v>451</v>
      </c>
      <c r="B3485" s="21" t="s">
        <v>374</v>
      </c>
      <c r="C3485" s="22">
        <v>100000</v>
      </c>
      <c r="D3485" s="23">
        <v>100000</v>
      </c>
      <c r="E3485" s="24">
        <v>0</v>
      </c>
    </row>
    <row r="3486" spans="1:5" x14ac:dyDescent="0.3">
      <c r="A3486" s="16" t="s">
        <v>199</v>
      </c>
      <c r="B3486" s="16" t="s">
        <v>367</v>
      </c>
      <c r="C3486" s="17">
        <v>130000</v>
      </c>
      <c r="D3486" s="18">
        <v>0</v>
      </c>
      <c r="E3486" s="19">
        <v>0</v>
      </c>
    </row>
    <row r="3487" spans="1:5" x14ac:dyDescent="0.3">
      <c r="A3487" s="20" t="s">
        <v>199</v>
      </c>
      <c r="B3487" s="21" t="s">
        <v>370</v>
      </c>
      <c r="C3487" s="22">
        <v>0</v>
      </c>
      <c r="D3487" s="23">
        <v>0</v>
      </c>
      <c r="E3487" s="24">
        <v>0</v>
      </c>
    </row>
    <row r="3488" spans="1:5" x14ac:dyDescent="0.3">
      <c r="A3488" s="20" t="s">
        <v>199</v>
      </c>
      <c r="B3488" s="21" t="s">
        <v>371</v>
      </c>
      <c r="C3488" s="22">
        <v>0</v>
      </c>
      <c r="D3488" s="23">
        <v>0</v>
      </c>
      <c r="E3488" s="24">
        <v>0</v>
      </c>
    </row>
    <row r="3489" spans="1:5" x14ac:dyDescent="0.3">
      <c r="A3489" s="16" t="s">
        <v>452</v>
      </c>
      <c r="B3489" s="16" t="s">
        <v>366</v>
      </c>
      <c r="C3489" s="17">
        <v>0</v>
      </c>
      <c r="D3489" s="18">
        <v>0</v>
      </c>
      <c r="E3489" s="19">
        <v>0</v>
      </c>
    </row>
    <row r="3490" spans="1:5" x14ac:dyDescent="0.3">
      <c r="A3490" s="20" t="s">
        <v>452</v>
      </c>
      <c r="B3490" s="21" t="s">
        <v>367</v>
      </c>
      <c r="C3490" s="22">
        <v>80000</v>
      </c>
      <c r="D3490" s="23">
        <v>100000</v>
      </c>
      <c r="E3490" s="24">
        <v>0</v>
      </c>
    </row>
    <row r="3491" spans="1:5" x14ac:dyDescent="0.3">
      <c r="A3491" s="20" t="s">
        <v>452</v>
      </c>
      <c r="B3491" s="21" t="s">
        <v>369</v>
      </c>
      <c r="C3491" s="22">
        <v>80000</v>
      </c>
      <c r="D3491" s="23">
        <v>100000</v>
      </c>
      <c r="E3491" s="24">
        <v>0</v>
      </c>
    </row>
    <row r="3492" spans="1:5" x14ac:dyDescent="0.3">
      <c r="A3492" s="20" t="s">
        <v>452</v>
      </c>
      <c r="B3492" s="21" t="s">
        <v>373</v>
      </c>
      <c r="C3492" s="22">
        <v>80000</v>
      </c>
      <c r="D3492" s="23">
        <v>0</v>
      </c>
      <c r="E3492" s="24">
        <v>0</v>
      </c>
    </row>
    <row r="3493" spans="1:5" x14ac:dyDescent="0.3">
      <c r="A3493" s="20" t="s">
        <v>452</v>
      </c>
      <c r="B3493" s="21" t="s">
        <v>375</v>
      </c>
      <c r="C3493" s="22">
        <v>80000</v>
      </c>
      <c r="D3493" s="23">
        <v>0</v>
      </c>
      <c r="E3493" s="24">
        <v>0</v>
      </c>
    </row>
    <row r="3494" spans="1:5" x14ac:dyDescent="0.3">
      <c r="A3494" s="20" t="s">
        <v>452</v>
      </c>
      <c r="B3494" s="21" t="s">
        <v>377</v>
      </c>
      <c r="C3494" s="22">
        <v>80000</v>
      </c>
      <c r="D3494" s="23">
        <v>0</v>
      </c>
      <c r="E3494" s="24">
        <v>0</v>
      </c>
    </row>
    <row r="3495" spans="1:5" x14ac:dyDescent="0.3">
      <c r="A3495" s="16" t="s">
        <v>453</v>
      </c>
      <c r="B3495" s="16" t="s">
        <v>375</v>
      </c>
      <c r="C3495" s="17">
        <v>0</v>
      </c>
      <c r="D3495" s="18">
        <v>0</v>
      </c>
      <c r="E3495" s="19">
        <v>0</v>
      </c>
    </row>
    <row r="3496" spans="1:5" x14ac:dyDescent="0.3">
      <c r="A3496" s="16" t="s">
        <v>454</v>
      </c>
      <c r="B3496" s="16" t="s">
        <v>366</v>
      </c>
      <c r="C3496" s="17">
        <v>0</v>
      </c>
      <c r="D3496" s="18">
        <v>0</v>
      </c>
      <c r="E3496" s="19">
        <v>0</v>
      </c>
    </row>
    <row r="3497" spans="1:5" x14ac:dyDescent="0.3">
      <c r="A3497" s="20" t="s">
        <v>454</v>
      </c>
      <c r="B3497" s="21" t="s">
        <v>367</v>
      </c>
      <c r="C3497" s="22">
        <v>0</v>
      </c>
      <c r="D3497" s="23">
        <v>0</v>
      </c>
      <c r="E3497" s="24">
        <v>0</v>
      </c>
    </row>
    <row r="3498" spans="1:5" x14ac:dyDescent="0.3">
      <c r="A3498" s="16" t="s">
        <v>107</v>
      </c>
      <c r="B3498" s="16" t="s">
        <v>368</v>
      </c>
      <c r="C3498" s="17">
        <v>0</v>
      </c>
      <c r="D3498" s="18">
        <v>0</v>
      </c>
      <c r="E3498" s="19">
        <v>0</v>
      </c>
    </row>
    <row r="3499" spans="1:5" x14ac:dyDescent="0.3">
      <c r="A3499" s="16" t="s">
        <v>328</v>
      </c>
      <c r="B3499" s="16" t="s">
        <v>368</v>
      </c>
      <c r="C3499" s="17">
        <v>0</v>
      </c>
      <c r="D3499" s="18">
        <v>0</v>
      </c>
      <c r="E3499" s="19">
        <v>0</v>
      </c>
    </row>
    <row r="3500" spans="1:5" x14ac:dyDescent="0.3">
      <c r="A3500" s="16" t="s">
        <v>108</v>
      </c>
      <c r="B3500" s="16" t="s">
        <v>368</v>
      </c>
      <c r="C3500" s="17">
        <v>0</v>
      </c>
      <c r="D3500" s="18">
        <v>0</v>
      </c>
      <c r="E3500" s="19">
        <v>0</v>
      </c>
    </row>
    <row r="3501" spans="1:5" x14ac:dyDescent="0.3">
      <c r="A3501" s="16" t="s">
        <v>114</v>
      </c>
      <c r="B3501" s="16" t="s">
        <v>368</v>
      </c>
      <c r="C3501" s="17">
        <v>0</v>
      </c>
      <c r="D3501" s="18">
        <v>0</v>
      </c>
      <c r="E3501" s="19">
        <v>0</v>
      </c>
    </row>
    <row r="3502" spans="1:5" x14ac:dyDescent="0.3">
      <c r="A3502" s="16" t="s">
        <v>455</v>
      </c>
      <c r="B3502" s="16" t="s">
        <v>368</v>
      </c>
      <c r="C3502" s="17">
        <v>0</v>
      </c>
      <c r="D3502" s="18">
        <v>0</v>
      </c>
      <c r="E3502" s="19">
        <v>0</v>
      </c>
    </row>
    <row r="3503" spans="1:5" x14ac:dyDescent="0.3">
      <c r="A3503" s="16" t="s">
        <v>36</v>
      </c>
      <c r="B3503" s="16" t="s">
        <v>366</v>
      </c>
      <c r="C3503" s="17">
        <v>120000</v>
      </c>
      <c r="D3503" s="18">
        <v>120000</v>
      </c>
      <c r="E3503" s="19">
        <v>0</v>
      </c>
    </row>
    <row r="3504" spans="1:5" x14ac:dyDescent="0.3">
      <c r="A3504" s="20" t="s">
        <v>36</v>
      </c>
      <c r="B3504" s="21" t="s">
        <v>367</v>
      </c>
      <c r="C3504" s="22">
        <v>121470</v>
      </c>
      <c r="D3504" s="23">
        <v>120000</v>
      </c>
      <c r="E3504" s="24">
        <v>0</v>
      </c>
    </row>
    <row r="3505" spans="1:5" x14ac:dyDescent="0.3">
      <c r="A3505" s="20" t="s">
        <v>36</v>
      </c>
      <c r="B3505" s="21" t="s">
        <v>368</v>
      </c>
      <c r="C3505" s="22">
        <v>0</v>
      </c>
      <c r="D3505" s="23">
        <v>120000</v>
      </c>
      <c r="E3505" s="24">
        <v>0</v>
      </c>
    </row>
    <row r="3506" spans="1:5" x14ac:dyDescent="0.3">
      <c r="A3506" s="20" t="s">
        <v>36</v>
      </c>
      <c r="B3506" s="21" t="s">
        <v>369</v>
      </c>
      <c r="C3506" s="22">
        <v>120000</v>
      </c>
      <c r="D3506" s="23">
        <v>120000</v>
      </c>
      <c r="E3506" s="24">
        <v>0</v>
      </c>
    </row>
    <row r="3507" spans="1:5" x14ac:dyDescent="0.3">
      <c r="A3507" s="20" t="s">
        <v>36</v>
      </c>
      <c r="B3507" s="21" t="s">
        <v>370</v>
      </c>
      <c r="C3507" s="22">
        <v>120000</v>
      </c>
      <c r="D3507" s="23">
        <v>120000</v>
      </c>
      <c r="E3507" s="24">
        <v>0</v>
      </c>
    </row>
    <row r="3508" spans="1:5" x14ac:dyDescent="0.3">
      <c r="A3508" s="20" t="s">
        <v>36</v>
      </c>
      <c r="B3508" s="21" t="s">
        <v>372</v>
      </c>
      <c r="C3508" s="22">
        <v>0</v>
      </c>
      <c r="D3508" s="23">
        <v>120000</v>
      </c>
      <c r="E3508" s="24">
        <v>0</v>
      </c>
    </row>
    <row r="3509" spans="1:5" x14ac:dyDescent="0.3">
      <c r="A3509" s="20" t="s">
        <v>36</v>
      </c>
      <c r="B3509" s="21" t="s">
        <v>373</v>
      </c>
      <c r="C3509" s="22">
        <v>120000</v>
      </c>
      <c r="D3509" s="23">
        <v>120000</v>
      </c>
      <c r="E3509" s="24">
        <v>0</v>
      </c>
    </row>
    <row r="3510" spans="1:5" x14ac:dyDescent="0.3">
      <c r="A3510" s="20" t="s">
        <v>36</v>
      </c>
      <c r="B3510" s="21" t="s">
        <v>374</v>
      </c>
      <c r="C3510" s="22">
        <v>120000</v>
      </c>
      <c r="D3510" s="23">
        <v>120000</v>
      </c>
      <c r="E3510" s="24">
        <v>0</v>
      </c>
    </row>
    <row r="3511" spans="1:5" x14ac:dyDescent="0.3">
      <c r="A3511" s="20" t="s">
        <v>36</v>
      </c>
      <c r="B3511" s="21" t="s">
        <v>375</v>
      </c>
      <c r="C3511" s="22">
        <v>120000</v>
      </c>
      <c r="D3511" s="23">
        <v>120000</v>
      </c>
      <c r="E3511" s="24">
        <v>0</v>
      </c>
    </row>
    <row r="3512" spans="1:5" x14ac:dyDescent="0.3">
      <c r="A3512" s="20" t="s">
        <v>36</v>
      </c>
      <c r="B3512" s="21" t="s">
        <v>376</v>
      </c>
      <c r="C3512" s="22">
        <v>120000</v>
      </c>
      <c r="D3512" s="23">
        <v>120000</v>
      </c>
      <c r="E3512" s="24">
        <v>0</v>
      </c>
    </row>
    <row r="3513" spans="1:5" x14ac:dyDescent="0.3">
      <c r="A3513" s="20" t="s">
        <v>36</v>
      </c>
      <c r="B3513" s="21" t="s">
        <v>377</v>
      </c>
      <c r="C3513" s="22">
        <v>120000</v>
      </c>
      <c r="D3513" s="23">
        <v>120000</v>
      </c>
      <c r="E3513" s="24">
        <v>0</v>
      </c>
    </row>
    <row r="3514" spans="1:5" x14ac:dyDescent="0.3">
      <c r="A3514" s="16" t="s">
        <v>17</v>
      </c>
      <c r="B3514" s="16" t="s">
        <v>366</v>
      </c>
      <c r="C3514" s="17">
        <v>0</v>
      </c>
      <c r="D3514" s="18">
        <v>0</v>
      </c>
      <c r="E3514" s="19">
        <v>0</v>
      </c>
    </row>
    <row r="3515" spans="1:5" x14ac:dyDescent="0.3">
      <c r="A3515" s="20" t="s">
        <v>17</v>
      </c>
      <c r="B3515" s="21" t="s">
        <v>367</v>
      </c>
      <c r="C3515" s="22">
        <v>0</v>
      </c>
      <c r="D3515" s="23">
        <v>0</v>
      </c>
      <c r="E3515" s="24">
        <v>0</v>
      </c>
    </row>
    <row r="3516" spans="1:5" x14ac:dyDescent="0.3">
      <c r="A3516" s="20" t="s">
        <v>17</v>
      </c>
      <c r="B3516" s="21" t="s">
        <v>369</v>
      </c>
      <c r="C3516" s="22">
        <v>0</v>
      </c>
      <c r="D3516" s="23">
        <v>0</v>
      </c>
      <c r="E3516" s="24">
        <v>0</v>
      </c>
    </row>
    <row r="3517" spans="1:5" x14ac:dyDescent="0.3">
      <c r="A3517" s="20" t="s">
        <v>17</v>
      </c>
      <c r="B3517" s="21" t="s">
        <v>370</v>
      </c>
      <c r="C3517" s="22">
        <v>0</v>
      </c>
      <c r="D3517" s="23">
        <v>0</v>
      </c>
      <c r="E3517" s="24">
        <v>0</v>
      </c>
    </row>
    <row r="3518" spans="1:5" x14ac:dyDescent="0.3">
      <c r="A3518" s="20" t="s">
        <v>17</v>
      </c>
      <c r="B3518" s="21" t="s">
        <v>371</v>
      </c>
      <c r="C3518" s="22">
        <v>0</v>
      </c>
      <c r="D3518" s="23">
        <v>0</v>
      </c>
      <c r="E3518" s="24">
        <v>0</v>
      </c>
    </row>
    <row r="3519" spans="1:5" x14ac:dyDescent="0.3">
      <c r="A3519" s="16" t="s">
        <v>456</v>
      </c>
      <c r="B3519" s="16" t="s">
        <v>366</v>
      </c>
      <c r="C3519" s="17">
        <v>280000</v>
      </c>
      <c r="D3519" s="18">
        <v>600000</v>
      </c>
      <c r="E3519" s="19">
        <v>0</v>
      </c>
    </row>
    <row r="3520" spans="1:5" x14ac:dyDescent="0.3">
      <c r="A3520" s="20" t="s">
        <v>456</v>
      </c>
      <c r="B3520" s="21" t="s">
        <v>367</v>
      </c>
      <c r="C3520" s="22">
        <v>300000</v>
      </c>
      <c r="D3520" s="23">
        <v>0</v>
      </c>
      <c r="E3520" s="24">
        <v>0</v>
      </c>
    </row>
    <row r="3521" spans="1:5" x14ac:dyDescent="0.3">
      <c r="A3521" s="20" t="s">
        <v>456</v>
      </c>
      <c r="B3521" s="21" t="s">
        <v>368</v>
      </c>
      <c r="C3521" s="22">
        <v>300000</v>
      </c>
      <c r="D3521" s="23">
        <v>300000</v>
      </c>
      <c r="E3521" s="24">
        <v>0</v>
      </c>
    </row>
    <row r="3522" spans="1:5" x14ac:dyDescent="0.3">
      <c r="A3522" s="20" t="s">
        <v>456</v>
      </c>
      <c r="B3522" s="21" t="s">
        <v>369</v>
      </c>
      <c r="C3522" s="22">
        <v>280000</v>
      </c>
      <c r="D3522" s="23">
        <v>300000</v>
      </c>
      <c r="E3522" s="24">
        <v>0</v>
      </c>
    </row>
    <row r="3523" spans="1:5" x14ac:dyDescent="0.3">
      <c r="A3523" s="20" t="s">
        <v>456</v>
      </c>
      <c r="B3523" s="21" t="s">
        <v>370</v>
      </c>
      <c r="C3523" s="22">
        <v>300000</v>
      </c>
      <c r="D3523" s="23">
        <v>300000</v>
      </c>
      <c r="E3523" s="24">
        <v>0</v>
      </c>
    </row>
    <row r="3524" spans="1:5" x14ac:dyDescent="0.3">
      <c r="A3524" s="20" t="s">
        <v>456</v>
      </c>
      <c r="B3524" s="21" t="s">
        <v>371</v>
      </c>
      <c r="C3524" s="22">
        <v>300000</v>
      </c>
      <c r="D3524" s="23">
        <v>300000</v>
      </c>
      <c r="E3524" s="24">
        <v>0</v>
      </c>
    </row>
    <row r="3525" spans="1:5" x14ac:dyDescent="0.3">
      <c r="A3525" s="20" t="s">
        <v>456</v>
      </c>
      <c r="B3525" s="21" t="s">
        <v>372</v>
      </c>
      <c r="C3525" s="22">
        <v>300000</v>
      </c>
      <c r="D3525" s="23">
        <v>300000</v>
      </c>
      <c r="E3525" s="24">
        <v>0</v>
      </c>
    </row>
    <row r="3526" spans="1:5" x14ac:dyDescent="0.3">
      <c r="A3526" s="20" t="s">
        <v>456</v>
      </c>
      <c r="B3526" s="21" t="s">
        <v>373</v>
      </c>
      <c r="C3526" s="22">
        <v>280000</v>
      </c>
      <c r="D3526" s="23">
        <v>300000</v>
      </c>
      <c r="E3526" s="24">
        <v>0</v>
      </c>
    </row>
    <row r="3527" spans="1:5" x14ac:dyDescent="0.3">
      <c r="A3527" s="20" t="s">
        <v>456</v>
      </c>
      <c r="B3527" s="21" t="s">
        <v>374</v>
      </c>
      <c r="C3527" s="22">
        <v>300000</v>
      </c>
      <c r="D3527" s="23">
        <v>300000</v>
      </c>
      <c r="E3527" s="24">
        <v>0</v>
      </c>
    </row>
    <row r="3528" spans="1:5" x14ac:dyDescent="0.3">
      <c r="A3528" s="20" t="s">
        <v>456</v>
      </c>
      <c r="B3528" s="21" t="s">
        <v>375</v>
      </c>
      <c r="C3528" s="22">
        <v>300000</v>
      </c>
      <c r="D3528" s="23">
        <v>300000</v>
      </c>
      <c r="E3528" s="24">
        <v>0</v>
      </c>
    </row>
    <row r="3529" spans="1:5" x14ac:dyDescent="0.3">
      <c r="A3529" s="20" t="s">
        <v>456</v>
      </c>
      <c r="B3529" s="21" t="s">
        <v>376</v>
      </c>
      <c r="C3529" s="22">
        <v>280000</v>
      </c>
      <c r="D3529" s="23">
        <v>300000</v>
      </c>
      <c r="E3529" s="24">
        <v>0</v>
      </c>
    </row>
    <row r="3530" spans="1:5" x14ac:dyDescent="0.3">
      <c r="A3530" s="20" t="s">
        <v>456</v>
      </c>
      <c r="B3530" s="21" t="s">
        <v>377</v>
      </c>
      <c r="C3530" s="22">
        <v>300000</v>
      </c>
      <c r="D3530" s="23">
        <v>300000</v>
      </c>
      <c r="E3530" s="24">
        <v>0</v>
      </c>
    </row>
    <row r="3531" spans="1:5" x14ac:dyDescent="0.3">
      <c r="A3531" s="16" t="s">
        <v>149</v>
      </c>
      <c r="B3531" s="16" t="s">
        <v>367</v>
      </c>
      <c r="C3531" s="17">
        <v>0</v>
      </c>
      <c r="D3531" s="18">
        <v>30000</v>
      </c>
      <c r="E3531" s="19">
        <v>0</v>
      </c>
    </row>
    <row r="3532" spans="1:5" x14ac:dyDescent="0.3">
      <c r="A3532" s="20" t="s">
        <v>149</v>
      </c>
      <c r="B3532" s="21" t="s">
        <v>368</v>
      </c>
      <c r="C3532" s="22">
        <v>30000</v>
      </c>
      <c r="D3532" s="23">
        <v>0</v>
      </c>
      <c r="E3532" s="24">
        <v>0</v>
      </c>
    </row>
    <row r="3533" spans="1:5" x14ac:dyDescent="0.3">
      <c r="A3533" s="16" t="s">
        <v>173</v>
      </c>
      <c r="B3533" s="16" t="s">
        <v>366</v>
      </c>
      <c r="C3533" s="17">
        <v>0</v>
      </c>
      <c r="D3533" s="18">
        <v>0</v>
      </c>
      <c r="E3533" s="19">
        <v>0</v>
      </c>
    </row>
    <row r="3534" spans="1:5" x14ac:dyDescent="0.3">
      <c r="A3534" s="20" t="s">
        <v>173</v>
      </c>
      <c r="B3534" s="21" t="s">
        <v>367</v>
      </c>
      <c r="C3534" s="22">
        <v>0</v>
      </c>
      <c r="D3534" s="23">
        <v>0</v>
      </c>
      <c r="E3534" s="24">
        <v>0</v>
      </c>
    </row>
    <row r="3535" spans="1:5" x14ac:dyDescent="0.3">
      <c r="A3535" s="20" t="s">
        <v>173</v>
      </c>
      <c r="B3535" s="21" t="s">
        <v>370</v>
      </c>
      <c r="C3535" s="22">
        <v>0</v>
      </c>
      <c r="D3535" s="23">
        <v>0</v>
      </c>
      <c r="E3535" s="24">
        <v>0</v>
      </c>
    </row>
    <row r="3536" spans="1:5" x14ac:dyDescent="0.3">
      <c r="A3536" s="20" t="s">
        <v>173</v>
      </c>
      <c r="B3536" s="21" t="s">
        <v>371</v>
      </c>
      <c r="C3536" s="22">
        <v>0</v>
      </c>
      <c r="D3536" s="23">
        <v>0</v>
      </c>
      <c r="E3536" s="24">
        <v>0</v>
      </c>
    </row>
    <row r="3537" spans="1:5" x14ac:dyDescent="0.3">
      <c r="A3537" s="20" t="s">
        <v>173</v>
      </c>
      <c r="B3537" s="21" t="s">
        <v>372</v>
      </c>
      <c r="C3537" s="22">
        <v>0</v>
      </c>
      <c r="D3537" s="23">
        <v>0</v>
      </c>
      <c r="E3537" s="24">
        <v>0</v>
      </c>
    </row>
    <row r="3538" spans="1:5" x14ac:dyDescent="0.3">
      <c r="A3538" s="20" t="s">
        <v>173</v>
      </c>
      <c r="B3538" s="21" t="s">
        <v>373</v>
      </c>
      <c r="C3538" s="22">
        <v>0</v>
      </c>
      <c r="D3538" s="23">
        <v>0</v>
      </c>
      <c r="E3538" s="24">
        <v>0</v>
      </c>
    </row>
    <row r="3539" spans="1:5" x14ac:dyDescent="0.3">
      <c r="A3539" s="20" t="s">
        <v>173</v>
      </c>
      <c r="B3539" s="21" t="s">
        <v>375</v>
      </c>
      <c r="C3539" s="22">
        <v>0</v>
      </c>
      <c r="D3539" s="23">
        <v>0</v>
      </c>
      <c r="E3539" s="24">
        <v>0</v>
      </c>
    </row>
    <row r="3540" spans="1:5" x14ac:dyDescent="0.3">
      <c r="A3540" s="16" t="s">
        <v>174</v>
      </c>
      <c r="B3540" s="16" t="s">
        <v>366</v>
      </c>
      <c r="C3540" s="17">
        <v>0</v>
      </c>
      <c r="D3540" s="18">
        <v>0</v>
      </c>
      <c r="E3540" s="19">
        <v>0</v>
      </c>
    </row>
    <row r="3541" spans="1:5" x14ac:dyDescent="0.3">
      <c r="A3541" s="20" t="s">
        <v>174</v>
      </c>
      <c r="B3541" s="21" t="s">
        <v>367</v>
      </c>
      <c r="C3541" s="22">
        <v>0</v>
      </c>
      <c r="D3541" s="23">
        <v>0</v>
      </c>
      <c r="E3541" s="24">
        <v>0</v>
      </c>
    </row>
    <row r="3542" spans="1:5" x14ac:dyDescent="0.3">
      <c r="A3542" s="20" t="s">
        <v>174</v>
      </c>
      <c r="B3542" s="21" t="s">
        <v>369</v>
      </c>
      <c r="C3542" s="22">
        <v>0</v>
      </c>
      <c r="D3542" s="23">
        <v>0</v>
      </c>
      <c r="E3542" s="24">
        <v>0</v>
      </c>
    </row>
    <row r="3543" spans="1:5" x14ac:dyDescent="0.3">
      <c r="A3543" s="20" t="s">
        <v>174</v>
      </c>
      <c r="B3543" s="21" t="s">
        <v>370</v>
      </c>
      <c r="C3543" s="22">
        <v>0</v>
      </c>
      <c r="D3543" s="23">
        <v>0</v>
      </c>
      <c r="E3543" s="24">
        <v>0</v>
      </c>
    </row>
    <row r="3544" spans="1:5" x14ac:dyDescent="0.3">
      <c r="A3544" s="20" t="s">
        <v>174</v>
      </c>
      <c r="B3544" s="21" t="s">
        <v>373</v>
      </c>
      <c r="C3544" s="22">
        <v>0</v>
      </c>
      <c r="D3544" s="23">
        <v>0</v>
      </c>
      <c r="E3544" s="24">
        <v>0</v>
      </c>
    </row>
    <row r="3545" spans="1:5" x14ac:dyDescent="0.3">
      <c r="A3545" s="20" t="s">
        <v>174</v>
      </c>
      <c r="B3545" s="21" t="s">
        <v>374</v>
      </c>
      <c r="C3545" s="22">
        <v>0</v>
      </c>
      <c r="D3545" s="23">
        <v>0</v>
      </c>
      <c r="E3545" s="24">
        <v>0</v>
      </c>
    </row>
    <row r="3546" spans="1:5" x14ac:dyDescent="0.3">
      <c r="A3546" s="20" t="s">
        <v>174</v>
      </c>
      <c r="B3546" s="21" t="s">
        <v>375</v>
      </c>
      <c r="C3546" s="22">
        <v>0</v>
      </c>
      <c r="D3546" s="23">
        <v>0</v>
      </c>
      <c r="E3546" s="24">
        <v>0</v>
      </c>
    </row>
    <row r="3547" spans="1:5" x14ac:dyDescent="0.3">
      <c r="A3547" s="16" t="s">
        <v>457</v>
      </c>
      <c r="B3547" s="16" t="s">
        <v>371</v>
      </c>
      <c r="C3547" s="17">
        <v>0</v>
      </c>
      <c r="D3547" s="18">
        <v>0</v>
      </c>
      <c r="E3547" s="19">
        <v>0</v>
      </c>
    </row>
    <row r="3548" spans="1:5" x14ac:dyDescent="0.3">
      <c r="A3548" s="16" t="s">
        <v>188</v>
      </c>
      <c r="B3548" s="16" t="s">
        <v>366</v>
      </c>
      <c r="C3548" s="17">
        <v>0</v>
      </c>
      <c r="D3548" s="18">
        <v>0</v>
      </c>
      <c r="E3548" s="19">
        <v>0</v>
      </c>
    </row>
    <row r="3549" spans="1:5" x14ac:dyDescent="0.3">
      <c r="A3549" s="20" t="s">
        <v>188</v>
      </c>
      <c r="B3549" s="21" t="s">
        <v>367</v>
      </c>
      <c r="C3549" s="22">
        <v>0</v>
      </c>
      <c r="D3549" s="23">
        <v>0</v>
      </c>
      <c r="E3549" s="24">
        <v>0</v>
      </c>
    </row>
    <row r="3550" spans="1:5" x14ac:dyDescent="0.3">
      <c r="A3550" s="20" t="s">
        <v>188</v>
      </c>
      <c r="B3550" s="21" t="s">
        <v>368</v>
      </c>
      <c r="C3550" s="22">
        <v>0</v>
      </c>
      <c r="D3550" s="23">
        <v>0</v>
      </c>
      <c r="E3550" s="24">
        <v>0</v>
      </c>
    </row>
    <row r="3551" spans="1:5" x14ac:dyDescent="0.3">
      <c r="A3551" s="16" t="s">
        <v>203</v>
      </c>
      <c r="B3551" s="16" t="s">
        <v>366</v>
      </c>
      <c r="C3551" s="17">
        <v>0</v>
      </c>
      <c r="D3551" s="18">
        <v>0</v>
      </c>
      <c r="E3551" s="19">
        <v>0</v>
      </c>
    </row>
    <row r="3552" spans="1:5" x14ac:dyDescent="0.3">
      <c r="A3552" s="20" t="s">
        <v>203</v>
      </c>
      <c r="B3552" s="21" t="s">
        <v>367</v>
      </c>
      <c r="C3552" s="22">
        <v>0</v>
      </c>
      <c r="D3552" s="23">
        <v>0</v>
      </c>
      <c r="E3552" s="24">
        <v>0</v>
      </c>
    </row>
    <row r="3553" spans="1:5" x14ac:dyDescent="0.3">
      <c r="A3553" s="20" t="s">
        <v>203</v>
      </c>
      <c r="B3553" s="21" t="s">
        <v>368</v>
      </c>
      <c r="C3553" s="22">
        <v>0</v>
      </c>
      <c r="D3553" s="23">
        <v>0</v>
      </c>
      <c r="E3553" s="24">
        <v>0</v>
      </c>
    </row>
    <row r="3554" spans="1:5" x14ac:dyDescent="0.3">
      <c r="A3554" s="16" t="s">
        <v>204</v>
      </c>
      <c r="B3554" s="16" t="s">
        <v>366</v>
      </c>
      <c r="C3554" s="17">
        <v>0</v>
      </c>
      <c r="D3554" s="18">
        <v>0</v>
      </c>
      <c r="E3554" s="19">
        <v>0</v>
      </c>
    </row>
    <row r="3555" spans="1:5" x14ac:dyDescent="0.3">
      <c r="A3555" s="20" t="s">
        <v>204</v>
      </c>
      <c r="B3555" s="21" t="s">
        <v>368</v>
      </c>
      <c r="C3555" s="22">
        <v>0</v>
      </c>
      <c r="D3555" s="23">
        <v>0</v>
      </c>
      <c r="E3555" s="24">
        <v>0</v>
      </c>
    </row>
    <row r="3556" spans="1:5" x14ac:dyDescent="0.3">
      <c r="A3556" s="20" t="s">
        <v>204</v>
      </c>
      <c r="B3556" s="21" t="s">
        <v>370</v>
      </c>
      <c r="C3556" s="22">
        <v>0</v>
      </c>
      <c r="D3556" s="23">
        <v>0</v>
      </c>
      <c r="E3556" s="24">
        <v>0</v>
      </c>
    </row>
    <row r="3557" spans="1:5" x14ac:dyDescent="0.3">
      <c r="A3557" s="20" t="s">
        <v>204</v>
      </c>
      <c r="B3557" s="21" t="s">
        <v>371</v>
      </c>
      <c r="C3557" s="22">
        <v>0</v>
      </c>
      <c r="D3557" s="23">
        <v>0</v>
      </c>
      <c r="E3557" s="24">
        <v>0</v>
      </c>
    </row>
    <row r="3558" spans="1:5" x14ac:dyDescent="0.3">
      <c r="A3558" s="16" t="s">
        <v>458</v>
      </c>
      <c r="B3558" s="16" t="s">
        <v>373</v>
      </c>
      <c r="C3558" s="17">
        <v>0</v>
      </c>
      <c r="D3558" s="18">
        <v>0</v>
      </c>
      <c r="E3558" s="19">
        <v>0</v>
      </c>
    </row>
    <row r="3559" spans="1:5" x14ac:dyDescent="0.3">
      <c r="A3559" s="16" t="s">
        <v>272</v>
      </c>
      <c r="B3559" s="16" t="s">
        <v>366</v>
      </c>
      <c r="C3559" s="17">
        <v>0</v>
      </c>
      <c r="D3559" s="18">
        <v>0</v>
      </c>
      <c r="E3559" s="19">
        <v>0</v>
      </c>
    </row>
    <row r="3560" spans="1:5" x14ac:dyDescent="0.3">
      <c r="A3560" s="20" t="s">
        <v>272</v>
      </c>
      <c r="B3560" s="21" t="s">
        <v>367</v>
      </c>
      <c r="C3560" s="22">
        <v>0</v>
      </c>
      <c r="D3560" s="23">
        <v>64000</v>
      </c>
      <c r="E3560" s="24">
        <v>0</v>
      </c>
    </row>
    <row r="3561" spans="1:5" x14ac:dyDescent="0.3">
      <c r="A3561" s="20" t="s">
        <v>272</v>
      </c>
      <c r="B3561" s="21" t="s">
        <v>368</v>
      </c>
      <c r="C3561" s="22">
        <v>32000</v>
      </c>
      <c r="D3561" s="23">
        <v>0</v>
      </c>
      <c r="E3561" s="24">
        <v>0</v>
      </c>
    </row>
    <row r="3562" spans="1:5" x14ac:dyDescent="0.3">
      <c r="A3562" s="20" t="s">
        <v>272</v>
      </c>
      <c r="B3562" s="21" t="s">
        <v>369</v>
      </c>
      <c r="C3562" s="22">
        <v>0</v>
      </c>
      <c r="D3562" s="23">
        <v>64000</v>
      </c>
      <c r="E3562" s="24">
        <v>0</v>
      </c>
    </row>
    <row r="3563" spans="1:5" x14ac:dyDescent="0.3">
      <c r="A3563" s="20" t="s">
        <v>272</v>
      </c>
      <c r="B3563" s="21" t="s">
        <v>370</v>
      </c>
      <c r="C3563" s="22">
        <v>0</v>
      </c>
      <c r="D3563" s="23">
        <v>64000</v>
      </c>
      <c r="E3563" s="24">
        <v>0</v>
      </c>
    </row>
    <row r="3564" spans="1:5" x14ac:dyDescent="0.3">
      <c r="A3564" s="20" t="s">
        <v>272</v>
      </c>
      <c r="B3564" s="21" t="s">
        <v>371</v>
      </c>
      <c r="C3564" s="22">
        <v>32000</v>
      </c>
      <c r="D3564" s="23">
        <v>64000</v>
      </c>
      <c r="E3564" s="24">
        <v>0</v>
      </c>
    </row>
    <row r="3565" spans="1:5" x14ac:dyDescent="0.3">
      <c r="A3565" s="20" t="s">
        <v>272</v>
      </c>
      <c r="B3565" s="21" t="s">
        <v>373</v>
      </c>
      <c r="C3565" s="22">
        <v>0</v>
      </c>
      <c r="D3565" s="23">
        <v>64000</v>
      </c>
      <c r="E3565" s="24">
        <v>0</v>
      </c>
    </row>
    <row r="3566" spans="1:5" x14ac:dyDescent="0.3">
      <c r="A3566" s="20" t="s">
        <v>272</v>
      </c>
      <c r="B3566" s="21" t="s">
        <v>374</v>
      </c>
      <c r="C3566" s="22">
        <v>32000</v>
      </c>
      <c r="D3566" s="23">
        <v>0</v>
      </c>
      <c r="E3566" s="24">
        <v>0</v>
      </c>
    </row>
    <row r="3567" spans="1:5" x14ac:dyDescent="0.3">
      <c r="A3567" s="20" t="s">
        <v>272</v>
      </c>
      <c r="B3567" s="21" t="s">
        <v>375</v>
      </c>
      <c r="C3567" s="22">
        <v>32000</v>
      </c>
      <c r="D3567" s="23">
        <v>0</v>
      </c>
      <c r="E3567" s="24">
        <v>0</v>
      </c>
    </row>
    <row r="3568" spans="1:5" x14ac:dyDescent="0.3">
      <c r="A3568" s="16" t="s">
        <v>18</v>
      </c>
      <c r="B3568" s="16" t="s">
        <v>366</v>
      </c>
      <c r="C3568" s="17">
        <v>0</v>
      </c>
      <c r="D3568" s="18">
        <v>201600</v>
      </c>
      <c r="E3568" s="19">
        <v>0</v>
      </c>
    </row>
    <row r="3569" spans="1:5" x14ac:dyDescent="0.3">
      <c r="A3569" s="20" t="s">
        <v>18</v>
      </c>
      <c r="B3569" s="21" t="s">
        <v>367</v>
      </c>
      <c r="C3569" s="22">
        <v>201600</v>
      </c>
      <c r="D3569" s="23">
        <v>0</v>
      </c>
      <c r="E3569" s="24">
        <v>0</v>
      </c>
    </row>
    <row r="3570" spans="1:5" x14ac:dyDescent="0.3">
      <c r="A3570" s="20" t="s">
        <v>18</v>
      </c>
      <c r="B3570" s="21" t="s">
        <v>368</v>
      </c>
      <c r="C3570" s="22">
        <v>201600</v>
      </c>
      <c r="D3570" s="23">
        <v>201600</v>
      </c>
      <c r="E3570" s="24">
        <v>0</v>
      </c>
    </row>
    <row r="3571" spans="1:5" x14ac:dyDescent="0.3">
      <c r="A3571" s="20" t="s">
        <v>18</v>
      </c>
      <c r="B3571" s="21" t="s">
        <v>369</v>
      </c>
      <c r="C3571" s="22">
        <v>0</v>
      </c>
      <c r="D3571" s="23">
        <v>201600</v>
      </c>
      <c r="E3571" s="24">
        <v>0</v>
      </c>
    </row>
    <row r="3572" spans="1:5" x14ac:dyDescent="0.3">
      <c r="A3572" s="20" t="s">
        <v>18</v>
      </c>
      <c r="B3572" s="21" t="s">
        <v>370</v>
      </c>
      <c r="C3572" s="22">
        <v>201600</v>
      </c>
      <c r="D3572" s="23">
        <v>201600</v>
      </c>
      <c r="E3572" s="24">
        <v>0</v>
      </c>
    </row>
    <row r="3573" spans="1:5" x14ac:dyDescent="0.3">
      <c r="A3573" s="20" t="s">
        <v>18</v>
      </c>
      <c r="B3573" s="21" t="s">
        <v>371</v>
      </c>
      <c r="C3573" s="22">
        <v>201600</v>
      </c>
      <c r="D3573" s="23">
        <v>0</v>
      </c>
      <c r="E3573" s="24">
        <v>0</v>
      </c>
    </row>
    <row r="3574" spans="1:5" x14ac:dyDescent="0.3">
      <c r="A3574" s="20" t="s">
        <v>18</v>
      </c>
      <c r="B3574" s="21" t="s">
        <v>373</v>
      </c>
      <c r="C3574" s="22">
        <v>201600</v>
      </c>
      <c r="D3574" s="23">
        <v>201600</v>
      </c>
      <c r="E3574" s="24">
        <v>0</v>
      </c>
    </row>
    <row r="3575" spans="1:5" x14ac:dyDescent="0.3">
      <c r="A3575" s="20" t="s">
        <v>18</v>
      </c>
      <c r="B3575" s="21" t="s">
        <v>374</v>
      </c>
      <c r="C3575" s="22">
        <v>0</v>
      </c>
      <c r="D3575" s="23">
        <v>201600</v>
      </c>
      <c r="E3575" s="24">
        <v>0</v>
      </c>
    </row>
    <row r="3576" spans="1:5" x14ac:dyDescent="0.3">
      <c r="A3576" s="20" t="s">
        <v>18</v>
      </c>
      <c r="B3576" s="21" t="s">
        <v>375</v>
      </c>
      <c r="C3576" s="22">
        <v>201600</v>
      </c>
      <c r="D3576" s="23">
        <v>201600</v>
      </c>
      <c r="E3576" s="24">
        <v>0</v>
      </c>
    </row>
    <row r="3577" spans="1:5" x14ac:dyDescent="0.3">
      <c r="A3577" s="20" t="s">
        <v>18</v>
      </c>
      <c r="B3577" s="21" t="s">
        <v>376</v>
      </c>
      <c r="C3577" s="22">
        <v>201600</v>
      </c>
      <c r="D3577" s="23">
        <v>0</v>
      </c>
      <c r="E3577" s="24">
        <v>0</v>
      </c>
    </row>
    <row r="3578" spans="1:5" x14ac:dyDescent="0.3">
      <c r="A3578" s="20" t="s">
        <v>18</v>
      </c>
      <c r="B3578" s="21" t="s">
        <v>377</v>
      </c>
      <c r="C3578" s="22">
        <v>0</v>
      </c>
      <c r="D3578" s="23">
        <v>13534</v>
      </c>
      <c r="E3578" s="24">
        <v>0</v>
      </c>
    </row>
    <row r="3579" spans="1:5" x14ac:dyDescent="0.3">
      <c r="A3579" s="16" t="s">
        <v>459</v>
      </c>
      <c r="B3579" s="16" t="s">
        <v>368</v>
      </c>
      <c r="C3579" s="17">
        <v>80000</v>
      </c>
      <c r="D3579" s="18">
        <v>120000</v>
      </c>
      <c r="E3579" s="19">
        <v>0</v>
      </c>
    </row>
    <row r="3580" spans="1:5" x14ac:dyDescent="0.3">
      <c r="A3580" s="20" t="s">
        <v>459</v>
      </c>
      <c r="B3580" s="21" t="s">
        <v>369</v>
      </c>
      <c r="C3580" s="22">
        <v>120000</v>
      </c>
      <c r="D3580" s="23">
        <v>120000</v>
      </c>
      <c r="E3580" s="24">
        <v>0</v>
      </c>
    </row>
    <row r="3581" spans="1:5" x14ac:dyDescent="0.3">
      <c r="A3581" s="20" t="s">
        <v>459</v>
      </c>
      <c r="B3581" s="21" t="s">
        <v>370</v>
      </c>
      <c r="C3581" s="22">
        <v>120000</v>
      </c>
      <c r="D3581" s="23">
        <v>120000</v>
      </c>
      <c r="E3581" s="24">
        <v>0</v>
      </c>
    </row>
    <row r="3582" spans="1:5" x14ac:dyDescent="0.3">
      <c r="A3582" s="20" t="s">
        <v>459</v>
      </c>
      <c r="B3582" s="21" t="s">
        <v>371</v>
      </c>
      <c r="C3582" s="22">
        <v>160000</v>
      </c>
      <c r="D3582" s="23">
        <v>240000</v>
      </c>
      <c r="E3582" s="24">
        <v>0</v>
      </c>
    </row>
    <row r="3583" spans="1:5" x14ac:dyDescent="0.3">
      <c r="A3583" s="20" t="s">
        <v>459</v>
      </c>
      <c r="B3583" s="21" t="s">
        <v>372</v>
      </c>
      <c r="C3583" s="22">
        <v>240000</v>
      </c>
      <c r="D3583" s="23">
        <v>400000</v>
      </c>
      <c r="E3583" s="24">
        <v>0</v>
      </c>
    </row>
    <row r="3584" spans="1:5" x14ac:dyDescent="0.3">
      <c r="A3584" s="20" t="s">
        <v>459</v>
      </c>
      <c r="B3584" s="21" t="s">
        <v>373</v>
      </c>
      <c r="C3584" s="22">
        <v>240000</v>
      </c>
      <c r="D3584" s="23">
        <v>240000</v>
      </c>
      <c r="E3584" s="24">
        <v>0</v>
      </c>
    </row>
    <row r="3585" spans="1:5" x14ac:dyDescent="0.3">
      <c r="A3585" s="20" t="s">
        <v>459</v>
      </c>
      <c r="B3585" s="21" t="s">
        <v>374</v>
      </c>
      <c r="C3585" s="22">
        <v>300000</v>
      </c>
      <c r="D3585" s="23">
        <v>280000</v>
      </c>
      <c r="E3585" s="24">
        <v>0</v>
      </c>
    </row>
    <row r="3586" spans="1:5" x14ac:dyDescent="0.3">
      <c r="A3586" s="20" t="s">
        <v>459</v>
      </c>
      <c r="B3586" s="21" t="s">
        <v>375</v>
      </c>
      <c r="C3586" s="22">
        <v>300000</v>
      </c>
      <c r="D3586" s="23">
        <v>520000</v>
      </c>
      <c r="E3586" s="24">
        <v>0</v>
      </c>
    </row>
    <row r="3587" spans="1:5" x14ac:dyDescent="0.3">
      <c r="A3587" s="20" t="s">
        <v>459</v>
      </c>
      <c r="B3587" s="21" t="s">
        <v>376</v>
      </c>
      <c r="C3587" s="22">
        <v>300000</v>
      </c>
      <c r="D3587" s="23">
        <v>400000</v>
      </c>
      <c r="E3587" s="24">
        <v>0</v>
      </c>
    </row>
    <row r="3588" spans="1:5" x14ac:dyDescent="0.3">
      <c r="A3588" s="20" t="s">
        <v>459</v>
      </c>
      <c r="B3588" s="21" t="s">
        <v>377</v>
      </c>
      <c r="C3588" s="22">
        <v>280000</v>
      </c>
      <c r="D3588" s="23">
        <v>280000</v>
      </c>
      <c r="E3588" s="24">
        <v>0</v>
      </c>
    </row>
    <row r="3589" spans="1:5" x14ac:dyDescent="0.3">
      <c r="A3589" s="16" t="s">
        <v>460</v>
      </c>
      <c r="B3589" s="16" t="s">
        <v>368</v>
      </c>
      <c r="C3589" s="17">
        <v>80000</v>
      </c>
      <c r="D3589" s="18">
        <v>80000</v>
      </c>
      <c r="E3589" s="19">
        <v>0</v>
      </c>
    </row>
    <row r="3590" spans="1:5" x14ac:dyDescent="0.3">
      <c r="A3590" s="20" t="s">
        <v>460</v>
      </c>
      <c r="B3590" s="21" t="s">
        <v>369</v>
      </c>
      <c r="C3590" s="22">
        <v>120000</v>
      </c>
      <c r="D3590" s="23">
        <v>120000</v>
      </c>
      <c r="E3590" s="24">
        <v>0</v>
      </c>
    </row>
    <row r="3591" spans="1:5" x14ac:dyDescent="0.3">
      <c r="A3591" s="20" t="s">
        <v>460</v>
      </c>
      <c r="B3591" s="21" t="s">
        <v>370</v>
      </c>
      <c r="C3591" s="22">
        <v>120000</v>
      </c>
      <c r="D3591" s="23">
        <v>160000</v>
      </c>
      <c r="E3591" s="24">
        <v>0</v>
      </c>
    </row>
    <row r="3592" spans="1:5" x14ac:dyDescent="0.3">
      <c r="A3592" s="20" t="s">
        <v>460</v>
      </c>
      <c r="B3592" s="21" t="s">
        <v>371</v>
      </c>
      <c r="C3592" s="22">
        <v>160000</v>
      </c>
      <c r="D3592" s="23">
        <v>280000</v>
      </c>
      <c r="E3592" s="24">
        <v>0</v>
      </c>
    </row>
    <row r="3593" spans="1:5" x14ac:dyDescent="0.3">
      <c r="A3593" s="20" t="s">
        <v>460</v>
      </c>
      <c r="B3593" s="21" t="s">
        <v>372</v>
      </c>
      <c r="C3593" s="22">
        <v>240000</v>
      </c>
      <c r="D3593" s="23">
        <v>240000</v>
      </c>
      <c r="E3593" s="24">
        <v>0</v>
      </c>
    </row>
    <row r="3594" spans="1:5" x14ac:dyDescent="0.3">
      <c r="A3594" s="20" t="s">
        <v>460</v>
      </c>
      <c r="B3594" s="21" t="s">
        <v>373</v>
      </c>
      <c r="C3594" s="22">
        <v>240000</v>
      </c>
      <c r="D3594" s="23">
        <v>320000</v>
      </c>
      <c r="E3594" s="24">
        <v>0</v>
      </c>
    </row>
    <row r="3595" spans="1:5" x14ac:dyDescent="0.3">
      <c r="A3595" s="20" t="s">
        <v>460</v>
      </c>
      <c r="B3595" s="21" t="s">
        <v>374</v>
      </c>
      <c r="C3595" s="22">
        <v>300000</v>
      </c>
      <c r="D3595" s="23">
        <v>320000</v>
      </c>
      <c r="E3595" s="24">
        <v>0</v>
      </c>
    </row>
    <row r="3596" spans="1:5" x14ac:dyDescent="0.3">
      <c r="A3596" s="20" t="s">
        <v>460</v>
      </c>
      <c r="B3596" s="21" t="s">
        <v>375</v>
      </c>
      <c r="C3596" s="22">
        <v>300000</v>
      </c>
      <c r="D3596" s="23">
        <v>480000</v>
      </c>
      <c r="E3596" s="24">
        <v>0</v>
      </c>
    </row>
    <row r="3597" spans="1:5" x14ac:dyDescent="0.3">
      <c r="A3597" s="20" t="s">
        <v>460</v>
      </c>
      <c r="B3597" s="21" t="s">
        <v>376</v>
      </c>
      <c r="C3597" s="22">
        <v>300000</v>
      </c>
      <c r="D3597" s="23">
        <v>280000</v>
      </c>
      <c r="E3597" s="24">
        <v>0</v>
      </c>
    </row>
    <row r="3598" spans="1:5" x14ac:dyDescent="0.3">
      <c r="A3598" s="20" t="s">
        <v>460</v>
      </c>
      <c r="B3598" s="21" t="s">
        <v>377</v>
      </c>
      <c r="C3598" s="22">
        <v>280000</v>
      </c>
      <c r="D3598" s="23">
        <v>240000</v>
      </c>
      <c r="E3598" s="24">
        <v>0</v>
      </c>
    </row>
    <row r="3599" spans="1:5" x14ac:dyDescent="0.3">
      <c r="A3599" s="16" t="s">
        <v>86</v>
      </c>
      <c r="B3599" s="16" t="s">
        <v>372</v>
      </c>
      <c r="C3599" s="17">
        <v>0</v>
      </c>
      <c r="D3599" s="18">
        <v>0</v>
      </c>
      <c r="E3599" s="19">
        <v>0</v>
      </c>
    </row>
    <row r="3600" spans="1:5" x14ac:dyDescent="0.3">
      <c r="A3600" s="16" t="s">
        <v>85</v>
      </c>
      <c r="B3600" s="16" t="s">
        <v>366</v>
      </c>
      <c r="C3600" s="17">
        <v>42900</v>
      </c>
      <c r="D3600" s="18">
        <v>24000</v>
      </c>
      <c r="E3600" s="19">
        <v>0</v>
      </c>
    </row>
    <row r="3601" spans="1:5" x14ac:dyDescent="0.3">
      <c r="A3601" s="20" t="s">
        <v>85</v>
      </c>
      <c r="B3601" s="21" t="s">
        <v>367</v>
      </c>
      <c r="C3601" s="22">
        <v>42900</v>
      </c>
      <c r="D3601" s="23">
        <v>24000</v>
      </c>
      <c r="E3601" s="24">
        <v>0</v>
      </c>
    </row>
    <row r="3602" spans="1:5" x14ac:dyDescent="0.3">
      <c r="A3602" s="20" t="s">
        <v>85</v>
      </c>
      <c r="B3602" s="21" t="s">
        <v>368</v>
      </c>
      <c r="C3602" s="22">
        <v>42900</v>
      </c>
      <c r="D3602" s="23">
        <v>24000</v>
      </c>
      <c r="E3602" s="24">
        <v>0</v>
      </c>
    </row>
    <row r="3603" spans="1:5" x14ac:dyDescent="0.3">
      <c r="A3603" s="20" t="s">
        <v>85</v>
      </c>
      <c r="B3603" s="21" t="s">
        <v>369</v>
      </c>
      <c r="C3603" s="22">
        <v>42900</v>
      </c>
      <c r="D3603" s="23">
        <v>24000</v>
      </c>
      <c r="E3603" s="24">
        <v>0</v>
      </c>
    </row>
    <row r="3604" spans="1:5" x14ac:dyDescent="0.3">
      <c r="A3604" s="20" t="s">
        <v>85</v>
      </c>
      <c r="B3604" s="21" t="s">
        <v>370</v>
      </c>
      <c r="C3604" s="22">
        <v>42900</v>
      </c>
      <c r="D3604" s="23">
        <v>24000</v>
      </c>
      <c r="E3604" s="24">
        <v>0</v>
      </c>
    </row>
    <row r="3605" spans="1:5" x14ac:dyDescent="0.3">
      <c r="A3605" s="20" t="s">
        <v>85</v>
      </c>
      <c r="B3605" s="21" t="s">
        <v>371</v>
      </c>
      <c r="C3605" s="22">
        <v>42900</v>
      </c>
      <c r="D3605" s="23">
        <v>48000</v>
      </c>
      <c r="E3605" s="24">
        <v>0</v>
      </c>
    </row>
    <row r="3606" spans="1:5" x14ac:dyDescent="0.3">
      <c r="A3606" s="20" t="s">
        <v>85</v>
      </c>
      <c r="B3606" s="21" t="s">
        <v>372</v>
      </c>
      <c r="C3606" s="22">
        <v>42900</v>
      </c>
      <c r="D3606" s="23">
        <v>0</v>
      </c>
      <c r="E3606" s="24">
        <v>0</v>
      </c>
    </row>
    <row r="3607" spans="1:5" x14ac:dyDescent="0.3">
      <c r="A3607" s="20" t="s">
        <v>85</v>
      </c>
      <c r="B3607" s="21" t="s">
        <v>373</v>
      </c>
      <c r="C3607" s="22">
        <v>19500</v>
      </c>
      <c r="D3607" s="23">
        <v>0</v>
      </c>
      <c r="E3607" s="24">
        <v>0</v>
      </c>
    </row>
    <row r="3608" spans="1:5" x14ac:dyDescent="0.3">
      <c r="A3608" s="20" t="s">
        <v>85</v>
      </c>
      <c r="B3608" s="21" t="s">
        <v>374</v>
      </c>
      <c r="C3608" s="22">
        <v>42900</v>
      </c>
      <c r="D3608" s="23">
        <v>0</v>
      </c>
      <c r="E3608" s="24">
        <v>0</v>
      </c>
    </row>
    <row r="3609" spans="1:5" x14ac:dyDescent="0.3">
      <c r="A3609" s="20" t="s">
        <v>85</v>
      </c>
      <c r="B3609" s="21" t="s">
        <v>375</v>
      </c>
      <c r="C3609" s="22">
        <v>42900</v>
      </c>
      <c r="D3609" s="23">
        <v>0</v>
      </c>
      <c r="E3609" s="24">
        <v>0</v>
      </c>
    </row>
    <row r="3610" spans="1:5" x14ac:dyDescent="0.3">
      <c r="A3610" s="20" t="s">
        <v>85</v>
      </c>
      <c r="B3610" s="21" t="s">
        <v>376</v>
      </c>
      <c r="C3610" s="22">
        <v>42900</v>
      </c>
      <c r="D3610" s="23">
        <v>0</v>
      </c>
      <c r="E3610" s="24">
        <v>0</v>
      </c>
    </row>
    <row r="3611" spans="1:5" x14ac:dyDescent="0.3">
      <c r="A3611" s="20" t="s">
        <v>85</v>
      </c>
      <c r="B3611" s="21" t="s">
        <v>377</v>
      </c>
      <c r="C3611" s="22">
        <v>19500</v>
      </c>
      <c r="D3611" s="23">
        <v>0</v>
      </c>
      <c r="E3611" s="24">
        <v>0</v>
      </c>
    </row>
    <row r="3612" spans="1:5" x14ac:dyDescent="0.3">
      <c r="A3612" s="16" t="s">
        <v>47</v>
      </c>
      <c r="B3612" s="16" t="s">
        <v>366</v>
      </c>
      <c r="C3612" s="17">
        <v>13200</v>
      </c>
      <c r="D3612" s="18">
        <v>0</v>
      </c>
      <c r="E3612" s="19">
        <v>0</v>
      </c>
    </row>
    <row r="3613" spans="1:5" x14ac:dyDescent="0.3">
      <c r="A3613" s="20" t="s">
        <v>47</v>
      </c>
      <c r="B3613" s="21" t="s">
        <v>367</v>
      </c>
      <c r="C3613" s="22">
        <v>13200</v>
      </c>
      <c r="D3613" s="23">
        <v>0</v>
      </c>
      <c r="E3613" s="24">
        <v>0</v>
      </c>
    </row>
    <row r="3614" spans="1:5" x14ac:dyDescent="0.3">
      <c r="A3614" s="20" t="s">
        <v>47</v>
      </c>
      <c r="B3614" s="21" t="s">
        <v>368</v>
      </c>
      <c r="C3614" s="22">
        <v>13200</v>
      </c>
      <c r="D3614" s="23">
        <v>0</v>
      </c>
      <c r="E3614" s="24">
        <v>0</v>
      </c>
    </row>
    <row r="3615" spans="1:5" x14ac:dyDescent="0.3">
      <c r="A3615" s="20" t="s">
        <v>47</v>
      </c>
      <c r="B3615" s="21" t="s">
        <v>369</v>
      </c>
      <c r="C3615" s="22">
        <v>13200</v>
      </c>
      <c r="D3615" s="23">
        <v>0</v>
      </c>
      <c r="E3615" s="24">
        <v>0</v>
      </c>
    </row>
    <row r="3616" spans="1:5" x14ac:dyDescent="0.3">
      <c r="A3616" s="20" t="s">
        <v>47</v>
      </c>
      <c r="B3616" s="21" t="s">
        <v>370</v>
      </c>
      <c r="C3616" s="22">
        <v>13200</v>
      </c>
      <c r="D3616" s="23">
        <v>0</v>
      </c>
      <c r="E3616" s="24">
        <v>0</v>
      </c>
    </row>
    <row r="3617" spans="1:5" x14ac:dyDescent="0.3">
      <c r="A3617" s="20" t="s">
        <v>47</v>
      </c>
      <c r="B3617" s="21" t="s">
        <v>371</v>
      </c>
      <c r="C3617" s="22">
        <v>13200</v>
      </c>
      <c r="D3617" s="23">
        <v>0</v>
      </c>
      <c r="E3617" s="24">
        <v>0</v>
      </c>
    </row>
    <row r="3618" spans="1:5" x14ac:dyDescent="0.3">
      <c r="A3618" s="20" t="s">
        <v>47</v>
      </c>
      <c r="B3618" s="21" t="s">
        <v>372</v>
      </c>
      <c r="C3618" s="22">
        <v>13200</v>
      </c>
      <c r="D3618" s="23">
        <v>0</v>
      </c>
      <c r="E3618" s="24">
        <v>0</v>
      </c>
    </row>
    <row r="3619" spans="1:5" x14ac:dyDescent="0.3">
      <c r="A3619" s="20" t="s">
        <v>47</v>
      </c>
      <c r="B3619" s="21" t="s">
        <v>373</v>
      </c>
      <c r="C3619" s="22">
        <v>6600</v>
      </c>
      <c r="D3619" s="23">
        <v>0</v>
      </c>
      <c r="E3619" s="24">
        <v>0</v>
      </c>
    </row>
    <row r="3620" spans="1:5" x14ac:dyDescent="0.3">
      <c r="A3620" s="20" t="s">
        <v>47</v>
      </c>
      <c r="B3620" s="21" t="s">
        <v>374</v>
      </c>
      <c r="C3620" s="22">
        <v>13200</v>
      </c>
      <c r="D3620" s="23">
        <v>0</v>
      </c>
      <c r="E3620" s="24">
        <v>0</v>
      </c>
    </row>
    <row r="3621" spans="1:5" x14ac:dyDescent="0.3">
      <c r="A3621" s="20" t="s">
        <v>47</v>
      </c>
      <c r="B3621" s="21" t="s">
        <v>375</v>
      </c>
      <c r="C3621" s="22">
        <v>13200</v>
      </c>
      <c r="D3621" s="23">
        <v>0</v>
      </c>
      <c r="E3621" s="24">
        <v>0</v>
      </c>
    </row>
    <row r="3622" spans="1:5" x14ac:dyDescent="0.3">
      <c r="A3622" s="20" t="s">
        <v>47</v>
      </c>
      <c r="B3622" s="21" t="s">
        <v>376</v>
      </c>
      <c r="C3622" s="22">
        <v>13200</v>
      </c>
      <c r="D3622" s="23">
        <v>0</v>
      </c>
      <c r="E3622" s="24">
        <v>0</v>
      </c>
    </row>
    <row r="3623" spans="1:5" x14ac:dyDescent="0.3">
      <c r="A3623" s="20" t="s">
        <v>47</v>
      </c>
      <c r="B3623" s="21" t="s">
        <v>377</v>
      </c>
      <c r="C3623" s="22">
        <v>6600</v>
      </c>
      <c r="D3623" s="23">
        <v>0</v>
      </c>
      <c r="E3623" s="24">
        <v>0</v>
      </c>
    </row>
    <row r="3624" spans="1:5" x14ac:dyDescent="0.3">
      <c r="A3624" s="16" t="s">
        <v>52</v>
      </c>
      <c r="B3624" s="16" t="s">
        <v>366</v>
      </c>
      <c r="C3624" s="17">
        <v>143000</v>
      </c>
      <c r="D3624" s="18">
        <v>0</v>
      </c>
      <c r="E3624" s="19">
        <v>0</v>
      </c>
    </row>
    <row r="3625" spans="1:5" x14ac:dyDescent="0.3">
      <c r="A3625" s="20" t="s">
        <v>52</v>
      </c>
      <c r="B3625" s="21" t="s">
        <v>367</v>
      </c>
      <c r="C3625" s="22">
        <v>143000</v>
      </c>
      <c r="D3625" s="23">
        <v>0</v>
      </c>
      <c r="E3625" s="24">
        <v>0</v>
      </c>
    </row>
    <row r="3626" spans="1:5" x14ac:dyDescent="0.3">
      <c r="A3626" s="20" t="s">
        <v>52</v>
      </c>
      <c r="B3626" s="21" t="s">
        <v>368</v>
      </c>
      <c r="C3626" s="22">
        <v>143000</v>
      </c>
      <c r="D3626" s="23">
        <v>0</v>
      </c>
      <c r="E3626" s="24">
        <v>0</v>
      </c>
    </row>
    <row r="3627" spans="1:5" x14ac:dyDescent="0.3">
      <c r="A3627" s="20" t="s">
        <v>52</v>
      </c>
      <c r="B3627" s="21" t="s">
        <v>369</v>
      </c>
      <c r="C3627" s="22">
        <v>143000</v>
      </c>
      <c r="D3627" s="23">
        <v>0</v>
      </c>
      <c r="E3627" s="24">
        <v>0</v>
      </c>
    </row>
    <row r="3628" spans="1:5" x14ac:dyDescent="0.3">
      <c r="A3628" s="20" t="s">
        <v>52</v>
      </c>
      <c r="B3628" s="21" t="s">
        <v>370</v>
      </c>
      <c r="C3628" s="22">
        <v>143000</v>
      </c>
      <c r="D3628" s="23">
        <v>0</v>
      </c>
      <c r="E3628" s="24">
        <v>0</v>
      </c>
    </row>
    <row r="3629" spans="1:5" x14ac:dyDescent="0.3">
      <c r="A3629" s="20" t="s">
        <v>52</v>
      </c>
      <c r="B3629" s="21" t="s">
        <v>371</v>
      </c>
      <c r="C3629" s="22">
        <v>143000</v>
      </c>
      <c r="D3629" s="23">
        <v>0</v>
      </c>
      <c r="E3629" s="24">
        <v>0</v>
      </c>
    </row>
    <row r="3630" spans="1:5" x14ac:dyDescent="0.3">
      <c r="A3630" s="20" t="s">
        <v>52</v>
      </c>
      <c r="B3630" s="21" t="s">
        <v>372</v>
      </c>
      <c r="C3630" s="22">
        <v>143000</v>
      </c>
      <c r="D3630" s="23">
        <v>0</v>
      </c>
      <c r="E3630" s="24">
        <v>0</v>
      </c>
    </row>
    <row r="3631" spans="1:5" x14ac:dyDescent="0.3">
      <c r="A3631" s="20" t="s">
        <v>52</v>
      </c>
      <c r="B3631" s="21" t="s">
        <v>373</v>
      </c>
      <c r="C3631" s="22">
        <v>71500</v>
      </c>
      <c r="D3631" s="23">
        <v>0</v>
      </c>
      <c r="E3631" s="24">
        <v>0</v>
      </c>
    </row>
    <row r="3632" spans="1:5" x14ac:dyDescent="0.3">
      <c r="A3632" s="20" t="s">
        <v>52</v>
      </c>
      <c r="B3632" s="21" t="s">
        <v>374</v>
      </c>
      <c r="C3632" s="22">
        <v>143000</v>
      </c>
      <c r="D3632" s="23">
        <v>0</v>
      </c>
      <c r="E3632" s="24">
        <v>0</v>
      </c>
    </row>
    <row r="3633" spans="1:5" x14ac:dyDescent="0.3">
      <c r="A3633" s="20" t="s">
        <v>52</v>
      </c>
      <c r="B3633" s="21" t="s">
        <v>375</v>
      </c>
      <c r="C3633" s="22">
        <v>143000</v>
      </c>
      <c r="D3633" s="23">
        <v>0</v>
      </c>
      <c r="E3633" s="24">
        <v>0</v>
      </c>
    </row>
    <row r="3634" spans="1:5" x14ac:dyDescent="0.3">
      <c r="A3634" s="20" t="s">
        <v>52</v>
      </c>
      <c r="B3634" s="21" t="s">
        <v>376</v>
      </c>
      <c r="C3634" s="22">
        <v>143000</v>
      </c>
      <c r="D3634" s="23">
        <v>0</v>
      </c>
      <c r="E3634" s="24">
        <v>0</v>
      </c>
    </row>
    <row r="3635" spans="1:5" x14ac:dyDescent="0.3">
      <c r="A3635" s="20" t="s">
        <v>52</v>
      </c>
      <c r="B3635" s="21" t="s">
        <v>377</v>
      </c>
      <c r="C3635" s="22">
        <v>71500</v>
      </c>
      <c r="D3635" s="23">
        <v>0</v>
      </c>
      <c r="E3635" s="24">
        <v>0</v>
      </c>
    </row>
    <row r="3636" spans="1:5" x14ac:dyDescent="0.3">
      <c r="A3636" s="16" t="s">
        <v>179</v>
      </c>
      <c r="B3636" s="16" t="s">
        <v>366</v>
      </c>
      <c r="C3636" s="17">
        <v>18700</v>
      </c>
      <c r="D3636" s="18">
        <v>0</v>
      </c>
      <c r="E3636" s="19">
        <v>0</v>
      </c>
    </row>
    <row r="3637" spans="1:5" x14ac:dyDescent="0.3">
      <c r="A3637" s="20" t="s">
        <v>179</v>
      </c>
      <c r="B3637" s="21" t="s">
        <v>367</v>
      </c>
      <c r="C3637" s="22">
        <v>18700</v>
      </c>
      <c r="D3637" s="23">
        <v>0</v>
      </c>
      <c r="E3637" s="24">
        <v>0</v>
      </c>
    </row>
    <row r="3638" spans="1:5" x14ac:dyDescent="0.3">
      <c r="A3638" s="20" t="s">
        <v>179</v>
      </c>
      <c r="B3638" s="21" t="s">
        <v>368</v>
      </c>
      <c r="C3638" s="22">
        <v>18700</v>
      </c>
      <c r="D3638" s="23">
        <v>0</v>
      </c>
      <c r="E3638" s="24">
        <v>0</v>
      </c>
    </row>
    <row r="3639" spans="1:5" x14ac:dyDescent="0.3">
      <c r="A3639" s="20" t="s">
        <v>179</v>
      </c>
      <c r="B3639" s="21" t="s">
        <v>369</v>
      </c>
      <c r="C3639" s="22">
        <v>18700</v>
      </c>
      <c r="D3639" s="23">
        <v>0</v>
      </c>
      <c r="E3639" s="24">
        <v>0</v>
      </c>
    </row>
    <row r="3640" spans="1:5" x14ac:dyDescent="0.3">
      <c r="A3640" s="20" t="s">
        <v>179</v>
      </c>
      <c r="B3640" s="21" t="s">
        <v>370</v>
      </c>
      <c r="C3640" s="22">
        <v>18700</v>
      </c>
      <c r="D3640" s="23">
        <v>0</v>
      </c>
      <c r="E3640" s="24">
        <v>0</v>
      </c>
    </row>
    <row r="3641" spans="1:5" x14ac:dyDescent="0.3">
      <c r="A3641" s="20" t="s">
        <v>179</v>
      </c>
      <c r="B3641" s="21" t="s">
        <v>371</v>
      </c>
      <c r="C3641" s="22">
        <v>18700</v>
      </c>
      <c r="D3641" s="23">
        <v>0</v>
      </c>
      <c r="E3641" s="24">
        <v>0</v>
      </c>
    </row>
    <row r="3642" spans="1:5" x14ac:dyDescent="0.3">
      <c r="A3642" s="20" t="s">
        <v>179</v>
      </c>
      <c r="B3642" s="21" t="s">
        <v>372</v>
      </c>
      <c r="C3642" s="22">
        <v>18700</v>
      </c>
      <c r="D3642" s="23">
        <v>0</v>
      </c>
      <c r="E3642" s="24">
        <v>0</v>
      </c>
    </row>
    <row r="3643" spans="1:5" x14ac:dyDescent="0.3">
      <c r="A3643" s="20" t="s">
        <v>179</v>
      </c>
      <c r="B3643" s="21" t="s">
        <v>373</v>
      </c>
      <c r="C3643" s="22">
        <v>9900</v>
      </c>
      <c r="D3643" s="23">
        <v>0</v>
      </c>
      <c r="E3643" s="24">
        <v>0</v>
      </c>
    </row>
    <row r="3644" spans="1:5" x14ac:dyDescent="0.3">
      <c r="A3644" s="20" t="s">
        <v>179</v>
      </c>
      <c r="B3644" s="21" t="s">
        <v>374</v>
      </c>
      <c r="C3644" s="22">
        <v>18700</v>
      </c>
      <c r="D3644" s="23">
        <v>0</v>
      </c>
      <c r="E3644" s="24">
        <v>0</v>
      </c>
    </row>
    <row r="3645" spans="1:5" x14ac:dyDescent="0.3">
      <c r="A3645" s="20" t="s">
        <v>179</v>
      </c>
      <c r="B3645" s="21" t="s">
        <v>375</v>
      </c>
      <c r="C3645" s="22">
        <v>18700</v>
      </c>
      <c r="D3645" s="23">
        <v>0</v>
      </c>
      <c r="E3645" s="24">
        <v>0</v>
      </c>
    </row>
    <row r="3646" spans="1:5" x14ac:dyDescent="0.3">
      <c r="A3646" s="20" t="s">
        <v>179</v>
      </c>
      <c r="B3646" s="21" t="s">
        <v>376</v>
      </c>
      <c r="C3646" s="22">
        <v>18700</v>
      </c>
      <c r="D3646" s="23">
        <v>0</v>
      </c>
      <c r="E3646" s="24">
        <v>0</v>
      </c>
    </row>
    <row r="3647" spans="1:5" x14ac:dyDescent="0.3">
      <c r="A3647" s="20" t="s">
        <v>179</v>
      </c>
      <c r="B3647" s="21" t="s">
        <v>377</v>
      </c>
      <c r="C3647" s="22">
        <v>9900</v>
      </c>
      <c r="D3647" s="23">
        <v>0</v>
      </c>
      <c r="E3647" s="24">
        <v>0</v>
      </c>
    </row>
    <row r="3648" spans="1:5" x14ac:dyDescent="0.3">
      <c r="A3648" s="16" t="s">
        <v>186</v>
      </c>
      <c r="B3648" s="16" t="s">
        <v>366</v>
      </c>
      <c r="C3648" s="17">
        <v>2200</v>
      </c>
      <c r="D3648" s="18">
        <v>0</v>
      </c>
      <c r="E3648" s="19">
        <v>0</v>
      </c>
    </row>
    <row r="3649" spans="1:5" x14ac:dyDescent="0.3">
      <c r="A3649" s="20" t="s">
        <v>186</v>
      </c>
      <c r="B3649" s="21" t="s">
        <v>367</v>
      </c>
      <c r="C3649" s="22">
        <v>2200</v>
      </c>
      <c r="D3649" s="23">
        <v>0</v>
      </c>
      <c r="E3649" s="24">
        <v>0</v>
      </c>
    </row>
    <row r="3650" spans="1:5" x14ac:dyDescent="0.3">
      <c r="A3650" s="20" t="s">
        <v>186</v>
      </c>
      <c r="B3650" s="21" t="s">
        <v>368</v>
      </c>
      <c r="C3650" s="22">
        <v>2200</v>
      </c>
      <c r="D3650" s="23">
        <v>0</v>
      </c>
      <c r="E3650" s="24">
        <v>0</v>
      </c>
    </row>
    <row r="3651" spans="1:5" x14ac:dyDescent="0.3">
      <c r="A3651" s="20" t="s">
        <v>186</v>
      </c>
      <c r="B3651" s="21" t="s">
        <v>369</v>
      </c>
      <c r="C3651" s="22">
        <v>2200</v>
      </c>
      <c r="D3651" s="23">
        <v>0</v>
      </c>
      <c r="E3651" s="24">
        <v>0</v>
      </c>
    </row>
    <row r="3652" spans="1:5" x14ac:dyDescent="0.3">
      <c r="A3652" s="20" t="s">
        <v>186</v>
      </c>
      <c r="B3652" s="21" t="s">
        <v>370</v>
      </c>
      <c r="C3652" s="22">
        <v>2200</v>
      </c>
      <c r="D3652" s="23">
        <v>0</v>
      </c>
      <c r="E3652" s="24">
        <v>0</v>
      </c>
    </row>
    <row r="3653" spans="1:5" x14ac:dyDescent="0.3">
      <c r="A3653" s="20" t="s">
        <v>186</v>
      </c>
      <c r="B3653" s="21" t="s">
        <v>371</v>
      </c>
      <c r="C3653" s="22">
        <v>2200</v>
      </c>
      <c r="D3653" s="23">
        <v>0</v>
      </c>
      <c r="E3653" s="24">
        <v>0</v>
      </c>
    </row>
    <row r="3654" spans="1:5" x14ac:dyDescent="0.3">
      <c r="A3654" s="20" t="s">
        <v>186</v>
      </c>
      <c r="B3654" s="21" t="s">
        <v>372</v>
      </c>
      <c r="C3654" s="22">
        <v>2200</v>
      </c>
      <c r="D3654" s="23">
        <v>0</v>
      </c>
      <c r="E3654" s="24">
        <v>0</v>
      </c>
    </row>
    <row r="3655" spans="1:5" x14ac:dyDescent="0.3">
      <c r="A3655" s="20" t="s">
        <v>186</v>
      </c>
      <c r="B3655" s="21" t="s">
        <v>373</v>
      </c>
      <c r="C3655" s="22">
        <v>1100</v>
      </c>
      <c r="D3655" s="23">
        <v>0</v>
      </c>
      <c r="E3655" s="24">
        <v>0</v>
      </c>
    </row>
    <row r="3656" spans="1:5" x14ac:dyDescent="0.3">
      <c r="A3656" s="20" t="s">
        <v>186</v>
      </c>
      <c r="B3656" s="21" t="s">
        <v>374</v>
      </c>
      <c r="C3656" s="22">
        <v>2200</v>
      </c>
      <c r="D3656" s="23">
        <v>0</v>
      </c>
      <c r="E3656" s="24">
        <v>0</v>
      </c>
    </row>
    <row r="3657" spans="1:5" x14ac:dyDescent="0.3">
      <c r="A3657" s="20" t="s">
        <v>186</v>
      </c>
      <c r="B3657" s="21" t="s">
        <v>375</v>
      </c>
      <c r="C3657" s="22">
        <v>2200</v>
      </c>
      <c r="D3657" s="23">
        <v>0</v>
      </c>
      <c r="E3657" s="24">
        <v>0</v>
      </c>
    </row>
    <row r="3658" spans="1:5" x14ac:dyDescent="0.3">
      <c r="A3658" s="20" t="s">
        <v>186</v>
      </c>
      <c r="B3658" s="21" t="s">
        <v>376</v>
      </c>
      <c r="C3658" s="22">
        <v>2200</v>
      </c>
      <c r="D3658" s="23">
        <v>0</v>
      </c>
      <c r="E3658" s="24">
        <v>0</v>
      </c>
    </row>
    <row r="3659" spans="1:5" x14ac:dyDescent="0.3">
      <c r="A3659" s="20" t="s">
        <v>186</v>
      </c>
      <c r="B3659" s="21" t="s">
        <v>377</v>
      </c>
      <c r="C3659" s="22">
        <v>1100</v>
      </c>
      <c r="D3659" s="23">
        <v>0</v>
      </c>
      <c r="E3659" s="24">
        <v>0</v>
      </c>
    </row>
    <row r="3660" spans="1:5" x14ac:dyDescent="0.3">
      <c r="A3660" s="16" t="s">
        <v>191</v>
      </c>
      <c r="B3660" s="16" t="s">
        <v>366</v>
      </c>
      <c r="C3660" s="17">
        <v>84700</v>
      </c>
      <c r="D3660" s="18">
        <v>0</v>
      </c>
      <c r="E3660" s="19">
        <v>0</v>
      </c>
    </row>
    <row r="3661" spans="1:5" x14ac:dyDescent="0.3">
      <c r="A3661" s="20" t="s">
        <v>191</v>
      </c>
      <c r="B3661" s="21" t="s">
        <v>367</v>
      </c>
      <c r="C3661" s="22">
        <v>84700</v>
      </c>
      <c r="D3661" s="23">
        <v>0</v>
      </c>
      <c r="E3661" s="24">
        <v>0</v>
      </c>
    </row>
    <row r="3662" spans="1:5" x14ac:dyDescent="0.3">
      <c r="A3662" s="20" t="s">
        <v>191</v>
      </c>
      <c r="B3662" s="21" t="s">
        <v>368</v>
      </c>
      <c r="C3662" s="22">
        <v>84700</v>
      </c>
      <c r="D3662" s="23">
        <v>0</v>
      </c>
      <c r="E3662" s="24">
        <v>0</v>
      </c>
    </row>
    <row r="3663" spans="1:5" x14ac:dyDescent="0.3">
      <c r="A3663" s="20" t="s">
        <v>191</v>
      </c>
      <c r="B3663" s="21" t="s">
        <v>369</v>
      </c>
      <c r="C3663" s="22">
        <v>84700</v>
      </c>
      <c r="D3663" s="23">
        <v>0</v>
      </c>
      <c r="E3663" s="24">
        <v>0</v>
      </c>
    </row>
    <row r="3664" spans="1:5" x14ac:dyDescent="0.3">
      <c r="A3664" s="20" t="s">
        <v>191</v>
      </c>
      <c r="B3664" s="21" t="s">
        <v>370</v>
      </c>
      <c r="C3664" s="22">
        <v>84700</v>
      </c>
      <c r="D3664" s="23">
        <v>0</v>
      </c>
      <c r="E3664" s="24">
        <v>0</v>
      </c>
    </row>
    <row r="3665" spans="1:5" x14ac:dyDescent="0.3">
      <c r="A3665" s="20" t="s">
        <v>191</v>
      </c>
      <c r="B3665" s="21" t="s">
        <v>371</v>
      </c>
      <c r="C3665" s="22">
        <v>84700</v>
      </c>
      <c r="D3665" s="23">
        <v>0</v>
      </c>
      <c r="E3665" s="24">
        <v>0</v>
      </c>
    </row>
    <row r="3666" spans="1:5" x14ac:dyDescent="0.3">
      <c r="A3666" s="20" t="s">
        <v>191</v>
      </c>
      <c r="B3666" s="21" t="s">
        <v>372</v>
      </c>
      <c r="C3666" s="22">
        <v>84700</v>
      </c>
      <c r="D3666" s="23">
        <v>0</v>
      </c>
      <c r="E3666" s="24">
        <v>0</v>
      </c>
    </row>
    <row r="3667" spans="1:5" x14ac:dyDescent="0.3">
      <c r="A3667" s="20" t="s">
        <v>191</v>
      </c>
      <c r="B3667" s="21" t="s">
        <v>373</v>
      </c>
      <c r="C3667" s="22">
        <v>41800</v>
      </c>
      <c r="D3667" s="23">
        <v>0</v>
      </c>
      <c r="E3667" s="24">
        <v>0</v>
      </c>
    </row>
    <row r="3668" spans="1:5" x14ac:dyDescent="0.3">
      <c r="A3668" s="20" t="s">
        <v>191</v>
      </c>
      <c r="B3668" s="21" t="s">
        <v>374</v>
      </c>
      <c r="C3668" s="22">
        <v>84700</v>
      </c>
      <c r="D3668" s="23">
        <v>0</v>
      </c>
      <c r="E3668" s="24">
        <v>0</v>
      </c>
    </row>
    <row r="3669" spans="1:5" x14ac:dyDescent="0.3">
      <c r="A3669" s="20" t="s">
        <v>191</v>
      </c>
      <c r="B3669" s="21" t="s">
        <v>375</v>
      </c>
      <c r="C3669" s="22">
        <v>84700</v>
      </c>
      <c r="D3669" s="23">
        <v>0</v>
      </c>
      <c r="E3669" s="24">
        <v>0</v>
      </c>
    </row>
    <row r="3670" spans="1:5" x14ac:dyDescent="0.3">
      <c r="A3670" s="20" t="s">
        <v>191</v>
      </c>
      <c r="B3670" s="21" t="s">
        <v>376</v>
      </c>
      <c r="C3670" s="22">
        <v>84700</v>
      </c>
      <c r="D3670" s="23">
        <v>0</v>
      </c>
      <c r="E3670" s="24">
        <v>0</v>
      </c>
    </row>
    <row r="3671" spans="1:5" x14ac:dyDescent="0.3">
      <c r="A3671" s="20" t="s">
        <v>191</v>
      </c>
      <c r="B3671" s="21" t="s">
        <v>377</v>
      </c>
      <c r="C3671" s="22">
        <v>41800</v>
      </c>
      <c r="D3671" s="23">
        <v>0</v>
      </c>
      <c r="E3671" s="24">
        <v>0</v>
      </c>
    </row>
    <row r="3672" spans="1:5" x14ac:dyDescent="0.3">
      <c r="A3672" s="16" t="s">
        <v>38</v>
      </c>
      <c r="B3672" s="16" t="s">
        <v>372</v>
      </c>
      <c r="C3672" s="17">
        <v>0</v>
      </c>
      <c r="D3672" s="18">
        <v>0</v>
      </c>
      <c r="E3672" s="19">
        <v>0</v>
      </c>
    </row>
    <row r="3673" spans="1:5" x14ac:dyDescent="0.3">
      <c r="A3673" s="20" t="s">
        <v>38</v>
      </c>
      <c r="B3673" s="21" t="s">
        <v>374</v>
      </c>
      <c r="C3673" s="22">
        <v>0</v>
      </c>
      <c r="D3673" s="23">
        <v>0</v>
      </c>
      <c r="E3673" s="24">
        <v>0</v>
      </c>
    </row>
    <row r="3674" spans="1:5" x14ac:dyDescent="0.3">
      <c r="A3674" s="20" t="s">
        <v>38</v>
      </c>
      <c r="B3674" s="21" t="s">
        <v>375</v>
      </c>
      <c r="C3674" s="22">
        <v>0</v>
      </c>
      <c r="D3674" s="23">
        <v>0</v>
      </c>
      <c r="E3674" s="24">
        <v>0</v>
      </c>
    </row>
    <row r="3675" spans="1:5" x14ac:dyDescent="0.3">
      <c r="A3675" s="16" t="s">
        <v>144</v>
      </c>
      <c r="B3675" s="16" t="s">
        <v>366</v>
      </c>
      <c r="C3675" s="17">
        <v>20000</v>
      </c>
      <c r="D3675" s="18">
        <v>40000</v>
      </c>
      <c r="E3675" s="19">
        <v>0</v>
      </c>
    </row>
    <row r="3676" spans="1:5" x14ac:dyDescent="0.3">
      <c r="A3676" s="20" t="s">
        <v>144</v>
      </c>
      <c r="B3676" s="21" t="s">
        <v>367</v>
      </c>
      <c r="C3676" s="22">
        <v>20000</v>
      </c>
      <c r="D3676" s="23">
        <v>0</v>
      </c>
      <c r="E3676" s="24">
        <v>0</v>
      </c>
    </row>
    <row r="3677" spans="1:5" x14ac:dyDescent="0.3">
      <c r="A3677" s="20" t="s">
        <v>144</v>
      </c>
      <c r="B3677" s="21" t="s">
        <v>368</v>
      </c>
      <c r="C3677" s="22">
        <v>20000</v>
      </c>
      <c r="D3677" s="23">
        <v>40000</v>
      </c>
      <c r="E3677" s="24">
        <v>0</v>
      </c>
    </row>
    <row r="3678" spans="1:5" x14ac:dyDescent="0.3">
      <c r="A3678" s="20" t="s">
        <v>144</v>
      </c>
      <c r="B3678" s="21" t="s">
        <v>369</v>
      </c>
      <c r="C3678" s="22">
        <v>20000</v>
      </c>
      <c r="D3678" s="23">
        <v>60000</v>
      </c>
      <c r="E3678" s="24">
        <v>0</v>
      </c>
    </row>
    <row r="3679" spans="1:5" x14ac:dyDescent="0.3">
      <c r="A3679" s="20" t="s">
        <v>144</v>
      </c>
      <c r="B3679" s="21" t="s">
        <v>370</v>
      </c>
      <c r="C3679" s="22">
        <v>20000</v>
      </c>
      <c r="D3679" s="23">
        <v>0</v>
      </c>
      <c r="E3679" s="24">
        <v>0</v>
      </c>
    </row>
    <row r="3680" spans="1:5" x14ac:dyDescent="0.3">
      <c r="A3680" s="20" t="s">
        <v>144</v>
      </c>
      <c r="B3680" s="21" t="s">
        <v>371</v>
      </c>
      <c r="C3680" s="22">
        <v>20000</v>
      </c>
      <c r="D3680" s="23">
        <v>0</v>
      </c>
      <c r="E3680" s="24">
        <v>0</v>
      </c>
    </row>
    <row r="3681" spans="1:5" x14ac:dyDescent="0.3">
      <c r="A3681" s="20" t="s">
        <v>144</v>
      </c>
      <c r="B3681" s="21" t="s">
        <v>372</v>
      </c>
      <c r="C3681" s="22">
        <v>20000</v>
      </c>
      <c r="D3681" s="23">
        <v>0</v>
      </c>
      <c r="E3681" s="24">
        <v>0</v>
      </c>
    </row>
    <row r="3682" spans="1:5" x14ac:dyDescent="0.3">
      <c r="A3682" s="20" t="s">
        <v>144</v>
      </c>
      <c r="B3682" s="21" t="s">
        <v>373</v>
      </c>
      <c r="C3682" s="22">
        <v>10000</v>
      </c>
      <c r="D3682" s="23">
        <v>0</v>
      </c>
      <c r="E3682" s="24">
        <v>0</v>
      </c>
    </row>
    <row r="3683" spans="1:5" x14ac:dyDescent="0.3">
      <c r="A3683" s="20" t="s">
        <v>144</v>
      </c>
      <c r="B3683" s="21" t="s">
        <v>374</v>
      </c>
      <c r="C3683" s="22">
        <v>20000</v>
      </c>
      <c r="D3683" s="23">
        <v>0</v>
      </c>
      <c r="E3683" s="24">
        <v>0</v>
      </c>
    </row>
    <row r="3684" spans="1:5" x14ac:dyDescent="0.3">
      <c r="A3684" s="20" t="s">
        <v>144</v>
      </c>
      <c r="B3684" s="21" t="s">
        <v>375</v>
      </c>
      <c r="C3684" s="22">
        <v>20000</v>
      </c>
      <c r="D3684" s="23">
        <v>0</v>
      </c>
      <c r="E3684" s="24">
        <v>0</v>
      </c>
    </row>
    <row r="3685" spans="1:5" x14ac:dyDescent="0.3">
      <c r="A3685" s="20" t="s">
        <v>144</v>
      </c>
      <c r="B3685" s="21" t="s">
        <v>376</v>
      </c>
      <c r="C3685" s="22">
        <v>20000</v>
      </c>
      <c r="D3685" s="23">
        <v>0</v>
      </c>
      <c r="E3685" s="24">
        <v>0</v>
      </c>
    </row>
    <row r="3686" spans="1:5" x14ac:dyDescent="0.3">
      <c r="A3686" s="20" t="s">
        <v>144</v>
      </c>
      <c r="B3686" s="21" t="s">
        <v>377</v>
      </c>
      <c r="C3686" s="22">
        <v>10000</v>
      </c>
      <c r="D3686" s="23">
        <v>0</v>
      </c>
      <c r="E3686" s="24">
        <v>0</v>
      </c>
    </row>
    <row r="3687" spans="1:5" x14ac:dyDescent="0.3">
      <c r="A3687" s="16" t="s">
        <v>145</v>
      </c>
      <c r="B3687" s="16" t="s">
        <v>366</v>
      </c>
      <c r="C3687" s="17">
        <v>0</v>
      </c>
      <c r="D3687" s="18">
        <v>0</v>
      </c>
      <c r="E3687" s="19">
        <v>0</v>
      </c>
    </row>
    <row r="3688" spans="1:5" x14ac:dyDescent="0.3">
      <c r="A3688" s="20" t="s">
        <v>145</v>
      </c>
      <c r="B3688" s="21" t="s">
        <v>368</v>
      </c>
      <c r="C3688" s="22">
        <v>0</v>
      </c>
      <c r="D3688" s="23">
        <v>0</v>
      </c>
      <c r="E3688" s="24">
        <v>0</v>
      </c>
    </row>
    <row r="3689" spans="1:5" x14ac:dyDescent="0.3">
      <c r="A3689" s="20" t="s">
        <v>145</v>
      </c>
      <c r="B3689" s="21" t="s">
        <v>369</v>
      </c>
      <c r="C3689" s="22">
        <v>0</v>
      </c>
      <c r="D3689" s="23">
        <v>20000</v>
      </c>
      <c r="E3689" s="24">
        <v>0</v>
      </c>
    </row>
    <row r="3690" spans="1:5" x14ac:dyDescent="0.3">
      <c r="A3690" s="16" t="s">
        <v>338</v>
      </c>
      <c r="B3690" s="16" t="s">
        <v>366</v>
      </c>
      <c r="C3690" s="17">
        <v>33000</v>
      </c>
      <c r="D3690" s="18">
        <v>0</v>
      </c>
      <c r="E3690" s="19">
        <v>0</v>
      </c>
    </row>
    <row r="3691" spans="1:5" x14ac:dyDescent="0.3">
      <c r="A3691" s="20" t="s">
        <v>338</v>
      </c>
      <c r="B3691" s="21" t="s">
        <v>367</v>
      </c>
      <c r="C3691" s="22">
        <v>33000</v>
      </c>
      <c r="D3691" s="23">
        <v>0</v>
      </c>
      <c r="E3691" s="24">
        <v>0</v>
      </c>
    </row>
    <row r="3692" spans="1:5" x14ac:dyDescent="0.3">
      <c r="A3692" s="20" t="s">
        <v>338</v>
      </c>
      <c r="B3692" s="21" t="s">
        <v>368</v>
      </c>
      <c r="C3692" s="22">
        <v>33000</v>
      </c>
      <c r="D3692" s="23">
        <v>0</v>
      </c>
      <c r="E3692" s="24">
        <v>0</v>
      </c>
    </row>
    <row r="3693" spans="1:5" x14ac:dyDescent="0.3">
      <c r="A3693" s="20" t="s">
        <v>338</v>
      </c>
      <c r="B3693" s="21" t="s">
        <v>369</v>
      </c>
      <c r="C3693" s="22">
        <v>33000</v>
      </c>
      <c r="D3693" s="23">
        <v>0</v>
      </c>
      <c r="E3693" s="24">
        <v>0</v>
      </c>
    </row>
    <row r="3694" spans="1:5" x14ac:dyDescent="0.3">
      <c r="A3694" s="20" t="s">
        <v>338</v>
      </c>
      <c r="B3694" s="21" t="s">
        <v>370</v>
      </c>
      <c r="C3694" s="22">
        <v>33000</v>
      </c>
      <c r="D3694" s="23">
        <v>0</v>
      </c>
      <c r="E3694" s="24">
        <v>0</v>
      </c>
    </row>
    <row r="3695" spans="1:5" x14ac:dyDescent="0.3">
      <c r="A3695" s="20" t="s">
        <v>338</v>
      </c>
      <c r="B3695" s="21" t="s">
        <v>371</v>
      </c>
      <c r="C3695" s="22">
        <v>33000</v>
      </c>
      <c r="D3695" s="23">
        <v>0</v>
      </c>
      <c r="E3695" s="24">
        <v>0</v>
      </c>
    </row>
    <row r="3696" spans="1:5" x14ac:dyDescent="0.3">
      <c r="A3696" s="20" t="s">
        <v>338</v>
      </c>
      <c r="B3696" s="21" t="s">
        <v>372</v>
      </c>
      <c r="C3696" s="22">
        <v>33000</v>
      </c>
      <c r="D3696" s="23">
        <v>0</v>
      </c>
      <c r="E3696" s="24">
        <v>0</v>
      </c>
    </row>
    <row r="3697" spans="1:5" x14ac:dyDescent="0.3">
      <c r="A3697" s="20" t="s">
        <v>338</v>
      </c>
      <c r="B3697" s="21" t="s">
        <v>373</v>
      </c>
      <c r="C3697" s="22">
        <v>16000</v>
      </c>
      <c r="D3697" s="23">
        <v>0</v>
      </c>
      <c r="E3697" s="24">
        <v>0</v>
      </c>
    </row>
    <row r="3698" spans="1:5" x14ac:dyDescent="0.3">
      <c r="A3698" s="20" t="s">
        <v>338</v>
      </c>
      <c r="B3698" s="21" t="s">
        <v>374</v>
      </c>
      <c r="C3698" s="22">
        <v>33000</v>
      </c>
      <c r="D3698" s="23">
        <v>0</v>
      </c>
      <c r="E3698" s="24">
        <v>0</v>
      </c>
    </row>
    <row r="3699" spans="1:5" x14ac:dyDescent="0.3">
      <c r="A3699" s="20" t="s">
        <v>338</v>
      </c>
      <c r="B3699" s="21" t="s">
        <v>375</v>
      </c>
      <c r="C3699" s="22">
        <v>33000</v>
      </c>
      <c r="D3699" s="23">
        <v>0</v>
      </c>
      <c r="E3699" s="24">
        <v>0</v>
      </c>
    </row>
    <row r="3700" spans="1:5" x14ac:dyDescent="0.3">
      <c r="A3700" s="20" t="s">
        <v>338</v>
      </c>
      <c r="B3700" s="21" t="s">
        <v>376</v>
      </c>
      <c r="C3700" s="22">
        <v>33000</v>
      </c>
      <c r="D3700" s="23">
        <v>0</v>
      </c>
      <c r="E3700" s="24">
        <v>0</v>
      </c>
    </row>
    <row r="3701" spans="1:5" x14ac:dyDescent="0.3">
      <c r="A3701" s="20" t="s">
        <v>338</v>
      </c>
      <c r="B3701" s="21" t="s">
        <v>377</v>
      </c>
      <c r="C3701" s="22">
        <v>16000</v>
      </c>
      <c r="D3701" s="23">
        <v>0</v>
      </c>
      <c r="E3701" s="24">
        <v>0</v>
      </c>
    </row>
    <row r="3702" spans="1:5" x14ac:dyDescent="0.3">
      <c r="A3702" s="16" t="s">
        <v>339</v>
      </c>
      <c r="B3702" s="16" t="s">
        <v>366</v>
      </c>
      <c r="C3702" s="17">
        <v>10000</v>
      </c>
      <c r="D3702" s="18">
        <v>0</v>
      </c>
      <c r="E3702" s="19">
        <v>0</v>
      </c>
    </row>
    <row r="3703" spans="1:5" x14ac:dyDescent="0.3">
      <c r="A3703" s="20" t="s">
        <v>339</v>
      </c>
      <c r="B3703" s="21" t="s">
        <v>367</v>
      </c>
      <c r="C3703" s="22">
        <v>10000</v>
      </c>
      <c r="D3703" s="23">
        <v>0</v>
      </c>
      <c r="E3703" s="24">
        <v>0</v>
      </c>
    </row>
    <row r="3704" spans="1:5" x14ac:dyDescent="0.3">
      <c r="A3704" s="20" t="s">
        <v>339</v>
      </c>
      <c r="B3704" s="21" t="s">
        <v>368</v>
      </c>
      <c r="C3704" s="22">
        <v>10000</v>
      </c>
      <c r="D3704" s="23">
        <v>30000</v>
      </c>
      <c r="E3704" s="24">
        <v>0</v>
      </c>
    </row>
    <row r="3705" spans="1:5" x14ac:dyDescent="0.3">
      <c r="A3705" s="20" t="s">
        <v>339</v>
      </c>
      <c r="B3705" s="21" t="s">
        <v>369</v>
      </c>
      <c r="C3705" s="22">
        <v>10000</v>
      </c>
      <c r="D3705" s="23">
        <v>0</v>
      </c>
      <c r="E3705" s="24">
        <v>0</v>
      </c>
    </row>
    <row r="3706" spans="1:5" x14ac:dyDescent="0.3">
      <c r="A3706" s="20" t="s">
        <v>339</v>
      </c>
      <c r="B3706" s="21" t="s">
        <v>370</v>
      </c>
      <c r="C3706" s="22">
        <v>10000</v>
      </c>
      <c r="D3706" s="23">
        <v>30000</v>
      </c>
      <c r="E3706" s="24">
        <v>0</v>
      </c>
    </row>
    <row r="3707" spans="1:5" x14ac:dyDescent="0.3">
      <c r="A3707" s="20" t="s">
        <v>339</v>
      </c>
      <c r="B3707" s="21" t="s">
        <v>371</v>
      </c>
      <c r="C3707" s="22">
        <v>10000</v>
      </c>
      <c r="D3707" s="23">
        <v>0</v>
      </c>
      <c r="E3707" s="24">
        <v>0</v>
      </c>
    </row>
    <row r="3708" spans="1:5" x14ac:dyDescent="0.3">
      <c r="A3708" s="20" t="s">
        <v>339</v>
      </c>
      <c r="B3708" s="21" t="s">
        <v>372</v>
      </c>
      <c r="C3708" s="22">
        <v>10000</v>
      </c>
      <c r="D3708" s="23">
        <v>0</v>
      </c>
      <c r="E3708" s="24">
        <v>0</v>
      </c>
    </row>
    <row r="3709" spans="1:5" x14ac:dyDescent="0.3">
      <c r="A3709" s="20" t="s">
        <v>339</v>
      </c>
      <c r="B3709" s="21" t="s">
        <v>373</v>
      </c>
      <c r="C3709" s="22">
        <v>5000</v>
      </c>
      <c r="D3709" s="23">
        <v>0</v>
      </c>
      <c r="E3709" s="24">
        <v>0</v>
      </c>
    </row>
    <row r="3710" spans="1:5" x14ac:dyDescent="0.3">
      <c r="A3710" s="20" t="s">
        <v>339</v>
      </c>
      <c r="B3710" s="21" t="s">
        <v>374</v>
      </c>
      <c r="C3710" s="22">
        <v>10000</v>
      </c>
      <c r="D3710" s="23">
        <v>0</v>
      </c>
      <c r="E3710" s="24">
        <v>0</v>
      </c>
    </row>
    <row r="3711" spans="1:5" x14ac:dyDescent="0.3">
      <c r="A3711" s="20" t="s">
        <v>339</v>
      </c>
      <c r="B3711" s="21" t="s">
        <v>375</v>
      </c>
      <c r="C3711" s="22">
        <v>10000</v>
      </c>
      <c r="D3711" s="23">
        <v>50000</v>
      </c>
      <c r="E3711" s="24">
        <v>0</v>
      </c>
    </row>
    <row r="3712" spans="1:5" x14ac:dyDescent="0.3">
      <c r="A3712" s="20" t="s">
        <v>339</v>
      </c>
      <c r="B3712" s="21" t="s">
        <v>376</v>
      </c>
      <c r="C3712" s="22">
        <v>10000</v>
      </c>
      <c r="D3712" s="23">
        <v>0</v>
      </c>
      <c r="E3712" s="24">
        <v>0</v>
      </c>
    </row>
    <row r="3713" spans="1:5" x14ac:dyDescent="0.3">
      <c r="A3713" s="20" t="s">
        <v>339</v>
      </c>
      <c r="B3713" s="21" t="s">
        <v>377</v>
      </c>
      <c r="C3713" s="22">
        <v>5000</v>
      </c>
      <c r="D3713" s="23">
        <v>0</v>
      </c>
      <c r="E3713" s="24">
        <v>0</v>
      </c>
    </row>
    <row r="3714" spans="1:5" x14ac:dyDescent="0.3">
      <c r="A3714" s="16" t="s">
        <v>340</v>
      </c>
      <c r="B3714" s="16" t="s">
        <v>366</v>
      </c>
      <c r="C3714" s="17">
        <v>5000</v>
      </c>
      <c r="D3714" s="18">
        <v>0</v>
      </c>
      <c r="E3714" s="19">
        <v>0</v>
      </c>
    </row>
    <row r="3715" spans="1:5" x14ac:dyDescent="0.3">
      <c r="A3715" s="20" t="s">
        <v>340</v>
      </c>
      <c r="B3715" s="21" t="s">
        <v>367</v>
      </c>
      <c r="C3715" s="22">
        <v>5000</v>
      </c>
      <c r="D3715" s="23">
        <v>16000</v>
      </c>
      <c r="E3715" s="24">
        <v>0</v>
      </c>
    </row>
    <row r="3716" spans="1:5" x14ac:dyDescent="0.3">
      <c r="A3716" s="20" t="s">
        <v>340</v>
      </c>
      <c r="B3716" s="21" t="s">
        <v>368</v>
      </c>
      <c r="C3716" s="22">
        <v>5000</v>
      </c>
      <c r="D3716" s="23">
        <v>16000</v>
      </c>
      <c r="E3716" s="24">
        <v>0</v>
      </c>
    </row>
    <row r="3717" spans="1:5" x14ac:dyDescent="0.3">
      <c r="A3717" s="20" t="s">
        <v>340</v>
      </c>
      <c r="B3717" s="21" t="s">
        <v>369</v>
      </c>
      <c r="C3717" s="22">
        <v>5000</v>
      </c>
      <c r="D3717" s="23">
        <v>0</v>
      </c>
      <c r="E3717" s="24">
        <v>0</v>
      </c>
    </row>
    <row r="3718" spans="1:5" x14ac:dyDescent="0.3">
      <c r="A3718" s="20" t="s">
        <v>340</v>
      </c>
      <c r="B3718" s="21" t="s">
        <v>370</v>
      </c>
      <c r="C3718" s="22">
        <v>5000</v>
      </c>
      <c r="D3718" s="23">
        <v>0</v>
      </c>
      <c r="E3718" s="24">
        <v>0</v>
      </c>
    </row>
    <row r="3719" spans="1:5" x14ac:dyDescent="0.3">
      <c r="A3719" s="20" t="s">
        <v>340</v>
      </c>
      <c r="B3719" s="21" t="s">
        <v>371</v>
      </c>
      <c r="C3719" s="22">
        <v>5000</v>
      </c>
      <c r="D3719" s="23">
        <v>16000</v>
      </c>
      <c r="E3719" s="24">
        <v>0</v>
      </c>
    </row>
    <row r="3720" spans="1:5" x14ac:dyDescent="0.3">
      <c r="A3720" s="20" t="s">
        <v>340</v>
      </c>
      <c r="B3720" s="21" t="s">
        <v>372</v>
      </c>
      <c r="C3720" s="22">
        <v>5000</v>
      </c>
      <c r="D3720" s="23">
        <v>0</v>
      </c>
      <c r="E3720" s="24">
        <v>0</v>
      </c>
    </row>
    <row r="3721" spans="1:5" x14ac:dyDescent="0.3">
      <c r="A3721" s="20" t="s">
        <v>340</v>
      </c>
      <c r="B3721" s="21" t="s">
        <v>373</v>
      </c>
      <c r="C3721" s="22">
        <v>3000</v>
      </c>
      <c r="D3721" s="23">
        <v>0</v>
      </c>
      <c r="E3721" s="24">
        <v>0</v>
      </c>
    </row>
    <row r="3722" spans="1:5" x14ac:dyDescent="0.3">
      <c r="A3722" s="20" t="s">
        <v>340</v>
      </c>
      <c r="B3722" s="21" t="s">
        <v>374</v>
      </c>
      <c r="C3722" s="22">
        <v>5000</v>
      </c>
      <c r="D3722" s="23">
        <v>0</v>
      </c>
      <c r="E3722" s="24">
        <v>0</v>
      </c>
    </row>
    <row r="3723" spans="1:5" x14ac:dyDescent="0.3">
      <c r="A3723" s="20" t="s">
        <v>340</v>
      </c>
      <c r="B3723" s="21" t="s">
        <v>375</v>
      </c>
      <c r="C3723" s="22">
        <v>5000</v>
      </c>
      <c r="D3723" s="23">
        <v>0</v>
      </c>
      <c r="E3723" s="24">
        <v>0</v>
      </c>
    </row>
    <row r="3724" spans="1:5" x14ac:dyDescent="0.3">
      <c r="A3724" s="20" t="s">
        <v>340</v>
      </c>
      <c r="B3724" s="21" t="s">
        <v>376</v>
      </c>
      <c r="C3724" s="22">
        <v>5000</v>
      </c>
      <c r="D3724" s="23">
        <v>0</v>
      </c>
      <c r="E3724" s="24">
        <v>0</v>
      </c>
    </row>
    <row r="3725" spans="1:5" x14ac:dyDescent="0.3">
      <c r="A3725" s="20" t="s">
        <v>340</v>
      </c>
      <c r="B3725" s="21" t="s">
        <v>377</v>
      </c>
      <c r="C3725" s="22">
        <v>3000</v>
      </c>
      <c r="D3725" s="23">
        <v>0</v>
      </c>
      <c r="E3725" s="24">
        <v>0</v>
      </c>
    </row>
    <row r="3726" spans="1:5" x14ac:dyDescent="0.3">
      <c r="A3726" s="16" t="s">
        <v>341</v>
      </c>
      <c r="B3726" s="16" t="s">
        <v>366</v>
      </c>
      <c r="C3726" s="17">
        <v>5000</v>
      </c>
      <c r="D3726" s="18">
        <v>0</v>
      </c>
      <c r="E3726" s="19">
        <v>0</v>
      </c>
    </row>
    <row r="3727" spans="1:5" x14ac:dyDescent="0.3">
      <c r="A3727" s="20" t="s">
        <v>341</v>
      </c>
      <c r="B3727" s="21" t="s">
        <v>367</v>
      </c>
      <c r="C3727" s="22">
        <v>5000</v>
      </c>
      <c r="D3727" s="23">
        <v>0</v>
      </c>
      <c r="E3727" s="24">
        <v>0</v>
      </c>
    </row>
    <row r="3728" spans="1:5" x14ac:dyDescent="0.3">
      <c r="A3728" s="20" t="s">
        <v>341</v>
      </c>
      <c r="B3728" s="21" t="s">
        <v>368</v>
      </c>
      <c r="C3728" s="22">
        <v>5000</v>
      </c>
      <c r="D3728" s="23">
        <v>15000</v>
      </c>
      <c r="E3728" s="24">
        <v>0</v>
      </c>
    </row>
    <row r="3729" spans="1:5" x14ac:dyDescent="0.3">
      <c r="A3729" s="20" t="s">
        <v>341</v>
      </c>
      <c r="B3729" s="21" t="s">
        <v>369</v>
      </c>
      <c r="C3729" s="22">
        <v>5000</v>
      </c>
      <c r="D3729" s="23">
        <v>0</v>
      </c>
      <c r="E3729" s="24">
        <v>0</v>
      </c>
    </row>
    <row r="3730" spans="1:5" x14ac:dyDescent="0.3">
      <c r="A3730" s="20" t="s">
        <v>341</v>
      </c>
      <c r="B3730" s="21" t="s">
        <v>370</v>
      </c>
      <c r="C3730" s="22">
        <v>5000</v>
      </c>
      <c r="D3730" s="23">
        <v>15000</v>
      </c>
      <c r="E3730" s="24">
        <v>0</v>
      </c>
    </row>
    <row r="3731" spans="1:5" x14ac:dyDescent="0.3">
      <c r="A3731" s="20" t="s">
        <v>341</v>
      </c>
      <c r="B3731" s="21" t="s">
        <v>371</v>
      </c>
      <c r="C3731" s="22">
        <v>5000</v>
      </c>
      <c r="D3731" s="23">
        <v>0</v>
      </c>
      <c r="E3731" s="24">
        <v>0</v>
      </c>
    </row>
    <row r="3732" spans="1:5" x14ac:dyDescent="0.3">
      <c r="A3732" s="20" t="s">
        <v>341</v>
      </c>
      <c r="B3732" s="21" t="s">
        <v>372</v>
      </c>
      <c r="C3732" s="22">
        <v>5000</v>
      </c>
      <c r="D3732" s="23">
        <v>0</v>
      </c>
      <c r="E3732" s="24">
        <v>0</v>
      </c>
    </row>
    <row r="3733" spans="1:5" x14ac:dyDescent="0.3">
      <c r="A3733" s="20" t="s">
        <v>341</v>
      </c>
      <c r="B3733" s="21" t="s">
        <v>373</v>
      </c>
      <c r="C3733" s="22">
        <v>3000</v>
      </c>
      <c r="D3733" s="23">
        <v>0</v>
      </c>
      <c r="E3733" s="24">
        <v>0</v>
      </c>
    </row>
    <row r="3734" spans="1:5" x14ac:dyDescent="0.3">
      <c r="A3734" s="20" t="s">
        <v>341</v>
      </c>
      <c r="B3734" s="21" t="s">
        <v>374</v>
      </c>
      <c r="C3734" s="22">
        <v>5000</v>
      </c>
      <c r="D3734" s="23">
        <v>0</v>
      </c>
      <c r="E3734" s="24">
        <v>0</v>
      </c>
    </row>
    <row r="3735" spans="1:5" x14ac:dyDescent="0.3">
      <c r="A3735" s="20" t="s">
        <v>341</v>
      </c>
      <c r="B3735" s="21" t="s">
        <v>375</v>
      </c>
      <c r="C3735" s="22">
        <v>5000</v>
      </c>
      <c r="D3735" s="23">
        <v>0</v>
      </c>
      <c r="E3735" s="24">
        <v>0</v>
      </c>
    </row>
    <row r="3736" spans="1:5" x14ac:dyDescent="0.3">
      <c r="A3736" s="20" t="s">
        <v>341</v>
      </c>
      <c r="B3736" s="21" t="s">
        <v>376</v>
      </c>
      <c r="C3736" s="22">
        <v>5000</v>
      </c>
      <c r="D3736" s="23">
        <v>0</v>
      </c>
      <c r="E3736" s="24">
        <v>0</v>
      </c>
    </row>
    <row r="3737" spans="1:5" x14ac:dyDescent="0.3">
      <c r="A3737" s="20" t="s">
        <v>341</v>
      </c>
      <c r="B3737" s="21" t="s">
        <v>377</v>
      </c>
      <c r="C3737" s="22">
        <v>3000</v>
      </c>
      <c r="D3737" s="23">
        <v>0</v>
      </c>
      <c r="E3737" s="24">
        <v>0</v>
      </c>
    </row>
    <row r="3738" spans="1:5" x14ac:dyDescent="0.3">
      <c r="A3738" s="16" t="s">
        <v>342</v>
      </c>
      <c r="B3738" s="16" t="s">
        <v>366</v>
      </c>
      <c r="C3738" s="17">
        <v>2000</v>
      </c>
      <c r="D3738" s="18">
        <v>12500</v>
      </c>
      <c r="E3738" s="19">
        <v>0</v>
      </c>
    </row>
    <row r="3739" spans="1:5" x14ac:dyDescent="0.3">
      <c r="A3739" s="20" t="s">
        <v>342</v>
      </c>
      <c r="B3739" s="21" t="s">
        <v>367</v>
      </c>
      <c r="C3739" s="22">
        <v>2000</v>
      </c>
      <c r="D3739" s="23">
        <v>0</v>
      </c>
      <c r="E3739" s="24">
        <v>0</v>
      </c>
    </row>
    <row r="3740" spans="1:5" x14ac:dyDescent="0.3">
      <c r="A3740" s="20" t="s">
        <v>342</v>
      </c>
      <c r="B3740" s="21" t="s">
        <v>368</v>
      </c>
      <c r="C3740" s="22">
        <v>2000</v>
      </c>
      <c r="D3740" s="23">
        <v>0</v>
      </c>
      <c r="E3740" s="24">
        <v>0</v>
      </c>
    </row>
    <row r="3741" spans="1:5" x14ac:dyDescent="0.3">
      <c r="A3741" s="20" t="s">
        <v>342</v>
      </c>
      <c r="B3741" s="21" t="s">
        <v>369</v>
      </c>
      <c r="C3741" s="22">
        <v>2000</v>
      </c>
      <c r="D3741" s="23">
        <v>0</v>
      </c>
      <c r="E3741" s="24">
        <v>0</v>
      </c>
    </row>
    <row r="3742" spans="1:5" x14ac:dyDescent="0.3">
      <c r="A3742" s="20" t="s">
        <v>342</v>
      </c>
      <c r="B3742" s="21" t="s">
        <v>370</v>
      </c>
      <c r="C3742" s="22">
        <v>2000</v>
      </c>
      <c r="D3742" s="23">
        <v>0</v>
      </c>
      <c r="E3742" s="24">
        <v>0</v>
      </c>
    </row>
    <row r="3743" spans="1:5" x14ac:dyDescent="0.3">
      <c r="A3743" s="20" t="s">
        <v>342</v>
      </c>
      <c r="B3743" s="21" t="s">
        <v>371</v>
      </c>
      <c r="C3743" s="22">
        <v>2000</v>
      </c>
      <c r="D3743" s="23">
        <v>0</v>
      </c>
      <c r="E3743" s="24">
        <v>0</v>
      </c>
    </row>
    <row r="3744" spans="1:5" x14ac:dyDescent="0.3">
      <c r="A3744" s="20" t="s">
        <v>342</v>
      </c>
      <c r="B3744" s="21" t="s">
        <v>372</v>
      </c>
      <c r="C3744" s="22">
        <v>2000</v>
      </c>
      <c r="D3744" s="23">
        <v>0</v>
      </c>
      <c r="E3744" s="24">
        <v>0</v>
      </c>
    </row>
    <row r="3745" spans="1:5" x14ac:dyDescent="0.3">
      <c r="A3745" s="20" t="s">
        <v>342</v>
      </c>
      <c r="B3745" s="21" t="s">
        <v>373</v>
      </c>
      <c r="C3745" s="22">
        <v>1000</v>
      </c>
      <c r="D3745" s="23">
        <v>0</v>
      </c>
      <c r="E3745" s="24">
        <v>0</v>
      </c>
    </row>
    <row r="3746" spans="1:5" x14ac:dyDescent="0.3">
      <c r="A3746" s="20" t="s">
        <v>342</v>
      </c>
      <c r="B3746" s="21" t="s">
        <v>374</v>
      </c>
      <c r="C3746" s="22">
        <v>2000</v>
      </c>
      <c r="D3746" s="23">
        <v>0</v>
      </c>
      <c r="E3746" s="24">
        <v>0</v>
      </c>
    </row>
    <row r="3747" spans="1:5" x14ac:dyDescent="0.3">
      <c r="A3747" s="20" t="s">
        <v>342</v>
      </c>
      <c r="B3747" s="21" t="s">
        <v>375</v>
      </c>
      <c r="C3747" s="22">
        <v>2000</v>
      </c>
      <c r="D3747" s="23">
        <v>0</v>
      </c>
      <c r="E3747" s="24">
        <v>0</v>
      </c>
    </row>
    <row r="3748" spans="1:5" x14ac:dyDescent="0.3">
      <c r="A3748" s="20" t="s">
        <v>342</v>
      </c>
      <c r="B3748" s="21" t="s">
        <v>376</v>
      </c>
      <c r="C3748" s="22">
        <v>2000</v>
      </c>
      <c r="D3748" s="23">
        <v>0</v>
      </c>
      <c r="E3748" s="24">
        <v>0</v>
      </c>
    </row>
    <row r="3749" spans="1:5" x14ac:dyDescent="0.3">
      <c r="A3749" s="20" t="s">
        <v>342</v>
      </c>
      <c r="B3749" s="21" t="s">
        <v>377</v>
      </c>
      <c r="C3749" s="22">
        <v>1000</v>
      </c>
      <c r="D3749" s="23">
        <v>0</v>
      </c>
      <c r="E3749" s="24">
        <v>0</v>
      </c>
    </row>
    <row r="3750" spans="1:5" x14ac:dyDescent="0.3">
      <c r="A3750" s="16" t="s">
        <v>146</v>
      </c>
      <c r="B3750" s="16" t="s">
        <v>366</v>
      </c>
      <c r="C3750" s="17">
        <v>1000</v>
      </c>
      <c r="D3750" s="18">
        <v>0</v>
      </c>
      <c r="E3750" s="19">
        <v>0</v>
      </c>
    </row>
    <row r="3751" spans="1:5" x14ac:dyDescent="0.3">
      <c r="A3751" s="20" t="s">
        <v>146</v>
      </c>
      <c r="B3751" s="21" t="s">
        <v>367</v>
      </c>
      <c r="C3751" s="22">
        <v>1000</v>
      </c>
      <c r="D3751" s="23">
        <v>0</v>
      </c>
      <c r="E3751" s="24">
        <v>0</v>
      </c>
    </row>
    <row r="3752" spans="1:5" x14ac:dyDescent="0.3">
      <c r="A3752" s="20" t="s">
        <v>146</v>
      </c>
      <c r="B3752" s="21" t="s">
        <v>368</v>
      </c>
      <c r="C3752" s="22">
        <v>1000</v>
      </c>
      <c r="D3752" s="23">
        <v>0</v>
      </c>
      <c r="E3752" s="24">
        <v>0</v>
      </c>
    </row>
    <row r="3753" spans="1:5" x14ac:dyDescent="0.3">
      <c r="A3753" s="20" t="s">
        <v>146</v>
      </c>
      <c r="B3753" s="21" t="s">
        <v>369</v>
      </c>
      <c r="C3753" s="22">
        <v>1000</v>
      </c>
      <c r="D3753" s="23">
        <v>0</v>
      </c>
      <c r="E3753" s="24">
        <v>0</v>
      </c>
    </row>
    <row r="3754" spans="1:5" x14ac:dyDescent="0.3">
      <c r="A3754" s="20" t="s">
        <v>146</v>
      </c>
      <c r="B3754" s="21" t="s">
        <v>370</v>
      </c>
      <c r="C3754" s="22">
        <v>1000</v>
      </c>
      <c r="D3754" s="23">
        <v>0</v>
      </c>
      <c r="E3754" s="24">
        <v>0</v>
      </c>
    </row>
    <row r="3755" spans="1:5" x14ac:dyDescent="0.3">
      <c r="A3755" s="20" t="s">
        <v>146</v>
      </c>
      <c r="B3755" s="21" t="s">
        <v>371</v>
      </c>
      <c r="C3755" s="22">
        <v>1000</v>
      </c>
      <c r="D3755" s="23">
        <v>0</v>
      </c>
      <c r="E3755" s="24">
        <v>0</v>
      </c>
    </row>
    <row r="3756" spans="1:5" x14ac:dyDescent="0.3">
      <c r="A3756" s="20" t="s">
        <v>146</v>
      </c>
      <c r="B3756" s="21" t="s">
        <v>372</v>
      </c>
      <c r="C3756" s="22">
        <v>1000</v>
      </c>
      <c r="D3756" s="23">
        <v>0</v>
      </c>
      <c r="E3756" s="24">
        <v>0</v>
      </c>
    </row>
    <row r="3757" spans="1:5" x14ac:dyDescent="0.3">
      <c r="A3757" s="20" t="s">
        <v>146</v>
      </c>
      <c r="B3757" s="21" t="s">
        <v>373</v>
      </c>
      <c r="C3757" s="22">
        <v>1000</v>
      </c>
      <c r="D3757" s="23">
        <v>0</v>
      </c>
      <c r="E3757" s="24">
        <v>0</v>
      </c>
    </row>
    <row r="3758" spans="1:5" x14ac:dyDescent="0.3">
      <c r="A3758" s="20" t="s">
        <v>146</v>
      </c>
      <c r="B3758" s="21" t="s">
        <v>374</v>
      </c>
      <c r="C3758" s="22">
        <v>1000</v>
      </c>
      <c r="D3758" s="23">
        <v>0</v>
      </c>
      <c r="E3758" s="24">
        <v>0</v>
      </c>
    </row>
    <row r="3759" spans="1:5" x14ac:dyDescent="0.3">
      <c r="A3759" s="20" t="s">
        <v>146</v>
      </c>
      <c r="B3759" s="21" t="s">
        <v>375</v>
      </c>
      <c r="C3759" s="22">
        <v>1000</v>
      </c>
      <c r="D3759" s="23">
        <v>0</v>
      </c>
      <c r="E3759" s="24">
        <v>0</v>
      </c>
    </row>
    <row r="3760" spans="1:5" x14ac:dyDescent="0.3">
      <c r="A3760" s="20" t="s">
        <v>146</v>
      </c>
      <c r="B3760" s="21" t="s">
        <v>376</v>
      </c>
      <c r="C3760" s="22">
        <v>1000</v>
      </c>
      <c r="D3760" s="23">
        <v>0</v>
      </c>
      <c r="E3760" s="24">
        <v>0</v>
      </c>
    </row>
    <row r="3761" spans="1:5" x14ac:dyDescent="0.3">
      <c r="A3761" s="20" t="s">
        <v>146</v>
      </c>
      <c r="B3761" s="21" t="s">
        <v>377</v>
      </c>
      <c r="C3761" s="22">
        <v>1000</v>
      </c>
      <c r="D3761" s="23">
        <v>0</v>
      </c>
      <c r="E3761" s="24">
        <v>0</v>
      </c>
    </row>
    <row r="3762" spans="1:5" x14ac:dyDescent="0.3">
      <c r="A3762" s="16" t="s">
        <v>19</v>
      </c>
      <c r="B3762" s="16" t="s">
        <v>366</v>
      </c>
      <c r="C3762" s="17">
        <v>23000</v>
      </c>
      <c r="D3762" s="18">
        <v>0</v>
      </c>
      <c r="E3762" s="19">
        <v>0</v>
      </c>
    </row>
    <row r="3763" spans="1:5" x14ac:dyDescent="0.3">
      <c r="A3763" s="20" t="s">
        <v>19</v>
      </c>
      <c r="B3763" s="21" t="s">
        <v>367</v>
      </c>
      <c r="C3763" s="22">
        <v>23000</v>
      </c>
      <c r="D3763" s="23">
        <v>0</v>
      </c>
      <c r="E3763" s="24">
        <v>0</v>
      </c>
    </row>
    <row r="3764" spans="1:5" x14ac:dyDescent="0.3">
      <c r="A3764" s="20" t="s">
        <v>19</v>
      </c>
      <c r="B3764" s="21" t="s">
        <v>368</v>
      </c>
      <c r="C3764" s="22">
        <v>23000</v>
      </c>
      <c r="D3764" s="23">
        <v>100000</v>
      </c>
      <c r="E3764" s="24">
        <v>0</v>
      </c>
    </row>
    <row r="3765" spans="1:5" x14ac:dyDescent="0.3">
      <c r="A3765" s="20" t="s">
        <v>19</v>
      </c>
      <c r="B3765" s="21" t="s">
        <v>369</v>
      </c>
      <c r="C3765" s="22">
        <v>23000</v>
      </c>
      <c r="D3765" s="23">
        <v>0</v>
      </c>
      <c r="E3765" s="24">
        <v>0</v>
      </c>
    </row>
    <row r="3766" spans="1:5" x14ac:dyDescent="0.3">
      <c r="A3766" s="20" t="s">
        <v>19</v>
      </c>
      <c r="B3766" s="21" t="s">
        <v>370</v>
      </c>
      <c r="C3766" s="22">
        <v>23000</v>
      </c>
      <c r="D3766" s="23">
        <v>0</v>
      </c>
      <c r="E3766" s="24">
        <v>0</v>
      </c>
    </row>
    <row r="3767" spans="1:5" x14ac:dyDescent="0.3">
      <c r="A3767" s="20" t="s">
        <v>19</v>
      </c>
      <c r="B3767" s="21" t="s">
        <v>371</v>
      </c>
      <c r="C3767" s="22">
        <v>23000</v>
      </c>
      <c r="D3767" s="23">
        <v>0</v>
      </c>
      <c r="E3767" s="24">
        <v>0</v>
      </c>
    </row>
    <row r="3768" spans="1:5" x14ac:dyDescent="0.3">
      <c r="A3768" s="20" t="s">
        <v>19</v>
      </c>
      <c r="B3768" s="21" t="s">
        <v>372</v>
      </c>
      <c r="C3768" s="22">
        <v>23000</v>
      </c>
      <c r="D3768" s="23">
        <v>0</v>
      </c>
      <c r="E3768" s="24">
        <v>0</v>
      </c>
    </row>
    <row r="3769" spans="1:5" x14ac:dyDescent="0.3">
      <c r="A3769" s="20" t="s">
        <v>19</v>
      </c>
      <c r="B3769" s="21" t="s">
        <v>373</v>
      </c>
      <c r="C3769" s="22">
        <v>12000</v>
      </c>
      <c r="D3769" s="23">
        <v>0</v>
      </c>
      <c r="E3769" s="24">
        <v>0</v>
      </c>
    </row>
    <row r="3770" spans="1:5" x14ac:dyDescent="0.3">
      <c r="A3770" s="20" t="s">
        <v>19</v>
      </c>
      <c r="B3770" s="21" t="s">
        <v>374</v>
      </c>
      <c r="C3770" s="22">
        <v>23000</v>
      </c>
      <c r="D3770" s="23">
        <v>0</v>
      </c>
      <c r="E3770" s="24">
        <v>0</v>
      </c>
    </row>
    <row r="3771" spans="1:5" x14ac:dyDescent="0.3">
      <c r="A3771" s="20" t="s">
        <v>19</v>
      </c>
      <c r="B3771" s="21" t="s">
        <v>375</v>
      </c>
      <c r="C3771" s="22">
        <v>23000</v>
      </c>
      <c r="D3771" s="23">
        <v>0</v>
      </c>
      <c r="E3771" s="24">
        <v>0</v>
      </c>
    </row>
    <row r="3772" spans="1:5" x14ac:dyDescent="0.3">
      <c r="A3772" s="20" t="s">
        <v>19</v>
      </c>
      <c r="B3772" s="21" t="s">
        <v>376</v>
      </c>
      <c r="C3772" s="22">
        <v>23000</v>
      </c>
      <c r="D3772" s="23">
        <v>0</v>
      </c>
      <c r="E3772" s="24">
        <v>0</v>
      </c>
    </row>
    <row r="3773" spans="1:5" x14ac:dyDescent="0.3">
      <c r="A3773" s="20" t="s">
        <v>19</v>
      </c>
      <c r="B3773" s="21" t="s">
        <v>377</v>
      </c>
      <c r="C3773" s="22">
        <v>12000</v>
      </c>
      <c r="D3773" s="23">
        <v>0</v>
      </c>
      <c r="E3773" s="24">
        <v>0</v>
      </c>
    </row>
    <row r="3774" spans="1:5" x14ac:dyDescent="0.3">
      <c r="A3774" s="16" t="s">
        <v>20</v>
      </c>
      <c r="B3774" s="16" t="s">
        <v>366</v>
      </c>
      <c r="C3774" s="17">
        <v>6000</v>
      </c>
      <c r="D3774" s="18">
        <v>0</v>
      </c>
      <c r="E3774" s="19">
        <v>0</v>
      </c>
    </row>
    <row r="3775" spans="1:5" x14ac:dyDescent="0.3">
      <c r="A3775" s="20" t="s">
        <v>20</v>
      </c>
      <c r="B3775" s="21" t="s">
        <v>367</v>
      </c>
      <c r="C3775" s="22">
        <v>6000</v>
      </c>
      <c r="D3775" s="23">
        <v>25000</v>
      </c>
      <c r="E3775" s="24">
        <v>0</v>
      </c>
    </row>
    <row r="3776" spans="1:5" x14ac:dyDescent="0.3">
      <c r="A3776" s="20" t="s">
        <v>20</v>
      </c>
      <c r="B3776" s="21" t="s">
        <v>368</v>
      </c>
      <c r="C3776" s="22">
        <v>6000</v>
      </c>
      <c r="D3776" s="23">
        <v>0</v>
      </c>
      <c r="E3776" s="24">
        <v>0</v>
      </c>
    </row>
    <row r="3777" spans="1:5" x14ac:dyDescent="0.3">
      <c r="A3777" s="20" t="s">
        <v>20</v>
      </c>
      <c r="B3777" s="21" t="s">
        <v>369</v>
      </c>
      <c r="C3777" s="22">
        <v>6000</v>
      </c>
      <c r="D3777" s="23">
        <v>0</v>
      </c>
      <c r="E3777" s="24">
        <v>0</v>
      </c>
    </row>
    <row r="3778" spans="1:5" x14ac:dyDescent="0.3">
      <c r="A3778" s="20" t="s">
        <v>20</v>
      </c>
      <c r="B3778" s="21" t="s">
        <v>370</v>
      </c>
      <c r="C3778" s="22">
        <v>6000</v>
      </c>
      <c r="D3778" s="23">
        <v>0</v>
      </c>
      <c r="E3778" s="24">
        <v>0</v>
      </c>
    </row>
    <row r="3779" spans="1:5" x14ac:dyDescent="0.3">
      <c r="A3779" s="20" t="s">
        <v>20</v>
      </c>
      <c r="B3779" s="21" t="s">
        <v>371</v>
      </c>
      <c r="C3779" s="22">
        <v>6000</v>
      </c>
      <c r="D3779" s="23">
        <v>25000</v>
      </c>
      <c r="E3779" s="24">
        <v>0</v>
      </c>
    </row>
    <row r="3780" spans="1:5" x14ac:dyDescent="0.3">
      <c r="A3780" s="20" t="s">
        <v>20</v>
      </c>
      <c r="B3780" s="21" t="s">
        <v>372</v>
      </c>
      <c r="C3780" s="22">
        <v>6000</v>
      </c>
      <c r="D3780" s="23">
        <v>25000</v>
      </c>
      <c r="E3780" s="24">
        <v>0</v>
      </c>
    </row>
    <row r="3781" spans="1:5" x14ac:dyDescent="0.3">
      <c r="A3781" s="20" t="s">
        <v>20</v>
      </c>
      <c r="B3781" s="21" t="s">
        <v>373</v>
      </c>
      <c r="C3781" s="22">
        <v>3000</v>
      </c>
      <c r="D3781" s="23">
        <v>0</v>
      </c>
      <c r="E3781" s="24">
        <v>0</v>
      </c>
    </row>
    <row r="3782" spans="1:5" x14ac:dyDescent="0.3">
      <c r="A3782" s="20" t="s">
        <v>20</v>
      </c>
      <c r="B3782" s="21" t="s">
        <v>374</v>
      </c>
      <c r="C3782" s="22">
        <v>6000</v>
      </c>
      <c r="D3782" s="23">
        <v>0</v>
      </c>
      <c r="E3782" s="24">
        <v>0</v>
      </c>
    </row>
    <row r="3783" spans="1:5" x14ac:dyDescent="0.3">
      <c r="A3783" s="20" t="s">
        <v>20</v>
      </c>
      <c r="B3783" s="21" t="s">
        <v>375</v>
      </c>
      <c r="C3783" s="22">
        <v>6000</v>
      </c>
      <c r="D3783" s="23">
        <v>0</v>
      </c>
      <c r="E3783" s="24">
        <v>0</v>
      </c>
    </row>
    <row r="3784" spans="1:5" x14ac:dyDescent="0.3">
      <c r="A3784" s="20" t="s">
        <v>20</v>
      </c>
      <c r="B3784" s="21" t="s">
        <v>376</v>
      </c>
      <c r="C3784" s="22">
        <v>6000</v>
      </c>
      <c r="D3784" s="23">
        <v>0</v>
      </c>
      <c r="E3784" s="24">
        <v>0</v>
      </c>
    </row>
    <row r="3785" spans="1:5" x14ac:dyDescent="0.3">
      <c r="A3785" s="20" t="s">
        <v>20</v>
      </c>
      <c r="B3785" s="21" t="s">
        <v>377</v>
      </c>
      <c r="C3785" s="22">
        <v>3000</v>
      </c>
      <c r="D3785" s="23">
        <v>0</v>
      </c>
      <c r="E3785" s="24">
        <v>0</v>
      </c>
    </row>
    <row r="3786" spans="1:5" x14ac:dyDescent="0.3">
      <c r="A3786" s="16" t="s">
        <v>21</v>
      </c>
      <c r="B3786" s="16" t="s">
        <v>366</v>
      </c>
      <c r="C3786" s="17">
        <v>6000</v>
      </c>
      <c r="D3786" s="18">
        <v>0</v>
      </c>
      <c r="E3786" s="19">
        <v>0</v>
      </c>
    </row>
    <row r="3787" spans="1:5" x14ac:dyDescent="0.3">
      <c r="A3787" s="20" t="s">
        <v>21</v>
      </c>
      <c r="B3787" s="21" t="s">
        <v>367</v>
      </c>
      <c r="C3787" s="22">
        <v>6000</v>
      </c>
      <c r="D3787" s="23">
        <v>0</v>
      </c>
      <c r="E3787" s="24">
        <v>0</v>
      </c>
    </row>
    <row r="3788" spans="1:5" x14ac:dyDescent="0.3">
      <c r="A3788" s="20" t="s">
        <v>21</v>
      </c>
      <c r="B3788" s="21" t="s">
        <v>368</v>
      </c>
      <c r="C3788" s="22">
        <v>6000</v>
      </c>
      <c r="D3788" s="23">
        <v>0</v>
      </c>
      <c r="E3788" s="24">
        <v>0</v>
      </c>
    </row>
    <row r="3789" spans="1:5" x14ac:dyDescent="0.3">
      <c r="A3789" s="20" t="s">
        <v>21</v>
      </c>
      <c r="B3789" s="21" t="s">
        <v>369</v>
      </c>
      <c r="C3789" s="22">
        <v>6000</v>
      </c>
      <c r="D3789" s="23">
        <v>0</v>
      </c>
      <c r="E3789" s="24">
        <v>0</v>
      </c>
    </row>
    <row r="3790" spans="1:5" x14ac:dyDescent="0.3">
      <c r="A3790" s="20" t="s">
        <v>21</v>
      </c>
      <c r="B3790" s="21" t="s">
        <v>370</v>
      </c>
      <c r="C3790" s="22">
        <v>6000</v>
      </c>
      <c r="D3790" s="23">
        <v>0</v>
      </c>
      <c r="E3790" s="24">
        <v>0</v>
      </c>
    </row>
    <row r="3791" spans="1:5" x14ac:dyDescent="0.3">
      <c r="A3791" s="20" t="s">
        <v>21</v>
      </c>
      <c r="B3791" s="21" t="s">
        <v>371</v>
      </c>
      <c r="C3791" s="22">
        <v>6000</v>
      </c>
      <c r="D3791" s="23">
        <v>0</v>
      </c>
      <c r="E3791" s="24">
        <v>0</v>
      </c>
    </row>
    <row r="3792" spans="1:5" x14ac:dyDescent="0.3">
      <c r="A3792" s="20" t="s">
        <v>21</v>
      </c>
      <c r="B3792" s="21" t="s">
        <v>372</v>
      </c>
      <c r="C3792" s="22">
        <v>6000</v>
      </c>
      <c r="D3792" s="23">
        <v>0</v>
      </c>
      <c r="E3792" s="24">
        <v>0</v>
      </c>
    </row>
    <row r="3793" spans="1:5" x14ac:dyDescent="0.3">
      <c r="A3793" s="20" t="s">
        <v>21</v>
      </c>
      <c r="B3793" s="21" t="s">
        <v>373</v>
      </c>
      <c r="C3793" s="22">
        <v>3000</v>
      </c>
      <c r="D3793" s="23">
        <v>0</v>
      </c>
      <c r="E3793" s="24">
        <v>0</v>
      </c>
    </row>
    <row r="3794" spans="1:5" x14ac:dyDescent="0.3">
      <c r="A3794" s="20" t="s">
        <v>21</v>
      </c>
      <c r="B3794" s="21" t="s">
        <v>374</v>
      </c>
      <c r="C3794" s="22">
        <v>6000</v>
      </c>
      <c r="D3794" s="23">
        <v>0</v>
      </c>
      <c r="E3794" s="24">
        <v>0</v>
      </c>
    </row>
    <row r="3795" spans="1:5" x14ac:dyDescent="0.3">
      <c r="A3795" s="20" t="s">
        <v>21</v>
      </c>
      <c r="B3795" s="21" t="s">
        <v>375</v>
      </c>
      <c r="C3795" s="22">
        <v>6000</v>
      </c>
      <c r="D3795" s="23">
        <v>0</v>
      </c>
      <c r="E3795" s="24">
        <v>0</v>
      </c>
    </row>
    <row r="3796" spans="1:5" x14ac:dyDescent="0.3">
      <c r="A3796" s="20" t="s">
        <v>21</v>
      </c>
      <c r="B3796" s="21" t="s">
        <v>376</v>
      </c>
      <c r="C3796" s="22">
        <v>6000</v>
      </c>
      <c r="D3796" s="23">
        <v>0</v>
      </c>
      <c r="E3796" s="24">
        <v>0</v>
      </c>
    </row>
    <row r="3797" spans="1:5" x14ac:dyDescent="0.3">
      <c r="A3797" s="20" t="s">
        <v>21</v>
      </c>
      <c r="B3797" s="21" t="s">
        <v>377</v>
      </c>
      <c r="C3797" s="22">
        <v>3000</v>
      </c>
      <c r="D3797" s="23">
        <v>0</v>
      </c>
      <c r="E3797" s="24">
        <v>0</v>
      </c>
    </row>
    <row r="3798" spans="1:5" x14ac:dyDescent="0.3">
      <c r="A3798" s="16" t="s">
        <v>85</v>
      </c>
      <c r="B3798" s="16" t="s">
        <v>366</v>
      </c>
      <c r="C3798" s="17">
        <v>16500</v>
      </c>
      <c r="D3798" s="18">
        <v>12000</v>
      </c>
      <c r="E3798" s="19">
        <v>0</v>
      </c>
    </row>
    <row r="3799" spans="1:5" x14ac:dyDescent="0.3">
      <c r="A3799" s="20" t="s">
        <v>85</v>
      </c>
      <c r="B3799" s="21" t="s">
        <v>367</v>
      </c>
      <c r="C3799" s="22">
        <v>16500</v>
      </c>
      <c r="D3799" s="23">
        <v>12000</v>
      </c>
      <c r="E3799" s="24">
        <v>0</v>
      </c>
    </row>
    <row r="3800" spans="1:5" x14ac:dyDescent="0.3">
      <c r="A3800" s="20" t="s">
        <v>85</v>
      </c>
      <c r="B3800" s="21" t="s">
        <v>368</v>
      </c>
      <c r="C3800" s="22">
        <v>16500</v>
      </c>
      <c r="D3800" s="23">
        <v>12000</v>
      </c>
      <c r="E3800" s="24">
        <v>0</v>
      </c>
    </row>
    <row r="3801" spans="1:5" x14ac:dyDescent="0.3">
      <c r="A3801" s="20" t="s">
        <v>85</v>
      </c>
      <c r="B3801" s="21" t="s">
        <v>369</v>
      </c>
      <c r="C3801" s="22">
        <v>16500</v>
      </c>
      <c r="D3801" s="23">
        <v>12000</v>
      </c>
      <c r="E3801" s="24">
        <v>0</v>
      </c>
    </row>
    <row r="3802" spans="1:5" x14ac:dyDescent="0.3">
      <c r="A3802" s="20" t="s">
        <v>85</v>
      </c>
      <c r="B3802" s="21" t="s">
        <v>370</v>
      </c>
      <c r="C3802" s="22">
        <v>16500</v>
      </c>
      <c r="D3802" s="23">
        <v>0</v>
      </c>
      <c r="E3802" s="24">
        <v>0</v>
      </c>
    </row>
    <row r="3803" spans="1:5" x14ac:dyDescent="0.3">
      <c r="A3803" s="20" t="s">
        <v>85</v>
      </c>
      <c r="B3803" s="21" t="s">
        <v>371</v>
      </c>
      <c r="C3803" s="22">
        <v>16500</v>
      </c>
      <c r="D3803" s="23">
        <v>12000</v>
      </c>
      <c r="E3803" s="24">
        <v>0</v>
      </c>
    </row>
    <row r="3804" spans="1:5" x14ac:dyDescent="0.3">
      <c r="A3804" s="20" t="s">
        <v>85</v>
      </c>
      <c r="B3804" s="21" t="s">
        <v>372</v>
      </c>
      <c r="C3804" s="22">
        <v>16500</v>
      </c>
      <c r="D3804" s="23">
        <v>0</v>
      </c>
      <c r="E3804" s="24">
        <v>0</v>
      </c>
    </row>
    <row r="3805" spans="1:5" x14ac:dyDescent="0.3">
      <c r="A3805" s="20" t="s">
        <v>85</v>
      </c>
      <c r="B3805" s="21" t="s">
        <v>373</v>
      </c>
      <c r="C3805" s="22">
        <v>7500</v>
      </c>
      <c r="D3805" s="23">
        <v>12000</v>
      </c>
      <c r="E3805" s="24">
        <v>0</v>
      </c>
    </row>
    <row r="3806" spans="1:5" x14ac:dyDescent="0.3">
      <c r="A3806" s="20" t="s">
        <v>85</v>
      </c>
      <c r="B3806" s="21" t="s">
        <v>374</v>
      </c>
      <c r="C3806" s="22">
        <v>16500</v>
      </c>
      <c r="D3806" s="23">
        <v>0</v>
      </c>
      <c r="E3806" s="24">
        <v>0</v>
      </c>
    </row>
    <row r="3807" spans="1:5" x14ac:dyDescent="0.3">
      <c r="A3807" s="20" t="s">
        <v>85</v>
      </c>
      <c r="B3807" s="21" t="s">
        <v>375</v>
      </c>
      <c r="C3807" s="22">
        <v>16500</v>
      </c>
      <c r="D3807" s="23">
        <v>12000</v>
      </c>
      <c r="E3807" s="24">
        <v>0</v>
      </c>
    </row>
    <row r="3808" spans="1:5" x14ac:dyDescent="0.3">
      <c r="A3808" s="20" t="s">
        <v>85</v>
      </c>
      <c r="B3808" s="21" t="s">
        <v>376</v>
      </c>
      <c r="C3808" s="22">
        <v>16500</v>
      </c>
      <c r="D3808" s="23">
        <v>12000</v>
      </c>
      <c r="E3808" s="24">
        <v>0</v>
      </c>
    </row>
    <row r="3809" spans="1:5" x14ac:dyDescent="0.3">
      <c r="A3809" s="20" t="s">
        <v>85</v>
      </c>
      <c r="B3809" s="21" t="s">
        <v>377</v>
      </c>
      <c r="C3809" s="22">
        <v>7500</v>
      </c>
      <c r="D3809" s="23">
        <v>0</v>
      </c>
      <c r="E3809" s="24">
        <v>0</v>
      </c>
    </row>
    <row r="3810" spans="1:5" x14ac:dyDescent="0.3">
      <c r="A3810" s="16" t="s">
        <v>123</v>
      </c>
      <c r="B3810" s="16" t="s">
        <v>366</v>
      </c>
      <c r="C3810" s="17">
        <v>0</v>
      </c>
      <c r="D3810" s="18">
        <v>0</v>
      </c>
      <c r="E3810" s="19">
        <v>0</v>
      </c>
    </row>
    <row r="3811" spans="1:5" x14ac:dyDescent="0.3">
      <c r="A3811" s="20" t="s">
        <v>123</v>
      </c>
      <c r="B3811" s="21" t="s">
        <v>368</v>
      </c>
      <c r="C3811" s="22">
        <v>0</v>
      </c>
      <c r="D3811" s="23">
        <v>0</v>
      </c>
      <c r="E3811" s="24">
        <v>0</v>
      </c>
    </row>
    <row r="3812" spans="1:5" x14ac:dyDescent="0.3">
      <c r="A3812" s="20" t="s">
        <v>123</v>
      </c>
      <c r="B3812" s="21" t="s">
        <v>369</v>
      </c>
      <c r="C3812" s="22">
        <v>0</v>
      </c>
      <c r="D3812" s="23">
        <v>0</v>
      </c>
      <c r="E3812" s="24">
        <v>0</v>
      </c>
    </row>
    <row r="3813" spans="1:5" x14ac:dyDescent="0.3">
      <c r="A3813" s="20" t="s">
        <v>123</v>
      </c>
      <c r="B3813" s="21" t="s">
        <v>370</v>
      </c>
      <c r="C3813" s="22">
        <v>0</v>
      </c>
      <c r="D3813" s="23">
        <v>0</v>
      </c>
      <c r="E3813" s="24">
        <v>0</v>
      </c>
    </row>
    <row r="3814" spans="1:5" x14ac:dyDescent="0.3">
      <c r="A3814" s="16" t="s">
        <v>124</v>
      </c>
      <c r="B3814" s="16" t="s">
        <v>366</v>
      </c>
      <c r="C3814" s="17">
        <v>0</v>
      </c>
      <c r="D3814" s="18">
        <v>0</v>
      </c>
      <c r="E3814" s="19">
        <v>0</v>
      </c>
    </row>
    <row r="3815" spans="1:5" x14ac:dyDescent="0.3">
      <c r="A3815" s="20" t="s">
        <v>124</v>
      </c>
      <c r="B3815" s="21" t="s">
        <v>368</v>
      </c>
      <c r="C3815" s="22">
        <v>0</v>
      </c>
      <c r="D3815" s="23">
        <v>0</v>
      </c>
      <c r="E3815" s="24">
        <v>0</v>
      </c>
    </row>
    <row r="3816" spans="1:5" x14ac:dyDescent="0.3">
      <c r="A3816" s="20" t="s">
        <v>124</v>
      </c>
      <c r="B3816" s="21" t="s">
        <v>369</v>
      </c>
      <c r="C3816" s="22">
        <v>0</v>
      </c>
      <c r="D3816" s="23">
        <v>0</v>
      </c>
      <c r="E3816" s="24">
        <v>0</v>
      </c>
    </row>
    <row r="3817" spans="1:5" x14ac:dyDescent="0.3">
      <c r="A3817" s="20" t="s">
        <v>124</v>
      </c>
      <c r="B3817" s="21" t="s">
        <v>370</v>
      </c>
      <c r="C3817" s="22">
        <v>0</v>
      </c>
      <c r="D3817" s="23">
        <v>0</v>
      </c>
      <c r="E3817" s="24">
        <v>0</v>
      </c>
    </row>
    <row r="3818" spans="1:5" x14ac:dyDescent="0.3">
      <c r="A3818" s="16" t="s">
        <v>244</v>
      </c>
      <c r="B3818" s="16" t="s">
        <v>366</v>
      </c>
      <c r="C3818" s="17">
        <v>13000</v>
      </c>
      <c r="D3818" s="18">
        <v>13000</v>
      </c>
      <c r="E3818" s="19">
        <v>0</v>
      </c>
    </row>
    <row r="3819" spans="1:5" x14ac:dyDescent="0.3">
      <c r="A3819" s="20" t="s">
        <v>244</v>
      </c>
      <c r="B3819" s="21" t="s">
        <v>367</v>
      </c>
      <c r="C3819" s="22">
        <v>13000</v>
      </c>
      <c r="D3819" s="23">
        <v>0</v>
      </c>
      <c r="E3819" s="24">
        <v>0</v>
      </c>
    </row>
    <row r="3820" spans="1:5" x14ac:dyDescent="0.3">
      <c r="A3820" s="20" t="s">
        <v>244</v>
      </c>
      <c r="B3820" s="21" t="s">
        <v>368</v>
      </c>
      <c r="C3820" s="22">
        <v>13000</v>
      </c>
      <c r="D3820" s="23">
        <v>13000</v>
      </c>
      <c r="E3820" s="24">
        <v>0</v>
      </c>
    </row>
    <row r="3821" spans="1:5" x14ac:dyDescent="0.3">
      <c r="A3821" s="20" t="s">
        <v>244</v>
      </c>
      <c r="B3821" s="21" t="s">
        <v>369</v>
      </c>
      <c r="C3821" s="22">
        <v>13000</v>
      </c>
      <c r="D3821" s="23">
        <v>13000</v>
      </c>
      <c r="E3821" s="24">
        <v>0</v>
      </c>
    </row>
    <row r="3822" spans="1:5" x14ac:dyDescent="0.3">
      <c r="A3822" s="20" t="s">
        <v>244</v>
      </c>
      <c r="B3822" s="21" t="s">
        <v>370</v>
      </c>
      <c r="C3822" s="22">
        <v>13000</v>
      </c>
      <c r="D3822" s="23">
        <v>13000</v>
      </c>
      <c r="E3822" s="24">
        <v>0</v>
      </c>
    </row>
    <row r="3823" spans="1:5" x14ac:dyDescent="0.3">
      <c r="A3823" s="20" t="s">
        <v>244</v>
      </c>
      <c r="B3823" s="21" t="s">
        <v>371</v>
      </c>
      <c r="C3823" s="22">
        <v>13000</v>
      </c>
      <c r="D3823" s="23">
        <v>0</v>
      </c>
      <c r="E3823" s="24">
        <v>0</v>
      </c>
    </row>
    <row r="3824" spans="1:5" x14ac:dyDescent="0.3">
      <c r="A3824" s="20" t="s">
        <v>244</v>
      </c>
      <c r="B3824" s="21" t="s">
        <v>372</v>
      </c>
      <c r="C3824" s="22">
        <v>0</v>
      </c>
      <c r="D3824" s="23">
        <v>0</v>
      </c>
      <c r="E3824" s="24">
        <v>0</v>
      </c>
    </row>
    <row r="3825" spans="1:5" x14ac:dyDescent="0.3">
      <c r="A3825" s="20" t="s">
        <v>244</v>
      </c>
      <c r="B3825" s="21" t="s">
        <v>374</v>
      </c>
      <c r="C3825" s="22">
        <v>0</v>
      </c>
      <c r="D3825" s="23">
        <v>0</v>
      </c>
      <c r="E3825" s="24">
        <v>0</v>
      </c>
    </row>
    <row r="3826" spans="1:5" x14ac:dyDescent="0.3">
      <c r="A3826" s="20" t="s">
        <v>244</v>
      </c>
      <c r="B3826" s="21" t="s">
        <v>375</v>
      </c>
      <c r="C3826" s="22">
        <v>0</v>
      </c>
      <c r="D3826" s="23">
        <v>0</v>
      </c>
      <c r="E3826" s="24">
        <v>0</v>
      </c>
    </row>
    <row r="3827" spans="1:5" x14ac:dyDescent="0.3">
      <c r="A3827" s="16" t="s">
        <v>461</v>
      </c>
      <c r="B3827" s="16" t="s">
        <v>367</v>
      </c>
      <c r="C3827" s="17">
        <v>0</v>
      </c>
      <c r="D3827" s="18">
        <v>0</v>
      </c>
      <c r="E3827" s="19">
        <v>0</v>
      </c>
    </row>
    <row r="3828" spans="1:5" x14ac:dyDescent="0.3">
      <c r="A3828" s="20" t="s">
        <v>461</v>
      </c>
      <c r="B3828" s="21" t="s">
        <v>368</v>
      </c>
      <c r="C3828" s="22">
        <v>0</v>
      </c>
      <c r="D3828" s="23">
        <v>0</v>
      </c>
      <c r="E3828" s="24">
        <v>0</v>
      </c>
    </row>
    <row r="3829" spans="1:5" x14ac:dyDescent="0.3">
      <c r="A3829" s="20" t="s">
        <v>461</v>
      </c>
      <c r="B3829" s="21" t="s">
        <v>369</v>
      </c>
      <c r="C3829" s="22">
        <v>50000</v>
      </c>
      <c r="D3829" s="23">
        <v>0</v>
      </c>
      <c r="E3829" s="24">
        <v>0</v>
      </c>
    </row>
    <row r="3830" spans="1:5" x14ac:dyDescent="0.3">
      <c r="A3830" s="20" t="s">
        <v>461</v>
      </c>
      <c r="B3830" s="21" t="s">
        <v>374</v>
      </c>
      <c r="C3830" s="22">
        <v>50000</v>
      </c>
      <c r="D3830" s="23">
        <v>0</v>
      </c>
      <c r="E3830" s="24">
        <v>0</v>
      </c>
    </row>
    <row r="3831" spans="1:5" x14ac:dyDescent="0.3">
      <c r="A3831" s="16" t="s">
        <v>462</v>
      </c>
      <c r="B3831" s="16" t="s">
        <v>375</v>
      </c>
      <c r="C3831" s="17">
        <v>0</v>
      </c>
      <c r="D3831" s="18">
        <v>0</v>
      </c>
      <c r="E3831" s="19">
        <v>0</v>
      </c>
    </row>
    <row r="3832" spans="1:5" x14ac:dyDescent="0.3">
      <c r="A3832" s="16" t="s">
        <v>166</v>
      </c>
      <c r="B3832" s="16" t="s">
        <v>367</v>
      </c>
      <c r="C3832" s="17">
        <v>0</v>
      </c>
      <c r="D3832" s="18">
        <v>0</v>
      </c>
      <c r="E3832" s="19">
        <v>0</v>
      </c>
    </row>
    <row r="3833" spans="1:5" x14ac:dyDescent="0.3">
      <c r="A3833" s="20" t="s">
        <v>166</v>
      </c>
      <c r="B3833" s="21" t="s">
        <v>368</v>
      </c>
      <c r="C3833" s="22">
        <v>40000</v>
      </c>
      <c r="D3833" s="23">
        <v>40000</v>
      </c>
      <c r="E3833" s="24">
        <v>0</v>
      </c>
    </row>
    <row r="3834" spans="1:5" x14ac:dyDescent="0.3">
      <c r="A3834" s="16" t="s">
        <v>256</v>
      </c>
      <c r="B3834" s="16" t="s">
        <v>366</v>
      </c>
      <c r="C3834" s="17">
        <v>43200</v>
      </c>
      <c r="D3834" s="18">
        <v>72000</v>
      </c>
      <c r="E3834" s="19">
        <v>0</v>
      </c>
    </row>
    <row r="3835" spans="1:5" x14ac:dyDescent="0.3">
      <c r="A3835" s="20" t="s">
        <v>256</v>
      </c>
      <c r="B3835" s="21" t="s">
        <v>367</v>
      </c>
      <c r="C3835" s="22">
        <v>28800</v>
      </c>
      <c r="D3835" s="23">
        <v>57600</v>
      </c>
      <c r="E3835" s="24">
        <v>0</v>
      </c>
    </row>
    <row r="3836" spans="1:5" x14ac:dyDescent="0.3">
      <c r="A3836" s="20" t="s">
        <v>256</v>
      </c>
      <c r="B3836" s="21" t="s">
        <v>368</v>
      </c>
      <c r="C3836" s="22">
        <v>43200</v>
      </c>
      <c r="D3836" s="23">
        <v>28800</v>
      </c>
      <c r="E3836" s="24">
        <v>0</v>
      </c>
    </row>
    <row r="3837" spans="1:5" x14ac:dyDescent="0.3">
      <c r="A3837" s="20" t="s">
        <v>256</v>
      </c>
      <c r="B3837" s="21" t="s">
        <v>369</v>
      </c>
      <c r="C3837" s="22">
        <v>28800</v>
      </c>
      <c r="D3837" s="23">
        <v>57600</v>
      </c>
      <c r="E3837" s="24">
        <v>0</v>
      </c>
    </row>
    <row r="3838" spans="1:5" x14ac:dyDescent="0.3">
      <c r="A3838" s="20" t="s">
        <v>256</v>
      </c>
      <c r="B3838" s="21" t="s">
        <v>370</v>
      </c>
      <c r="C3838" s="22">
        <v>43200</v>
      </c>
      <c r="D3838" s="23">
        <v>57600</v>
      </c>
      <c r="E3838" s="24">
        <v>0</v>
      </c>
    </row>
    <row r="3839" spans="1:5" x14ac:dyDescent="0.3">
      <c r="A3839" s="20" t="s">
        <v>256</v>
      </c>
      <c r="B3839" s="21" t="s">
        <v>371</v>
      </c>
      <c r="C3839" s="22">
        <v>43200</v>
      </c>
      <c r="D3839" s="23">
        <v>43200</v>
      </c>
      <c r="E3839" s="24">
        <v>0</v>
      </c>
    </row>
    <row r="3840" spans="1:5" x14ac:dyDescent="0.3">
      <c r="A3840" s="20" t="s">
        <v>256</v>
      </c>
      <c r="B3840" s="21" t="s">
        <v>372</v>
      </c>
      <c r="C3840" s="22">
        <v>14400</v>
      </c>
      <c r="D3840" s="23">
        <v>14400</v>
      </c>
      <c r="E3840" s="24">
        <v>0</v>
      </c>
    </row>
    <row r="3841" spans="1:5" x14ac:dyDescent="0.3">
      <c r="A3841" s="20" t="s">
        <v>256</v>
      </c>
      <c r="B3841" s="21" t="s">
        <v>373</v>
      </c>
      <c r="C3841" s="22">
        <v>28800</v>
      </c>
      <c r="D3841" s="23">
        <v>57600</v>
      </c>
      <c r="E3841" s="24">
        <v>0</v>
      </c>
    </row>
    <row r="3842" spans="1:5" x14ac:dyDescent="0.3">
      <c r="A3842" s="20" t="s">
        <v>256</v>
      </c>
      <c r="B3842" s="21" t="s">
        <v>374</v>
      </c>
      <c r="C3842" s="22">
        <v>43200</v>
      </c>
      <c r="D3842" s="23">
        <v>28800</v>
      </c>
      <c r="E3842" s="24">
        <v>0</v>
      </c>
    </row>
    <row r="3843" spans="1:5" x14ac:dyDescent="0.3">
      <c r="A3843" s="20" t="s">
        <v>256</v>
      </c>
      <c r="B3843" s="21" t="s">
        <v>375</v>
      </c>
      <c r="C3843" s="22">
        <v>28800</v>
      </c>
      <c r="D3843" s="23">
        <v>0</v>
      </c>
      <c r="E3843" s="24">
        <v>0</v>
      </c>
    </row>
    <row r="3844" spans="1:5" x14ac:dyDescent="0.3">
      <c r="A3844" s="20" t="s">
        <v>256</v>
      </c>
      <c r="B3844" s="21" t="s">
        <v>376</v>
      </c>
      <c r="C3844" s="22">
        <v>43200</v>
      </c>
      <c r="D3844" s="23">
        <v>0</v>
      </c>
      <c r="E3844" s="24">
        <v>0</v>
      </c>
    </row>
    <row r="3845" spans="1:5" x14ac:dyDescent="0.3">
      <c r="A3845" s="20" t="s">
        <v>256</v>
      </c>
      <c r="B3845" s="21" t="s">
        <v>377</v>
      </c>
      <c r="C3845" s="22">
        <v>14400</v>
      </c>
      <c r="D3845" s="23">
        <v>0</v>
      </c>
      <c r="E3845" s="24">
        <v>0</v>
      </c>
    </row>
    <row r="3846" spans="1:5" x14ac:dyDescent="0.3">
      <c r="A3846" s="16" t="s">
        <v>256</v>
      </c>
      <c r="B3846" s="16" t="s">
        <v>372</v>
      </c>
      <c r="C3846" s="17">
        <v>0</v>
      </c>
      <c r="D3846" s="18">
        <v>0</v>
      </c>
      <c r="E3846" s="19">
        <v>0</v>
      </c>
    </row>
    <row r="3847" spans="1:5" x14ac:dyDescent="0.3">
      <c r="A3847" s="16" t="s">
        <v>22</v>
      </c>
      <c r="B3847" s="16" t="s">
        <v>367</v>
      </c>
      <c r="C3847" s="17">
        <v>0</v>
      </c>
      <c r="D3847" s="18">
        <v>0</v>
      </c>
      <c r="E3847" s="19">
        <v>0</v>
      </c>
    </row>
    <row r="3848" spans="1:5" x14ac:dyDescent="0.3">
      <c r="A3848" s="20" t="s">
        <v>22</v>
      </c>
      <c r="B3848" s="21" t="s">
        <v>370</v>
      </c>
      <c r="C3848" s="22">
        <v>0</v>
      </c>
      <c r="D3848" s="23">
        <v>40000</v>
      </c>
      <c r="E3848" s="24">
        <v>0</v>
      </c>
    </row>
    <row r="3849" spans="1:5" x14ac:dyDescent="0.3">
      <c r="A3849" s="16" t="s">
        <v>153</v>
      </c>
      <c r="B3849" s="16" t="s">
        <v>366</v>
      </c>
      <c r="C3849" s="17">
        <v>0</v>
      </c>
      <c r="D3849" s="18">
        <v>0</v>
      </c>
      <c r="E3849" s="19">
        <v>0</v>
      </c>
    </row>
    <row r="3850" spans="1:5" x14ac:dyDescent="0.3">
      <c r="A3850" s="16" t="s">
        <v>154</v>
      </c>
      <c r="B3850" s="16" t="s">
        <v>366</v>
      </c>
      <c r="C3850" s="17">
        <v>120000</v>
      </c>
      <c r="D3850" s="18">
        <v>120000</v>
      </c>
      <c r="E3850" s="19">
        <v>0</v>
      </c>
    </row>
    <row r="3851" spans="1:5" x14ac:dyDescent="0.3">
      <c r="A3851" s="20" t="s">
        <v>154</v>
      </c>
      <c r="B3851" s="21" t="s">
        <v>367</v>
      </c>
      <c r="C3851" s="22">
        <v>120000</v>
      </c>
      <c r="D3851" s="23">
        <v>120000</v>
      </c>
      <c r="E3851" s="24">
        <v>0</v>
      </c>
    </row>
    <row r="3852" spans="1:5" x14ac:dyDescent="0.3">
      <c r="A3852" s="20" t="s">
        <v>154</v>
      </c>
      <c r="B3852" s="21" t="s">
        <v>368</v>
      </c>
      <c r="C3852" s="22">
        <v>120000</v>
      </c>
      <c r="D3852" s="23">
        <v>120000</v>
      </c>
      <c r="E3852" s="24">
        <v>0</v>
      </c>
    </row>
    <row r="3853" spans="1:5" x14ac:dyDescent="0.3">
      <c r="A3853" s="20" t="s">
        <v>154</v>
      </c>
      <c r="B3853" s="21" t="s">
        <v>369</v>
      </c>
      <c r="C3853" s="22">
        <v>0</v>
      </c>
      <c r="D3853" s="23">
        <v>120000</v>
      </c>
      <c r="E3853" s="24">
        <v>0</v>
      </c>
    </row>
    <row r="3854" spans="1:5" x14ac:dyDescent="0.3">
      <c r="A3854" s="20" t="s">
        <v>154</v>
      </c>
      <c r="B3854" s="21" t="s">
        <v>370</v>
      </c>
      <c r="C3854" s="22">
        <v>120000</v>
      </c>
      <c r="D3854" s="23">
        <v>120000</v>
      </c>
      <c r="E3854" s="24">
        <v>0</v>
      </c>
    </row>
    <row r="3855" spans="1:5" x14ac:dyDescent="0.3">
      <c r="A3855" s="20" t="s">
        <v>154</v>
      </c>
      <c r="B3855" s="21" t="s">
        <v>371</v>
      </c>
      <c r="C3855" s="22">
        <v>120000</v>
      </c>
      <c r="D3855" s="23">
        <v>120000</v>
      </c>
      <c r="E3855" s="24">
        <v>0</v>
      </c>
    </row>
    <row r="3856" spans="1:5" x14ac:dyDescent="0.3">
      <c r="A3856" s="20" t="s">
        <v>154</v>
      </c>
      <c r="B3856" s="21" t="s">
        <v>372</v>
      </c>
      <c r="C3856" s="22">
        <v>0</v>
      </c>
      <c r="D3856" s="23">
        <v>120000</v>
      </c>
      <c r="E3856" s="24">
        <v>0</v>
      </c>
    </row>
    <row r="3857" spans="1:5" x14ac:dyDescent="0.3">
      <c r="A3857" s="20" t="s">
        <v>154</v>
      </c>
      <c r="B3857" s="21" t="s">
        <v>374</v>
      </c>
      <c r="C3857" s="22">
        <v>120000</v>
      </c>
      <c r="D3857" s="23">
        <v>0</v>
      </c>
      <c r="E3857" s="24">
        <v>0</v>
      </c>
    </row>
    <row r="3858" spans="1:5" x14ac:dyDescent="0.3">
      <c r="A3858" s="20" t="s">
        <v>154</v>
      </c>
      <c r="B3858" s="21" t="s">
        <v>375</v>
      </c>
      <c r="C3858" s="22">
        <v>0</v>
      </c>
      <c r="D3858" s="23">
        <v>0</v>
      </c>
      <c r="E3858" s="24">
        <v>0</v>
      </c>
    </row>
    <row r="3859" spans="1:5" x14ac:dyDescent="0.3">
      <c r="A3859" s="20" t="s">
        <v>154</v>
      </c>
      <c r="B3859" s="21" t="s">
        <v>376</v>
      </c>
      <c r="C3859" s="22">
        <v>120000</v>
      </c>
      <c r="D3859" s="23">
        <v>0</v>
      </c>
      <c r="E3859" s="24">
        <v>0</v>
      </c>
    </row>
    <row r="3860" spans="1:5" x14ac:dyDescent="0.3">
      <c r="A3860" s="16" t="s">
        <v>155</v>
      </c>
      <c r="B3860" s="16" t="s">
        <v>367</v>
      </c>
      <c r="C3860" s="17">
        <v>160000</v>
      </c>
      <c r="D3860" s="18">
        <v>160000</v>
      </c>
      <c r="E3860" s="19">
        <v>0</v>
      </c>
    </row>
    <row r="3861" spans="1:5" x14ac:dyDescent="0.3">
      <c r="A3861" s="20" t="s">
        <v>155</v>
      </c>
      <c r="B3861" s="21" t="s">
        <v>368</v>
      </c>
      <c r="C3861" s="22">
        <v>0</v>
      </c>
      <c r="D3861" s="23">
        <v>0</v>
      </c>
      <c r="E3861" s="24">
        <v>0</v>
      </c>
    </row>
    <row r="3862" spans="1:5" x14ac:dyDescent="0.3">
      <c r="A3862" s="20" t="s">
        <v>155</v>
      </c>
      <c r="B3862" s="21" t="s">
        <v>370</v>
      </c>
      <c r="C3862" s="22">
        <v>160000</v>
      </c>
      <c r="D3862" s="23">
        <v>0</v>
      </c>
      <c r="E3862" s="24">
        <v>0</v>
      </c>
    </row>
    <row r="3863" spans="1:5" x14ac:dyDescent="0.3">
      <c r="A3863" s="20" t="s">
        <v>155</v>
      </c>
      <c r="B3863" s="21" t="s">
        <v>371</v>
      </c>
      <c r="C3863" s="22">
        <v>0</v>
      </c>
      <c r="D3863" s="23">
        <v>0</v>
      </c>
      <c r="E3863" s="24">
        <v>0</v>
      </c>
    </row>
    <row r="3864" spans="1:5" x14ac:dyDescent="0.3">
      <c r="A3864" s="20" t="s">
        <v>155</v>
      </c>
      <c r="B3864" s="21" t="s">
        <v>372</v>
      </c>
      <c r="C3864" s="22">
        <v>0</v>
      </c>
      <c r="D3864" s="23">
        <v>160000</v>
      </c>
      <c r="E3864" s="24">
        <v>0</v>
      </c>
    </row>
    <row r="3865" spans="1:5" x14ac:dyDescent="0.3">
      <c r="A3865" s="20" t="s">
        <v>155</v>
      </c>
      <c r="B3865" s="21" t="s">
        <v>374</v>
      </c>
      <c r="C3865" s="22">
        <v>0</v>
      </c>
      <c r="D3865" s="23">
        <v>0</v>
      </c>
      <c r="E3865" s="24">
        <v>0</v>
      </c>
    </row>
    <row r="3866" spans="1:5" x14ac:dyDescent="0.3">
      <c r="A3866" s="20" t="s">
        <v>155</v>
      </c>
      <c r="B3866" s="21" t="s">
        <v>376</v>
      </c>
      <c r="C3866" s="22">
        <v>160000</v>
      </c>
      <c r="D3866" s="23">
        <v>0</v>
      </c>
      <c r="E3866" s="24">
        <v>0</v>
      </c>
    </row>
    <row r="3867" spans="1:5" x14ac:dyDescent="0.3">
      <c r="A3867" s="16" t="s">
        <v>156</v>
      </c>
      <c r="B3867" s="16" t="s">
        <v>366</v>
      </c>
      <c r="C3867" s="17">
        <v>0</v>
      </c>
      <c r="D3867" s="18">
        <v>0</v>
      </c>
      <c r="E3867" s="19">
        <v>0</v>
      </c>
    </row>
    <row r="3868" spans="1:5" x14ac:dyDescent="0.3">
      <c r="A3868" s="20" t="s">
        <v>156</v>
      </c>
      <c r="B3868" s="21" t="s">
        <v>367</v>
      </c>
      <c r="C3868" s="22">
        <v>60000</v>
      </c>
      <c r="D3868" s="23">
        <v>60000</v>
      </c>
      <c r="E3868" s="24">
        <v>0</v>
      </c>
    </row>
    <row r="3869" spans="1:5" x14ac:dyDescent="0.3">
      <c r="A3869" s="20" t="s">
        <v>156</v>
      </c>
      <c r="B3869" s="21" t="s">
        <v>368</v>
      </c>
      <c r="C3869" s="22">
        <v>0</v>
      </c>
      <c r="D3869" s="23">
        <v>0</v>
      </c>
      <c r="E3869" s="24">
        <v>0</v>
      </c>
    </row>
    <row r="3870" spans="1:5" x14ac:dyDescent="0.3">
      <c r="A3870" s="20" t="s">
        <v>156</v>
      </c>
      <c r="B3870" s="21" t="s">
        <v>369</v>
      </c>
      <c r="C3870" s="22">
        <v>60000</v>
      </c>
      <c r="D3870" s="23">
        <v>60000</v>
      </c>
      <c r="E3870" s="24">
        <v>0</v>
      </c>
    </row>
    <row r="3871" spans="1:5" x14ac:dyDescent="0.3">
      <c r="A3871" s="20" t="s">
        <v>156</v>
      </c>
      <c r="B3871" s="21" t="s">
        <v>370</v>
      </c>
      <c r="C3871" s="22">
        <v>0</v>
      </c>
      <c r="D3871" s="23">
        <v>0</v>
      </c>
      <c r="E3871" s="24">
        <v>0</v>
      </c>
    </row>
    <row r="3872" spans="1:5" x14ac:dyDescent="0.3">
      <c r="A3872" s="20" t="s">
        <v>156</v>
      </c>
      <c r="B3872" s="21" t="s">
        <v>371</v>
      </c>
      <c r="C3872" s="22">
        <v>60000</v>
      </c>
      <c r="D3872" s="23">
        <v>60000</v>
      </c>
      <c r="E3872" s="24">
        <v>0</v>
      </c>
    </row>
    <row r="3873" spans="1:5" x14ac:dyDescent="0.3">
      <c r="A3873" s="20" t="s">
        <v>156</v>
      </c>
      <c r="B3873" s="21" t="s">
        <v>373</v>
      </c>
      <c r="C3873" s="22">
        <v>0</v>
      </c>
      <c r="D3873" s="23">
        <v>0</v>
      </c>
      <c r="E3873" s="24">
        <v>0</v>
      </c>
    </row>
    <row r="3874" spans="1:5" x14ac:dyDescent="0.3">
      <c r="A3874" s="20" t="s">
        <v>156</v>
      </c>
      <c r="B3874" s="21" t="s">
        <v>374</v>
      </c>
      <c r="C3874" s="22">
        <v>60000</v>
      </c>
      <c r="D3874" s="23">
        <v>0</v>
      </c>
      <c r="E3874" s="24">
        <v>0</v>
      </c>
    </row>
    <row r="3875" spans="1:5" x14ac:dyDescent="0.3">
      <c r="A3875" s="20" t="s">
        <v>156</v>
      </c>
      <c r="B3875" s="21" t="s">
        <v>377</v>
      </c>
      <c r="C3875" s="22">
        <v>60000</v>
      </c>
      <c r="D3875" s="23">
        <v>0</v>
      </c>
      <c r="E3875" s="24">
        <v>0</v>
      </c>
    </row>
    <row r="3876" spans="1:5" x14ac:dyDescent="0.3">
      <c r="A3876" s="16" t="s">
        <v>157</v>
      </c>
      <c r="B3876" s="16" t="s">
        <v>366</v>
      </c>
      <c r="C3876" s="17">
        <v>60000</v>
      </c>
      <c r="D3876" s="18">
        <v>60000</v>
      </c>
      <c r="E3876" s="19">
        <v>0</v>
      </c>
    </row>
    <row r="3877" spans="1:5" x14ac:dyDescent="0.3">
      <c r="A3877" s="20" t="s">
        <v>157</v>
      </c>
      <c r="B3877" s="21" t="s">
        <v>367</v>
      </c>
      <c r="C3877" s="22">
        <v>0</v>
      </c>
      <c r="D3877" s="23">
        <v>0</v>
      </c>
      <c r="E3877" s="24">
        <v>0</v>
      </c>
    </row>
    <row r="3878" spans="1:5" x14ac:dyDescent="0.3">
      <c r="A3878" s="20" t="s">
        <v>157</v>
      </c>
      <c r="B3878" s="21" t="s">
        <v>368</v>
      </c>
      <c r="C3878" s="22">
        <v>60000</v>
      </c>
      <c r="D3878" s="23">
        <v>60000</v>
      </c>
      <c r="E3878" s="24">
        <v>0</v>
      </c>
    </row>
    <row r="3879" spans="1:5" x14ac:dyDescent="0.3">
      <c r="A3879" s="20" t="s">
        <v>157</v>
      </c>
      <c r="B3879" s="21" t="s">
        <v>369</v>
      </c>
      <c r="C3879" s="22">
        <v>60000</v>
      </c>
      <c r="D3879" s="23">
        <v>60000</v>
      </c>
      <c r="E3879" s="24">
        <v>0</v>
      </c>
    </row>
    <row r="3880" spans="1:5" x14ac:dyDescent="0.3">
      <c r="A3880" s="20" t="s">
        <v>157</v>
      </c>
      <c r="B3880" s="21" t="s">
        <v>370</v>
      </c>
      <c r="C3880" s="22">
        <v>0</v>
      </c>
      <c r="D3880" s="23">
        <v>60000</v>
      </c>
      <c r="E3880" s="24">
        <v>0</v>
      </c>
    </row>
    <row r="3881" spans="1:5" x14ac:dyDescent="0.3">
      <c r="A3881" s="20" t="s">
        <v>157</v>
      </c>
      <c r="B3881" s="21" t="s">
        <v>371</v>
      </c>
      <c r="C3881" s="22">
        <v>0</v>
      </c>
      <c r="D3881" s="23">
        <v>0</v>
      </c>
      <c r="E3881" s="24">
        <v>0</v>
      </c>
    </row>
    <row r="3882" spans="1:5" x14ac:dyDescent="0.3">
      <c r="A3882" s="20" t="s">
        <v>157</v>
      </c>
      <c r="B3882" s="21" t="s">
        <v>372</v>
      </c>
      <c r="C3882" s="22">
        <v>60000</v>
      </c>
      <c r="D3882" s="23">
        <v>0</v>
      </c>
      <c r="E3882" s="24">
        <v>0</v>
      </c>
    </row>
    <row r="3883" spans="1:5" x14ac:dyDescent="0.3">
      <c r="A3883" s="20" t="s">
        <v>157</v>
      </c>
      <c r="B3883" s="21" t="s">
        <v>373</v>
      </c>
      <c r="C3883" s="22">
        <v>60000</v>
      </c>
      <c r="D3883" s="23">
        <v>0</v>
      </c>
      <c r="E3883" s="24">
        <v>0</v>
      </c>
    </row>
    <row r="3884" spans="1:5" x14ac:dyDescent="0.3">
      <c r="A3884" s="20" t="s">
        <v>157</v>
      </c>
      <c r="B3884" s="21" t="s">
        <v>374</v>
      </c>
      <c r="C3884" s="22">
        <v>0</v>
      </c>
      <c r="D3884" s="23">
        <v>0</v>
      </c>
      <c r="E3884" s="24">
        <v>0</v>
      </c>
    </row>
    <row r="3885" spans="1:5" x14ac:dyDescent="0.3">
      <c r="A3885" s="20" t="s">
        <v>157</v>
      </c>
      <c r="B3885" s="21" t="s">
        <v>375</v>
      </c>
      <c r="C3885" s="22">
        <v>60000</v>
      </c>
      <c r="D3885" s="23">
        <v>0</v>
      </c>
      <c r="E3885" s="24">
        <v>0</v>
      </c>
    </row>
    <row r="3886" spans="1:5" x14ac:dyDescent="0.3">
      <c r="A3886" s="20" t="s">
        <v>157</v>
      </c>
      <c r="B3886" s="21" t="s">
        <v>376</v>
      </c>
      <c r="C3886" s="22">
        <v>60000</v>
      </c>
      <c r="D3886" s="23">
        <v>0</v>
      </c>
      <c r="E3886" s="24">
        <v>0</v>
      </c>
    </row>
    <row r="3887" spans="1:5" x14ac:dyDescent="0.3">
      <c r="A3887" s="16" t="s">
        <v>34</v>
      </c>
      <c r="B3887" s="16" t="s">
        <v>366</v>
      </c>
      <c r="C3887" s="17">
        <v>36000</v>
      </c>
      <c r="D3887" s="18">
        <v>36000</v>
      </c>
      <c r="E3887" s="19">
        <v>0</v>
      </c>
    </row>
    <row r="3888" spans="1:5" x14ac:dyDescent="0.3">
      <c r="A3888" s="20" t="s">
        <v>34</v>
      </c>
      <c r="B3888" s="21" t="s">
        <v>367</v>
      </c>
      <c r="C3888" s="22">
        <v>0</v>
      </c>
      <c r="D3888" s="23">
        <v>0</v>
      </c>
      <c r="E3888" s="24">
        <v>0</v>
      </c>
    </row>
    <row r="3889" spans="1:5" x14ac:dyDescent="0.3">
      <c r="A3889" s="20" t="s">
        <v>34</v>
      </c>
      <c r="B3889" s="21" t="s">
        <v>368</v>
      </c>
      <c r="C3889" s="22">
        <v>36000</v>
      </c>
      <c r="D3889" s="23">
        <v>36000</v>
      </c>
      <c r="E3889" s="24">
        <v>0</v>
      </c>
    </row>
    <row r="3890" spans="1:5" x14ac:dyDescent="0.3">
      <c r="A3890" s="20" t="s">
        <v>34</v>
      </c>
      <c r="B3890" s="21" t="s">
        <v>369</v>
      </c>
      <c r="C3890" s="22">
        <v>0</v>
      </c>
      <c r="D3890" s="23">
        <v>36000</v>
      </c>
      <c r="E3890" s="24">
        <v>0</v>
      </c>
    </row>
    <row r="3891" spans="1:5" x14ac:dyDescent="0.3">
      <c r="A3891" s="20" t="s">
        <v>34</v>
      </c>
      <c r="B3891" s="21" t="s">
        <v>370</v>
      </c>
      <c r="C3891" s="22">
        <v>36000</v>
      </c>
      <c r="D3891" s="23">
        <v>72000</v>
      </c>
      <c r="E3891" s="24">
        <v>0</v>
      </c>
    </row>
    <row r="3892" spans="1:5" x14ac:dyDescent="0.3">
      <c r="A3892" s="20" t="s">
        <v>34</v>
      </c>
      <c r="B3892" s="21" t="s">
        <v>371</v>
      </c>
      <c r="C3892" s="22">
        <v>0</v>
      </c>
      <c r="D3892" s="23">
        <v>36000</v>
      </c>
      <c r="E3892" s="24">
        <v>0</v>
      </c>
    </row>
    <row r="3893" spans="1:5" x14ac:dyDescent="0.3">
      <c r="A3893" s="20" t="s">
        <v>34</v>
      </c>
      <c r="B3893" s="21" t="s">
        <v>372</v>
      </c>
      <c r="C3893" s="22">
        <v>0</v>
      </c>
      <c r="D3893" s="23">
        <v>0</v>
      </c>
      <c r="E3893" s="24">
        <v>0</v>
      </c>
    </row>
    <row r="3894" spans="1:5" x14ac:dyDescent="0.3">
      <c r="A3894" s="20" t="s">
        <v>34</v>
      </c>
      <c r="B3894" s="21" t="s">
        <v>373</v>
      </c>
      <c r="C3894" s="22">
        <v>36000</v>
      </c>
      <c r="D3894" s="23">
        <v>0</v>
      </c>
      <c r="E3894" s="24">
        <v>0</v>
      </c>
    </row>
    <row r="3895" spans="1:5" x14ac:dyDescent="0.3">
      <c r="A3895" s="20" t="s">
        <v>34</v>
      </c>
      <c r="B3895" s="21" t="s">
        <v>374</v>
      </c>
      <c r="C3895" s="22">
        <v>36000</v>
      </c>
      <c r="D3895" s="23">
        <v>0</v>
      </c>
      <c r="E3895" s="24">
        <v>0</v>
      </c>
    </row>
    <row r="3896" spans="1:5" x14ac:dyDescent="0.3">
      <c r="A3896" s="20" t="s">
        <v>34</v>
      </c>
      <c r="B3896" s="21" t="s">
        <v>376</v>
      </c>
      <c r="C3896" s="22">
        <v>36000</v>
      </c>
      <c r="D3896" s="23">
        <v>0</v>
      </c>
      <c r="E3896" s="24">
        <v>0</v>
      </c>
    </row>
    <row r="3897" spans="1:5" x14ac:dyDescent="0.3">
      <c r="A3897" s="16" t="s">
        <v>35</v>
      </c>
      <c r="B3897" s="16" t="s">
        <v>366</v>
      </c>
      <c r="C3897" s="17">
        <v>21000</v>
      </c>
      <c r="D3897" s="18">
        <v>21000</v>
      </c>
      <c r="E3897" s="19">
        <v>0</v>
      </c>
    </row>
    <row r="3898" spans="1:5" x14ac:dyDescent="0.3">
      <c r="A3898" s="20" t="s">
        <v>35</v>
      </c>
      <c r="B3898" s="21" t="s">
        <v>367</v>
      </c>
      <c r="C3898" s="22">
        <v>21000</v>
      </c>
      <c r="D3898" s="23">
        <v>21000</v>
      </c>
      <c r="E3898" s="24">
        <v>0</v>
      </c>
    </row>
    <row r="3899" spans="1:5" x14ac:dyDescent="0.3">
      <c r="A3899" s="20" t="s">
        <v>35</v>
      </c>
      <c r="B3899" s="21" t="s">
        <v>368</v>
      </c>
      <c r="C3899" s="22">
        <v>21000</v>
      </c>
      <c r="D3899" s="23">
        <v>21000</v>
      </c>
      <c r="E3899" s="24">
        <v>0</v>
      </c>
    </row>
    <row r="3900" spans="1:5" x14ac:dyDescent="0.3">
      <c r="A3900" s="20" t="s">
        <v>35</v>
      </c>
      <c r="B3900" s="21" t="s">
        <v>369</v>
      </c>
      <c r="C3900" s="22">
        <v>21000</v>
      </c>
      <c r="D3900" s="23">
        <v>21000</v>
      </c>
      <c r="E3900" s="24">
        <v>0</v>
      </c>
    </row>
    <row r="3901" spans="1:5" x14ac:dyDescent="0.3">
      <c r="A3901" s="20" t="s">
        <v>35</v>
      </c>
      <c r="B3901" s="21" t="s">
        <v>370</v>
      </c>
      <c r="C3901" s="22">
        <v>21000</v>
      </c>
      <c r="D3901" s="23">
        <v>21000</v>
      </c>
      <c r="E3901" s="24">
        <v>0</v>
      </c>
    </row>
    <row r="3902" spans="1:5" x14ac:dyDescent="0.3">
      <c r="A3902" s="20" t="s">
        <v>35</v>
      </c>
      <c r="B3902" s="21" t="s">
        <v>371</v>
      </c>
      <c r="C3902" s="22">
        <v>21000</v>
      </c>
      <c r="D3902" s="23">
        <v>21000</v>
      </c>
      <c r="E3902" s="24">
        <v>0</v>
      </c>
    </row>
    <row r="3903" spans="1:5" x14ac:dyDescent="0.3">
      <c r="A3903" s="20" t="s">
        <v>35</v>
      </c>
      <c r="B3903" s="21" t="s">
        <v>372</v>
      </c>
      <c r="C3903" s="22">
        <v>21000</v>
      </c>
      <c r="D3903" s="23">
        <v>0</v>
      </c>
      <c r="E3903" s="24">
        <v>0</v>
      </c>
    </row>
    <row r="3904" spans="1:5" x14ac:dyDescent="0.3">
      <c r="A3904" s="20" t="s">
        <v>35</v>
      </c>
      <c r="B3904" s="21" t="s">
        <v>373</v>
      </c>
      <c r="C3904" s="22">
        <v>0</v>
      </c>
      <c r="D3904" s="23">
        <v>0</v>
      </c>
      <c r="E3904" s="24">
        <v>0</v>
      </c>
    </row>
    <row r="3905" spans="1:5" x14ac:dyDescent="0.3">
      <c r="A3905" s="20" t="s">
        <v>35</v>
      </c>
      <c r="B3905" s="21" t="s">
        <v>374</v>
      </c>
      <c r="C3905" s="22">
        <v>21000</v>
      </c>
      <c r="D3905" s="23">
        <v>0</v>
      </c>
      <c r="E3905" s="24">
        <v>0</v>
      </c>
    </row>
    <row r="3906" spans="1:5" x14ac:dyDescent="0.3">
      <c r="A3906" s="20" t="s">
        <v>35</v>
      </c>
      <c r="B3906" s="21" t="s">
        <v>375</v>
      </c>
      <c r="C3906" s="22">
        <v>21000</v>
      </c>
      <c r="D3906" s="23">
        <v>0</v>
      </c>
      <c r="E3906" s="24">
        <v>0</v>
      </c>
    </row>
    <row r="3907" spans="1:5" x14ac:dyDescent="0.3">
      <c r="A3907" s="20" t="s">
        <v>35</v>
      </c>
      <c r="B3907" s="21" t="s">
        <v>376</v>
      </c>
      <c r="C3907" s="22">
        <v>21000</v>
      </c>
      <c r="D3907" s="23">
        <v>0</v>
      </c>
      <c r="E3907" s="24">
        <v>0</v>
      </c>
    </row>
    <row r="3908" spans="1:5" x14ac:dyDescent="0.3">
      <c r="A3908" s="20" t="s">
        <v>35</v>
      </c>
      <c r="B3908" s="21" t="s">
        <v>377</v>
      </c>
      <c r="C3908" s="22">
        <v>21000</v>
      </c>
      <c r="D3908" s="23">
        <v>0</v>
      </c>
      <c r="E3908" s="24">
        <v>0</v>
      </c>
    </row>
    <row r="3909" spans="1:5" x14ac:dyDescent="0.3">
      <c r="A3909" s="16" t="s">
        <v>22</v>
      </c>
      <c r="B3909" s="16" t="s">
        <v>366</v>
      </c>
      <c r="C3909" s="17">
        <v>25000</v>
      </c>
      <c r="D3909" s="18">
        <v>0</v>
      </c>
      <c r="E3909" s="19">
        <v>0</v>
      </c>
    </row>
    <row r="3910" spans="1:5" x14ac:dyDescent="0.3">
      <c r="A3910" s="20" t="s">
        <v>22</v>
      </c>
      <c r="B3910" s="21" t="s">
        <v>367</v>
      </c>
      <c r="C3910" s="22">
        <v>45000</v>
      </c>
      <c r="D3910" s="23">
        <v>40000</v>
      </c>
      <c r="E3910" s="24">
        <v>0</v>
      </c>
    </row>
    <row r="3911" spans="1:5" x14ac:dyDescent="0.3">
      <c r="A3911" s="20" t="s">
        <v>22</v>
      </c>
      <c r="B3911" s="21" t="s">
        <v>368</v>
      </c>
      <c r="C3911" s="22">
        <v>25000</v>
      </c>
      <c r="D3911" s="23">
        <v>95000</v>
      </c>
      <c r="E3911" s="24">
        <v>0</v>
      </c>
    </row>
    <row r="3912" spans="1:5" x14ac:dyDescent="0.3">
      <c r="A3912" s="20" t="s">
        <v>22</v>
      </c>
      <c r="B3912" s="21" t="s">
        <v>369</v>
      </c>
      <c r="C3912" s="22">
        <v>45000</v>
      </c>
      <c r="D3912" s="23">
        <v>0</v>
      </c>
      <c r="E3912" s="24">
        <v>0</v>
      </c>
    </row>
    <row r="3913" spans="1:5" x14ac:dyDescent="0.3">
      <c r="A3913" s="20" t="s">
        <v>22</v>
      </c>
      <c r="B3913" s="21" t="s">
        <v>370</v>
      </c>
      <c r="C3913" s="22">
        <v>25000</v>
      </c>
      <c r="D3913" s="23">
        <v>45000</v>
      </c>
      <c r="E3913" s="24">
        <v>0</v>
      </c>
    </row>
    <row r="3914" spans="1:5" x14ac:dyDescent="0.3">
      <c r="A3914" s="20" t="s">
        <v>22</v>
      </c>
      <c r="B3914" s="21" t="s">
        <v>371</v>
      </c>
      <c r="C3914" s="22">
        <v>25000</v>
      </c>
      <c r="D3914" s="23">
        <v>15000</v>
      </c>
      <c r="E3914" s="24">
        <v>0</v>
      </c>
    </row>
    <row r="3915" spans="1:5" x14ac:dyDescent="0.3">
      <c r="A3915" s="20" t="s">
        <v>22</v>
      </c>
      <c r="B3915" s="21" t="s">
        <v>372</v>
      </c>
      <c r="C3915" s="22">
        <v>0</v>
      </c>
      <c r="D3915" s="23">
        <v>0</v>
      </c>
      <c r="E3915" s="24">
        <v>0</v>
      </c>
    </row>
    <row r="3916" spans="1:5" x14ac:dyDescent="0.3">
      <c r="A3916" s="20" t="s">
        <v>22</v>
      </c>
      <c r="B3916" s="21" t="s">
        <v>373</v>
      </c>
      <c r="C3916" s="22">
        <v>45000</v>
      </c>
      <c r="D3916" s="23">
        <v>0</v>
      </c>
      <c r="E3916" s="24">
        <v>0</v>
      </c>
    </row>
    <row r="3917" spans="1:5" x14ac:dyDescent="0.3">
      <c r="A3917" s="20" t="s">
        <v>22</v>
      </c>
      <c r="B3917" s="21" t="s">
        <v>374</v>
      </c>
      <c r="C3917" s="22">
        <v>25000</v>
      </c>
      <c r="D3917" s="23">
        <v>0</v>
      </c>
      <c r="E3917" s="24">
        <v>0</v>
      </c>
    </row>
    <row r="3918" spans="1:5" x14ac:dyDescent="0.3">
      <c r="A3918" s="20" t="s">
        <v>22</v>
      </c>
      <c r="B3918" s="21" t="s">
        <v>375</v>
      </c>
      <c r="C3918" s="22">
        <v>45000</v>
      </c>
      <c r="D3918" s="23">
        <v>0</v>
      </c>
      <c r="E3918" s="24">
        <v>0</v>
      </c>
    </row>
    <row r="3919" spans="1:5" x14ac:dyDescent="0.3">
      <c r="A3919" s="20" t="s">
        <v>22</v>
      </c>
      <c r="B3919" s="21" t="s">
        <v>376</v>
      </c>
      <c r="C3919" s="22">
        <v>25000</v>
      </c>
      <c r="D3919" s="23">
        <v>0</v>
      </c>
      <c r="E3919" s="24">
        <v>0</v>
      </c>
    </row>
    <row r="3920" spans="1:5" x14ac:dyDescent="0.3">
      <c r="A3920" s="20" t="s">
        <v>22</v>
      </c>
      <c r="B3920" s="21" t="s">
        <v>377</v>
      </c>
      <c r="C3920" s="22">
        <v>45000</v>
      </c>
      <c r="D3920" s="23">
        <v>0</v>
      </c>
      <c r="E3920" s="24">
        <v>0</v>
      </c>
    </row>
    <row r="3921" spans="1:5" x14ac:dyDescent="0.3">
      <c r="A3921" s="16" t="s">
        <v>154</v>
      </c>
      <c r="B3921" s="16" t="s">
        <v>366</v>
      </c>
      <c r="C3921" s="17">
        <v>120000</v>
      </c>
      <c r="D3921" s="18">
        <v>0</v>
      </c>
      <c r="E3921" s="19">
        <v>0</v>
      </c>
    </row>
    <row r="3922" spans="1:5" x14ac:dyDescent="0.3">
      <c r="A3922" s="20" t="s">
        <v>154</v>
      </c>
      <c r="B3922" s="21" t="s">
        <v>367</v>
      </c>
      <c r="C3922" s="22">
        <v>0</v>
      </c>
      <c r="D3922" s="23">
        <v>120000</v>
      </c>
      <c r="E3922" s="24">
        <v>0</v>
      </c>
    </row>
    <row r="3923" spans="1:5" x14ac:dyDescent="0.3">
      <c r="A3923" s="20" t="s">
        <v>154</v>
      </c>
      <c r="B3923" s="21" t="s">
        <v>368</v>
      </c>
      <c r="C3923" s="22">
        <v>120000</v>
      </c>
      <c r="D3923" s="23">
        <v>120000</v>
      </c>
      <c r="E3923" s="24">
        <v>0</v>
      </c>
    </row>
    <row r="3924" spans="1:5" x14ac:dyDescent="0.3">
      <c r="A3924" s="20" t="s">
        <v>154</v>
      </c>
      <c r="B3924" s="21" t="s">
        <v>369</v>
      </c>
      <c r="C3924" s="22">
        <v>120000</v>
      </c>
      <c r="D3924" s="23">
        <v>0</v>
      </c>
      <c r="E3924" s="24">
        <v>0</v>
      </c>
    </row>
    <row r="3925" spans="1:5" x14ac:dyDescent="0.3">
      <c r="A3925" s="20" t="s">
        <v>154</v>
      </c>
      <c r="B3925" s="21" t="s">
        <v>370</v>
      </c>
      <c r="C3925" s="22">
        <v>0</v>
      </c>
      <c r="D3925" s="23">
        <v>120000</v>
      </c>
      <c r="E3925" s="24">
        <v>0</v>
      </c>
    </row>
    <row r="3926" spans="1:5" x14ac:dyDescent="0.3">
      <c r="A3926" s="20" t="s">
        <v>154</v>
      </c>
      <c r="B3926" s="21" t="s">
        <v>371</v>
      </c>
      <c r="C3926" s="22">
        <v>120000</v>
      </c>
      <c r="D3926" s="23">
        <v>0</v>
      </c>
      <c r="E3926" s="24">
        <v>0</v>
      </c>
    </row>
    <row r="3927" spans="1:5" x14ac:dyDescent="0.3">
      <c r="A3927" s="20" t="s">
        <v>154</v>
      </c>
      <c r="B3927" s="21" t="s">
        <v>372</v>
      </c>
      <c r="C3927" s="22">
        <v>0</v>
      </c>
      <c r="D3927" s="23">
        <v>0</v>
      </c>
      <c r="E3927" s="24">
        <v>0</v>
      </c>
    </row>
    <row r="3928" spans="1:5" x14ac:dyDescent="0.3">
      <c r="A3928" s="20" t="s">
        <v>154</v>
      </c>
      <c r="B3928" s="21" t="s">
        <v>373</v>
      </c>
      <c r="C3928" s="22">
        <v>120000</v>
      </c>
      <c r="D3928" s="23">
        <v>0</v>
      </c>
      <c r="E3928" s="24">
        <v>0</v>
      </c>
    </row>
    <row r="3929" spans="1:5" x14ac:dyDescent="0.3">
      <c r="A3929" s="20" t="s">
        <v>154</v>
      </c>
      <c r="B3929" s="21" t="s">
        <v>374</v>
      </c>
      <c r="C3929" s="22">
        <v>0</v>
      </c>
      <c r="D3929" s="23">
        <v>0</v>
      </c>
      <c r="E3929" s="24">
        <v>0</v>
      </c>
    </row>
    <row r="3930" spans="1:5" x14ac:dyDescent="0.3">
      <c r="A3930" s="20" t="s">
        <v>154</v>
      </c>
      <c r="B3930" s="21" t="s">
        <v>375</v>
      </c>
      <c r="C3930" s="22">
        <v>120000</v>
      </c>
      <c r="D3930" s="23">
        <v>0</v>
      </c>
      <c r="E3930" s="24">
        <v>0</v>
      </c>
    </row>
    <row r="3931" spans="1:5" x14ac:dyDescent="0.3">
      <c r="A3931" s="20" t="s">
        <v>154</v>
      </c>
      <c r="B3931" s="21" t="s">
        <v>377</v>
      </c>
      <c r="C3931" s="22">
        <v>120000</v>
      </c>
      <c r="D3931" s="23">
        <v>0</v>
      </c>
      <c r="E3931" s="24">
        <v>0</v>
      </c>
    </row>
    <row r="3932" spans="1:5" x14ac:dyDescent="0.3">
      <c r="A3932" s="16" t="s">
        <v>157</v>
      </c>
      <c r="B3932" s="16" t="s">
        <v>366</v>
      </c>
      <c r="C3932" s="17">
        <v>0</v>
      </c>
      <c r="D3932" s="18">
        <v>0</v>
      </c>
      <c r="E3932" s="19">
        <v>0</v>
      </c>
    </row>
    <row r="3933" spans="1:5" x14ac:dyDescent="0.3">
      <c r="A3933" s="20" t="s">
        <v>157</v>
      </c>
      <c r="B3933" s="21" t="s">
        <v>367</v>
      </c>
      <c r="C3933" s="22">
        <v>80000</v>
      </c>
      <c r="D3933" s="23">
        <v>80000</v>
      </c>
      <c r="E3933" s="24">
        <v>0</v>
      </c>
    </row>
    <row r="3934" spans="1:5" x14ac:dyDescent="0.3">
      <c r="A3934" s="20" t="s">
        <v>157</v>
      </c>
      <c r="B3934" s="21" t="s">
        <v>368</v>
      </c>
      <c r="C3934" s="22">
        <v>80000</v>
      </c>
      <c r="D3934" s="23">
        <v>80000</v>
      </c>
      <c r="E3934" s="24">
        <v>0</v>
      </c>
    </row>
    <row r="3935" spans="1:5" x14ac:dyDescent="0.3">
      <c r="A3935" s="20" t="s">
        <v>157</v>
      </c>
      <c r="B3935" s="21" t="s">
        <v>369</v>
      </c>
      <c r="C3935" s="22">
        <v>80000</v>
      </c>
      <c r="D3935" s="23">
        <v>0</v>
      </c>
      <c r="E3935" s="24">
        <v>0</v>
      </c>
    </row>
    <row r="3936" spans="1:5" x14ac:dyDescent="0.3">
      <c r="A3936" s="20" t="s">
        <v>157</v>
      </c>
      <c r="B3936" s="21" t="s">
        <v>370</v>
      </c>
      <c r="C3936" s="22">
        <v>0</v>
      </c>
      <c r="D3936" s="23">
        <v>80000</v>
      </c>
      <c r="E3936" s="24">
        <v>0</v>
      </c>
    </row>
    <row r="3937" spans="1:5" x14ac:dyDescent="0.3">
      <c r="A3937" s="20" t="s">
        <v>157</v>
      </c>
      <c r="B3937" s="21" t="s">
        <v>371</v>
      </c>
      <c r="C3937" s="22">
        <v>80000</v>
      </c>
      <c r="D3937" s="23">
        <v>0</v>
      </c>
      <c r="E3937" s="24">
        <v>0</v>
      </c>
    </row>
    <row r="3938" spans="1:5" x14ac:dyDescent="0.3">
      <c r="A3938" s="20" t="s">
        <v>157</v>
      </c>
      <c r="B3938" s="21" t="s">
        <v>372</v>
      </c>
      <c r="C3938" s="22">
        <v>80000</v>
      </c>
      <c r="D3938" s="23">
        <v>0</v>
      </c>
      <c r="E3938" s="24">
        <v>0</v>
      </c>
    </row>
    <row r="3939" spans="1:5" x14ac:dyDescent="0.3">
      <c r="A3939" s="20" t="s">
        <v>157</v>
      </c>
      <c r="B3939" s="21" t="s">
        <v>373</v>
      </c>
      <c r="C3939" s="22">
        <v>80000</v>
      </c>
      <c r="D3939" s="23">
        <v>0</v>
      </c>
      <c r="E3939" s="24">
        <v>0</v>
      </c>
    </row>
    <row r="3940" spans="1:5" x14ac:dyDescent="0.3">
      <c r="A3940" s="20" t="s">
        <v>157</v>
      </c>
      <c r="B3940" s="21" t="s">
        <v>375</v>
      </c>
      <c r="C3940" s="22">
        <v>0</v>
      </c>
      <c r="D3940" s="23">
        <v>0</v>
      </c>
      <c r="E3940" s="24">
        <v>0</v>
      </c>
    </row>
    <row r="3941" spans="1:5" x14ac:dyDescent="0.3">
      <c r="A3941" s="20" t="s">
        <v>157</v>
      </c>
      <c r="B3941" s="21" t="s">
        <v>377</v>
      </c>
      <c r="C3941" s="22">
        <v>80000</v>
      </c>
      <c r="D3941" s="23">
        <v>0</v>
      </c>
      <c r="E3941" s="24">
        <v>0</v>
      </c>
    </row>
    <row r="3942" spans="1:5" x14ac:dyDescent="0.3">
      <c r="A3942" s="16" t="s">
        <v>23</v>
      </c>
      <c r="B3942" s="16" t="s">
        <v>367</v>
      </c>
      <c r="C3942" s="17">
        <v>24000</v>
      </c>
      <c r="D3942" s="18">
        <v>0</v>
      </c>
      <c r="E3942" s="19">
        <v>0</v>
      </c>
    </row>
    <row r="3943" spans="1:5" x14ac:dyDescent="0.3">
      <c r="A3943" s="20" t="s">
        <v>23</v>
      </c>
      <c r="B3943" s="21" t="s">
        <v>368</v>
      </c>
      <c r="C3943" s="22">
        <v>0</v>
      </c>
      <c r="D3943" s="23">
        <v>24000</v>
      </c>
      <c r="E3943" s="24">
        <v>0</v>
      </c>
    </row>
    <row r="3944" spans="1:5" x14ac:dyDescent="0.3">
      <c r="A3944" s="20" t="s">
        <v>23</v>
      </c>
      <c r="B3944" s="21" t="s">
        <v>370</v>
      </c>
      <c r="C3944" s="22">
        <v>24000</v>
      </c>
      <c r="D3944" s="23">
        <v>0</v>
      </c>
      <c r="E3944" s="24">
        <v>0</v>
      </c>
    </row>
    <row r="3945" spans="1:5" x14ac:dyDescent="0.3">
      <c r="A3945" s="20" t="s">
        <v>23</v>
      </c>
      <c r="B3945" s="21" t="s">
        <v>371</v>
      </c>
      <c r="C3945" s="22">
        <v>0</v>
      </c>
      <c r="D3945" s="23">
        <v>24000</v>
      </c>
      <c r="E3945" s="24">
        <v>0</v>
      </c>
    </row>
    <row r="3946" spans="1:5" x14ac:dyDescent="0.3">
      <c r="A3946" s="20" t="s">
        <v>23</v>
      </c>
      <c r="B3946" s="21" t="s">
        <v>373</v>
      </c>
      <c r="C3946" s="22">
        <v>0</v>
      </c>
      <c r="D3946" s="23">
        <v>0</v>
      </c>
      <c r="E3946" s="24">
        <v>0</v>
      </c>
    </row>
    <row r="3947" spans="1:5" x14ac:dyDescent="0.3">
      <c r="A3947" s="20" t="s">
        <v>23</v>
      </c>
      <c r="B3947" s="21" t="s">
        <v>374</v>
      </c>
      <c r="C3947" s="22">
        <v>24000</v>
      </c>
      <c r="D3947" s="23">
        <v>0</v>
      </c>
      <c r="E3947" s="24">
        <v>0</v>
      </c>
    </row>
    <row r="3948" spans="1:5" x14ac:dyDescent="0.3">
      <c r="A3948" s="16" t="s">
        <v>159</v>
      </c>
      <c r="B3948" s="16" t="s">
        <v>366</v>
      </c>
      <c r="C3948" s="17">
        <v>8000</v>
      </c>
      <c r="D3948" s="18">
        <v>0</v>
      </c>
      <c r="E3948" s="19">
        <v>0</v>
      </c>
    </row>
    <row r="3949" spans="1:5" x14ac:dyDescent="0.3">
      <c r="A3949" s="20" t="s">
        <v>159</v>
      </c>
      <c r="B3949" s="21" t="s">
        <v>367</v>
      </c>
      <c r="C3949" s="22">
        <v>8000</v>
      </c>
      <c r="D3949" s="23">
        <v>8000</v>
      </c>
      <c r="E3949" s="24">
        <v>0</v>
      </c>
    </row>
    <row r="3950" spans="1:5" x14ac:dyDescent="0.3">
      <c r="A3950" s="20" t="s">
        <v>159</v>
      </c>
      <c r="B3950" s="21" t="s">
        <v>368</v>
      </c>
      <c r="C3950" s="22">
        <v>0</v>
      </c>
      <c r="D3950" s="23">
        <v>20000</v>
      </c>
      <c r="E3950" s="24">
        <v>0</v>
      </c>
    </row>
    <row r="3951" spans="1:5" x14ac:dyDescent="0.3">
      <c r="A3951" s="20" t="s">
        <v>159</v>
      </c>
      <c r="B3951" s="21" t="s">
        <v>369</v>
      </c>
      <c r="C3951" s="22">
        <v>8000</v>
      </c>
      <c r="D3951" s="23">
        <v>0</v>
      </c>
      <c r="E3951" s="24">
        <v>0</v>
      </c>
    </row>
    <row r="3952" spans="1:5" x14ac:dyDescent="0.3">
      <c r="A3952" s="20" t="s">
        <v>159</v>
      </c>
      <c r="B3952" s="21" t="s">
        <v>370</v>
      </c>
      <c r="C3952" s="22">
        <v>8000</v>
      </c>
      <c r="D3952" s="23">
        <v>8000</v>
      </c>
      <c r="E3952" s="24">
        <v>0</v>
      </c>
    </row>
    <row r="3953" spans="1:5" x14ac:dyDescent="0.3">
      <c r="A3953" s="20" t="s">
        <v>159</v>
      </c>
      <c r="B3953" s="21" t="s">
        <v>371</v>
      </c>
      <c r="C3953" s="22">
        <v>0</v>
      </c>
      <c r="D3953" s="23">
        <v>4000</v>
      </c>
      <c r="E3953" s="24">
        <v>0</v>
      </c>
    </row>
    <row r="3954" spans="1:5" x14ac:dyDescent="0.3">
      <c r="A3954" s="20" t="s">
        <v>159</v>
      </c>
      <c r="B3954" s="21" t="s">
        <v>372</v>
      </c>
      <c r="C3954" s="22">
        <v>8000</v>
      </c>
      <c r="D3954" s="23">
        <v>0</v>
      </c>
      <c r="E3954" s="24">
        <v>0</v>
      </c>
    </row>
    <row r="3955" spans="1:5" x14ac:dyDescent="0.3">
      <c r="A3955" s="20" t="s">
        <v>159</v>
      </c>
      <c r="B3955" s="21" t="s">
        <v>373</v>
      </c>
      <c r="C3955" s="22">
        <v>8000</v>
      </c>
      <c r="D3955" s="23">
        <v>0</v>
      </c>
      <c r="E3955" s="24">
        <v>0</v>
      </c>
    </row>
    <row r="3956" spans="1:5" x14ac:dyDescent="0.3">
      <c r="A3956" s="20" t="s">
        <v>159</v>
      </c>
      <c r="B3956" s="21" t="s">
        <v>374</v>
      </c>
      <c r="C3956" s="22">
        <v>8000</v>
      </c>
      <c r="D3956" s="23">
        <v>0</v>
      </c>
      <c r="E3956" s="24">
        <v>0</v>
      </c>
    </row>
    <row r="3957" spans="1:5" x14ac:dyDescent="0.3">
      <c r="A3957" s="20" t="s">
        <v>159</v>
      </c>
      <c r="B3957" s="21" t="s">
        <v>375</v>
      </c>
      <c r="C3957" s="22">
        <v>8000</v>
      </c>
      <c r="D3957" s="23">
        <v>0</v>
      </c>
      <c r="E3957" s="24">
        <v>0</v>
      </c>
    </row>
    <row r="3958" spans="1:5" x14ac:dyDescent="0.3">
      <c r="A3958" s="20" t="s">
        <v>159</v>
      </c>
      <c r="B3958" s="21" t="s">
        <v>376</v>
      </c>
      <c r="C3958" s="22">
        <v>8000</v>
      </c>
      <c r="D3958" s="23">
        <v>0</v>
      </c>
      <c r="E3958" s="24">
        <v>0</v>
      </c>
    </row>
    <row r="3959" spans="1:5" x14ac:dyDescent="0.3">
      <c r="A3959" s="20" t="s">
        <v>159</v>
      </c>
      <c r="B3959" s="21" t="s">
        <v>377</v>
      </c>
      <c r="C3959" s="22">
        <v>8000</v>
      </c>
      <c r="D3959" s="23">
        <v>0</v>
      </c>
      <c r="E3959" s="24">
        <v>0</v>
      </c>
    </row>
    <row r="3960" spans="1:5" x14ac:dyDescent="0.3">
      <c r="A3960" s="16" t="s">
        <v>31</v>
      </c>
      <c r="B3960" s="16" t="s">
        <v>366</v>
      </c>
      <c r="C3960" s="17">
        <v>21000</v>
      </c>
      <c r="D3960" s="18">
        <v>0</v>
      </c>
      <c r="E3960" s="19">
        <v>0</v>
      </c>
    </row>
    <row r="3961" spans="1:5" x14ac:dyDescent="0.3">
      <c r="A3961" s="20" t="s">
        <v>31</v>
      </c>
      <c r="B3961" s="21" t="s">
        <v>367</v>
      </c>
      <c r="C3961" s="22">
        <v>48000</v>
      </c>
      <c r="D3961" s="23">
        <v>30000</v>
      </c>
      <c r="E3961" s="24">
        <v>0</v>
      </c>
    </row>
    <row r="3962" spans="1:5" x14ac:dyDescent="0.3">
      <c r="A3962" s="20" t="s">
        <v>31</v>
      </c>
      <c r="B3962" s="21" t="s">
        <v>368</v>
      </c>
      <c r="C3962" s="22">
        <v>21000</v>
      </c>
      <c r="D3962" s="23">
        <v>60000</v>
      </c>
      <c r="E3962" s="24">
        <v>0</v>
      </c>
    </row>
    <row r="3963" spans="1:5" x14ac:dyDescent="0.3">
      <c r="A3963" s="20" t="s">
        <v>31</v>
      </c>
      <c r="B3963" s="21" t="s">
        <v>369</v>
      </c>
      <c r="C3963" s="22">
        <v>30000</v>
      </c>
      <c r="D3963" s="23">
        <v>0</v>
      </c>
      <c r="E3963" s="24">
        <v>0</v>
      </c>
    </row>
    <row r="3964" spans="1:5" x14ac:dyDescent="0.3">
      <c r="A3964" s="20" t="s">
        <v>31</v>
      </c>
      <c r="B3964" s="21" t="s">
        <v>370</v>
      </c>
      <c r="C3964" s="22">
        <v>30000</v>
      </c>
      <c r="D3964" s="23">
        <v>24000</v>
      </c>
      <c r="E3964" s="24">
        <v>0</v>
      </c>
    </row>
    <row r="3965" spans="1:5" x14ac:dyDescent="0.3">
      <c r="A3965" s="20" t="s">
        <v>31</v>
      </c>
      <c r="B3965" s="21" t="s">
        <v>371</v>
      </c>
      <c r="C3965" s="22">
        <v>30000</v>
      </c>
      <c r="D3965" s="23">
        <v>12000</v>
      </c>
      <c r="E3965" s="24">
        <v>0</v>
      </c>
    </row>
    <row r="3966" spans="1:5" x14ac:dyDescent="0.3">
      <c r="A3966" s="20" t="s">
        <v>31</v>
      </c>
      <c r="B3966" s="21" t="s">
        <v>372</v>
      </c>
      <c r="C3966" s="22">
        <v>21000</v>
      </c>
      <c r="D3966" s="23">
        <v>0</v>
      </c>
      <c r="E3966" s="24">
        <v>0</v>
      </c>
    </row>
    <row r="3967" spans="1:5" x14ac:dyDescent="0.3">
      <c r="A3967" s="20" t="s">
        <v>31</v>
      </c>
      <c r="B3967" s="21" t="s">
        <v>373</v>
      </c>
      <c r="C3967" s="22">
        <v>48000</v>
      </c>
      <c r="D3967" s="23">
        <v>0</v>
      </c>
      <c r="E3967" s="24">
        <v>0</v>
      </c>
    </row>
    <row r="3968" spans="1:5" x14ac:dyDescent="0.3">
      <c r="A3968" s="20" t="s">
        <v>31</v>
      </c>
      <c r="B3968" s="21" t="s">
        <v>374</v>
      </c>
      <c r="C3968" s="22">
        <v>30000</v>
      </c>
      <c r="D3968" s="23">
        <v>0</v>
      </c>
      <c r="E3968" s="24">
        <v>0</v>
      </c>
    </row>
    <row r="3969" spans="1:5" x14ac:dyDescent="0.3">
      <c r="A3969" s="20" t="s">
        <v>31</v>
      </c>
      <c r="B3969" s="21" t="s">
        <v>375</v>
      </c>
      <c r="C3969" s="22">
        <v>30000</v>
      </c>
      <c r="D3969" s="23">
        <v>0</v>
      </c>
      <c r="E3969" s="24">
        <v>0</v>
      </c>
    </row>
    <row r="3970" spans="1:5" x14ac:dyDescent="0.3">
      <c r="A3970" s="20" t="s">
        <v>31</v>
      </c>
      <c r="B3970" s="21" t="s">
        <v>376</v>
      </c>
      <c r="C3970" s="22">
        <v>48000</v>
      </c>
      <c r="D3970" s="23">
        <v>0</v>
      </c>
      <c r="E3970" s="24">
        <v>0</v>
      </c>
    </row>
    <row r="3971" spans="1:5" x14ac:dyDescent="0.3">
      <c r="A3971" s="20" t="s">
        <v>31</v>
      </c>
      <c r="B3971" s="21" t="s">
        <v>377</v>
      </c>
      <c r="C3971" s="22">
        <v>21000</v>
      </c>
      <c r="D3971" s="23">
        <v>0</v>
      </c>
      <c r="E3971" s="24">
        <v>0</v>
      </c>
    </row>
    <row r="3972" spans="1:5" x14ac:dyDescent="0.3">
      <c r="A3972" s="16" t="s">
        <v>162</v>
      </c>
      <c r="B3972" s="16" t="s">
        <v>367</v>
      </c>
      <c r="C3972" s="17">
        <v>0</v>
      </c>
      <c r="D3972" s="18">
        <v>32000</v>
      </c>
      <c r="E3972" s="19">
        <v>0</v>
      </c>
    </row>
    <row r="3973" spans="1:5" x14ac:dyDescent="0.3">
      <c r="A3973" s="16" t="s">
        <v>260</v>
      </c>
      <c r="B3973" s="16" t="s">
        <v>366</v>
      </c>
      <c r="C3973" s="17">
        <v>14400</v>
      </c>
      <c r="D3973" s="18">
        <v>0</v>
      </c>
      <c r="E3973" s="19">
        <v>0</v>
      </c>
    </row>
    <row r="3974" spans="1:5" x14ac:dyDescent="0.3">
      <c r="A3974" s="20" t="s">
        <v>260</v>
      </c>
      <c r="B3974" s="21" t="s">
        <v>368</v>
      </c>
      <c r="C3974" s="22">
        <v>0</v>
      </c>
      <c r="D3974" s="23">
        <v>14400</v>
      </c>
      <c r="E3974" s="24">
        <v>0</v>
      </c>
    </row>
    <row r="3975" spans="1:5" x14ac:dyDescent="0.3">
      <c r="A3975" s="20" t="s">
        <v>260</v>
      </c>
      <c r="B3975" s="21" t="s">
        <v>369</v>
      </c>
      <c r="C3975" s="22">
        <v>14400</v>
      </c>
      <c r="D3975" s="23">
        <v>0</v>
      </c>
      <c r="E3975" s="24">
        <v>0</v>
      </c>
    </row>
    <row r="3976" spans="1:5" x14ac:dyDescent="0.3">
      <c r="A3976" s="20" t="s">
        <v>260</v>
      </c>
      <c r="B3976" s="21" t="s">
        <v>371</v>
      </c>
      <c r="C3976" s="22">
        <v>0</v>
      </c>
      <c r="D3976" s="23">
        <v>14400</v>
      </c>
      <c r="E3976" s="24">
        <v>0</v>
      </c>
    </row>
    <row r="3977" spans="1:5" x14ac:dyDescent="0.3">
      <c r="A3977" s="20" t="s">
        <v>260</v>
      </c>
      <c r="B3977" s="21" t="s">
        <v>372</v>
      </c>
      <c r="C3977" s="22">
        <v>14400</v>
      </c>
      <c r="D3977" s="23">
        <v>0</v>
      </c>
      <c r="E3977" s="24">
        <v>0</v>
      </c>
    </row>
    <row r="3978" spans="1:5" x14ac:dyDescent="0.3">
      <c r="A3978" s="20" t="s">
        <v>260</v>
      </c>
      <c r="B3978" s="21" t="s">
        <v>373</v>
      </c>
      <c r="C3978" s="22">
        <v>0</v>
      </c>
      <c r="D3978" s="23">
        <v>0</v>
      </c>
      <c r="E3978" s="24">
        <v>0</v>
      </c>
    </row>
    <row r="3979" spans="1:5" x14ac:dyDescent="0.3">
      <c r="A3979" s="20" t="s">
        <v>260</v>
      </c>
      <c r="B3979" s="21" t="s">
        <v>375</v>
      </c>
      <c r="C3979" s="22">
        <v>14400</v>
      </c>
      <c r="D3979" s="23">
        <v>0</v>
      </c>
      <c r="E3979" s="24">
        <v>0</v>
      </c>
    </row>
    <row r="3980" spans="1:5" x14ac:dyDescent="0.3">
      <c r="A3980" s="16" t="s">
        <v>153</v>
      </c>
      <c r="B3980" s="16" t="s">
        <v>366</v>
      </c>
      <c r="C3980" s="17">
        <v>0</v>
      </c>
      <c r="D3980" s="18">
        <v>0</v>
      </c>
      <c r="E3980" s="19">
        <v>0</v>
      </c>
    </row>
    <row r="3981" spans="1:5" x14ac:dyDescent="0.3">
      <c r="A3981" s="16" t="s">
        <v>154</v>
      </c>
      <c r="B3981" s="16" t="s">
        <v>367</v>
      </c>
      <c r="C3981" s="17">
        <v>120000</v>
      </c>
      <c r="D3981" s="18">
        <v>120000</v>
      </c>
      <c r="E3981" s="19">
        <v>0</v>
      </c>
    </row>
    <row r="3982" spans="1:5" x14ac:dyDescent="0.3">
      <c r="A3982" s="20" t="s">
        <v>154</v>
      </c>
      <c r="B3982" s="21" t="s">
        <v>368</v>
      </c>
      <c r="C3982" s="22">
        <v>0</v>
      </c>
      <c r="D3982" s="23">
        <v>120000</v>
      </c>
      <c r="E3982" s="24">
        <v>0</v>
      </c>
    </row>
    <row r="3983" spans="1:5" x14ac:dyDescent="0.3">
      <c r="A3983" s="20" t="s">
        <v>154</v>
      </c>
      <c r="B3983" s="21" t="s">
        <v>369</v>
      </c>
      <c r="C3983" s="22">
        <v>120000</v>
      </c>
      <c r="D3983" s="23">
        <v>0</v>
      </c>
      <c r="E3983" s="24">
        <v>0</v>
      </c>
    </row>
    <row r="3984" spans="1:5" x14ac:dyDescent="0.3">
      <c r="A3984" s="20" t="s">
        <v>154</v>
      </c>
      <c r="B3984" s="21" t="s">
        <v>370</v>
      </c>
      <c r="C3984" s="22">
        <v>0</v>
      </c>
      <c r="D3984" s="23">
        <v>0</v>
      </c>
      <c r="E3984" s="24">
        <v>0</v>
      </c>
    </row>
    <row r="3985" spans="1:5" x14ac:dyDescent="0.3">
      <c r="A3985" s="20" t="s">
        <v>154</v>
      </c>
      <c r="B3985" s="21" t="s">
        <v>371</v>
      </c>
      <c r="C3985" s="22">
        <v>120000</v>
      </c>
      <c r="D3985" s="23">
        <v>240000</v>
      </c>
      <c r="E3985" s="24">
        <v>0</v>
      </c>
    </row>
    <row r="3986" spans="1:5" x14ac:dyDescent="0.3">
      <c r="A3986" s="20" t="s">
        <v>154</v>
      </c>
      <c r="B3986" s="21" t="s">
        <v>372</v>
      </c>
      <c r="C3986" s="22">
        <v>0</v>
      </c>
      <c r="D3986" s="23">
        <v>0</v>
      </c>
      <c r="E3986" s="24">
        <v>0</v>
      </c>
    </row>
    <row r="3987" spans="1:5" x14ac:dyDescent="0.3">
      <c r="A3987" s="20" t="s">
        <v>154</v>
      </c>
      <c r="B3987" s="21" t="s">
        <v>373</v>
      </c>
      <c r="C3987" s="22">
        <v>120000</v>
      </c>
      <c r="D3987" s="23">
        <v>0</v>
      </c>
      <c r="E3987" s="24">
        <v>0</v>
      </c>
    </row>
    <row r="3988" spans="1:5" x14ac:dyDescent="0.3">
      <c r="A3988" s="20" t="s">
        <v>154</v>
      </c>
      <c r="B3988" s="21" t="s">
        <v>375</v>
      </c>
      <c r="C3988" s="22">
        <v>120000</v>
      </c>
      <c r="D3988" s="23">
        <v>0</v>
      </c>
      <c r="E3988" s="24">
        <v>0</v>
      </c>
    </row>
    <row r="3989" spans="1:5" x14ac:dyDescent="0.3">
      <c r="A3989" s="20" t="s">
        <v>154</v>
      </c>
      <c r="B3989" s="21" t="s">
        <v>376</v>
      </c>
      <c r="C3989" s="22">
        <v>120000</v>
      </c>
      <c r="D3989" s="23">
        <v>0</v>
      </c>
      <c r="E3989" s="24">
        <v>0</v>
      </c>
    </row>
    <row r="3990" spans="1:5" x14ac:dyDescent="0.3">
      <c r="A3990" s="16" t="s">
        <v>157</v>
      </c>
      <c r="B3990" s="16" t="s">
        <v>366</v>
      </c>
      <c r="C3990" s="17">
        <v>0</v>
      </c>
      <c r="D3990" s="18">
        <v>0</v>
      </c>
      <c r="E3990" s="19">
        <v>0</v>
      </c>
    </row>
    <row r="3991" spans="1:5" x14ac:dyDescent="0.3">
      <c r="A3991" s="20" t="s">
        <v>157</v>
      </c>
      <c r="B3991" s="21" t="s">
        <v>367</v>
      </c>
      <c r="C3991" s="22">
        <v>80000</v>
      </c>
      <c r="D3991" s="23">
        <v>80000</v>
      </c>
      <c r="E3991" s="24">
        <v>0</v>
      </c>
    </row>
    <row r="3992" spans="1:5" x14ac:dyDescent="0.3">
      <c r="A3992" s="20" t="s">
        <v>157</v>
      </c>
      <c r="B3992" s="21" t="s">
        <v>368</v>
      </c>
      <c r="C3992" s="22">
        <v>0</v>
      </c>
      <c r="D3992" s="23">
        <v>0</v>
      </c>
      <c r="E3992" s="24">
        <v>0</v>
      </c>
    </row>
    <row r="3993" spans="1:5" x14ac:dyDescent="0.3">
      <c r="A3993" s="20" t="s">
        <v>157</v>
      </c>
      <c r="B3993" s="21" t="s">
        <v>369</v>
      </c>
      <c r="C3993" s="22">
        <v>80000</v>
      </c>
      <c r="D3993" s="23">
        <v>0</v>
      </c>
      <c r="E3993" s="24">
        <v>0</v>
      </c>
    </row>
    <row r="3994" spans="1:5" x14ac:dyDescent="0.3">
      <c r="A3994" s="20" t="s">
        <v>157</v>
      </c>
      <c r="B3994" s="21" t="s">
        <v>370</v>
      </c>
      <c r="C3994" s="22">
        <v>0</v>
      </c>
      <c r="D3994" s="23">
        <v>80000</v>
      </c>
      <c r="E3994" s="24">
        <v>0</v>
      </c>
    </row>
    <row r="3995" spans="1:5" x14ac:dyDescent="0.3">
      <c r="A3995" s="20" t="s">
        <v>157</v>
      </c>
      <c r="B3995" s="21" t="s">
        <v>371</v>
      </c>
      <c r="C3995" s="22">
        <v>80000</v>
      </c>
      <c r="D3995" s="23">
        <v>80000</v>
      </c>
      <c r="E3995" s="24">
        <v>0</v>
      </c>
    </row>
    <row r="3996" spans="1:5" x14ac:dyDescent="0.3">
      <c r="A3996" s="20" t="s">
        <v>157</v>
      </c>
      <c r="B3996" s="21" t="s">
        <v>373</v>
      </c>
      <c r="C3996" s="22">
        <v>80000</v>
      </c>
      <c r="D3996" s="23">
        <v>0</v>
      </c>
      <c r="E3996" s="24">
        <v>0</v>
      </c>
    </row>
    <row r="3997" spans="1:5" x14ac:dyDescent="0.3">
      <c r="A3997" s="20" t="s">
        <v>157</v>
      </c>
      <c r="B3997" s="21" t="s">
        <v>375</v>
      </c>
      <c r="C3997" s="22">
        <v>80000</v>
      </c>
      <c r="D3997" s="23">
        <v>0</v>
      </c>
      <c r="E3997" s="24">
        <v>0</v>
      </c>
    </row>
    <row r="3998" spans="1:5" x14ac:dyDescent="0.3">
      <c r="A3998" s="20" t="s">
        <v>157</v>
      </c>
      <c r="B3998" s="21" t="s">
        <v>376</v>
      </c>
      <c r="C3998" s="22">
        <v>80000</v>
      </c>
      <c r="D3998" s="23">
        <v>0</v>
      </c>
      <c r="E3998" s="24">
        <v>0</v>
      </c>
    </row>
    <row r="3999" spans="1:5" x14ac:dyDescent="0.3">
      <c r="A3999" s="16" t="s">
        <v>22</v>
      </c>
      <c r="B3999" s="16" t="s">
        <v>366</v>
      </c>
      <c r="C3999" s="17">
        <v>40000</v>
      </c>
      <c r="D3999" s="18">
        <v>40000</v>
      </c>
      <c r="E3999" s="19">
        <v>0</v>
      </c>
    </row>
    <row r="4000" spans="1:5" x14ac:dyDescent="0.3">
      <c r="A4000" s="20" t="s">
        <v>22</v>
      </c>
      <c r="B4000" s="21" t="s">
        <v>367</v>
      </c>
      <c r="C4000" s="22">
        <v>0</v>
      </c>
      <c r="D4000" s="23">
        <v>0</v>
      </c>
      <c r="E4000" s="24">
        <v>0</v>
      </c>
    </row>
    <row r="4001" spans="1:5" x14ac:dyDescent="0.3">
      <c r="A4001" s="20" t="s">
        <v>22</v>
      </c>
      <c r="B4001" s="21" t="s">
        <v>368</v>
      </c>
      <c r="C4001" s="22">
        <v>0</v>
      </c>
      <c r="D4001" s="23">
        <v>40000</v>
      </c>
      <c r="E4001" s="24">
        <v>0</v>
      </c>
    </row>
    <row r="4002" spans="1:5" x14ac:dyDescent="0.3">
      <c r="A4002" s="20" t="s">
        <v>22</v>
      </c>
      <c r="B4002" s="21" t="s">
        <v>369</v>
      </c>
      <c r="C4002" s="22">
        <v>40000</v>
      </c>
      <c r="D4002" s="23">
        <v>40000</v>
      </c>
      <c r="E4002" s="24">
        <v>0</v>
      </c>
    </row>
    <row r="4003" spans="1:5" x14ac:dyDescent="0.3">
      <c r="A4003" s="20" t="s">
        <v>22</v>
      </c>
      <c r="B4003" s="21" t="s">
        <v>371</v>
      </c>
      <c r="C4003" s="22">
        <v>40000</v>
      </c>
      <c r="D4003" s="23">
        <v>40000</v>
      </c>
      <c r="E4003" s="24">
        <v>0</v>
      </c>
    </row>
    <row r="4004" spans="1:5" x14ac:dyDescent="0.3">
      <c r="A4004" s="20" t="s">
        <v>22</v>
      </c>
      <c r="B4004" s="21" t="s">
        <v>372</v>
      </c>
      <c r="C4004" s="22">
        <v>0</v>
      </c>
      <c r="D4004" s="23">
        <v>0</v>
      </c>
      <c r="E4004" s="24">
        <v>0</v>
      </c>
    </row>
    <row r="4005" spans="1:5" x14ac:dyDescent="0.3">
      <c r="A4005" s="20" t="s">
        <v>22</v>
      </c>
      <c r="B4005" s="21" t="s">
        <v>373</v>
      </c>
      <c r="C4005" s="22">
        <v>40000</v>
      </c>
      <c r="D4005" s="23">
        <v>40000</v>
      </c>
      <c r="E4005" s="24">
        <v>0</v>
      </c>
    </row>
    <row r="4006" spans="1:5" x14ac:dyDescent="0.3">
      <c r="A4006" s="20" t="s">
        <v>22</v>
      </c>
      <c r="B4006" s="21" t="s">
        <v>374</v>
      </c>
      <c r="C4006" s="22">
        <v>0</v>
      </c>
      <c r="D4006" s="23">
        <v>0</v>
      </c>
      <c r="E4006" s="24">
        <v>0</v>
      </c>
    </row>
    <row r="4007" spans="1:5" x14ac:dyDescent="0.3">
      <c r="A4007" s="20" t="s">
        <v>22</v>
      </c>
      <c r="B4007" s="21" t="s">
        <v>376</v>
      </c>
      <c r="C4007" s="22">
        <v>40000</v>
      </c>
      <c r="D4007" s="23">
        <v>0</v>
      </c>
      <c r="E4007" s="24">
        <v>0</v>
      </c>
    </row>
    <row r="4008" spans="1:5" x14ac:dyDescent="0.3">
      <c r="A4008" s="16" t="s">
        <v>151</v>
      </c>
      <c r="B4008" s="16" t="s">
        <v>366</v>
      </c>
      <c r="C4008" s="17">
        <v>84000</v>
      </c>
      <c r="D4008" s="18">
        <v>84000</v>
      </c>
      <c r="E4008" s="19">
        <v>0</v>
      </c>
    </row>
    <row r="4009" spans="1:5" x14ac:dyDescent="0.3">
      <c r="A4009" s="20" t="s">
        <v>151</v>
      </c>
      <c r="B4009" s="21" t="s">
        <v>367</v>
      </c>
      <c r="C4009" s="22">
        <v>42000</v>
      </c>
      <c r="D4009" s="23">
        <v>42000</v>
      </c>
      <c r="E4009" s="24">
        <v>0</v>
      </c>
    </row>
    <row r="4010" spans="1:5" x14ac:dyDescent="0.3">
      <c r="A4010" s="20" t="s">
        <v>151</v>
      </c>
      <c r="B4010" s="21" t="s">
        <v>368</v>
      </c>
      <c r="C4010" s="22">
        <v>84000</v>
      </c>
      <c r="D4010" s="23">
        <v>84000</v>
      </c>
      <c r="E4010" s="24">
        <v>0</v>
      </c>
    </row>
    <row r="4011" spans="1:5" x14ac:dyDescent="0.3">
      <c r="A4011" s="20" t="s">
        <v>151</v>
      </c>
      <c r="B4011" s="21" t="s">
        <v>369</v>
      </c>
      <c r="C4011" s="22">
        <v>42000</v>
      </c>
      <c r="D4011" s="23">
        <v>42000</v>
      </c>
      <c r="E4011" s="24">
        <v>0</v>
      </c>
    </row>
    <row r="4012" spans="1:5" x14ac:dyDescent="0.3">
      <c r="A4012" s="20" t="s">
        <v>151</v>
      </c>
      <c r="B4012" s="21" t="s">
        <v>370</v>
      </c>
      <c r="C4012" s="22">
        <v>84000</v>
      </c>
      <c r="D4012" s="23">
        <v>84000</v>
      </c>
      <c r="E4012" s="24">
        <v>0</v>
      </c>
    </row>
    <row r="4013" spans="1:5" x14ac:dyDescent="0.3">
      <c r="A4013" s="20" t="s">
        <v>151</v>
      </c>
      <c r="B4013" s="21" t="s">
        <v>371</v>
      </c>
      <c r="C4013" s="22">
        <v>84000</v>
      </c>
      <c r="D4013" s="23">
        <v>42000</v>
      </c>
      <c r="E4013" s="24">
        <v>0</v>
      </c>
    </row>
    <row r="4014" spans="1:5" x14ac:dyDescent="0.3">
      <c r="A4014" s="20" t="s">
        <v>151</v>
      </c>
      <c r="B4014" s="21" t="s">
        <v>372</v>
      </c>
      <c r="C4014" s="22">
        <v>42000</v>
      </c>
      <c r="D4014" s="23">
        <v>42000</v>
      </c>
      <c r="E4014" s="24">
        <v>0</v>
      </c>
    </row>
    <row r="4015" spans="1:5" x14ac:dyDescent="0.3">
      <c r="A4015" s="20" t="s">
        <v>151</v>
      </c>
      <c r="B4015" s="21" t="s">
        <v>373</v>
      </c>
      <c r="C4015" s="22">
        <v>84000</v>
      </c>
      <c r="D4015" s="23">
        <v>84000</v>
      </c>
      <c r="E4015" s="24">
        <v>0</v>
      </c>
    </row>
    <row r="4016" spans="1:5" x14ac:dyDescent="0.3">
      <c r="A4016" s="20" t="s">
        <v>151</v>
      </c>
      <c r="B4016" s="21" t="s">
        <v>374</v>
      </c>
      <c r="C4016" s="22">
        <v>42000</v>
      </c>
      <c r="D4016" s="23">
        <v>42000</v>
      </c>
      <c r="E4016" s="24">
        <v>0</v>
      </c>
    </row>
    <row r="4017" spans="1:5" x14ac:dyDescent="0.3">
      <c r="A4017" s="20" t="s">
        <v>151</v>
      </c>
      <c r="B4017" s="21" t="s">
        <v>375</v>
      </c>
      <c r="C4017" s="22">
        <v>42000</v>
      </c>
      <c r="D4017" s="23">
        <v>0</v>
      </c>
      <c r="E4017" s="24">
        <v>0</v>
      </c>
    </row>
    <row r="4018" spans="1:5" x14ac:dyDescent="0.3">
      <c r="A4018" s="20" t="s">
        <v>151</v>
      </c>
      <c r="B4018" s="21" t="s">
        <v>376</v>
      </c>
      <c r="C4018" s="22">
        <v>84000</v>
      </c>
      <c r="D4018" s="23">
        <v>0</v>
      </c>
      <c r="E4018" s="24">
        <v>0</v>
      </c>
    </row>
    <row r="4019" spans="1:5" x14ac:dyDescent="0.3">
      <c r="A4019" s="20" t="s">
        <v>151</v>
      </c>
      <c r="B4019" s="21" t="s">
        <v>377</v>
      </c>
      <c r="C4019" s="22">
        <v>42000</v>
      </c>
      <c r="D4019" s="23">
        <v>0</v>
      </c>
      <c r="E4019" s="24">
        <v>0</v>
      </c>
    </row>
    <row r="4020" spans="1:5" x14ac:dyDescent="0.3">
      <c r="A4020" s="16" t="s">
        <v>154</v>
      </c>
      <c r="B4020" s="16" t="s">
        <v>366</v>
      </c>
      <c r="C4020" s="17">
        <v>360000</v>
      </c>
      <c r="D4020" s="18">
        <v>480000</v>
      </c>
      <c r="E4020" s="19">
        <v>0</v>
      </c>
    </row>
    <row r="4021" spans="1:5" x14ac:dyDescent="0.3">
      <c r="A4021" s="20" t="s">
        <v>154</v>
      </c>
      <c r="B4021" s="21" t="s">
        <v>367</v>
      </c>
      <c r="C4021" s="22">
        <v>360000</v>
      </c>
      <c r="D4021" s="23">
        <v>240000</v>
      </c>
      <c r="E4021" s="24">
        <v>0</v>
      </c>
    </row>
    <row r="4022" spans="1:5" x14ac:dyDescent="0.3">
      <c r="A4022" s="20" t="s">
        <v>154</v>
      </c>
      <c r="B4022" s="21" t="s">
        <v>368</v>
      </c>
      <c r="C4022" s="22">
        <v>360000</v>
      </c>
      <c r="D4022" s="23">
        <v>240000</v>
      </c>
      <c r="E4022" s="24">
        <v>0</v>
      </c>
    </row>
    <row r="4023" spans="1:5" x14ac:dyDescent="0.3">
      <c r="A4023" s="20" t="s">
        <v>154</v>
      </c>
      <c r="B4023" s="21" t="s">
        <v>369</v>
      </c>
      <c r="C4023" s="22">
        <v>240000</v>
      </c>
      <c r="D4023" s="23">
        <v>360000</v>
      </c>
      <c r="E4023" s="24">
        <v>0</v>
      </c>
    </row>
    <row r="4024" spans="1:5" x14ac:dyDescent="0.3">
      <c r="A4024" s="20" t="s">
        <v>154</v>
      </c>
      <c r="B4024" s="21" t="s">
        <v>370</v>
      </c>
      <c r="C4024" s="22">
        <v>360000</v>
      </c>
      <c r="D4024" s="23">
        <v>240000</v>
      </c>
      <c r="E4024" s="24">
        <v>0</v>
      </c>
    </row>
    <row r="4025" spans="1:5" x14ac:dyDescent="0.3">
      <c r="A4025" s="20" t="s">
        <v>154</v>
      </c>
      <c r="B4025" s="21" t="s">
        <v>371</v>
      </c>
      <c r="C4025" s="22">
        <v>360000</v>
      </c>
      <c r="D4025" s="23">
        <v>360000</v>
      </c>
      <c r="E4025" s="24">
        <v>0</v>
      </c>
    </row>
    <row r="4026" spans="1:5" x14ac:dyDescent="0.3">
      <c r="A4026" s="20" t="s">
        <v>154</v>
      </c>
      <c r="B4026" s="21" t="s">
        <v>372</v>
      </c>
      <c r="C4026" s="22">
        <v>240000</v>
      </c>
      <c r="D4026" s="23">
        <v>120000</v>
      </c>
      <c r="E4026" s="24">
        <v>0</v>
      </c>
    </row>
    <row r="4027" spans="1:5" x14ac:dyDescent="0.3">
      <c r="A4027" s="20" t="s">
        <v>154</v>
      </c>
      <c r="B4027" s="21" t="s">
        <v>373</v>
      </c>
      <c r="C4027" s="22">
        <v>240000</v>
      </c>
      <c r="D4027" s="23">
        <v>360000</v>
      </c>
      <c r="E4027" s="24">
        <v>0</v>
      </c>
    </row>
    <row r="4028" spans="1:5" x14ac:dyDescent="0.3">
      <c r="A4028" s="20" t="s">
        <v>154</v>
      </c>
      <c r="B4028" s="21" t="s">
        <v>374</v>
      </c>
      <c r="C4028" s="22">
        <v>360000</v>
      </c>
      <c r="D4028" s="23">
        <v>120000</v>
      </c>
      <c r="E4028" s="24">
        <v>0</v>
      </c>
    </row>
    <row r="4029" spans="1:5" x14ac:dyDescent="0.3">
      <c r="A4029" s="20" t="s">
        <v>154</v>
      </c>
      <c r="B4029" s="21" t="s">
        <v>375</v>
      </c>
      <c r="C4029" s="22">
        <v>360000</v>
      </c>
      <c r="D4029" s="23">
        <v>0</v>
      </c>
      <c r="E4029" s="24">
        <v>0</v>
      </c>
    </row>
    <row r="4030" spans="1:5" x14ac:dyDescent="0.3">
      <c r="A4030" s="20" t="s">
        <v>154</v>
      </c>
      <c r="B4030" s="21" t="s">
        <v>376</v>
      </c>
      <c r="C4030" s="22">
        <v>360000</v>
      </c>
      <c r="D4030" s="23">
        <v>0</v>
      </c>
      <c r="E4030" s="24">
        <v>0</v>
      </c>
    </row>
    <row r="4031" spans="1:5" x14ac:dyDescent="0.3">
      <c r="A4031" s="20" t="s">
        <v>154</v>
      </c>
      <c r="B4031" s="21" t="s">
        <v>377</v>
      </c>
      <c r="C4031" s="22">
        <v>240000</v>
      </c>
      <c r="D4031" s="23">
        <v>0</v>
      </c>
      <c r="E4031" s="24">
        <v>0</v>
      </c>
    </row>
    <row r="4032" spans="1:5" x14ac:dyDescent="0.3">
      <c r="A4032" s="16" t="s">
        <v>157</v>
      </c>
      <c r="B4032" s="16" t="s">
        <v>366</v>
      </c>
      <c r="C4032" s="17">
        <v>160000</v>
      </c>
      <c r="D4032" s="18">
        <v>240000</v>
      </c>
      <c r="E4032" s="19">
        <v>0</v>
      </c>
    </row>
    <row r="4033" spans="1:5" x14ac:dyDescent="0.3">
      <c r="A4033" s="20" t="s">
        <v>157</v>
      </c>
      <c r="B4033" s="21" t="s">
        <v>367</v>
      </c>
      <c r="C4033" s="22">
        <v>160000</v>
      </c>
      <c r="D4033" s="23">
        <v>160000</v>
      </c>
      <c r="E4033" s="24">
        <v>0</v>
      </c>
    </row>
    <row r="4034" spans="1:5" x14ac:dyDescent="0.3">
      <c r="A4034" s="20" t="s">
        <v>157</v>
      </c>
      <c r="B4034" s="21" t="s">
        <v>368</v>
      </c>
      <c r="C4034" s="22">
        <v>160000</v>
      </c>
      <c r="D4034" s="23">
        <v>160000</v>
      </c>
      <c r="E4034" s="24">
        <v>0</v>
      </c>
    </row>
    <row r="4035" spans="1:5" x14ac:dyDescent="0.3">
      <c r="A4035" s="20" t="s">
        <v>157</v>
      </c>
      <c r="B4035" s="21" t="s">
        <v>369</v>
      </c>
      <c r="C4035" s="22">
        <v>80000</v>
      </c>
      <c r="D4035" s="23">
        <v>160000</v>
      </c>
      <c r="E4035" s="24">
        <v>0</v>
      </c>
    </row>
    <row r="4036" spans="1:5" x14ac:dyDescent="0.3">
      <c r="A4036" s="20" t="s">
        <v>157</v>
      </c>
      <c r="B4036" s="21" t="s">
        <v>370</v>
      </c>
      <c r="C4036" s="22">
        <v>160000</v>
      </c>
      <c r="D4036" s="23">
        <v>160000</v>
      </c>
      <c r="E4036" s="24">
        <v>0</v>
      </c>
    </row>
    <row r="4037" spans="1:5" x14ac:dyDescent="0.3">
      <c r="A4037" s="20" t="s">
        <v>157</v>
      </c>
      <c r="B4037" s="21" t="s">
        <v>371</v>
      </c>
      <c r="C4037" s="22">
        <v>160000</v>
      </c>
      <c r="D4037" s="23">
        <v>240000</v>
      </c>
      <c r="E4037" s="24">
        <v>0</v>
      </c>
    </row>
    <row r="4038" spans="1:5" x14ac:dyDescent="0.3">
      <c r="A4038" s="20" t="s">
        <v>157</v>
      </c>
      <c r="B4038" s="21" t="s">
        <v>372</v>
      </c>
      <c r="C4038" s="22">
        <v>160000</v>
      </c>
      <c r="D4038" s="23">
        <v>0</v>
      </c>
      <c r="E4038" s="24">
        <v>0</v>
      </c>
    </row>
    <row r="4039" spans="1:5" x14ac:dyDescent="0.3">
      <c r="A4039" s="20" t="s">
        <v>157</v>
      </c>
      <c r="B4039" s="21" t="s">
        <v>373</v>
      </c>
      <c r="C4039" s="22">
        <v>80000</v>
      </c>
      <c r="D4039" s="23">
        <v>240000</v>
      </c>
      <c r="E4039" s="24">
        <v>0</v>
      </c>
    </row>
    <row r="4040" spans="1:5" x14ac:dyDescent="0.3">
      <c r="A4040" s="20" t="s">
        <v>157</v>
      </c>
      <c r="B4040" s="21" t="s">
        <v>374</v>
      </c>
      <c r="C4040" s="22">
        <v>160000</v>
      </c>
      <c r="D4040" s="23">
        <v>160000</v>
      </c>
      <c r="E4040" s="24">
        <v>0</v>
      </c>
    </row>
    <row r="4041" spans="1:5" x14ac:dyDescent="0.3">
      <c r="A4041" s="20" t="s">
        <v>157</v>
      </c>
      <c r="B4041" s="21" t="s">
        <v>375</v>
      </c>
      <c r="C4041" s="22">
        <v>160000</v>
      </c>
      <c r="D4041" s="23">
        <v>0</v>
      </c>
      <c r="E4041" s="24">
        <v>0</v>
      </c>
    </row>
    <row r="4042" spans="1:5" x14ac:dyDescent="0.3">
      <c r="A4042" s="20" t="s">
        <v>157</v>
      </c>
      <c r="B4042" s="21" t="s">
        <v>376</v>
      </c>
      <c r="C4042" s="22">
        <v>160000</v>
      </c>
      <c r="D4042" s="23">
        <v>0</v>
      </c>
      <c r="E4042" s="24">
        <v>0</v>
      </c>
    </row>
    <row r="4043" spans="1:5" x14ac:dyDescent="0.3">
      <c r="A4043" s="20" t="s">
        <v>157</v>
      </c>
      <c r="B4043" s="21" t="s">
        <v>377</v>
      </c>
      <c r="C4043" s="22">
        <v>80000</v>
      </c>
      <c r="D4043" s="23">
        <v>0</v>
      </c>
      <c r="E4043" s="24">
        <v>0</v>
      </c>
    </row>
    <row r="4044" spans="1:5" x14ac:dyDescent="0.3">
      <c r="A4044" s="16" t="s">
        <v>23</v>
      </c>
      <c r="B4044" s="16" t="s">
        <v>366</v>
      </c>
      <c r="C4044" s="17">
        <v>48000</v>
      </c>
      <c r="D4044" s="18">
        <v>120000</v>
      </c>
      <c r="E4044" s="19">
        <v>0</v>
      </c>
    </row>
    <row r="4045" spans="1:5" x14ac:dyDescent="0.3">
      <c r="A4045" s="20" t="s">
        <v>23</v>
      </c>
      <c r="B4045" s="21" t="s">
        <v>367</v>
      </c>
      <c r="C4045" s="22">
        <v>72000</v>
      </c>
      <c r="D4045" s="23">
        <v>72000</v>
      </c>
      <c r="E4045" s="24">
        <v>0</v>
      </c>
    </row>
    <row r="4046" spans="1:5" x14ac:dyDescent="0.3">
      <c r="A4046" s="20" t="s">
        <v>23</v>
      </c>
      <c r="B4046" s="21" t="s">
        <v>368</v>
      </c>
      <c r="C4046" s="22">
        <v>72000</v>
      </c>
      <c r="D4046" s="23">
        <v>72000</v>
      </c>
      <c r="E4046" s="24">
        <v>0</v>
      </c>
    </row>
    <row r="4047" spans="1:5" x14ac:dyDescent="0.3">
      <c r="A4047" s="20" t="s">
        <v>23</v>
      </c>
      <c r="B4047" s="21" t="s">
        <v>369</v>
      </c>
      <c r="C4047" s="22">
        <v>48000</v>
      </c>
      <c r="D4047" s="23">
        <v>72000</v>
      </c>
      <c r="E4047" s="24">
        <v>0</v>
      </c>
    </row>
    <row r="4048" spans="1:5" x14ac:dyDescent="0.3">
      <c r="A4048" s="20" t="s">
        <v>23</v>
      </c>
      <c r="B4048" s="21" t="s">
        <v>370</v>
      </c>
      <c r="C4048" s="22">
        <v>72000</v>
      </c>
      <c r="D4048" s="23">
        <v>72000</v>
      </c>
      <c r="E4048" s="24">
        <v>0</v>
      </c>
    </row>
    <row r="4049" spans="1:5" x14ac:dyDescent="0.3">
      <c r="A4049" s="20" t="s">
        <v>23</v>
      </c>
      <c r="B4049" s="21" t="s">
        <v>371</v>
      </c>
      <c r="C4049" s="22">
        <v>48000</v>
      </c>
      <c r="D4049" s="23">
        <v>96000</v>
      </c>
      <c r="E4049" s="24">
        <v>0</v>
      </c>
    </row>
    <row r="4050" spans="1:5" x14ac:dyDescent="0.3">
      <c r="A4050" s="20" t="s">
        <v>23</v>
      </c>
      <c r="B4050" s="21" t="s">
        <v>372</v>
      </c>
      <c r="C4050" s="22">
        <v>24000</v>
      </c>
      <c r="D4050" s="23">
        <v>24000</v>
      </c>
      <c r="E4050" s="24">
        <v>0</v>
      </c>
    </row>
    <row r="4051" spans="1:5" x14ac:dyDescent="0.3">
      <c r="A4051" s="20" t="s">
        <v>23</v>
      </c>
      <c r="B4051" s="21" t="s">
        <v>373</v>
      </c>
      <c r="C4051" s="22">
        <v>72000</v>
      </c>
      <c r="D4051" s="23">
        <v>96000</v>
      </c>
      <c r="E4051" s="24">
        <v>0</v>
      </c>
    </row>
    <row r="4052" spans="1:5" x14ac:dyDescent="0.3">
      <c r="A4052" s="20" t="s">
        <v>23</v>
      </c>
      <c r="B4052" s="21" t="s">
        <v>374</v>
      </c>
      <c r="C4052" s="22">
        <v>72000</v>
      </c>
      <c r="D4052" s="23">
        <v>48000</v>
      </c>
      <c r="E4052" s="24">
        <v>0</v>
      </c>
    </row>
    <row r="4053" spans="1:5" x14ac:dyDescent="0.3">
      <c r="A4053" s="20" t="s">
        <v>23</v>
      </c>
      <c r="B4053" s="21" t="s">
        <v>375</v>
      </c>
      <c r="C4053" s="22">
        <v>72000</v>
      </c>
      <c r="D4053" s="23">
        <v>0</v>
      </c>
      <c r="E4053" s="24">
        <v>0</v>
      </c>
    </row>
    <row r="4054" spans="1:5" x14ac:dyDescent="0.3">
      <c r="A4054" s="20" t="s">
        <v>23</v>
      </c>
      <c r="B4054" s="21" t="s">
        <v>376</v>
      </c>
      <c r="C4054" s="22">
        <v>48000</v>
      </c>
      <c r="D4054" s="23">
        <v>0</v>
      </c>
      <c r="E4054" s="24">
        <v>0</v>
      </c>
    </row>
    <row r="4055" spans="1:5" x14ac:dyDescent="0.3">
      <c r="A4055" s="20" t="s">
        <v>23</v>
      </c>
      <c r="B4055" s="21" t="s">
        <v>377</v>
      </c>
      <c r="C4055" s="22">
        <v>72000</v>
      </c>
      <c r="D4055" s="23">
        <v>0</v>
      </c>
      <c r="E4055" s="24">
        <v>0</v>
      </c>
    </row>
    <row r="4056" spans="1:5" x14ac:dyDescent="0.3">
      <c r="A4056" s="16" t="s">
        <v>159</v>
      </c>
      <c r="B4056" s="16" t="s">
        <v>366</v>
      </c>
      <c r="C4056" s="17">
        <v>64000</v>
      </c>
      <c r="D4056" s="18">
        <v>96000</v>
      </c>
      <c r="E4056" s="19">
        <v>0</v>
      </c>
    </row>
    <row r="4057" spans="1:5" x14ac:dyDescent="0.3">
      <c r="A4057" s="20" t="s">
        <v>159</v>
      </c>
      <c r="B4057" s="21" t="s">
        <v>367</v>
      </c>
      <c r="C4057" s="22">
        <v>96000</v>
      </c>
      <c r="D4057" s="23">
        <v>96000</v>
      </c>
      <c r="E4057" s="24">
        <v>0</v>
      </c>
    </row>
    <row r="4058" spans="1:5" x14ac:dyDescent="0.3">
      <c r="A4058" s="20" t="s">
        <v>159</v>
      </c>
      <c r="B4058" s="21" t="s">
        <v>368</v>
      </c>
      <c r="C4058" s="22">
        <v>64000</v>
      </c>
      <c r="D4058" s="23">
        <v>64000</v>
      </c>
      <c r="E4058" s="24">
        <v>0</v>
      </c>
    </row>
    <row r="4059" spans="1:5" x14ac:dyDescent="0.3">
      <c r="A4059" s="20" t="s">
        <v>159</v>
      </c>
      <c r="B4059" s="21" t="s">
        <v>369</v>
      </c>
      <c r="C4059" s="22">
        <v>64000</v>
      </c>
      <c r="D4059" s="23">
        <v>64000</v>
      </c>
      <c r="E4059" s="24">
        <v>0</v>
      </c>
    </row>
    <row r="4060" spans="1:5" x14ac:dyDescent="0.3">
      <c r="A4060" s="20" t="s">
        <v>159</v>
      </c>
      <c r="B4060" s="21" t="s">
        <v>370</v>
      </c>
      <c r="C4060" s="22">
        <v>64000</v>
      </c>
      <c r="D4060" s="23">
        <v>96000</v>
      </c>
      <c r="E4060" s="24">
        <v>0</v>
      </c>
    </row>
    <row r="4061" spans="1:5" x14ac:dyDescent="0.3">
      <c r="A4061" s="20" t="s">
        <v>159</v>
      </c>
      <c r="B4061" s="21" t="s">
        <v>371</v>
      </c>
      <c r="C4061" s="22">
        <v>96000</v>
      </c>
      <c r="D4061" s="23">
        <v>64000</v>
      </c>
      <c r="E4061" s="24">
        <v>0</v>
      </c>
    </row>
    <row r="4062" spans="1:5" x14ac:dyDescent="0.3">
      <c r="A4062" s="20" t="s">
        <v>159</v>
      </c>
      <c r="B4062" s="21" t="s">
        <v>372</v>
      </c>
      <c r="C4062" s="22">
        <v>64000</v>
      </c>
      <c r="D4062" s="23">
        <v>32000</v>
      </c>
      <c r="E4062" s="24">
        <v>0</v>
      </c>
    </row>
    <row r="4063" spans="1:5" x14ac:dyDescent="0.3">
      <c r="A4063" s="20" t="s">
        <v>159</v>
      </c>
      <c r="B4063" s="21" t="s">
        <v>373</v>
      </c>
      <c r="C4063" s="22">
        <v>64000</v>
      </c>
      <c r="D4063" s="23">
        <v>96000</v>
      </c>
      <c r="E4063" s="24">
        <v>0</v>
      </c>
    </row>
    <row r="4064" spans="1:5" x14ac:dyDescent="0.3">
      <c r="A4064" s="20" t="s">
        <v>159</v>
      </c>
      <c r="B4064" s="21" t="s">
        <v>374</v>
      </c>
      <c r="C4064" s="22">
        <v>64000</v>
      </c>
      <c r="D4064" s="23">
        <v>32000</v>
      </c>
      <c r="E4064" s="24">
        <v>0</v>
      </c>
    </row>
    <row r="4065" spans="1:5" x14ac:dyDescent="0.3">
      <c r="A4065" s="20" t="s">
        <v>159</v>
      </c>
      <c r="B4065" s="21" t="s">
        <v>375</v>
      </c>
      <c r="C4065" s="22">
        <v>64000</v>
      </c>
      <c r="D4065" s="23">
        <v>0</v>
      </c>
      <c r="E4065" s="24">
        <v>0</v>
      </c>
    </row>
    <row r="4066" spans="1:5" x14ac:dyDescent="0.3">
      <c r="A4066" s="20" t="s">
        <v>159</v>
      </c>
      <c r="B4066" s="21" t="s">
        <v>376</v>
      </c>
      <c r="C4066" s="22">
        <v>64000</v>
      </c>
      <c r="D4066" s="23">
        <v>0</v>
      </c>
      <c r="E4066" s="24">
        <v>0</v>
      </c>
    </row>
    <row r="4067" spans="1:5" x14ac:dyDescent="0.3">
      <c r="A4067" s="20" t="s">
        <v>159</v>
      </c>
      <c r="B4067" s="21" t="s">
        <v>377</v>
      </c>
      <c r="C4067" s="22">
        <v>64000</v>
      </c>
      <c r="D4067" s="23">
        <v>0</v>
      </c>
      <c r="E4067" s="24">
        <v>0</v>
      </c>
    </row>
    <row r="4068" spans="1:5" x14ac:dyDescent="0.3">
      <c r="A4068" s="16" t="s">
        <v>31</v>
      </c>
      <c r="B4068" s="16" t="s">
        <v>366</v>
      </c>
      <c r="C4068" s="17">
        <v>48000</v>
      </c>
      <c r="D4068" s="18">
        <v>96000</v>
      </c>
      <c r="E4068" s="19">
        <v>0</v>
      </c>
    </row>
    <row r="4069" spans="1:5" x14ac:dyDescent="0.3">
      <c r="A4069" s="20" t="s">
        <v>31</v>
      </c>
      <c r="B4069" s="21" t="s">
        <v>367</v>
      </c>
      <c r="C4069" s="22">
        <v>96000</v>
      </c>
      <c r="D4069" s="23">
        <v>96000</v>
      </c>
      <c r="E4069" s="24">
        <v>0</v>
      </c>
    </row>
    <row r="4070" spans="1:5" x14ac:dyDescent="0.3">
      <c r="A4070" s="20" t="s">
        <v>31</v>
      </c>
      <c r="B4070" s="21" t="s">
        <v>368</v>
      </c>
      <c r="C4070" s="22">
        <v>96000</v>
      </c>
      <c r="D4070" s="23">
        <v>48000</v>
      </c>
      <c r="E4070" s="24">
        <v>0</v>
      </c>
    </row>
    <row r="4071" spans="1:5" x14ac:dyDescent="0.3">
      <c r="A4071" s="20" t="s">
        <v>31</v>
      </c>
      <c r="B4071" s="21" t="s">
        <v>369</v>
      </c>
      <c r="C4071" s="22">
        <v>48000</v>
      </c>
      <c r="D4071" s="23">
        <v>96000</v>
      </c>
      <c r="E4071" s="24">
        <v>0</v>
      </c>
    </row>
    <row r="4072" spans="1:5" x14ac:dyDescent="0.3">
      <c r="A4072" s="20" t="s">
        <v>31</v>
      </c>
      <c r="B4072" s="21" t="s">
        <v>370</v>
      </c>
      <c r="C4072" s="22">
        <v>48000</v>
      </c>
      <c r="D4072" s="23">
        <v>48000</v>
      </c>
      <c r="E4072" s="24">
        <v>0</v>
      </c>
    </row>
    <row r="4073" spans="1:5" x14ac:dyDescent="0.3">
      <c r="A4073" s="20" t="s">
        <v>31</v>
      </c>
      <c r="B4073" s="21" t="s">
        <v>371</v>
      </c>
      <c r="C4073" s="22">
        <v>96000</v>
      </c>
      <c r="D4073" s="23">
        <v>96000</v>
      </c>
      <c r="E4073" s="24">
        <v>0</v>
      </c>
    </row>
    <row r="4074" spans="1:5" x14ac:dyDescent="0.3">
      <c r="A4074" s="20" t="s">
        <v>31</v>
      </c>
      <c r="B4074" s="21" t="s">
        <v>372</v>
      </c>
      <c r="C4074" s="22">
        <v>48000</v>
      </c>
      <c r="D4074" s="23">
        <v>48000</v>
      </c>
      <c r="E4074" s="24">
        <v>0</v>
      </c>
    </row>
    <row r="4075" spans="1:5" x14ac:dyDescent="0.3">
      <c r="A4075" s="20" t="s">
        <v>31</v>
      </c>
      <c r="B4075" s="21" t="s">
        <v>373</v>
      </c>
      <c r="C4075" s="22">
        <v>48000</v>
      </c>
      <c r="D4075" s="23">
        <v>96000</v>
      </c>
      <c r="E4075" s="24">
        <v>0</v>
      </c>
    </row>
    <row r="4076" spans="1:5" x14ac:dyDescent="0.3">
      <c r="A4076" s="20" t="s">
        <v>31</v>
      </c>
      <c r="B4076" s="21" t="s">
        <v>374</v>
      </c>
      <c r="C4076" s="22">
        <v>48000</v>
      </c>
      <c r="D4076" s="23">
        <v>48000</v>
      </c>
      <c r="E4076" s="24">
        <v>0</v>
      </c>
    </row>
    <row r="4077" spans="1:5" x14ac:dyDescent="0.3">
      <c r="A4077" s="20" t="s">
        <v>31</v>
      </c>
      <c r="B4077" s="21" t="s">
        <v>375</v>
      </c>
      <c r="C4077" s="22">
        <v>96000</v>
      </c>
      <c r="D4077" s="23">
        <v>0</v>
      </c>
      <c r="E4077" s="24">
        <v>0</v>
      </c>
    </row>
    <row r="4078" spans="1:5" x14ac:dyDescent="0.3">
      <c r="A4078" s="20" t="s">
        <v>31</v>
      </c>
      <c r="B4078" s="21" t="s">
        <v>376</v>
      </c>
      <c r="C4078" s="22">
        <v>96000</v>
      </c>
      <c r="D4078" s="23">
        <v>0</v>
      </c>
      <c r="E4078" s="24">
        <v>0</v>
      </c>
    </row>
    <row r="4079" spans="1:5" x14ac:dyDescent="0.3">
      <c r="A4079" s="20" t="s">
        <v>31</v>
      </c>
      <c r="B4079" s="21" t="s">
        <v>377</v>
      </c>
      <c r="C4079" s="22">
        <v>48000</v>
      </c>
      <c r="D4079" s="23">
        <v>0</v>
      </c>
      <c r="E4079" s="24">
        <v>0</v>
      </c>
    </row>
    <row r="4080" spans="1:5" x14ac:dyDescent="0.3">
      <c r="A4080" s="16" t="s">
        <v>162</v>
      </c>
      <c r="B4080" s="16" t="s">
        <v>366</v>
      </c>
      <c r="C4080" s="17">
        <v>0</v>
      </c>
      <c r="D4080" s="18">
        <v>32000</v>
      </c>
      <c r="E4080" s="19">
        <v>0</v>
      </c>
    </row>
    <row r="4081" spans="1:5" x14ac:dyDescent="0.3">
      <c r="A4081" s="20" t="s">
        <v>162</v>
      </c>
      <c r="B4081" s="21" t="s">
        <v>368</v>
      </c>
      <c r="C4081" s="22">
        <v>32000</v>
      </c>
      <c r="D4081" s="23">
        <v>0</v>
      </c>
      <c r="E4081" s="24">
        <v>0</v>
      </c>
    </row>
    <row r="4082" spans="1:5" x14ac:dyDescent="0.3">
      <c r="A4082" s="20" t="s">
        <v>162</v>
      </c>
      <c r="B4082" s="21" t="s">
        <v>369</v>
      </c>
      <c r="C4082" s="22">
        <v>0</v>
      </c>
      <c r="D4082" s="23">
        <v>32000</v>
      </c>
      <c r="E4082" s="24">
        <v>0</v>
      </c>
    </row>
    <row r="4083" spans="1:5" x14ac:dyDescent="0.3">
      <c r="A4083" s="20" t="s">
        <v>162</v>
      </c>
      <c r="B4083" s="21" t="s">
        <v>370</v>
      </c>
      <c r="C4083" s="22">
        <v>0</v>
      </c>
      <c r="D4083" s="23">
        <v>0</v>
      </c>
      <c r="E4083" s="24">
        <v>0</v>
      </c>
    </row>
    <row r="4084" spans="1:5" x14ac:dyDescent="0.3">
      <c r="A4084" s="20" t="s">
        <v>162</v>
      </c>
      <c r="B4084" s="21" t="s">
        <v>371</v>
      </c>
      <c r="C4084" s="22">
        <v>32000</v>
      </c>
      <c r="D4084" s="23">
        <v>0</v>
      </c>
      <c r="E4084" s="24">
        <v>0</v>
      </c>
    </row>
    <row r="4085" spans="1:5" x14ac:dyDescent="0.3">
      <c r="A4085" s="20" t="s">
        <v>162</v>
      </c>
      <c r="B4085" s="21" t="s">
        <v>373</v>
      </c>
      <c r="C4085" s="22">
        <v>0</v>
      </c>
      <c r="D4085" s="23">
        <v>32000</v>
      </c>
      <c r="E4085" s="24">
        <v>0</v>
      </c>
    </row>
    <row r="4086" spans="1:5" x14ac:dyDescent="0.3">
      <c r="A4086" s="16" t="s">
        <v>168</v>
      </c>
      <c r="B4086" s="16" t="s">
        <v>366</v>
      </c>
      <c r="C4086" s="17">
        <v>24000</v>
      </c>
      <c r="D4086" s="18">
        <v>24000</v>
      </c>
      <c r="E4086" s="19">
        <v>0</v>
      </c>
    </row>
    <row r="4087" spans="1:5" x14ac:dyDescent="0.3">
      <c r="A4087" s="20" t="s">
        <v>168</v>
      </c>
      <c r="B4087" s="21" t="s">
        <v>367</v>
      </c>
      <c r="C4087" s="22">
        <v>0</v>
      </c>
      <c r="D4087" s="23">
        <v>24000</v>
      </c>
      <c r="E4087" s="24">
        <v>0</v>
      </c>
    </row>
    <row r="4088" spans="1:5" x14ac:dyDescent="0.3">
      <c r="A4088" s="20" t="s">
        <v>168</v>
      </c>
      <c r="B4088" s="21" t="s">
        <v>368</v>
      </c>
      <c r="C4088" s="22">
        <v>24000</v>
      </c>
      <c r="D4088" s="23">
        <v>24000</v>
      </c>
      <c r="E4088" s="24">
        <v>0</v>
      </c>
    </row>
    <row r="4089" spans="1:5" x14ac:dyDescent="0.3">
      <c r="A4089" s="20" t="s">
        <v>168</v>
      </c>
      <c r="B4089" s="21" t="s">
        <v>369</v>
      </c>
      <c r="C4089" s="22">
        <v>24000</v>
      </c>
      <c r="D4089" s="23">
        <v>24000</v>
      </c>
      <c r="E4089" s="24">
        <v>0</v>
      </c>
    </row>
    <row r="4090" spans="1:5" x14ac:dyDescent="0.3">
      <c r="A4090" s="20" t="s">
        <v>168</v>
      </c>
      <c r="B4090" s="21" t="s">
        <v>370</v>
      </c>
      <c r="C4090" s="22">
        <v>24000</v>
      </c>
      <c r="D4090" s="23">
        <v>24000</v>
      </c>
      <c r="E4090" s="24">
        <v>0</v>
      </c>
    </row>
    <row r="4091" spans="1:5" x14ac:dyDescent="0.3">
      <c r="A4091" s="20" t="s">
        <v>168</v>
      </c>
      <c r="B4091" s="21" t="s">
        <v>371</v>
      </c>
      <c r="C4091" s="22">
        <v>0</v>
      </c>
      <c r="D4091" s="23">
        <v>24000</v>
      </c>
      <c r="E4091" s="24">
        <v>0</v>
      </c>
    </row>
    <row r="4092" spans="1:5" x14ac:dyDescent="0.3">
      <c r="A4092" s="20" t="s">
        <v>168</v>
      </c>
      <c r="B4092" s="21" t="s">
        <v>372</v>
      </c>
      <c r="C4092" s="22">
        <v>24000</v>
      </c>
      <c r="D4092" s="23">
        <v>0</v>
      </c>
      <c r="E4092" s="24">
        <v>0</v>
      </c>
    </row>
    <row r="4093" spans="1:5" x14ac:dyDescent="0.3">
      <c r="A4093" s="20" t="s">
        <v>168</v>
      </c>
      <c r="B4093" s="21" t="s">
        <v>373</v>
      </c>
      <c r="C4093" s="22">
        <v>24000</v>
      </c>
      <c r="D4093" s="23">
        <v>24000</v>
      </c>
      <c r="E4093" s="24">
        <v>0</v>
      </c>
    </row>
    <row r="4094" spans="1:5" x14ac:dyDescent="0.3">
      <c r="A4094" s="20" t="s">
        <v>168</v>
      </c>
      <c r="B4094" s="21" t="s">
        <v>374</v>
      </c>
      <c r="C4094" s="22">
        <v>0</v>
      </c>
      <c r="D4094" s="23">
        <v>24000</v>
      </c>
      <c r="E4094" s="24">
        <v>0</v>
      </c>
    </row>
    <row r="4095" spans="1:5" x14ac:dyDescent="0.3">
      <c r="A4095" s="20" t="s">
        <v>168</v>
      </c>
      <c r="B4095" s="21" t="s">
        <v>375</v>
      </c>
      <c r="C4095" s="22">
        <v>24000</v>
      </c>
      <c r="D4095" s="23">
        <v>0</v>
      </c>
      <c r="E4095" s="24">
        <v>0</v>
      </c>
    </row>
    <row r="4096" spans="1:5" x14ac:dyDescent="0.3">
      <c r="A4096" s="20" t="s">
        <v>168</v>
      </c>
      <c r="B4096" s="21" t="s">
        <v>376</v>
      </c>
      <c r="C4096" s="22">
        <v>24000</v>
      </c>
      <c r="D4096" s="23">
        <v>0</v>
      </c>
      <c r="E4096" s="24">
        <v>0</v>
      </c>
    </row>
    <row r="4097" spans="1:5" x14ac:dyDescent="0.3">
      <c r="A4097" s="20" t="s">
        <v>168</v>
      </c>
      <c r="B4097" s="21" t="s">
        <v>377</v>
      </c>
      <c r="C4097" s="22">
        <v>24000</v>
      </c>
      <c r="D4097" s="23">
        <v>0</v>
      </c>
      <c r="E4097" s="24">
        <v>0</v>
      </c>
    </row>
    <row r="4098" spans="1:5" x14ac:dyDescent="0.3">
      <c r="A4098" s="16" t="s">
        <v>256</v>
      </c>
      <c r="B4098" s="16" t="s">
        <v>366</v>
      </c>
      <c r="C4098" s="17">
        <v>0</v>
      </c>
      <c r="D4098" s="18">
        <v>14400</v>
      </c>
      <c r="E4098" s="19">
        <v>0</v>
      </c>
    </row>
    <row r="4099" spans="1:5" x14ac:dyDescent="0.3">
      <c r="A4099" s="20" t="s">
        <v>256</v>
      </c>
      <c r="B4099" s="21" t="s">
        <v>367</v>
      </c>
      <c r="C4099" s="22">
        <v>14400</v>
      </c>
      <c r="D4099" s="23">
        <v>14400</v>
      </c>
      <c r="E4099" s="24">
        <v>0</v>
      </c>
    </row>
    <row r="4100" spans="1:5" x14ac:dyDescent="0.3">
      <c r="A4100" s="20" t="s">
        <v>256</v>
      </c>
      <c r="B4100" s="21" t="s">
        <v>368</v>
      </c>
      <c r="C4100" s="22">
        <v>14400</v>
      </c>
      <c r="D4100" s="23">
        <v>14400</v>
      </c>
      <c r="E4100" s="24">
        <v>0</v>
      </c>
    </row>
    <row r="4101" spans="1:5" x14ac:dyDescent="0.3">
      <c r="A4101" s="20" t="s">
        <v>256</v>
      </c>
      <c r="B4101" s="21" t="s">
        <v>369</v>
      </c>
      <c r="C4101" s="22">
        <v>14400</v>
      </c>
      <c r="D4101" s="23">
        <v>0</v>
      </c>
      <c r="E4101" s="24">
        <v>0</v>
      </c>
    </row>
    <row r="4102" spans="1:5" x14ac:dyDescent="0.3">
      <c r="A4102" s="20" t="s">
        <v>256</v>
      </c>
      <c r="B4102" s="21" t="s">
        <v>370</v>
      </c>
      <c r="C4102" s="22">
        <v>0</v>
      </c>
      <c r="D4102" s="23">
        <v>14400</v>
      </c>
      <c r="E4102" s="24">
        <v>0</v>
      </c>
    </row>
    <row r="4103" spans="1:5" x14ac:dyDescent="0.3">
      <c r="A4103" s="20" t="s">
        <v>256</v>
      </c>
      <c r="B4103" s="21" t="s">
        <v>371</v>
      </c>
      <c r="C4103" s="22">
        <v>14400</v>
      </c>
      <c r="D4103" s="23">
        <v>14400</v>
      </c>
      <c r="E4103" s="24">
        <v>0</v>
      </c>
    </row>
    <row r="4104" spans="1:5" x14ac:dyDescent="0.3">
      <c r="A4104" s="20" t="s">
        <v>256</v>
      </c>
      <c r="B4104" s="21" t="s">
        <v>372</v>
      </c>
      <c r="C4104" s="22">
        <v>14400</v>
      </c>
      <c r="D4104" s="23">
        <v>0</v>
      </c>
      <c r="E4104" s="24">
        <v>0</v>
      </c>
    </row>
    <row r="4105" spans="1:5" x14ac:dyDescent="0.3">
      <c r="A4105" s="20" t="s">
        <v>256</v>
      </c>
      <c r="B4105" s="21" t="s">
        <v>373</v>
      </c>
      <c r="C4105" s="22">
        <v>0</v>
      </c>
      <c r="D4105" s="23">
        <v>0</v>
      </c>
      <c r="E4105" s="24">
        <v>0</v>
      </c>
    </row>
    <row r="4106" spans="1:5" x14ac:dyDescent="0.3">
      <c r="A4106" s="20" t="s">
        <v>256</v>
      </c>
      <c r="B4106" s="21" t="s">
        <v>374</v>
      </c>
      <c r="C4106" s="22">
        <v>0</v>
      </c>
      <c r="D4106" s="23">
        <v>14400</v>
      </c>
      <c r="E4106" s="24">
        <v>0</v>
      </c>
    </row>
    <row r="4107" spans="1:5" x14ac:dyDescent="0.3">
      <c r="A4107" s="20" t="s">
        <v>256</v>
      </c>
      <c r="B4107" s="21" t="s">
        <v>375</v>
      </c>
      <c r="C4107" s="22">
        <v>14400</v>
      </c>
      <c r="D4107" s="23">
        <v>0</v>
      </c>
      <c r="E4107" s="24">
        <v>0</v>
      </c>
    </row>
    <row r="4108" spans="1:5" x14ac:dyDescent="0.3">
      <c r="A4108" s="20" t="s">
        <v>256</v>
      </c>
      <c r="B4108" s="21" t="s">
        <v>377</v>
      </c>
      <c r="C4108" s="22">
        <v>14400</v>
      </c>
      <c r="D4108" s="23">
        <v>0</v>
      </c>
      <c r="E4108" s="24">
        <v>0</v>
      </c>
    </row>
    <row r="4109" spans="1:5" x14ac:dyDescent="0.3">
      <c r="A4109" s="16" t="s">
        <v>260</v>
      </c>
      <c r="B4109" s="16" t="s">
        <v>366</v>
      </c>
      <c r="C4109" s="17">
        <v>28800</v>
      </c>
      <c r="D4109" s="18">
        <v>43200</v>
      </c>
      <c r="E4109" s="19">
        <v>0</v>
      </c>
    </row>
    <row r="4110" spans="1:5" x14ac:dyDescent="0.3">
      <c r="A4110" s="20" t="s">
        <v>260</v>
      </c>
      <c r="B4110" s="21" t="s">
        <v>367</v>
      </c>
      <c r="C4110" s="22">
        <v>43200</v>
      </c>
      <c r="D4110" s="23">
        <v>43200</v>
      </c>
      <c r="E4110" s="24">
        <v>0</v>
      </c>
    </row>
    <row r="4111" spans="1:5" x14ac:dyDescent="0.3">
      <c r="A4111" s="20" t="s">
        <v>260</v>
      </c>
      <c r="B4111" s="21" t="s">
        <v>368</v>
      </c>
      <c r="C4111" s="22">
        <v>43200</v>
      </c>
      <c r="D4111" s="23">
        <v>43200</v>
      </c>
      <c r="E4111" s="24">
        <v>0</v>
      </c>
    </row>
    <row r="4112" spans="1:5" x14ac:dyDescent="0.3">
      <c r="A4112" s="20" t="s">
        <v>260</v>
      </c>
      <c r="B4112" s="21" t="s">
        <v>369</v>
      </c>
      <c r="C4112" s="22">
        <v>28800</v>
      </c>
      <c r="D4112" s="23">
        <v>28800</v>
      </c>
      <c r="E4112" s="24">
        <v>0</v>
      </c>
    </row>
    <row r="4113" spans="1:5" x14ac:dyDescent="0.3">
      <c r="A4113" s="20" t="s">
        <v>260</v>
      </c>
      <c r="B4113" s="21" t="s">
        <v>370</v>
      </c>
      <c r="C4113" s="22">
        <v>43200</v>
      </c>
      <c r="D4113" s="23">
        <v>43200</v>
      </c>
      <c r="E4113" s="24">
        <v>0</v>
      </c>
    </row>
    <row r="4114" spans="1:5" x14ac:dyDescent="0.3">
      <c r="A4114" s="20" t="s">
        <v>260</v>
      </c>
      <c r="B4114" s="21" t="s">
        <v>371</v>
      </c>
      <c r="C4114" s="22">
        <v>43200</v>
      </c>
      <c r="D4114" s="23">
        <v>43200</v>
      </c>
      <c r="E4114" s="24">
        <v>0</v>
      </c>
    </row>
    <row r="4115" spans="1:5" x14ac:dyDescent="0.3">
      <c r="A4115" s="20" t="s">
        <v>260</v>
      </c>
      <c r="B4115" s="21" t="s">
        <v>372</v>
      </c>
      <c r="C4115" s="22">
        <v>14400</v>
      </c>
      <c r="D4115" s="23">
        <v>14400</v>
      </c>
      <c r="E4115" s="24">
        <v>0</v>
      </c>
    </row>
    <row r="4116" spans="1:5" x14ac:dyDescent="0.3">
      <c r="A4116" s="20" t="s">
        <v>260</v>
      </c>
      <c r="B4116" s="21" t="s">
        <v>373</v>
      </c>
      <c r="C4116" s="22">
        <v>14400</v>
      </c>
      <c r="D4116" s="23">
        <v>57600</v>
      </c>
      <c r="E4116" s="24">
        <v>0</v>
      </c>
    </row>
    <row r="4117" spans="1:5" x14ac:dyDescent="0.3">
      <c r="A4117" s="20" t="s">
        <v>260</v>
      </c>
      <c r="B4117" s="21" t="s">
        <v>374</v>
      </c>
      <c r="C4117" s="22">
        <v>28800</v>
      </c>
      <c r="D4117" s="23">
        <v>28800</v>
      </c>
      <c r="E4117" s="24">
        <v>0</v>
      </c>
    </row>
    <row r="4118" spans="1:5" x14ac:dyDescent="0.3">
      <c r="A4118" s="20" t="s">
        <v>260</v>
      </c>
      <c r="B4118" s="21" t="s">
        <v>375</v>
      </c>
      <c r="C4118" s="22">
        <v>43200</v>
      </c>
      <c r="D4118" s="23">
        <v>0</v>
      </c>
      <c r="E4118" s="24">
        <v>0</v>
      </c>
    </row>
    <row r="4119" spans="1:5" x14ac:dyDescent="0.3">
      <c r="A4119" s="20" t="s">
        <v>260</v>
      </c>
      <c r="B4119" s="21" t="s">
        <v>376</v>
      </c>
      <c r="C4119" s="22">
        <v>28800</v>
      </c>
      <c r="D4119" s="23">
        <v>0</v>
      </c>
      <c r="E4119" s="24">
        <v>0</v>
      </c>
    </row>
    <row r="4120" spans="1:5" x14ac:dyDescent="0.3">
      <c r="A4120" s="20" t="s">
        <v>260</v>
      </c>
      <c r="B4120" s="21" t="s">
        <v>377</v>
      </c>
      <c r="C4120" s="22">
        <v>43200</v>
      </c>
      <c r="D4120" s="23">
        <v>0</v>
      </c>
      <c r="E4120" s="24">
        <v>0</v>
      </c>
    </row>
    <row r="4121" spans="1:5" x14ac:dyDescent="0.3">
      <c r="A4121" s="16" t="s">
        <v>22</v>
      </c>
      <c r="B4121" s="16" t="s">
        <v>366</v>
      </c>
      <c r="C4121" s="17">
        <v>20000</v>
      </c>
      <c r="D4121" s="18">
        <v>40000</v>
      </c>
      <c r="E4121" s="19">
        <v>0</v>
      </c>
    </row>
    <row r="4122" spans="1:5" x14ac:dyDescent="0.3">
      <c r="A4122" s="20" t="s">
        <v>22</v>
      </c>
      <c r="B4122" s="21" t="s">
        <v>367</v>
      </c>
      <c r="C4122" s="22">
        <v>10000</v>
      </c>
      <c r="D4122" s="23">
        <v>30000</v>
      </c>
      <c r="E4122" s="24">
        <v>0</v>
      </c>
    </row>
    <row r="4123" spans="1:5" x14ac:dyDescent="0.3">
      <c r="A4123" s="20" t="s">
        <v>22</v>
      </c>
      <c r="B4123" s="21" t="s">
        <v>368</v>
      </c>
      <c r="C4123" s="22">
        <v>20000</v>
      </c>
      <c r="D4123" s="23">
        <v>10000</v>
      </c>
      <c r="E4123" s="24">
        <v>0</v>
      </c>
    </row>
    <row r="4124" spans="1:5" x14ac:dyDescent="0.3">
      <c r="A4124" s="20" t="s">
        <v>22</v>
      </c>
      <c r="B4124" s="21" t="s">
        <v>369</v>
      </c>
      <c r="C4124" s="22">
        <v>10000</v>
      </c>
      <c r="D4124" s="23">
        <v>10000</v>
      </c>
      <c r="E4124" s="24">
        <v>0</v>
      </c>
    </row>
    <row r="4125" spans="1:5" x14ac:dyDescent="0.3">
      <c r="A4125" s="20" t="s">
        <v>22</v>
      </c>
      <c r="B4125" s="21" t="s">
        <v>370</v>
      </c>
      <c r="C4125" s="22">
        <v>10000</v>
      </c>
      <c r="D4125" s="23">
        <v>20000</v>
      </c>
      <c r="E4125" s="24">
        <v>0</v>
      </c>
    </row>
    <row r="4126" spans="1:5" x14ac:dyDescent="0.3">
      <c r="A4126" s="20" t="s">
        <v>22</v>
      </c>
      <c r="B4126" s="21" t="s">
        <v>371</v>
      </c>
      <c r="C4126" s="22">
        <v>20000</v>
      </c>
      <c r="D4126" s="23">
        <v>10000</v>
      </c>
      <c r="E4126" s="24">
        <v>0</v>
      </c>
    </row>
    <row r="4127" spans="1:5" x14ac:dyDescent="0.3">
      <c r="A4127" s="20" t="s">
        <v>22</v>
      </c>
      <c r="B4127" s="21" t="s">
        <v>372</v>
      </c>
      <c r="C4127" s="22">
        <v>10000</v>
      </c>
      <c r="D4127" s="23">
        <v>0</v>
      </c>
      <c r="E4127" s="24">
        <v>0</v>
      </c>
    </row>
    <row r="4128" spans="1:5" x14ac:dyDescent="0.3">
      <c r="A4128" s="20" t="s">
        <v>22</v>
      </c>
      <c r="B4128" s="21" t="s">
        <v>373</v>
      </c>
      <c r="C4128" s="22">
        <v>10000</v>
      </c>
      <c r="D4128" s="23">
        <v>0</v>
      </c>
      <c r="E4128" s="24">
        <v>0</v>
      </c>
    </row>
    <row r="4129" spans="1:5" x14ac:dyDescent="0.3">
      <c r="A4129" s="20" t="s">
        <v>22</v>
      </c>
      <c r="B4129" s="21" t="s">
        <v>374</v>
      </c>
      <c r="C4129" s="22">
        <v>20000</v>
      </c>
      <c r="D4129" s="23">
        <v>0</v>
      </c>
      <c r="E4129" s="24">
        <v>0</v>
      </c>
    </row>
    <row r="4130" spans="1:5" x14ac:dyDescent="0.3">
      <c r="A4130" s="20" t="s">
        <v>22</v>
      </c>
      <c r="B4130" s="21" t="s">
        <v>375</v>
      </c>
      <c r="C4130" s="22">
        <v>10000</v>
      </c>
      <c r="D4130" s="23">
        <v>0</v>
      </c>
      <c r="E4130" s="24">
        <v>0</v>
      </c>
    </row>
    <row r="4131" spans="1:5" x14ac:dyDescent="0.3">
      <c r="A4131" s="20" t="s">
        <v>22</v>
      </c>
      <c r="B4131" s="21" t="s">
        <v>376</v>
      </c>
      <c r="C4131" s="22">
        <v>10000</v>
      </c>
      <c r="D4131" s="23">
        <v>0</v>
      </c>
      <c r="E4131" s="24">
        <v>0</v>
      </c>
    </row>
    <row r="4132" spans="1:5" x14ac:dyDescent="0.3">
      <c r="A4132" s="20" t="s">
        <v>22</v>
      </c>
      <c r="B4132" s="21" t="s">
        <v>377</v>
      </c>
      <c r="C4132" s="22">
        <v>10000</v>
      </c>
      <c r="D4132" s="23">
        <v>0</v>
      </c>
      <c r="E4132" s="24">
        <v>0</v>
      </c>
    </row>
    <row r="4133" spans="1:5" x14ac:dyDescent="0.3">
      <c r="A4133" s="16" t="s">
        <v>153</v>
      </c>
      <c r="B4133" s="16" t="s">
        <v>366</v>
      </c>
      <c r="C4133" s="17">
        <v>0</v>
      </c>
      <c r="D4133" s="18">
        <v>0</v>
      </c>
      <c r="E4133" s="19">
        <v>0</v>
      </c>
    </row>
    <row r="4134" spans="1:5" x14ac:dyDescent="0.3">
      <c r="A4134" s="16" t="s">
        <v>154</v>
      </c>
      <c r="B4134" s="16" t="s">
        <v>366</v>
      </c>
      <c r="C4134" s="17">
        <v>120000</v>
      </c>
      <c r="D4134" s="18">
        <v>120000</v>
      </c>
      <c r="E4134" s="19">
        <v>0</v>
      </c>
    </row>
    <row r="4135" spans="1:5" x14ac:dyDescent="0.3">
      <c r="A4135" s="20" t="s">
        <v>154</v>
      </c>
      <c r="B4135" s="21" t="s">
        <v>367</v>
      </c>
      <c r="C4135" s="22">
        <v>120000</v>
      </c>
      <c r="D4135" s="23">
        <v>144000</v>
      </c>
      <c r="E4135" s="24">
        <v>0</v>
      </c>
    </row>
    <row r="4136" spans="1:5" x14ac:dyDescent="0.3">
      <c r="A4136" s="20" t="s">
        <v>154</v>
      </c>
      <c r="B4136" s="21" t="s">
        <v>368</v>
      </c>
      <c r="C4136" s="22">
        <v>0</v>
      </c>
      <c r="D4136" s="23">
        <v>120000</v>
      </c>
      <c r="E4136" s="24">
        <v>0</v>
      </c>
    </row>
    <row r="4137" spans="1:5" x14ac:dyDescent="0.3">
      <c r="A4137" s="20" t="s">
        <v>154</v>
      </c>
      <c r="B4137" s="21" t="s">
        <v>369</v>
      </c>
      <c r="C4137" s="22">
        <v>120000</v>
      </c>
      <c r="D4137" s="23">
        <v>120000</v>
      </c>
      <c r="E4137" s="24">
        <v>0</v>
      </c>
    </row>
    <row r="4138" spans="1:5" x14ac:dyDescent="0.3">
      <c r="A4138" s="20" t="s">
        <v>154</v>
      </c>
      <c r="B4138" s="21" t="s">
        <v>370</v>
      </c>
      <c r="C4138" s="22">
        <v>120000</v>
      </c>
      <c r="D4138" s="23">
        <v>120000</v>
      </c>
      <c r="E4138" s="24">
        <v>0</v>
      </c>
    </row>
    <row r="4139" spans="1:5" x14ac:dyDescent="0.3">
      <c r="A4139" s="20" t="s">
        <v>154</v>
      </c>
      <c r="B4139" s="21" t="s">
        <v>371</v>
      </c>
      <c r="C4139" s="22">
        <v>0</v>
      </c>
      <c r="D4139" s="23">
        <v>120000</v>
      </c>
      <c r="E4139" s="24">
        <v>0</v>
      </c>
    </row>
    <row r="4140" spans="1:5" x14ac:dyDescent="0.3">
      <c r="A4140" s="20" t="s">
        <v>154</v>
      </c>
      <c r="B4140" s="21" t="s">
        <v>372</v>
      </c>
      <c r="C4140" s="22">
        <v>120000</v>
      </c>
      <c r="D4140" s="23">
        <v>0</v>
      </c>
      <c r="E4140" s="24">
        <v>0</v>
      </c>
    </row>
    <row r="4141" spans="1:5" x14ac:dyDescent="0.3">
      <c r="A4141" s="20" t="s">
        <v>154</v>
      </c>
      <c r="B4141" s="21" t="s">
        <v>373</v>
      </c>
      <c r="C4141" s="22">
        <v>0</v>
      </c>
      <c r="D4141" s="23">
        <v>0</v>
      </c>
      <c r="E4141" s="24">
        <v>0</v>
      </c>
    </row>
    <row r="4142" spans="1:5" x14ac:dyDescent="0.3">
      <c r="A4142" s="20" t="s">
        <v>154</v>
      </c>
      <c r="B4142" s="21" t="s">
        <v>374</v>
      </c>
      <c r="C4142" s="22">
        <v>120000</v>
      </c>
      <c r="D4142" s="23">
        <v>0</v>
      </c>
      <c r="E4142" s="24">
        <v>0</v>
      </c>
    </row>
    <row r="4143" spans="1:5" x14ac:dyDescent="0.3">
      <c r="A4143" s="20" t="s">
        <v>154</v>
      </c>
      <c r="B4143" s="21" t="s">
        <v>375</v>
      </c>
      <c r="C4143" s="22">
        <v>120000</v>
      </c>
      <c r="D4143" s="23">
        <v>0</v>
      </c>
      <c r="E4143" s="24">
        <v>0</v>
      </c>
    </row>
    <row r="4144" spans="1:5" x14ac:dyDescent="0.3">
      <c r="A4144" s="20" t="s">
        <v>154</v>
      </c>
      <c r="B4144" s="21" t="s">
        <v>376</v>
      </c>
      <c r="C4144" s="22">
        <v>120000</v>
      </c>
      <c r="D4144" s="23">
        <v>0</v>
      </c>
      <c r="E4144" s="24">
        <v>0</v>
      </c>
    </row>
    <row r="4145" spans="1:5" x14ac:dyDescent="0.3">
      <c r="A4145" s="16" t="s">
        <v>157</v>
      </c>
      <c r="B4145" s="16" t="s">
        <v>366</v>
      </c>
      <c r="C4145" s="17">
        <v>80000</v>
      </c>
      <c r="D4145" s="18">
        <v>40000</v>
      </c>
      <c r="E4145" s="19">
        <v>0</v>
      </c>
    </row>
    <row r="4146" spans="1:5" x14ac:dyDescent="0.3">
      <c r="A4146" s="20" t="s">
        <v>157</v>
      </c>
      <c r="B4146" s="21" t="s">
        <v>367</v>
      </c>
      <c r="C4146" s="22">
        <v>0</v>
      </c>
      <c r="D4146" s="23">
        <v>160000</v>
      </c>
      <c r="E4146" s="24">
        <v>0</v>
      </c>
    </row>
    <row r="4147" spans="1:5" x14ac:dyDescent="0.3">
      <c r="A4147" s="20" t="s">
        <v>157</v>
      </c>
      <c r="B4147" s="21" t="s">
        <v>368</v>
      </c>
      <c r="C4147" s="22">
        <v>80000</v>
      </c>
      <c r="D4147" s="23">
        <v>0</v>
      </c>
      <c r="E4147" s="24">
        <v>0</v>
      </c>
    </row>
    <row r="4148" spans="1:5" x14ac:dyDescent="0.3">
      <c r="A4148" s="20" t="s">
        <v>157</v>
      </c>
      <c r="B4148" s="21" t="s">
        <v>369</v>
      </c>
      <c r="C4148" s="22">
        <v>80000</v>
      </c>
      <c r="D4148" s="23">
        <v>80000</v>
      </c>
      <c r="E4148" s="24">
        <v>0</v>
      </c>
    </row>
    <row r="4149" spans="1:5" x14ac:dyDescent="0.3">
      <c r="A4149" s="20" t="s">
        <v>157</v>
      </c>
      <c r="B4149" s="21" t="s">
        <v>370</v>
      </c>
      <c r="C4149" s="22">
        <v>80000</v>
      </c>
      <c r="D4149" s="23">
        <v>80000</v>
      </c>
      <c r="E4149" s="24">
        <v>0</v>
      </c>
    </row>
    <row r="4150" spans="1:5" x14ac:dyDescent="0.3">
      <c r="A4150" s="20" t="s">
        <v>157</v>
      </c>
      <c r="B4150" s="21" t="s">
        <v>372</v>
      </c>
      <c r="C4150" s="22">
        <v>80000</v>
      </c>
      <c r="D4150" s="23">
        <v>0</v>
      </c>
      <c r="E4150" s="24">
        <v>0</v>
      </c>
    </row>
    <row r="4151" spans="1:5" x14ac:dyDescent="0.3">
      <c r="A4151" s="20" t="s">
        <v>157</v>
      </c>
      <c r="B4151" s="21" t="s">
        <v>373</v>
      </c>
      <c r="C4151" s="22">
        <v>80000</v>
      </c>
      <c r="D4151" s="23">
        <v>0</v>
      </c>
      <c r="E4151" s="24">
        <v>0</v>
      </c>
    </row>
    <row r="4152" spans="1:5" x14ac:dyDescent="0.3">
      <c r="A4152" s="20" t="s">
        <v>157</v>
      </c>
      <c r="B4152" s="21" t="s">
        <v>374</v>
      </c>
      <c r="C4152" s="22">
        <v>0</v>
      </c>
      <c r="D4152" s="23">
        <v>0</v>
      </c>
      <c r="E4152" s="24">
        <v>0</v>
      </c>
    </row>
    <row r="4153" spans="1:5" x14ac:dyDescent="0.3">
      <c r="A4153" s="20" t="s">
        <v>157</v>
      </c>
      <c r="B4153" s="21" t="s">
        <v>375</v>
      </c>
      <c r="C4153" s="22">
        <v>80000</v>
      </c>
      <c r="D4153" s="23">
        <v>0</v>
      </c>
      <c r="E4153" s="24">
        <v>0</v>
      </c>
    </row>
    <row r="4154" spans="1:5" x14ac:dyDescent="0.3">
      <c r="A4154" s="20" t="s">
        <v>157</v>
      </c>
      <c r="B4154" s="21" t="s">
        <v>376</v>
      </c>
      <c r="C4154" s="22">
        <v>80000</v>
      </c>
      <c r="D4154" s="23">
        <v>0</v>
      </c>
      <c r="E4154" s="24">
        <v>0</v>
      </c>
    </row>
    <row r="4155" spans="1:5" x14ac:dyDescent="0.3">
      <c r="A4155" s="16" t="s">
        <v>34</v>
      </c>
      <c r="B4155" s="16" t="s">
        <v>366</v>
      </c>
      <c r="C4155" s="17">
        <v>0</v>
      </c>
      <c r="D4155" s="18">
        <v>0</v>
      </c>
      <c r="E4155" s="19">
        <v>0</v>
      </c>
    </row>
    <row r="4156" spans="1:5" x14ac:dyDescent="0.3">
      <c r="A4156" s="16" t="s">
        <v>35</v>
      </c>
      <c r="B4156" s="16" t="s">
        <v>366</v>
      </c>
      <c r="C4156" s="17">
        <v>0</v>
      </c>
      <c r="D4156" s="18">
        <v>9000</v>
      </c>
      <c r="E4156" s="19">
        <v>0</v>
      </c>
    </row>
    <row r="4157" spans="1:5" x14ac:dyDescent="0.3">
      <c r="A4157" s="20" t="s">
        <v>35</v>
      </c>
      <c r="B4157" s="21" t="s">
        <v>367</v>
      </c>
      <c r="C4157" s="22">
        <v>9000</v>
      </c>
      <c r="D4157" s="23">
        <v>9000</v>
      </c>
      <c r="E4157" s="24">
        <v>0</v>
      </c>
    </row>
    <row r="4158" spans="1:5" x14ac:dyDescent="0.3">
      <c r="A4158" s="20" t="s">
        <v>35</v>
      </c>
      <c r="B4158" s="21" t="s">
        <v>368</v>
      </c>
      <c r="C4158" s="22">
        <v>0</v>
      </c>
      <c r="D4158" s="23">
        <v>9000</v>
      </c>
      <c r="E4158" s="24">
        <v>0</v>
      </c>
    </row>
    <row r="4159" spans="1:5" x14ac:dyDescent="0.3">
      <c r="A4159" s="20" t="s">
        <v>35</v>
      </c>
      <c r="B4159" s="21" t="s">
        <v>369</v>
      </c>
      <c r="C4159" s="22">
        <v>0</v>
      </c>
      <c r="D4159" s="23">
        <v>9000</v>
      </c>
      <c r="E4159" s="24">
        <v>0</v>
      </c>
    </row>
    <row r="4160" spans="1:5" x14ac:dyDescent="0.3">
      <c r="A4160" s="20" t="s">
        <v>35</v>
      </c>
      <c r="B4160" s="21" t="s">
        <v>370</v>
      </c>
      <c r="C4160" s="22">
        <v>9000</v>
      </c>
      <c r="D4160" s="23">
        <v>9000</v>
      </c>
      <c r="E4160" s="24">
        <v>0</v>
      </c>
    </row>
    <row r="4161" spans="1:5" x14ac:dyDescent="0.3">
      <c r="A4161" s="20" t="s">
        <v>35</v>
      </c>
      <c r="B4161" s="21" t="s">
        <v>373</v>
      </c>
      <c r="C4161" s="22">
        <v>9000</v>
      </c>
      <c r="D4161" s="23">
        <v>0</v>
      </c>
      <c r="E4161" s="24">
        <v>0</v>
      </c>
    </row>
    <row r="4162" spans="1:5" x14ac:dyDescent="0.3">
      <c r="A4162" s="20" t="s">
        <v>35</v>
      </c>
      <c r="B4162" s="21" t="s">
        <v>374</v>
      </c>
      <c r="C4162" s="22">
        <v>0</v>
      </c>
      <c r="D4162" s="23">
        <v>0</v>
      </c>
      <c r="E4162" s="24">
        <v>0</v>
      </c>
    </row>
    <row r="4163" spans="1:5" x14ac:dyDescent="0.3">
      <c r="A4163" s="20" t="s">
        <v>35</v>
      </c>
      <c r="B4163" s="21" t="s">
        <v>375</v>
      </c>
      <c r="C4163" s="22">
        <v>0</v>
      </c>
      <c r="D4163" s="23">
        <v>0</v>
      </c>
      <c r="E4163" s="24">
        <v>0</v>
      </c>
    </row>
    <row r="4164" spans="1:5" x14ac:dyDescent="0.3">
      <c r="A4164" s="16" t="s">
        <v>33</v>
      </c>
      <c r="B4164" s="16" t="s">
        <v>366</v>
      </c>
      <c r="C4164" s="17">
        <v>160000</v>
      </c>
      <c r="D4164" s="18">
        <v>280000</v>
      </c>
      <c r="E4164" s="19">
        <v>0</v>
      </c>
    </row>
    <row r="4165" spans="1:5" x14ac:dyDescent="0.3">
      <c r="A4165" s="20" t="s">
        <v>33</v>
      </c>
      <c r="B4165" s="21" t="s">
        <v>367</v>
      </c>
      <c r="C4165" s="22">
        <v>160000</v>
      </c>
      <c r="D4165" s="23">
        <v>200000</v>
      </c>
      <c r="E4165" s="24">
        <v>0</v>
      </c>
    </row>
    <row r="4166" spans="1:5" x14ac:dyDescent="0.3">
      <c r="A4166" s="20" t="s">
        <v>33</v>
      </c>
      <c r="B4166" s="21" t="s">
        <v>368</v>
      </c>
      <c r="C4166" s="22">
        <v>160000</v>
      </c>
      <c r="D4166" s="23">
        <v>200000</v>
      </c>
      <c r="E4166" s="24">
        <v>0</v>
      </c>
    </row>
    <row r="4167" spans="1:5" x14ac:dyDescent="0.3">
      <c r="A4167" s="20" t="s">
        <v>33</v>
      </c>
      <c r="B4167" s="21" t="s">
        <v>369</v>
      </c>
      <c r="C4167" s="22">
        <v>160000</v>
      </c>
      <c r="D4167" s="23">
        <v>200000</v>
      </c>
      <c r="E4167" s="24">
        <v>0</v>
      </c>
    </row>
    <row r="4168" spans="1:5" x14ac:dyDescent="0.3">
      <c r="A4168" s="20" t="s">
        <v>33</v>
      </c>
      <c r="B4168" s="21" t="s">
        <v>370</v>
      </c>
      <c r="C4168" s="22">
        <v>160000</v>
      </c>
      <c r="D4168" s="23">
        <v>240000</v>
      </c>
      <c r="E4168" s="24">
        <v>0</v>
      </c>
    </row>
    <row r="4169" spans="1:5" x14ac:dyDescent="0.3">
      <c r="A4169" s="20" t="s">
        <v>33</v>
      </c>
      <c r="B4169" s="21" t="s">
        <v>371</v>
      </c>
      <c r="C4169" s="22">
        <v>160000</v>
      </c>
      <c r="D4169" s="23">
        <v>120000</v>
      </c>
      <c r="E4169" s="24">
        <v>0</v>
      </c>
    </row>
    <row r="4170" spans="1:5" x14ac:dyDescent="0.3">
      <c r="A4170" s="20" t="s">
        <v>33</v>
      </c>
      <c r="B4170" s="21" t="s">
        <v>372</v>
      </c>
      <c r="C4170" s="22">
        <v>160000</v>
      </c>
      <c r="D4170" s="23">
        <v>80000</v>
      </c>
      <c r="E4170" s="24">
        <v>0</v>
      </c>
    </row>
    <row r="4171" spans="1:5" x14ac:dyDescent="0.3">
      <c r="A4171" s="20" t="s">
        <v>33</v>
      </c>
      <c r="B4171" s="21" t="s">
        <v>373</v>
      </c>
      <c r="C4171" s="22">
        <v>160000</v>
      </c>
      <c r="D4171" s="23">
        <v>40000</v>
      </c>
      <c r="E4171" s="24">
        <v>0</v>
      </c>
    </row>
    <row r="4172" spans="1:5" x14ac:dyDescent="0.3">
      <c r="A4172" s="20" t="s">
        <v>33</v>
      </c>
      <c r="B4172" s="21" t="s">
        <v>374</v>
      </c>
      <c r="C4172" s="22">
        <v>160000</v>
      </c>
      <c r="D4172" s="23">
        <v>40000</v>
      </c>
      <c r="E4172" s="24">
        <v>0</v>
      </c>
    </row>
    <row r="4173" spans="1:5" x14ac:dyDescent="0.3">
      <c r="A4173" s="20" t="s">
        <v>33</v>
      </c>
      <c r="B4173" s="21" t="s">
        <v>375</v>
      </c>
      <c r="C4173" s="22">
        <v>160000</v>
      </c>
      <c r="D4173" s="23">
        <v>0</v>
      </c>
      <c r="E4173" s="24">
        <v>0</v>
      </c>
    </row>
    <row r="4174" spans="1:5" x14ac:dyDescent="0.3">
      <c r="A4174" s="20" t="s">
        <v>33</v>
      </c>
      <c r="B4174" s="21" t="s">
        <v>376</v>
      </c>
      <c r="C4174" s="22">
        <v>160000</v>
      </c>
      <c r="D4174" s="23">
        <v>0</v>
      </c>
      <c r="E4174" s="24">
        <v>0</v>
      </c>
    </row>
    <row r="4175" spans="1:5" x14ac:dyDescent="0.3">
      <c r="A4175" s="20" t="s">
        <v>33</v>
      </c>
      <c r="B4175" s="21" t="s">
        <v>377</v>
      </c>
      <c r="C4175" s="22">
        <v>160000</v>
      </c>
      <c r="D4175" s="23">
        <v>0</v>
      </c>
      <c r="E4175" s="24">
        <v>0</v>
      </c>
    </row>
    <row r="4176" spans="1:5" x14ac:dyDescent="0.3">
      <c r="A4176" s="16" t="s">
        <v>155</v>
      </c>
      <c r="B4176" s="16" t="s">
        <v>366</v>
      </c>
      <c r="C4176" s="17">
        <v>32000</v>
      </c>
      <c r="D4176" s="18">
        <v>0</v>
      </c>
      <c r="E4176" s="19">
        <v>0</v>
      </c>
    </row>
    <row r="4177" spans="1:5" x14ac:dyDescent="0.3">
      <c r="A4177" s="20" t="s">
        <v>155</v>
      </c>
      <c r="B4177" s="21" t="s">
        <v>367</v>
      </c>
      <c r="C4177" s="22">
        <v>32000</v>
      </c>
      <c r="D4177" s="23">
        <v>32000</v>
      </c>
      <c r="E4177" s="24">
        <v>0</v>
      </c>
    </row>
    <row r="4178" spans="1:5" x14ac:dyDescent="0.3">
      <c r="A4178" s="20" t="s">
        <v>155</v>
      </c>
      <c r="B4178" s="21" t="s">
        <v>368</v>
      </c>
      <c r="C4178" s="22">
        <v>32000</v>
      </c>
      <c r="D4178" s="23">
        <v>32000</v>
      </c>
      <c r="E4178" s="24">
        <v>0</v>
      </c>
    </row>
    <row r="4179" spans="1:5" x14ac:dyDescent="0.3">
      <c r="A4179" s="20" t="s">
        <v>155</v>
      </c>
      <c r="B4179" s="21" t="s">
        <v>369</v>
      </c>
      <c r="C4179" s="22">
        <v>32000</v>
      </c>
      <c r="D4179" s="23">
        <v>32000</v>
      </c>
      <c r="E4179" s="24">
        <v>0</v>
      </c>
    </row>
    <row r="4180" spans="1:5" x14ac:dyDescent="0.3">
      <c r="A4180" s="20" t="s">
        <v>155</v>
      </c>
      <c r="B4180" s="21" t="s">
        <v>370</v>
      </c>
      <c r="C4180" s="22">
        <v>32000</v>
      </c>
      <c r="D4180" s="23">
        <v>0</v>
      </c>
      <c r="E4180" s="24">
        <v>0</v>
      </c>
    </row>
    <row r="4181" spans="1:5" x14ac:dyDescent="0.3">
      <c r="A4181" s="20" t="s">
        <v>155</v>
      </c>
      <c r="B4181" s="21" t="s">
        <v>371</v>
      </c>
      <c r="C4181" s="22">
        <v>32000</v>
      </c>
      <c r="D4181" s="23">
        <v>32000</v>
      </c>
      <c r="E4181" s="24">
        <v>0</v>
      </c>
    </row>
    <row r="4182" spans="1:5" x14ac:dyDescent="0.3">
      <c r="A4182" s="20" t="s">
        <v>155</v>
      </c>
      <c r="B4182" s="21" t="s">
        <v>372</v>
      </c>
      <c r="C4182" s="22">
        <v>32000</v>
      </c>
      <c r="D4182" s="23">
        <v>0</v>
      </c>
      <c r="E4182" s="24">
        <v>0</v>
      </c>
    </row>
    <row r="4183" spans="1:5" x14ac:dyDescent="0.3">
      <c r="A4183" s="20" t="s">
        <v>155</v>
      </c>
      <c r="B4183" s="21" t="s">
        <v>373</v>
      </c>
      <c r="C4183" s="22">
        <v>32000</v>
      </c>
      <c r="D4183" s="23">
        <v>0</v>
      </c>
      <c r="E4183" s="24">
        <v>0</v>
      </c>
    </row>
    <row r="4184" spans="1:5" x14ac:dyDescent="0.3">
      <c r="A4184" s="20" t="s">
        <v>155</v>
      </c>
      <c r="B4184" s="21" t="s">
        <v>374</v>
      </c>
      <c r="C4184" s="22">
        <v>32000</v>
      </c>
      <c r="D4184" s="23">
        <v>0</v>
      </c>
      <c r="E4184" s="24">
        <v>0</v>
      </c>
    </row>
    <row r="4185" spans="1:5" x14ac:dyDescent="0.3">
      <c r="A4185" s="20" t="s">
        <v>155</v>
      </c>
      <c r="B4185" s="21" t="s">
        <v>375</v>
      </c>
      <c r="C4185" s="22">
        <v>32000</v>
      </c>
      <c r="D4185" s="23">
        <v>0</v>
      </c>
      <c r="E4185" s="24">
        <v>0</v>
      </c>
    </row>
    <row r="4186" spans="1:5" x14ac:dyDescent="0.3">
      <c r="A4186" s="20" t="s">
        <v>155</v>
      </c>
      <c r="B4186" s="21" t="s">
        <v>376</v>
      </c>
      <c r="C4186" s="22">
        <v>32000</v>
      </c>
      <c r="D4186" s="23">
        <v>0</v>
      </c>
      <c r="E4186" s="24">
        <v>0</v>
      </c>
    </row>
    <row r="4187" spans="1:5" x14ac:dyDescent="0.3">
      <c r="A4187" s="20" t="s">
        <v>155</v>
      </c>
      <c r="B4187" s="21" t="s">
        <v>377</v>
      </c>
      <c r="C4187" s="22">
        <v>32000</v>
      </c>
      <c r="D4187" s="23">
        <v>0</v>
      </c>
      <c r="E4187" s="24">
        <v>0</v>
      </c>
    </row>
    <row r="4188" spans="1:5" x14ac:dyDescent="0.3">
      <c r="A4188" s="16" t="s">
        <v>156</v>
      </c>
      <c r="B4188" s="16" t="s">
        <v>366</v>
      </c>
      <c r="C4188" s="17">
        <v>40000</v>
      </c>
      <c r="D4188" s="18">
        <v>40000</v>
      </c>
      <c r="E4188" s="19">
        <v>0</v>
      </c>
    </row>
    <row r="4189" spans="1:5" x14ac:dyDescent="0.3">
      <c r="A4189" s="20" t="s">
        <v>156</v>
      </c>
      <c r="B4189" s="21" t="s">
        <v>367</v>
      </c>
      <c r="C4189" s="22">
        <v>0</v>
      </c>
      <c r="D4189" s="23">
        <v>40000</v>
      </c>
      <c r="E4189" s="24">
        <v>0</v>
      </c>
    </row>
    <row r="4190" spans="1:5" x14ac:dyDescent="0.3">
      <c r="A4190" s="20" t="s">
        <v>156</v>
      </c>
      <c r="B4190" s="21" t="s">
        <v>368</v>
      </c>
      <c r="C4190" s="22">
        <v>40000</v>
      </c>
      <c r="D4190" s="23">
        <v>40000</v>
      </c>
      <c r="E4190" s="24">
        <v>0</v>
      </c>
    </row>
    <row r="4191" spans="1:5" x14ac:dyDescent="0.3">
      <c r="A4191" s="20" t="s">
        <v>156</v>
      </c>
      <c r="B4191" s="21" t="s">
        <v>370</v>
      </c>
      <c r="C4191" s="22">
        <v>40000</v>
      </c>
      <c r="D4191" s="23">
        <v>0</v>
      </c>
      <c r="E4191" s="24">
        <v>0</v>
      </c>
    </row>
    <row r="4192" spans="1:5" x14ac:dyDescent="0.3">
      <c r="A4192" s="20" t="s">
        <v>156</v>
      </c>
      <c r="B4192" s="21" t="s">
        <v>371</v>
      </c>
      <c r="C4192" s="22">
        <v>0</v>
      </c>
      <c r="D4192" s="23">
        <v>40000</v>
      </c>
      <c r="E4192" s="24">
        <v>0</v>
      </c>
    </row>
    <row r="4193" spans="1:5" x14ac:dyDescent="0.3">
      <c r="A4193" s="20" t="s">
        <v>156</v>
      </c>
      <c r="B4193" s="21" t="s">
        <v>372</v>
      </c>
      <c r="C4193" s="22">
        <v>40000</v>
      </c>
      <c r="D4193" s="23">
        <v>0</v>
      </c>
      <c r="E4193" s="24">
        <v>0</v>
      </c>
    </row>
    <row r="4194" spans="1:5" x14ac:dyDescent="0.3">
      <c r="A4194" s="20" t="s">
        <v>156</v>
      </c>
      <c r="B4194" s="21" t="s">
        <v>373</v>
      </c>
      <c r="C4194" s="22">
        <v>40000</v>
      </c>
      <c r="D4194" s="23">
        <v>0</v>
      </c>
      <c r="E4194" s="24">
        <v>0</v>
      </c>
    </row>
    <row r="4195" spans="1:5" x14ac:dyDescent="0.3">
      <c r="A4195" s="20" t="s">
        <v>156</v>
      </c>
      <c r="B4195" s="21" t="s">
        <v>374</v>
      </c>
      <c r="C4195" s="22">
        <v>0</v>
      </c>
      <c r="D4195" s="23">
        <v>0</v>
      </c>
      <c r="E4195" s="24">
        <v>0</v>
      </c>
    </row>
    <row r="4196" spans="1:5" x14ac:dyDescent="0.3">
      <c r="A4196" s="20" t="s">
        <v>156</v>
      </c>
      <c r="B4196" s="21" t="s">
        <v>375</v>
      </c>
      <c r="C4196" s="22">
        <v>40000</v>
      </c>
      <c r="D4196" s="23">
        <v>0</v>
      </c>
      <c r="E4196" s="24">
        <v>0</v>
      </c>
    </row>
    <row r="4197" spans="1:5" x14ac:dyDescent="0.3">
      <c r="A4197" s="20" t="s">
        <v>156</v>
      </c>
      <c r="B4197" s="21" t="s">
        <v>376</v>
      </c>
      <c r="C4197" s="22">
        <v>40000</v>
      </c>
      <c r="D4197" s="23">
        <v>0</v>
      </c>
      <c r="E4197" s="24">
        <v>0</v>
      </c>
    </row>
    <row r="4198" spans="1:5" x14ac:dyDescent="0.3">
      <c r="A4198" s="16" t="s">
        <v>256</v>
      </c>
      <c r="B4198" s="16" t="s">
        <v>366</v>
      </c>
      <c r="C4198" s="17">
        <v>14400</v>
      </c>
      <c r="D4198" s="18">
        <v>0</v>
      </c>
      <c r="E4198" s="19">
        <v>0</v>
      </c>
    </row>
    <row r="4199" spans="1:5" x14ac:dyDescent="0.3">
      <c r="A4199" s="20" t="s">
        <v>256</v>
      </c>
      <c r="B4199" s="21" t="s">
        <v>367</v>
      </c>
      <c r="C4199" s="22">
        <v>14400</v>
      </c>
      <c r="D4199" s="23">
        <v>14400</v>
      </c>
      <c r="E4199" s="24">
        <v>0</v>
      </c>
    </row>
    <row r="4200" spans="1:5" x14ac:dyDescent="0.3">
      <c r="A4200" s="20" t="s">
        <v>256</v>
      </c>
      <c r="B4200" s="21" t="s">
        <v>368</v>
      </c>
      <c r="C4200" s="22">
        <v>0</v>
      </c>
      <c r="D4200" s="23">
        <v>14400</v>
      </c>
      <c r="E4200" s="24">
        <v>0</v>
      </c>
    </row>
    <row r="4201" spans="1:5" x14ac:dyDescent="0.3">
      <c r="A4201" s="20" t="s">
        <v>256</v>
      </c>
      <c r="B4201" s="21" t="s">
        <v>369</v>
      </c>
      <c r="C4201" s="22">
        <v>0</v>
      </c>
      <c r="D4201" s="23">
        <v>14400</v>
      </c>
      <c r="E4201" s="24">
        <v>0</v>
      </c>
    </row>
    <row r="4202" spans="1:5" x14ac:dyDescent="0.3">
      <c r="A4202" s="20" t="s">
        <v>256</v>
      </c>
      <c r="B4202" s="21" t="s">
        <v>370</v>
      </c>
      <c r="C4202" s="22">
        <v>14400</v>
      </c>
      <c r="D4202" s="23">
        <v>14400</v>
      </c>
      <c r="E4202" s="24">
        <v>0</v>
      </c>
    </row>
    <row r="4203" spans="1:5" x14ac:dyDescent="0.3">
      <c r="A4203" s="20" t="s">
        <v>256</v>
      </c>
      <c r="B4203" s="21" t="s">
        <v>372</v>
      </c>
      <c r="C4203" s="22">
        <v>0</v>
      </c>
      <c r="D4203" s="23">
        <v>0</v>
      </c>
      <c r="E4203" s="24">
        <v>0</v>
      </c>
    </row>
    <row r="4204" spans="1:5" x14ac:dyDescent="0.3">
      <c r="A4204" s="20" t="s">
        <v>256</v>
      </c>
      <c r="B4204" s="21" t="s">
        <v>373</v>
      </c>
      <c r="C4204" s="22">
        <v>0</v>
      </c>
      <c r="D4204" s="23">
        <v>0</v>
      </c>
      <c r="E4204" s="24">
        <v>0</v>
      </c>
    </row>
    <row r="4205" spans="1:5" x14ac:dyDescent="0.3">
      <c r="A4205" s="20" t="s">
        <v>256</v>
      </c>
      <c r="B4205" s="21" t="s">
        <v>374</v>
      </c>
      <c r="C4205" s="22">
        <v>14400</v>
      </c>
      <c r="D4205" s="23">
        <v>0</v>
      </c>
      <c r="E4205" s="24">
        <v>0</v>
      </c>
    </row>
    <row r="4206" spans="1:5" x14ac:dyDescent="0.3">
      <c r="A4206" s="20" t="s">
        <v>256</v>
      </c>
      <c r="B4206" s="21" t="s">
        <v>375</v>
      </c>
      <c r="C4206" s="22">
        <v>0</v>
      </c>
      <c r="D4206" s="23">
        <v>0</v>
      </c>
      <c r="E4206" s="24">
        <v>0</v>
      </c>
    </row>
    <row r="4207" spans="1:5" x14ac:dyDescent="0.3">
      <c r="A4207" s="20" t="s">
        <v>256</v>
      </c>
      <c r="B4207" s="21" t="s">
        <v>376</v>
      </c>
      <c r="C4207" s="22">
        <v>14400</v>
      </c>
      <c r="D4207" s="23">
        <v>0</v>
      </c>
      <c r="E4207" s="24">
        <v>0</v>
      </c>
    </row>
    <row r="4208" spans="1:5" x14ac:dyDescent="0.3">
      <c r="A4208" s="16" t="s">
        <v>345</v>
      </c>
      <c r="B4208" s="16" t="s">
        <v>369</v>
      </c>
      <c r="C4208" s="17">
        <v>0</v>
      </c>
      <c r="D4208" s="18">
        <v>0</v>
      </c>
      <c r="E4208" s="19">
        <v>0</v>
      </c>
    </row>
    <row r="4209" spans="1:5" x14ac:dyDescent="0.3">
      <c r="A4209" s="16" t="s">
        <v>211</v>
      </c>
      <c r="B4209" s="16" t="s">
        <v>369</v>
      </c>
      <c r="C4209" s="17">
        <v>0</v>
      </c>
      <c r="D4209" s="18">
        <v>0</v>
      </c>
      <c r="E4209" s="19">
        <v>0</v>
      </c>
    </row>
    <row r="4210" spans="1:5" x14ac:dyDescent="0.3">
      <c r="A4210" s="16" t="s">
        <v>105</v>
      </c>
      <c r="B4210" s="16" t="s">
        <v>366</v>
      </c>
      <c r="C4210" s="17">
        <v>0</v>
      </c>
      <c r="D4210" s="18">
        <v>0</v>
      </c>
      <c r="E4210" s="19">
        <v>0</v>
      </c>
    </row>
    <row r="4211" spans="1:5" x14ac:dyDescent="0.3">
      <c r="A4211" s="20" t="s">
        <v>105</v>
      </c>
      <c r="B4211" s="21" t="s">
        <v>367</v>
      </c>
      <c r="C4211" s="22">
        <v>0</v>
      </c>
      <c r="D4211" s="23">
        <v>0</v>
      </c>
      <c r="E4211" s="24">
        <v>0</v>
      </c>
    </row>
    <row r="4212" spans="1:5" x14ac:dyDescent="0.3">
      <c r="A4212" s="20" t="s">
        <v>105</v>
      </c>
      <c r="B4212" s="21" t="s">
        <v>368</v>
      </c>
      <c r="C4212" s="22">
        <v>0</v>
      </c>
      <c r="D4212" s="23">
        <v>0</v>
      </c>
      <c r="E4212" s="24">
        <v>0</v>
      </c>
    </row>
    <row r="4213" spans="1:5" x14ac:dyDescent="0.3">
      <c r="A4213" s="16" t="s">
        <v>106</v>
      </c>
      <c r="B4213" s="16" t="s">
        <v>366</v>
      </c>
      <c r="C4213" s="17">
        <v>0</v>
      </c>
      <c r="D4213" s="18">
        <v>0</v>
      </c>
      <c r="E4213" s="19">
        <v>0</v>
      </c>
    </row>
    <row r="4214" spans="1:5" x14ac:dyDescent="0.3">
      <c r="A4214" s="20" t="s">
        <v>106</v>
      </c>
      <c r="B4214" s="21" t="s">
        <v>367</v>
      </c>
      <c r="C4214" s="22">
        <v>0</v>
      </c>
      <c r="D4214" s="23">
        <v>0</v>
      </c>
      <c r="E4214" s="24">
        <v>0</v>
      </c>
    </row>
    <row r="4215" spans="1:5" x14ac:dyDescent="0.3">
      <c r="A4215" s="20" t="s">
        <v>106</v>
      </c>
      <c r="B4215" s="21" t="s">
        <v>368</v>
      </c>
      <c r="C4215" s="22">
        <v>0</v>
      </c>
      <c r="D4215" s="23">
        <v>0</v>
      </c>
      <c r="E4215" s="24">
        <v>0</v>
      </c>
    </row>
    <row r="4216" spans="1:5" x14ac:dyDescent="0.3">
      <c r="A4216" s="16" t="s">
        <v>107</v>
      </c>
      <c r="B4216" s="16" t="s">
        <v>368</v>
      </c>
      <c r="C4216" s="17">
        <v>0</v>
      </c>
      <c r="D4216" s="18">
        <v>0</v>
      </c>
      <c r="E4216" s="19">
        <v>0</v>
      </c>
    </row>
    <row r="4217" spans="1:5" x14ac:dyDescent="0.3">
      <c r="A4217" s="16" t="s">
        <v>328</v>
      </c>
      <c r="B4217" s="16" t="s">
        <v>366</v>
      </c>
      <c r="C4217" s="17">
        <v>0</v>
      </c>
      <c r="D4217" s="18">
        <v>0</v>
      </c>
      <c r="E4217" s="19">
        <v>0</v>
      </c>
    </row>
    <row r="4218" spans="1:5" x14ac:dyDescent="0.3">
      <c r="A4218" s="20" t="s">
        <v>328</v>
      </c>
      <c r="B4218" s="21" t="s">
        <v>368</v>
      </c>
      <c r="C4218" s="22">
        <v>0</v>
      </c>
      <c r="D4218" s="23">
        <v>0</v>
      </c>
      <c r="E4218" s="24">
        <v>0</v>
      </c>
    </row>
    <row r="4219" spans="1:5" x14ac:dyDescent="0.3">
      <c r="A4219" s="16" t="s">
        <v>108</v>
      </c>
      <c r="B4219" s="16" t="s">
        <v>368</v>
      </c>
      <c r="C4219" s="17">
        <v>0</v>
      </c>
      <c r="D4219" s="18">
        <v>0</v>
      </c>
      <c r="E4219" s="19">
        <v>0</v>
      </c>
    </row>
    <row r="4220" spans="1:5" x14ac:dyDescent="0.3">
      <c r="A4220" s="16" t="s">
        <v>115</v>
      </c>
      <c r="B4220" s="16" t="s">
        <v>366</v>
      </c>
      <c r="C4220" s="17">
        <v>0</v>
      </c>
      <c r="D4220" s="18">
        <v>0</v>
      </c>
      <c r="E4220" s="19">
        <v>0</v>
      </c>
    </row>
    <row r="4221" spans="1:5" x14ac:dyDescent="0.3">
      <c r="A4221" s="20" t="s">
        <v>115</v>
      </c>
      <c r="B4221" s="21" t="s">
        <v>367</v>
      </c>
      <c r="C4221" s="22">
        <v>0</v>
      </c>
      <c r="D4221" s="23">
        <v>0</v>
      </c>
      <c r="E4221" s="24">
        <v>0</v>
      </c>
    </row>
    <row r="4222" spans="1:5" x14ac:dyDescent="0.3">
      <c r="A4222" s="20" t="s">
        <v>115</v>
      </c>
      <c r="B4222" s="21" t="s">
        <v>368</v>
      </c>
      <c r="C4222" s="22">
        <v>0</v>
      </c>
      <c r="D4222" s="23">
        <v>0</v>
      </c>
      <c r="E4222" s="24">
        <v>0</v>
      </c>
    </row>
    <row r="4223" spans="1:5" x14ac:dyDescent="0.3">
      <c r="A4223" s="16" t="s">
        <v>330</v>
      </c>
      <c r="B4223" s="16" t="s">
        <v>366</v>
      </c>
      <c r="C4223" s="17">
        <v>0</v>
      </c>
      <c r="D4223" s="18">
        <v>0</v>
      </c>
      <c r="E4223" s="19">
        <v>0</v>
      </c>
    </row>
    <row r="4224" spans="1:5" x14ac:dyDescent="0.3">
      <c r="A4224" s="20" t="s">
        <v>330</v>
      </c>
      <c r="B4224" s="21" t="s">
        <v>370</v>
      </c>
      <c r="C4224" s="22">
        <v>0</v>
      </c>
      <c r="D4224" s="23">
        <v>0</v>
      </c>
      <c r="E4224" s="24">
        <v>0</v>
      </c>
    </row>
    <row r="4225" spans="1:5" x14ac:dyDescent="0.3">
      <c r="A4225" s="16" t="s">
        <v>331</v>
      </c>
      <c r="B4225" s="16" t="s">
        <v>366</v>
      </c>
      <c r="C4225" s="17">
        <v>0</v>
      </c>
      <c r="D4225" s="18">
        <v>0</v>
      </c>
      <c r="E4225" s="19">
        <v>0</v>
      </c>
    </row>
    <row r="4226" spans="1:5" x14ac:dyDescent="0.3">
      <c r="A4226" s="20" t="s">
        <v>331</v>
      </c>
      <c r="B4226" s="21" t="s">
        <v>367</v>
      </c>
      <c r="C4226" s="22">
        <v>0</v>
      </c>
      <c r="D4226" s="23">
        <v>0</v>
      </c>
      <c r="E4226" s="24">
        <v>0</v>
      </c>
    </row>
    <row r="4227" spans="1:5" x14ac:dyDescent="0.3">
      <c r="A4227" s="20" t="s">
        <v>331</v>
      </c>
      <c r="B4227" s="21" t="s">
        <v>370</v>
      </c>
      <c r="C4227" s="22">
        <v>0</v>
      </c>
      <c r="D4227" s="23">
        <v>0</v>
      </c>
      <c r="E4227" s="24">
        <v>0</v>
      </c>
    </row>
    <row r="4228" spans="1:5" x14ac:dyDescent="0.3">
      <c r="A4228" s="16" t="s">
        <v>332</v>
      </c>
      <c r="B4228" s="16" t="s">
        <v>368</v>
      </c>
      <c r="C4228" s="17">
        <v>0</v>
      </c>
      <c r="D4228" s="18">
        <v>0</v>
      </c>
      <c r="E4228" s="19">
        <v>0</v>
      </c>
    </row>
    <row r="4229" spans="1:5" x14ac:dyDescent="0.3">
      <c r="A4229" s="16" t="s">
        <v>116</v>
      </c>
      <c r="B4229" s="16" t="s">
        <v>366</v>
      </c>
      <c r="C4229" s="17">
        <v>0</v>
      </c>
      <c r="D4229" s="18">
        <v>0</v>
      </c>
      <c r="E4229" s="19">
        <v>0</v>
      </c>
    </row>
    <row r="4230" spans="1:5" x14ac:dyDescent="0.3">
      <c r="A4230" s="16" t="s">
        <v>117</v>
      </c>
      <c r="B4230" s="16" t="s">
        <v>366</v>
      </c>
      <c r="C4230" s="17">
        <v>0</v>
      </c>
      <c r="D4230" s="18">
        <v>0</v>
      </c>
      <c r="E4230" s="19">
        <v>0</v>
      </c>
    </row>
    <row r="4231" spans="1:5" x14ac:dyDescent="0.3">
      <c r="A4231" s="20" t="s">
        <v>117</v>
      </c>
      <c r="B4231" s="21" t="s">
        <v>367</v>
      </c>
      <c r="C4231" s="22">
        <v>0</v>
      </c>
      <c r="D4231" s="23">
        <v>0</v>
      </c>
      <c r="E4231" s="24">
        <v>0</v>
      </c>
    </row>
    <row r="4232" spans="1:5" x14ac:dyDescent="0.3">
      <c r="A4232" s="20" t="s">
        <v>117</v>
      </c>
      <c r="B4232" s="21" t="s">
        <v>368</v>
      </c>
      <c r="C4232" s="22">
        <v>0</v>
      </c>
      <c r="D4232" s="23">
        <v>0</v>
      </c>
      <c r="E4232" s="24">
        <v>0</v>
      </c>
    </row>
    <row r="4233" spans="1:5" x14ac:dyDescent="0.3">
      <c r="A4233" s="20" t="s">
        <v>117</v>
      </c>
      <c r="B4233" s="21" t="s">
        <v>369</v>
      </c>
      <c r="C4233" s="22">
        <v>0</v>
      </c>
      <c r="D4233" s="23">
        <v>0</v>
      </c>
      <c r="E4233" s="24">
        <v>0</v>
      </c>
    </row>
    <row r="4234" spans="1:5" x14ac:dyDescent="0.3">
      <c r="A4234" s="16" t="s">
        <v>118</v>
      </c>
      <c r="B4234" s="16" t="s">
        <v>366</v>
      </c>
      <c r="C4234" s="17">
        <v>26400</v>
      </c>
      <c r="D4234" s="18">
        <v>0</v>
      </c>
      <c r="E4234" s="19">
        <v>0</v>
      </c>
    </row>
    <row r="4235" spans="1:5" x14ac:dyDescent="0.3">
      <c r="A4235" s="20" t="s">
        <v>118</v>
      </c>
      <c r="B4235" s="21" t="s">
        <v>367</v>
      </c>
      <c r="C4235" s="22">
        <v>26400</v>
      </c>
      <c r="D4235" s="23">
        <v>0</v>
      </c>
      <c r="E4235" s="24">
        <v>0</v>
      </c>
    </row>
    <row r="4236" spans="1:5" x14ac:dyDescent="0.3">
      <c r="A4236" s="20" t="s">
        <v>118</v>
      </c>
      <c r="B4236" s="21" t="s">
        <v>368</v>
      </c>
      <c r="C4236" s="22">
        <v>26400</v>
      </c>
      <c r="D4236" s="23">
        <v>0</v>
      </c>
      <c r="E4236" s="24">
        <v>0</v>
      </c>
    </row>
    <row r="4237" spans="1:5" x14ac:dyDescent="0.3">
      <c r="A4237" s="20" t="s">
        <v>118</v>
      </c>
      <c r="B4237" s="21" t="s">
        <v>369</v>
      </c>
      <c r="C4237" s="22">
        <v>26400</v>
      </c>
      <c r="D4237" s="23">
        <v>40000</v>
      </c>
      <c r="E4237" s="24">
        <v>0</v>
      </c>
    </row>
    <row r="4238" spans="1:5" x14ac:dyDescent="0.3">
      <c r="A4238" s="20" t="s">
        <v>118</v>
      </c>
      <c r="B4238" s="21" t="s">
        <v>370</v>
      </c>
      <c r="C4238" s="22">
        <v>26400</v>
      </c>
      <c r="D4238" s="23">
        <v>0</v>
      </c>
      <c r="E4238" s="24">
        <v>0</v>
      </c>
    </row>
    <row r="4239" spans="1:5" x14ac:dyDescent="0.3">
      <c r="A4239" s="20" t="s">
        <v>118</v>
      </c>
      <c r="B4239" s="21" t="s">
        <v>371</v>
      </c>
      <c r="C4239" s="22">
        <v>26400</v>
      </c>
      <c r="D4239" s="23">
        <v>0</v>
      </c>
      <c r="E4239" s="24">
        <v>0</v>
      </c>
    </row>
    <row r="4240" spans="1:5" x14ac:dyDescent="0.3">
      <c r="A4240" s="20" t="s">
        <v>118</v>
      </c>
      <c r="B4240" s="21" t="s">
        <v>375</v>
      </c>
      <c r="C4240" s="22">
        <v>0</v>
      </c>
      <c r="D4240" s="23">
        <v>0</v>
      </c>
      <c r="E4240" s="24">
        <v>0</v>
      </c>
    </row>
    <row r="4241" spans="1:5" x14ac:dyDescent="0.3">
      <c r="A4241" s="16" t="s">
        <v>119</v>
      </c>
      <c r="B4241" s="16" t="s">
        <v>366</v>
      </c>
      <c r="C4241" s="17">
        <v>0</v>
      </c>
      <c r="D4241" s="18">
        <v>0</v>
      </c>
      <c r="E4241" s="19">
        <v>0</v>
      </c>
    </row>
    <row r="4242" spans="1:5" x14ac:dyDescent="0.3">
      <c r="A4242" s="20" t="s">
        <v>119</v>
      </c>
      <c r="B4242" s="21" t="s">
        <v>367</v>
      </c>
      <c r="C4242" s="22">
        <v>0</v>
      </c>
      <c r="D4242" s="23">
        <v>0</v>
      </c>
      <c r="E4242" s="24">
        <v>0</v>
      </c>
    </row>
    <row r="4243" spans="1:5" x14ac:dyDescent="0.3">
      <c r="A4243" s="20" t="s">
        <v>119</v>
      </c>
      <c r="B4243" s="21" t="s">
        <v>368</v>
      </c>
      <c r="C4243" s="22">
        <v>0</v>
      </c>
      <c r="D4243" s="23">
        <v>0</v>
      </c>
      <c r="E4243" s="24">
        <v>0</v>
      </c>
    </row>
    <row r="4244" spans="1:5" x14ac:dyDescent="0.3">
      <c r="A4244" s="16" t="s">
        <v>333</v>
      </c>
      <c r="B4244" s="16" t="s">
        <v>369</v>
      </c>
      <c r="C4244" s="17">
        <v>0</v>
      </c>
      <c r="D4244" s="18">
        <v>0</v>
      </c>
      <c r="E4244" s="19">
        <v>0</v>
      </c>
    </row>
    <row r="4245" spans="1:5" x14ac:dyDescent="0.3">
      <c r="A4245" s="16" t="s">
        <v>120</v>
      </c>
      <c r="B4245" s="16" t="s">
        <v>366</v>
      </c>
      <c r="C4245" s="17">
        <v>0</v>
      </c>
      <c r="D4245" s="18">
        <v>0</v>
      </c>
      <c r="E4245" s="19">
        <v>0</v>
      </c>
    </row>
    <row r="4246" spans="1:5" x14ac:dyDescent="0.3">
      <c r="A4246" s="20" t="s">
        <v>120</v>
      </c>
      <c r="B4246" s="21" t="s">
        <v>367</v>
      </c>
      <c r="C4246" s="22">
        <v>0</v>
      </c>
      <c r="D4246" s="23">
        <v>0</v>
      </c>
      <c r="E4246" s="24">
        <v>0</v>
      </c>
    </row>
    <row r="4247" spans="1:5" x14ac:dyDescent="0.3">
      <c r="A4247" s="20" t="s">
        <v>120</v>
      </c>
      <c r="B4247" s="21" t="s">
        <v>368</v>
      </c>
      <c r="C4247" s="22">
        <v>0</v>
      </c>
      <c r="D4247" s="23">
        <v>0</v>
      </c>
      <c r="E4247" s="24">
        <v>0</v>
      </c>
    </row>
    <row r="4248" spans="1:5" x14ac:dyDescent="0.3">
      <c r="A4248" s="20" t="s">
        <v>120</v>
      </c>
      <c r="B4248" s="21" t="s">
        <v>369</v>
      </c>
      <c r="C4248" s="22">
        <v>0</v>
      </c>
      <c r="D4248" s="23">
        <v>0</v>
      </c>
      <c r="E4248" s="24">
        <v>0</v>
      </c>
    </row>
    <row r="4249" spans="1:5" x14ac:dyDescent="0.3">
      <c r="A4249" s="16" t="s">
        <v>121</v>
      </c>
      <c r="B4249" s="16" t="s">
        <v>366</v>
      </c>
      <c r="C4249" s="17">
        <v>130900</v>
      </c>
      <c r="D4249" s="18">
        <v>36250</v>
      </c>
      <c r="E4249" s="19">
        <v>0</v>
      </c>
    </row>
    <row r="4250" spans="1:5" x14ac:dyDescent="0.3">
      <c r="A4250" s="20" t="s">
        <v>121</v>
      </c>
      <c r="B4250" s="21" t="s">
        <v>367</v>
      </c>
      <c r="C4250" s="22">
        <v>130900</v>
      </c>
      <c r="D4250" s="23">
        <v>36250</v>
      </c>
      <c r="E4250" s="24">
        <v>0</v>
      </c>
    </row>
    <row r="4251" spans="1:5" x14ac:dyDescent="0.3">
      <c r="A4251" s="20" t="s">
        <v>121</v>
      </c>
      <c r="B4251" s="21" t="s">
        <v>368</v>
      </c>
      <c r="C4251" s="22">
        <v>59500</v>
      </c>
      <c r="D4251" s="23">
        <v>0</v>
      </c>
      <c r="E4251" s="24">
        <v>0</v>
      </c>
    </row>
    <row r="4252" spans="1:5" x14ac:dyDescent="0.3">
      <c r="A4252" s="20" t="s">
        <v>121</v>
      </c>
      <c r="B4252" s="21" t="s">
        <v>369</v>
      </c>
      <c r="C4252" s="22">
        <v>130900</v>
      </c>
      <c r="D4252" s="23">
        <v>0</v>
      </c>
      <c r="E4252" s="24">
        <v>0</v>
      </c>
    </row>
    <row r="4253" spans="1:5" x14ac:dyDescent="0.3">
      <c r="A4253" s="20" t="s">
        <v>121</v>
      </c>
      <c r="B4253" s="21" t="s">
        <v>370</v>
      </c>
      <c r="C4253" s="22">
        <v>130900</v>
      </c>
      <c r="D4253" s="23">
        <v>36250</v>
      </c>
      <c r="E4253" s="24">
        <v>0</v>
      </c>
    </row>
    <row r="4254" spans="1:5" x14ac:dyDescent="0.3">
      <c r="A4254" s="20" t="s">
        <v>121</v>
      </c>
      <c r="B4254" s="21" t="s">
        <v>371</v>
      </c>
      <c r="C4254" s="22">
        <v>130900</v>
      </c>
      <c r="D4254" s="23">
        <v>0</v>
      </c>
      <c r="E4254" s="24">
        <v>0</v>
      </c>
    </row>
    <row r="4255" spans="1:5" x14ac:dyDescent="0.3">
      <c r="A4255" s="20" t="s">
        <v>121</v>
      </c>
      <c r="B4255" s="21" t="s">
        <v>372</v>
      </c>
      <c r="C4255" s="22">
        <v>0</v>
      </c>
      <c r="D4255" s="23">
        <v>0</v>
      </c>
      <c r="E4255" s="24">
        <v>0</v>
      </c>
    </row>
    <row r="4256" spans="1:5" x14ac:dyDescent="0.3">
      <c r="A4256" s="20" t="s">
        <v>121</v>
      </c>
      <c r="B4256" s="21" t="s">
        <v>373</v>
      </c>
      <c r="C4256" s="22">
        <v>0</v>
      </c>
      <c r="D4256" s="23">
        <v>0</v>
      </c>
      <c r="E4256" s="24">
        <v>0</v>
      </c>
    </row>
    <row r="4257" spans="1:5" x14ac:dyDescent="0.3">
      <c r="A4257" s="20" t="s">
        <v>121</v>
      </c>
      <c r="B4257" s="21" t="s">
        <v>374</v>
      </c>
      <c r="C4257" s="22">
        <v>0</v>
      </c>
      <c r="D4257" s="23">
        <v>0</v>
      </c>
      <c r="E4257" s="24">
        <v>0</v>
      </c>
    </row>
    <row r="4258" spans="1:5" x14ac:dyDescent="0.3">
      <c r="A4258" s="20" t="s">
        <v>121</v>
      </c>
      <c r="B4258" s="21" t="s">
        <v>375</v>
      </c>
      <c r="C4258" s="22">
        <v>0</v>
      </c>
      <c r="D4258" s="23">
        <v>0</v>
      </c>
      <c r="E4258" s="24">
        <v>0</v>
      </c>
    </row>
    <row r="4259" spans="1:5" x14ac:dyDescent="0.3">
      <c r="A4259" s="16" t="s">
        <v>343</v>
      </c>
      <c r="B4259" s="16" t="s">
        <v>368</v>
      </c>
      <c r="C4259" s="17">
        <v>19300</v>
      </c>
      <c r="D4259" s="18">
        <v>0</v>
      </c>
      <c r="E4259" s="19">
        <v>0</v>
      </c>
    </row>
    <row r="4260" spans="1:5" x14ac:dyDescent="0.3">
      <c r="A4260" s="20" t="s">
        <v>343</v>
      </c>
      <c r="B4260" s="21" t="s">
        <v>371</v>
      </c>
      <c r="C4260" s="22">
        <v>19300</v>
      </c>
      <c r="D4260" s="23">
        <v>0</v>
      </c>
      <c r="E4260" s="24">
        <v>0</v>
      </c>
    </row>
    <row r="4261" spans="1:5" x14ac:dyDescent="0.3">
      <c r="A4261" s="20" t="s">
        <v>343</v>
      </c>
      <c r="B4261" s="21" t="s">
        <v>375</v>
      </c>
      <c r="C4261" s="22">
        <v>0</v>
      </c>
      <c r="D4261" s="23">
        <v>0</v>
      </c>
      <c r="E4261" s="24">
        <v>0</v>
      </c>
    </row>
    <row r="4262" spans="1:5" x14ac:dyDescent="0.3">
      <c r="A4262" s="16" t="s">
        <v>346</v>
      </c>
      <c r="B4262" s="16" t="s">
        <v>367</v>
      </c>
      <c r="C4262" s="17">
        <v>0</v>
      </c>
      <c r="D4262" s="18">
        <v>0</v>
      </c>
      <c r="E4262" s="19">
        <v>0</v>
      </c>
    </row>
    <row r="4263" spans="1:5" x14ac:dyDescent="0.3">
      <c r="A4263" s="16" t="s">
        <v>197</v>
      </c>
      <c r="B4263" s="16" t="s">
        <v>366</v>
      </c>
      <c r="C4263" s="17">
        <v>100500</v>
      </c>
      <c r="D4263" s="18">
        <v>100500</v>
      </c>
      <c r="E4263" s="19">
        <v>0</v>
      </c>
    </row>
    <row r="4264" spans="1:5" x14ac:dyDescent="0.3">
      <c r="A4264" s="20" t="s">
        <v>197</v>
      </c>
      <c r="B4264" s="21" t="s">
        <v>367</v>
      </c>
      <c r="C4264" s="22">
        <v>100500</v>
      </c>
      <c r="D4264" s="23">
        <v>100500</v>
      </c>
      <c r="E4264" s="24">
        <v>0</v>
      </c>
    </row>
    <row r="4265" spans="1:5" x14ac:dyDescent="0.3">
      <c r="A4265" s="20" t="s">
        <v>197</v>
      </c>
      <c r="B4265" s="21" t="s">
        <v>369</v>
      </c>
      <c r="C4265" s="22">
        <v>124300</v>
      </c>
      <c r="D4265" s="23">
        <v>100500</v>
      </c>
      <c r="E4265" s="24">
        <v>0</v>
      </c>
    </row>
    <row r="4266" spans="1:5" x14ac:dyDescent="0.3">
      <c r="A4266" s="20" t="s">
        <v>197</v>
      </c>
      <c r="B4266" s="21" t="s">
        <v>370</v>
      </c>
      <c r="C4266" s="22">
        <v>56000</v>
      </c>
      <c r="D4266" s="23">
        <v>0</v>
      </c>
      <c r="E4266" s="24">
        <v>0</v>
      </c>
    </row>
    <row r="4267" spans="1:5" x14ac:dyDescent="0.3">
      <c r="A4267" s="20" t="s">
        <v>197</v>
      </c>
      <c r="B4267" s="21" t="s">
        <v>371</v>
      </c>
      <c r="C4267" s="22">
        <v>56000</v>
      </c>
      <c r="D4267" s="23">
        <v>100500</v>
      </c>
      <c r="E4267" s="24">
        <v>0</v>
      </c>
    </row>
    <row r="4268" spans="1:5" x14ac:dyDescent="0.3">
      <c r="A4268" s="20" t="s">
        <v>197</v>
      </c>
      <c r="B4268" s="21" t="s">
        <v>372</v>
      </c>
      <c r="C4268" s="22">
        <v>0</v>
      </c>
      <c r="D4268" s="23">
        <v>100500</v>
      </c>
      <c r="E4268" s="24">
        <v>0</v>
      </c>
    </row>
    <row r="4269" spans="1:5" x14ac:dyDescent="0.3">
      <c r="A4269" s="20" t="s">
        <v>197</v>
      </c>
      <c r="B4269" s="21" t="s">
        <v>375</v>
      </c>
      <c r="C4269" s="22">
        <v>0</v>
      </c>
      <c r="D4269" s="23">
        <v>0</v>
      </c>
      <c r="E4269" s="24">
        <v>0</v>
      </c>
    </row>
    <row r="4270" spans="1:5" x14ac:dyDescent="0.3">
      <c r="A4270" s="16" t="s">
        <v>206</v>
      </c>
      <c r="B4270" s="16" t="s">
        <v>366</v>
      </c>
      <c r="C4270" s="17">
        <v>0</v>
      </c>
      <c r="D4270" s="18">
        <v>0</v>
      </c>
      <c r="E4270" s="19">
        <v>0</v>
      </c>
    </row>
    <row r="4271" spans="1:5" x14ac:dyDescent="0.3">
      <c r="A4271" s="20" t="s">
        <v>206</v>
      </c>
      <c r="B4271" s="21" t="s">
        <v>367</v>
      </c>
      <c r="C4271" s="22">
        <v>0</v>
      </c>
      <c r="D4271" s="23">
        <v>0</v>
      </c>
      <c r="E4271" s="24">
        <v>0</v>
      </c>
    </row>
    <row r="4272" spans="1:5" x14ac:dyDescent="0.3">
      <c r="A4272" s="20" t="s">
        <v>206</v>
      </c>
      <c r="B4272" s="21" t="s">
        <v>368</v>
      </c>
      <c r="C4272" s="22">
        <v>0</v>
      </c>
      <c r="D4272" s="23">
        <v>0</v>
      </c>
      <c r="E4272" s="24">
        <v>0</v>
      </c>
    </row>
    <row r="4273" spans="1:5" x14ac:dyDescent="0.3">
      <c r="A4273" s="20" t="s">
        <v>206</v>
      </c>
      <c r="B4273" s="21" t="s">
        <v>369</v>
      </c>
      <c r="C4273" s="22">
        <v>0</v>
      </c>
      <c r="D4273" s="23">
        <v>0</v>
      </c>
      <c r="E4273" s="24">
        <v>0</v>
      </c>
    </row>
    <row r="4274" spans="1:5" x14ac:dyDescent="0.3">
      <c r="A4274" s="16" t="s">
        <v>463</v>
      </c>
      <c r="B4274" s="16" t="s">
        <v>368</v>
      </c>
      <c r="C4274" s="17">
        <v>0</v>
      </c>
      <c r="D4274" s="18">
        <v>0</v>
      </c>
      <c r="E4274" s="19">
        <v>0</v>
      </c>
    </row>
    <row r="4275" spans="1:5" x14ac:dyDescent="0.3">
      <c r="A4275" s="16" t="s">
        <v>109</v>
      </c>
      <c r="B4275" s="16" t="s">
        <v>369</v>
      </c>
      <c r="C4275" s="17">
        <v>0</v>
      </c>
      <c r="D4275" s="18">
        <v>0</v>
      </c>
      <c r="E4275" s="19">
        <v>0</v>
      </c>
    </row>
    <row r="4276" spans="1:5" x14ac:dyDescent="0.3">
      <c r="A4276" s="16" t="s">
        <v>110</v>
      </c>
      <c r="B4276" s="16" t="s">
        <v>366</v>
      </c>
      <c r="C4276" s="17">
        <v>0</v>
      </c>
      <c r="D4276" s="18">
        <v>0</v>
      </c>
      <c r="E4276" s="19">
        <v>0</v>
      </c>
    </row>
    <row r="4277" spans="1:5" x14ac:dyDescent="0.3">
      <c r="A4277" s="20" t="s">
        <v>110</v>
      </c>
      <c r="B4277" s="21" t="s">
        <v>367</v>
      </c>
      <c r="C4277" s="22">
        <v>0</v>
      </c>
      <c r="D4277" s="23">
        <v>0</v>
      </c>
      <c r="E4277" s="24">
        <v>0</v>
      </c>
    </row>
    <row r="4278" spans="1:5" x14ac:dyDescent="0.3">
      <c r="A4278" s="20" t="s">
        <v>110</v>
      </c>
      <c r="B4278" s="21" t="s">
        <v>368</v>
      </c>
      <c r="C4278" s="22">
        <v>0</v>
      </c>
      <c r="D4278" s="23">
        <v>0</v>
      </c>
      <c r="E4278" s="24">
        <v>0</v>
      </c>
    </row>
    <row r="4279" spans="1:5" x14ac:dyDescent="0.3">
      <c r="A4279" s="20" t="s">
        <v>110</v>
      </c>
      <c r="B4279" s="21" t="s">
        <v>369</v>
      </c>
      <c r="C4279" s="22">
        <v>0</v>
      </c>
      <c r="D4279" s="23">
        <v>0</v>
      </c>
      <c r="E4279" s="24">
        <v>0</v>
      </c>
    </row>
    <row r="4280" spans="1:5" x14ac:dyDescent="0.3">
      <c r="A4280" s="16" t="s">
        <v>111</v>
      </c>
      <c r="B4280" s="16" t="s">
        <v>366</v>
      </c>
      <c r="C4280" s="17">
        <v>36000</v>
      </c>
      <c r="D4280" s="18">
        <v>54000</v>
      </c>
      <c r="E4280" s="19">
        <v>0</v>
      </c>
    </row>
    <row r="4281" spans="1:5" x14ac:dyDescent="0.3">
      <c r="A4281" s="20" t="s">
        <v>111</v>
      </c>
      <c r="B4281" s="21" t="s">
        <v>367</v>
      </c>
      <c r="C4281" s="22">
        <v>73700</v>
      </c>
      <c r="D4281" s="23">
        <v>18000</v>
      </c>
      <c r="E4281" s="24">
        <v>0</v>
      </c>
    </row>
    <row r="4282" spans="1:5" x14ac:dyDescent="0.3">
      <c r="A4282" s="20" t="s">
        <v>111</v>
      </c>
      <c r="B4282" s="21" t="s">
        <v>368</v>
      </c>
      <c r="C4282" s="22">
        <v>73700</v>
      </c>
      <c r="D4282" s="23">
        <v>50000</v>
      </c>
      <c r="E4282" s="24">
        <v>0</v>
      </c>
    </row>
    <row r="4283" spans="1:5" x14ac:dyDescent="0.3">
      <c r="A4283" s="20" t="s">
        <v>111</v>
      </c>
      <c r="B4283" s="21" t="s">
        <v>369</v>
      </c>
      <c r="C4283" s="22">
        <v>36000</v>
      </c>
      <c r="D4283" s="23">
        <v>130000</v>
      </c>
      <c r="E4283" s="24">
        <v>0</v>
      </c>
    </row>
    <row r="4284" spans="1:5" x14ac:dyDescent="0.3">
      <c r="A4284" s="20" t="s">
        <v>111</v>
      </c>
      <c r="B4284" s="21" t="s">
        <v>370</v>
      </c>
      <c r="C4284" s="22">
        <v>73700</v>
      </c>
      <c r="D4284" s="23">
        <v>46000</v>
      </c>
      <c r="E4284" s="24">
        <v>0</v>
      </c>
    </row>
    <row r="4285" spans="1:5" x14ac:dyDescent="0.3">
      <c r="A4285" s="20" t="s">
        <v>111</v>
      </c>
      <c r="B4285" s="21" t="s">
        <v>371</v>
      </c>
      <c r="C4285" s="22">
        <v>36000</v>
      </c>
      <c r="D4285" s="23">
        <v>68000</v>
      </c>
      <c r="E4285" s="24">
        <v>0</v>
      </c>
    </row>
    <row r="4286" spans="1:5" x14ac:dyDescent="0.3">
      <c r="A4286" s="20" t="s">
        <v>111</v>
      </c>
      <c r="B4286" s="21" t="s">
        <v>372</v>
      </c>
      <c r="C4286" s="22">
        <v>0</v>
      </c>
      <c r="D4286" s="23">
        <v>18000</v>
      </c>
      <c r="E4286" s="24">
        <v>0</v>
      </c>
    </row>
    <row r="4287" spans="1:5" x14ac:dyDescent="0.3">
      <c r="A4287" s="20" t="s">
        <v>111</v>
      </c>
      <c r="B4287" s="21" t="s">
        <v>374</v>
      </c>
      <c r="C4287" s="22">
        <v>0</v>
      </c>
      <c r="D4287" s="23">
        <v>0</v>
      </c>
      <c r="E4287" s="24">
        <v>0</v>
      </c>
    </row>
    <row r="4288" spans="1:5" x14ac:dyDescent="0.3">
      <c r="A4288" s="16" t="s">
        <v>112</v>
      </c>
      <c r="B4288" s="16" t="s">
        <v>366</v>
      </c>
      <c r="C4288" s="17">
        <v>0</v>
      </c>
      <c r="D4288" s="18">
        <v>0</v>
      </c>
      <c r="E4288" s="19">
        <v>0</v>
      </c>
    </row>
    <row r="4289" spans="1:5" x14ac:dyDescent="0.3">
      <c r="A4289" s="20" t="s">
        <v>112</v>
      </c>
      <c r="B4289" s="21" t="s">
        <v>367</v>
      </c>
      <c r="C4289" s="22">
        <v>0</v>
      </c>
      <c r="D4289" s="23">
        <v>0</v>
      </c>
      <c r="E4289" s="24">
        <v>0</v>
      </c>
    </row>
    <row r="4290" spans="1:5" x14ac:dyDescent="0.3">
      <c r="A4290" s="20" t="s">
        <v>112</v>
      </c>
      <c r="B4290" s="21" t="s">
        <v>368</v>
      </c>
      <c r="C4290" s="22">
        <v>0</v>
      </c>
      <c r="D4290" s="23">
        <v>0</v>
      </c>
      <c r="E4290" s="24">
        <v>0</v>
      </c>
    </row>
    <row r="4291" spans="1:5" x14ac:dyDescent="0.3">
      <c r="A4291" s="20" t="s">
        <v>112</v>
      </c>
      <c r="B4291" s="21" t="s">
        <v>369</v>
      </c>
      <c r="C4291" s="22">
        <v>0</v>
      </c>
      <c r="D4291" s="23">
        <v>0</v>
      </c>
      <c r="E4291" s="24">
        <v>0</v>
      </c>
    </row>
    <row r="4292" spans="1:5" x14ac:dyDescent="0.3">
      <c r="A4292" s="20" t="s">
        <v>112</v>
      </c>
      <c r="B4292" s="21" t="s">
        <v>370</v>
      </c>
      <c r="C4292" s="22">
        <v>0</v>
      </c>
      <c r="D4292" s="23">
        <v>0</v>
      </c>
      <c r="E4292" s="24">
        <v>0</v>
      </c>
    </row>
    <row r="4293" spans="1:5" x14ac:dyDescent="0.3">
      <c r="A4293" s="16" t="s">
        <v>113</v>
      </c>
      <c r="B4293" s="16" t="s">
        <v>368</v>
      </c>
      <c r="C4293" s="17">
        <v>0</v>
      </c>
      <c r="D4293" s="18">
        <v>0</v>
      </c>
      <c r="E4293" s="19">
        <v>0</v>
      </c>
    </row>
    <row r="4294" spans="1:5" x14ac:dyDescent="0.3">
      <c r="A4294" s="16" t="s">
        <v>329</v>
      </c>
      <c r="B4294" s="16" t="s">
        <v>367</v>
      </c>
      <c r="C4294" s="17">
        <v>0</v>
      </c>
      <c r="D4294" s="18">
        <v>0</v>
      </c>
      <c r="E4294" s="19">
        <v>0</v>
      </c>
    </row>
    <row r="4295" spans="1:5" x14ac:dyDescent="0.3">
      <c r="A4295" s="20" t="s">
        <v>329</v>
      </c>
      <c r="B4295" s="21" t="s">
        <v>368</v>
      </c>
      <c r="C4295" s="22">
        <v>0</v>
      </c>
      <c r="D4295" s="23">
        <v>0</v>
      </c>
      <c r="E4295" s="24">
        <v>0</v>
      </c>
    </row>
    <row r="4296" spans="1:5" x14ac:dyDescent="0.3">
      <c r="A4296" s="16" t="s">
        <v>194</v>
      </c>
      <c r="B4296" s="16" t="s">
        <v>366</v>
      </c>
      <c r="C4296" s="17">
        <v>60500</v>
      </c>
      <c r="D4296" s="18">
        <v>0</v>
      </c>
      <c r="E4296" s="19">
        <v>0</v>
      </c>
    </row>
    <row r="4297" spans="1:5" x14ac:dyDescent="0.3">
      <c r="A4297" s="20" t="s">
        <v>194</v>
      </c>
      <c r="B4297" s="21" t="s">
        <v>367</v>
      </c>
      <c r="C4297" s="22">
        <v>60500</v>
      </c>
      <c r="D4297" s="23">
        <v>130000</v>
      </c>
      <c r="E4297" s="24">
        <v>0</v>
      </c>
    </row>
    <row r="4298" spans="1:5" x14ac:dyDescent="0.3">
      <c r="A4298" s="20" t="s">
        <v>194</v>
      </c>
      <c r="B4298" s="21" t="s">
        <v>368</v>
      </c>
      <c r="C4298" s="22">
        <v>60500</v>
      </c>
      <c r="D4298" s="23">
        <v>60000</v>
      </c>
      <c r="E4298" s="24">
        <v>0</v>
      </c>
    </row>
    <row r="4299" spans="1:5" x14ac:dyDescent="0.3">
      <c r="A4299" s="20" t="s">
        <v>194</v>
      </c>
      <c r="B4299" s="21" t="s">
        <v>369</v>
      </c>
      <c r="C4299" s="22">
        <v>60500</v>
      </c>
      <c r="D4299" s="23">
        <v>60000</v>
      </c>
      <c r="E4299" s="24">
        <v>0</v>
      </c>
    </row>
    <row r="4300" spans="1:5" x14ac:dyDescent="0.3">
      <c r="A4300" s="20" t="s">
        <v>194</v>
      </c>
      <c r="B4300" s="21" t="s">
        <v>370</v>
      </c>
      <c r="C4300" s="22">
        <v>60500</v>
      </c>
      <c r="D4300" s="23">
        <v>120000</v>
      </c>
      <c r="E4300" s="24">
        <v>0</v>
      </c>
    </row>
    <row r="4301" spans="1:5" x14ac:dyDescent="0.3">
      <c r="A4301" s="20" t="s">
        <v>194</v>
      </c>
      <c r="B4301" s="21" t="s">
        <v>371</v>
      </c>
      <c r="C4301" s="22">
        <v>60500</v>
      </c>
      <c r="D4301" s="23">
        <v>60000</v>
      </c>
      <c r="E4301" s="24">
        <v>0</v>
      </c>
    </row>
    <row r="4302" spans="1:5" x14ac:dyDescent="0.3">
      <c r="A4302" s="20" t="s">
        <v>194</v>
      </c>
      <c r="B4302" s="21" t="s">
        <v>372</v>
      </c>
      <c r="C4302" s="22">
        <v>0</v>
      </c>
      <c r="D4302" s="23">
        <v>0</v>
      </c>
      <c r="E4302" s="24">
        <v>0</v>
      </c>
    </row>
    <row r="4303" spans="1:5" x14ac:dyDescent="0.3">
      <c r="A4303" s="20" t="s">
        <v>194</v>
      </c>
      <c r="B4303" s="21" t="s">
        <v>374</v>
      </c>
      <c r="C4303" s="22">
        <v>0</v>
      </c>
      <c r="D4303" s="23">
        <v>0</v>
      </c>
      <c r="E4303" s="24">
        <v>0</v>
      </c>
    </row>
    <row r="4304" spans="1:5" x14ac:dyDescent="0.3">
      <c r="A4304" s="20" t="s">
        <v>194</v>
      </c>
      <c r="B4304" s="21" t="s">
        <v>375</v>
      </c>
      <c r="C4304" s="22">
        <v>0</v>
      </c>
      <c r="D4304" s="23">
        <v>0</v>
      </c>
      <c r="E4304" s="24">
        <v>0</v>
      </c>
    </row>
    <row r="4305" spans="1:5" x14ac:dyDescent="0.3">
      <c r="A4305" s="16" t="s">
        <v>347</v>
      </c>
      <c r="B4305" s="16" t="s">
        <v>371</v>
      </c>
      <c r="C4305" s="17">
        <v>0</v>
      </c>
      <c r="D4305" s="18">
        <v>0</v>
      </c>
      <c r="E4305" s="19">
        <v>0</v>
      </c>
    </row>
    <row r="4306" spans="1:5" x14ac:dyDescent="0.3">
      <c r="A4306" s="16" t="s">
        <v>205</v>
      </c>
      <c r="B4306" s="16" t="s">
        <v>366</v>
      </c>
      <c r="C4306" s="17">
        <v>165000</v>
      </c>
      <c r="D4306" s="18">
        <v>0</v>
      </c>
      <c r="E4306" s="19">
        <v>0</v>
      </c>
    </row>
    <row r="4307" spans="1:5" x14ac:dyDescent="0.3">
      <c r="A4307" s="20" t="s">
        <v>205</v>
      </c>
      <c r="B4307" s="21" t="s">
        <v>367</v>
      </c>
      <c r="C4307" s="22">
        <v>165000</v>
      </c>
      <c r="D4307" s="23">
        <v>144000</v>
      </c>
      <c r="E4307" s="24">
        <v>0</v>
      </c>
    </row>
    <row r="4308" spans="1:5" x14ac:dyDescent="0.3">
      <c r="A4308" s="20" t="s">
        <v>205</v>
      </c>
      <c r="B4308" s="21" t="s">
        <v>368</v>
      </c>
      <c r="C4308" s="22">
        <v>100000</v>
      </c>
      <c r="D4308" s="23">
        <v>150000</v>
      </c>
      <c r="E4308" s="24">
        <v>0</v>
      </c>
    </row>
    <row r="4309" spans="1:5" x14ac:dyDescent="0.3">
      <c r="A4309" s="20" t="s">
        <v>205</v>
      </c>
      <c r="B4309" s="21" t="s">
        <v>369</v>
      </c>
      <c r="C4309" s="22">
        <v>165000</v>
      </c>
      <c r="D4309" s="23">
        <v>150000</v>
      </c>
      <c r="E4309" s="24">
        <v>0</v>
      </c>
    </row>
    <row r="4310" spans="1:5" x14ac:dyDescent="0.3">
      <c r="A4310" s="20" t="s">
        <v>205</v>
      </c>
      <c r="B4310" s="21" t="s">
        <v>370</v>
      </c>
      <c r="C4310" s="22">
        <v>100000</v>
      </c>
      <c r="D4310" s="23">
        <v>300000</v>
      </c>
      <c r="E4310" s="24">
        <v>0</v>
      </c>
    </row>
    <row r="4311" spans="1:5" x14ac:dyDescent="0.3">
      <c r="A4311" s="20" t="s">
        <v>205</v>
      </c>
      <c r="B4311" s="21" t="s">
        <v>371</v>
      </c>
      <c r="C4311" s="22">
        <v>101500</v>
      </c>
      <c r="D4311" s="23">
        <v>150000</v>
      </c>
      <c r="E4311" s="24">
        <v>0</v>
      </c>
    </row>
    <row r="4312" spans="1:5" x14ac:dyDescent="0.3">
      <c r="A4312" s="20" t="s">
        <v>205</v>
      </c>
      <c r="B4312" s="21" t="s">
        <v>372</v>
      </c>
      <c r="C4312" s="22">
        <v>0</v>
      </c>
      <c r="D4312" s="23">
        <v>150000</v>
      </c>
      <c r="E4312" s="24">
        <v>0</v>
      </c>
    </row>
    <row r="4313" spans="1:5" x14ac:dyDescent="0.3">
      <c r="A4313" s="20" t="s">
        <v>205</v>
      </c>
      <c r="B4313" s="21" t="s">
        <v>373</v>
      </c>
      <c r="C4313" s="22">
        <v>0</v>
      </c>
      <c r="D4313" s="23">
        <v>0</v>
      </c>
      <c r="E4313" s="24">
        <v>0</v>
      </c>
    </row>
    <row r="4314" spans="1:5" x14ac:dyDescent="0.3">
      <c r="A4314" s="20" t="s">
        <v>205</v>
      </c>
      <c r="B4314" s="21" t="s">
        <v>374</v>
      </c>
      <c r="C4314" s="22">
        <v>0</v>
      </c>
      <c r="D4314" s="23">
        <v>0</v>
      </c>
      <c r="E4314" s="24">
        <v>0</v>
      </c>
    </row>
    <row r="4315" spans="1:5" x14ac:dyDescent="0.3">
      <c r="A4315" s="20" t="s">
        <v>205</v>
      </c>
      <c r="B4315" s="21" t="s">
        <v>375</v>
      </c>
      <c r="C4315" s="22">
        <v>0</v>
      </c>
      <c r="D4315" s="23">
        <v>0</v>
      </c>
      <c r="E4315" s="24">
        <v>0</v>
      </c>
    </row>
    <row r="4316" spans="1:5" x14ac:dyDescent="0.3">
      <c r="A4316" s="16" t="s">
        <v>239</v>
      </c>
      <c r="B4316" s="16" t="s">
        <v>366</v>
      </c>
      <c r="C4316" s="17">
        <v>20000</v>
      </c>
      <c r="D4316" s="18">
        <v>0</v>
      </c>
      <c r="E4316" s="19">
        <v>0</v>
      </c>
    </row>
    <row r="4317" spans="1:5" x14ac:dyDescent="0.3">
      <c r="A4317" s="20" t="s">
        <v>239</v>
      </c>
      <c r="B4317" s="21" t="s">
        <v>367</v>
      </c>
      <c r="C4317" s="22">
        <v>20000</v>
      </c>
      <c r="D4317" s="23">
        <v>20000</v>
      </c>
      <c r="E4317" s="24">
        <v>0</v>
      </c>
    </row>
    <row r="4318" spans="1:5" x14ac:dyDescent="0.3">
      <c r="A4318" s="20" t="s">
        <v>239</v>
      </c>
      <c r="B4318" s="21" t="s">
        <v>368</v>
      </c>
      <c r="C4318" s="22">
        <v>20000</v>
      </c>
      <c r="D4318" s="23">
        <v>20000</v>
      </c>
      <c r="E4318" s="24">
        <v>0</v>
      </c>
    </row>
    <row r="4319" spans="1:5" x14ac:dyDescent="0.3">
      <c r="A4319" s="20" t="s">
        <v>239</v>
      </c>
      <c r="B4319" s="21" t="s">
        <v>369</v>
      </c>
      <c r="C4319" s="22">
        <v>20000</v>
      </c>
      <c r="D4319" s="23">
        <v>0</v>
      </c>
      <c r="E4319" s="24">
        <v>0</v>
      </c>
    </row>
    <row r="4320" spans="1:5" x14ac:dyDescent="0.3">
      <c r="A4320" s="20" t="s">
        <v>239</v>
      </c>
      <c r="B4320" s="21" t="s">
        <v>370</v>
      </c>
      <c r="C4320" s="22">
        <v>20000</v>
      </c>
      <c r="D4320" s="23">
        <v>60000</v>
      </c>
      <c r="E4320" s="24">
        <v>0</v>
      </c>
    </row>
    <row r="4321" spans="1:5" x14ac:dyDescent="0.3">
      <c r="A4321" s="20" t="s">
        <v>239</v>
      </c>
      <c r="B4321" s="21" t="s">
        <v>371</v>
      </c>
      <c r="C4321" s="22">
        <v>10000</v>
      </c>
      <c r="D4321" s="23">
        <v>20000</v>
      </c>
      <c r="E4321" s="24">
        <v>0</v>
      </c>
    </row>
    <row r="4322" spans="1:5" x14ac:dyDescent="0.3">
      <c r="A4322" s="20" t="s">
        <v>239</v>
      </c>
      <c r="B4322" s="21" t="s">
        <v>372</v>
      </c>
      <c r="C4322" s="22">
        <v>0</v>
      </c>
      <c r="D4322" s="23">
        <v>0</v>
      </c>
      <c r="E4322" s="24">
        <v>0</v>
      </c>
    </row>
    <row r="4323" spans="1:5" x14ac:dyDescent="0.3">
      <c r="A4323" s="20" t="s">
        <v>239</v>
      </c>
      <c r="B4323" s="21" t="s">
        <v>374</v>
      </c>
      <c r="C4323" s="22">
        <v>0</v>
      </c>
      <c r="D4323" s="23">
        <v>0</v>
      </c>
      <c r="E4323" s="24">
        <v>0</v>
      </c>
    </row>
    <row r="4324" spans="1:5" x14ac:dyDescent="0.3">
      <c r="A4324" s="16" t="s">
        <v>163</v>
      </c>
      <c r="B4324" s="16" t="s">
        <v>366</v>
      </c>
      <c r="C4324" s="17">
        <v>0</v>
      </c>
      <c r="D4324" s="18">
        <v>0</v>
      </c>
      <c r="E4324" s="19">
        <v>0</v>
      </c>
    </row>
    <row r="4325" spans="1:5" x14ac:dyDescent="0.3">
      <c r="A4325" s="20" t="s">
        <v>163</v>
      </c>
      <c r="B4325" s="21" t="s">
        <v>367</v>
      </c>
      <c r="C4325" s="22">
        <v>160000</v>
      </c>
      <c r="D4325" s="23">
        <v>0</v>
      </c>
      <c r="E4325" s="24">
        <v>0</v>
      </c>
    </row>
    <row r="4326" spans="1:5" x14ac:dyDescent="0.3">
      <c r="A4326" s="20" t="s">
        <v>163</v>
      </c>
      <c r="B4326" s="21" t="s">
        <v>368</v>
      </c>
      <c r="C4326" s="22">
        <v>0</v>
      </c>
      <c r="D4326" s="23">
        <v>0</v>
      </c>
      <c r="E4326" s="24">
        <v>0</v>
      </c>
    </row>
    <row r="4327" spans="1:5" x14ac:dyDescent="0.3">
      <c r="A4327" s="20" t="s">
        <v>163</v>
      </c>
      <c r="B4327" s="21" t="s">
        <v>369</v>
      </c>
      <c r="C4327" s="22">
        <v>0</v>
      </c>
      <c r="D4327" s="23">
        <v>160000</v>
      </c>
      <c r="E4327" s="24">
        <v>0</v>
      </c>
    </row>
    <row r="4328" spans="1:5" x14ac:dyDescent="0.3">
      <c r="A4328" s="20" t="s">
        <v>163</v>
      </c>
      <c r="B4328" s="21" t="s">
        <v>371</v>
      </c>
      <c r="C4328" s="22">
        <v>160000</v>
      </c>
      <c r="D4328" s="23">
        <v>0</v>
      </c>
      <c r="E4328" s="24">
        <v>0</v>
      </c>
    </row>
    <row r="4329" spans="1:5" x14ac:dyDescent="0.3">
      <c r="A4329" s="20" t="s">
        <v>163</v>
      </c>
      <c r="B4329" s="21" t="s">
        <v>373</v>
      </c>
      <c r="C4329" s="22">
        <v>0</v>
      </c>
      <c r="D4329" s="23">
        <v>160000</v>
      </c>
      <c r="E4329" s="24">
        <v>0</v>
      </c>
    </row>
    <row r="4330" spans="1:5" x14ac:dyDescent="0.3">
      <c r="A4330" s="20" t="s">
        <v>163</v>
      </c>
      <c r="B4330" s="21" t="s">
        <v>374</v>
      </c>
      <c r="C4330" s="22">
        <v>0</v>
      </c>
      <c r="D4330" s="23">
        <v>0</v>
      </c>
      <c r="E4330" s="24">
        <v>0</v>
      </c>
    </row>
    <row r="4331" spans="1:5" x14ac:dyDescent="0.3">
      <c r="A4331" s="20" t="s">
        <v>163</v>
      </c>
      <c r="B4331" s="21" t="s">
        <v>375</v>
      </c>
      <c r="C4331" s="22">
        <v>160000</v>
      </c>
      <c r="D4331" s="23">
        <v>0</v>
      </c>
      <c r="E4331" s="24">
        <v>0</v>
      </c>
    </row>
    <row r="4332" spans="1:5" x14ac:dyDescent="0.3">
      <c r="A4332" s="20" t="s">
        <v>163</v>
      </c>
      <c r="B4332" s="21" t="s">
        <v>377</v>
      </c>
      <c r="C4332" s="22">
        <v>0</v>
      </c>
      <c r="D4332" s="23">
        <v>160000</v>
      </c>
      <c r="E4332" s="24">
        <v>0</v>
      </c>
    </row>
    <row r="4333" spans="1:5" x14ac:dyDescent="0.3">
      <c r="A4333" s="16" t="s">
        <v>163</v>
      </c>
      <c r="B4333" s="16" t="s">
        <v>366</v>
      </c>
      <c r="C4333" s="17">
        <v>160000</v>
      </c>
      <c r="D4333" s="18">
        <v>160000</v>
      </c>
      <c r="E4333" s="19">
        <v>0</v>
      </c>
    </row>
    <row r="4334" spans="1:5" x14ac:dyDescent="0.3">
      <c r="A4334" s="20" t="s">
        <v>163</v>
      </c>
      <c r="B4334" s="21" t="s">
        <v>367</v>
      </c>
      <c r="C4334" s="22">
        <v>160000</v>
      </c>
      <c r="D4334" s="23">
        <v>160000</v>
      </c>
      <c r="E4334" s="24">
        <v>0</v>
      </c>
    </row>
    <row r="4335" spans="1:5" x14ac:dyDescent="0.3">
      <c r="A4335" s="20" t="s">
        <v>163</v>
      </c>
      <c r="B4335" s="21" t="s">
        <v>368</v>
      </c>
      <c r="C4335" s="22">
        <v>160000</v>
      </c>
      <c r="D4335" s="23">
        <v>0</v>
      </c>
      <c r="E4335" s="24">
        <v>0</v>
      </c>
    </row>
    <row r="4336" spans="1:5" x14ac:dyDescent="0.3">
      <c r="A4336" s="20" t="s">
        <v>163</v>
      </c>
      <c r="B4336" s="21" t="s">
        <v>369</v>
      </c>
      <c r="C4336" s="22">
        <v>0</v>
      </c>
      <c r="D4336" s="23">
        <v>160000</v>
      </c>
      <c r="E4336" s="24">
        <v>0</v>
      </c>
    </row>
    <row r="4337" spans="1:5" x14ac:dyDescent="0.3">
      <c r="A4337" s="20" t="s">
        <v>163</v>
      </c>
      <c r="B4337" s="21" t="s">
        <v>370</v>
      </c>
      <c r="C4337" s="22">
        <v>160000</v>
      </c>
      <c r="D4337" s="23">
        <v>160000</v>
      </c>
      <c r="E4337" s="24">
        <v>0</v>
      </c>
    </row>
    <row r="4338" spans="1:5" x14ac:dyDescent="0.3">
      <c r="A4338" s="20" t="s">
        <v>163</v>
      </c>
      <c r="B4338" s="21" t="s">
        <v>371</v>
      </c>
      <c r="C4338" s="22">
        <v>160000</v>
      </c>
      <c r="D4338" s="23">
        <v>0</v>
      </c>
      <c r="E4338" s="24">
        <v>0</v>
      </c>
    </row>
    <row r="4339" spans="1:5" x14ac:dyDescent="0.3">
      <c r="A4339" s="20" t="s">
        <v>163</v>
      </c>
      <c r="B4339" s="21" t="s">
        <v>372</v>
      </c>
      <c r="C4339" s="22">
        <v>160000</v>
      </c>
      <c r="D4339" s="23">
        <v>160000</v>
      </c>
      <c r="E4339" s="24">
        <v>0</v>
      </c>
    </row>
    <row r="4340" spans="1:5" x14ac:dyDescent="0.3">
      <c r="A4340" s="20" t="s">
        <v>163</v>
      </c>
      <c r="B4340" s="21" t="s">
        <v>373</v>
      </c>
      <c r="C4340" s="22">
        <v>160000</v>
      </c>
      <c r="D4340" s="23">
        <v>0</v>
      </c>
      <c r="E4340" s="24">
        <v>0</v>
      </c>
    </row>
    <row r="4341" spans="1:5" x14ac:dyDescent="0.3">
      <c r="A4341" s="20" t="s">
        <v>163</v>
      </c>
      <c r="B4341" s="21" t="s">
        <v>374</v>
      </c>
      <c r="C4341" s="22">
        <v>0</v>
      </c>
      <c r="D4341" s="23">
        <v>160000</v>
      </c>
      <c r="E4341" s="24">
        <v>0</v>
      </c>
    </row>
    <row r="4342" spans="1:5" x14ac:dyDescent="0.3">
      <c r="A4342" s="20" t="s">
        <v>163</v>
      </c>
      <c r="B4342" s="21" t="s">
        <v>375</v>
      </c>
      <c r="C4342" s="22">
        <v>160000</v>
      </c>
      <c r="D4342" s="23">
        <v>0</v>
      </c>
      <c r="E4342" s="24">
        <v>0</v>
      </c>
    </row>
    <row r="4343" spans="1:5" x14ac:dyDescent="0.3">
      <c r="A4343" s="20" t="s">
        <v>163</v>
      </c>
      <c r="B4343" s="21" t="s">
        <v>376</v>
      </c>
      <c r="C4343" s="22">
        <v>160000</v>
      </c>
      <c r="D4343" s="23">
        <v>160000</v>
      </c>
      <c r="E4343" s="24">
        <v>0</v>
      </c>
    </row>
    <row r="4344" spans="1:5" x14ac:dyDescent="0.3">
      <c r="A4344" s="20" t="s">
        <v>163</v>
      </c>
      <c r="B4344" s="21" t="s">
        <v>377</v>
      </c>
      <c r="C4344" s="22">
        <v>160000</v>
      </c>
      <c r="D4344" s="23">
        <v>160000</v>
      </c>
      <c r="E4344" s="24">
        <v>0</v>
      </c>
    </row>
    <row r="4345" spans="1:5" x14ac:dyDescent="0.3">
      <c r="A4345" s="16" t="s">
        <v>464</v>
      </c>
      <c r="B4345" s="16" t="s">
        <v>373</v>
      </c>
      <c r="C4345" s="17">
        <v>0</v>
      </c>
      <c r="D4345" s="18">
        <v>0</v>
      </c>
      <c r="E4345" s="19">
        <v>0</v>
      </c>
    </row>
    <row r="4346" spans="1:5" x14ac:dyDescent="0.3">
      <c r="A4346" s="20" t="s">
        <v>464</v>
      </c>
      <c r="B4346" s="21" t="s">
        <v>374</v>
      </c>
      <c r="C4346" s="22">
        <v>0</v>
      </c>
      <c r="D4346" s="23">
        <v>0</v>
      </c>
      <c r="E4346" s="24">
        <v>0</v>
      </c>
    </row>
    <row r="4347" spans="1:5" x14ac:dyDescent="0.3">
      <c r="A4347" s="20" t="s">
        <v>464</v>
      </c>
      <c r="B4347" s="21" t="s">
        <v>375</v>
      </c>
      <c r="C4347" s="22">
        <v>0</v>
      </c>
      <c r="D4347" s="23">
        <v>80000</v>
      </c>
      <c r="E4347" s="24">
        <v>0</v>
      </c>
    </row>
    <row r="4348" spans="1:5" x14ac:dyDescent="0.3">
      <c r="A4348" s="20" t="s">
        <v>464</v>
      </c>
      <c r="B4348" s="21" t="s">
        <v>376</v>
      </c>
      <c r="C4348" s="22">
        <v>80000</v>
      </c>
      <c r="D4348" s="23">
        <v>0</v>
      </c>
      <c r="E4348" s="24">
        <v>0</v>
      </c>
    </row>
    <row r="4349" spans="1:5" x14ac:dyDescent="0.3">
      <c r="A4349" s="16" t="s">
        <v>158</v>
      </c>
      <c r="B4349" s="16" t="s">
        <v>366</v>
      </c>
      <c r="C4349" s="17">
        <v>32000</v>
      </c>
      <c r="D4349" s="18">
        <v>32000</v>
      </c>
      <c r="E4349" s="19">
        <v>0</v>
      </c>
    </row>
    <row r="4350" spans="1:5" x14ac:dyDescent="0.3">
      <c r="A4350" s="20" t="s">
        <v>158</v>
      </c>
      <c r="B4350" s="21" t="s">
        <v>367</v>
      </c>
      <c r="C4350" s="22">
        <v>40000</v>
      </c>
      <c r="D4350" s="23">
        <v>60000</v>
      </c>
      <c r="E4350" s="24">
        <v>0</v>
      </c>
    </row>
    <row r="4351" spans="1:5" x14ac:dyDescent="0.3">
      <c r="A4351" s="20" t="s">
        <v>158</v>
      </c>
      <c r="B4351" s="21" t="s">
        <v>368</v>
      </c>
      <c r="C4351" s="22">
        <v>36000</v>
      </c>
      <c r="D4351" s="23">
        <v>36000</v>
      </c>
      <c r="E4351" s="24">
        <v>0</v>
      </c>
    </row>
    <row r="4352" spans="1:5" x14ac:dyDescent="0.3">
      <c r="A4352" s="20" t="s">
        <v>158</v>
      </c>
      <c r="B4352" s="21" t="s">
        <v>369</v>
      </c>
      <c r="C4352" s="22">
        <v>40000</v>
      </c>
      <c r="D4352" s="23">
        <v>52000</v>
      </c>
      <c r="E4352" s="24">
        <v>0</v>
      </c>
    </row>
    <row r="4353" spans="1:5" x14ac:dyDescent="0.3">
      <c r="A4353" s="20" t="s">
        <v>158</v>
      </c>
      <c r="B4353" s="21" t="s">
        <v>370</v>
      </c>
      <c r="C4353" s="22">
        <v>40000</v>
      </c>
      <c r="D4353" s="23">
        <v>42000</v>
      </c>
      <c r="E4353" s="24">
        <v>0</v>
      </c>
    </row>
    <row r="4354" spans="1:5" x14ac:dyDescent="0.3">
      <c r="A4354" s="20" t="s">
        <v>158</v>
      </c>
      <c r="B4354" s="21" t="s">
        <v>371</v>
      </c>
      <c r="C4354" s="22">
        <v>40000</v>
      </c>
      <c r="D4354" s="23">
        <v>42000</v>
      </c>
      <c r="E4354" s="24">
        <v>0</v>
      </c>
    </row>
    <row r="4355" spans="1:5" x14ac:dyDescent="0.3">
      <c r="A4355" s="20" t="s">
        <v>158</v>
      </c>
      <c r="B4355" s="21" t="s">
        <v>372</v>
      </c>
      <c r="C4355" s="22">
        <v>40000</v>
      </c>
      <c r="D4355" s="23">
        <v>36000</v>
      </c>
      <c r="E4355" s="24">
        <v>0</v>
      </c>
    </row>
    <row r="4356" spans="1:5" x14ac:dyDescent="0.3">
      <c r="A4356" s="20" t="s">
        <v>158</v>
      </c>
      <c r="B4356" s="21" t="s">
        <v>373</v>
      </c>
      <c r="C4356" s="22">
        <v>40000</v>
      </c>
      <c r="D4356" s="23">
        <v>40000</v>
      </c>
      <c r="E4356" s="24">
        <v>0</v>
      </c>
    </row>
    <row r="4357" spans="1:5" x14ac:dyDescent="0.3">
      <c r="A4357" s="20" t="s">
        <v>158</v>
      </c>
      <c r="B4357" s="21" t="s">
        <v>374</v>
      </c>
      <c r="C4357" s="22">
        <v>40000</v>
      </c>
      <c r="D4357" s="23">
        <v>42000</v>
      </c>
      <c r="E4357" s="24">
        <v>0</v>
      </c>
    </row>
    <row r="4358" spans="1:5" x14ac:dyDescent="0.3">
      <c r="A4358" s="20" t="s">
        <v>158</v>
      </c>
      <c r="B4358" s="21" t="s">
        <v>375</v>
      </c>
      <c r="C4358" s="22">
        <v>40000</v>
      </c>
      <c r="D4358" s="23">
        <v>14000</v>
      </c>
      <c r="E4358" s="24">
        <v>0</v>
      </c>
    </row>
    <row r="4359" spans="1:5" x14ac:dyDescent="0.3">
      <c r="A4359" s="20" t="s">
        <v>158</v>
      </c>
      <c r="B4359" s="21" t="s">
        <v>376</v>
      </c>
      <c r="C4359" s="22">
        <v>40000</v>
      </c>
      <c r="D4359" s="23">
        <v>0</v>
      </c>
      <c r="E4359" s="24">
        <v>0</v>
      </c>
    </row>
    <row r="4360" spans="1:5" x14ac:dyDescent="0.3">
      <c r="A4360" s="20" t="s">
        <v>158</v>
      </c>
      <c r="B4360" s="21" t="s">
        <v>377</v>
      </c>
      <c r="C4360" s="22">
        <v>32000</v>
      </c>
      <c r="D4360" s="23">
        <v>0</v>
      </c>
      <c r="E4360" s="24">
        <v>0</v>
      </c>
    </row>
    <row r="4361" spans="1:5" x14ac:dyDescent="0.3">
      <c r="A4361" s="16" t="s">
        <v>158</v>
      </c>
      <c r="B4361" s="16" t="s">
        <v>366</v>
      </c>
      <c r="C4361" s="17">
        <v>132000</v>
      </c>
      <c r="D4361" s="18">
        <v>144000</v>
      </c>
      <c r="E4361" s="19">
        <v>0</v>
      </c>
    </row>
    <row r="4362" spans="1:5" x14ac:dyDescent="0.3">
      <c r="A4362" s="20" t="s">
        <v>158</v>
      </c>
      <c r="B4362" s="21" t="s">
        <v>367</v>
      </c>
      <c r="C4362" s="22">
        <v>132000</v>
      </c>
      <c r="D4362" s="23">
        <v>140000</v>
      </c>
      <c r="E4362" s="24">
        <v>0</v>
      </c>
    </row>
    <row r="4363" spans="1:5" x14ac:dyDescent="0.3">
      <c r="A4363" s="20" t="s">
        <v>158</v>
      </c>
      <c r="B4363" s="21" t="s">
        <v>368</v>
      </c>
      <c r="C4363" s="22">
        <v>132000</v>
      </c>
      <c r="D4363" s="23">
        <v>172000</v>
      </c>
      <c r="E4363" s="24">
        <v>0</v>
      </c>
    </row>
    <row r="4364" spans="1:5" x14ac:dyDescent="0.3">
      <c r="A4364" s="20" t="s">
        <v>158</v>
      </c>
      <c r="B4364" s="21" t="s">
        <v>369</v>
      </c>
      <c r="C4364" s="22">
        <v>132000</v>
      </c>
      <c r="D4364" s="23">
        <v>132000</v>
      </c>
      <c r="E4364" s="24">
        <v>0</v>
      </c>
    </row>
    <row r="4365" spans="1:5" x14ac:dyDescent="0.3">
      <c r="A4365" s="20" t="s">
        <v>158</v>
      </c>
      <c r="B4365" s="21" t="s">
        <v>370</v>
      </c>
      <c r="C4365" s="22">
        <v>132000</v>
      </c>
      <c r="D4365" s="23">
        <v>116000</v>
      </c>
      <c r="E4365" s="24">
        <v>0</v>
      </c>
    </row>
    <row r="4366" spans="1:5" x14ac:dyDescent="0.3">
      <c r="A4366" s="20" t="s">
        <v>158</v>
      </c>
      <c r="B4366" s="21" t="s">
        <v>371</v>
      </c>
      <c r="C4366" s="22">
        <v>132000</v>
      </c>
      <c r="D4366" s="23">
        <v>152000</v>
      </c>
      <c r="E4366" s="24">
        <v>0</v>
      </c>
    </row>
    <row r="4367" spans="1:5" x14ac:dyDescent="0.3">
      <c r="A4367" s="20" t="s">
        <v>158</v>
      </c>
      <c r="B4367" s="21" t="s">
        <v>372</v>
      </c>
      <c r="C4367" s="22">
        <v>64000</v>
      </c>
      <c r="D4367" s="23">
        <v>76000</v>
      </c>
      <c r="E4367" s="24">
        <v>0</v>
      </c>
    </row>
    <row r="4368" spans="1:5" x14ac:dyDescent="0.3">
      <c r="A4368" s="20" t="s">
        <v>158</v>
      </c>
      <c r="B4368" s="21" t="s">
        <v>373</v>
      </c>
      <c r="C4368" s="22">
        <v>132000</v>
      </c>
      <c r="D4368" s="23">
        <v>216000</v>
      </c>
      <c r="E4368" s="24">
        <v>0</v>
      </c>
    </row>
    <row r="4369" spans="1:5" x14ac:dyDescent="0.3">
      <c r="A4369" s="20" t="s">
        <v>158</v>
      </c>
      <c r="B4369" s="21" t="s">
        <v>374</v>
      </c>
      <c r="C4369" s="22">
        <v>132000</v>
      </c>
      <c r="D4369" s="23">
        <v>188000</v>
      </c>
      <c r="E4369" s="24">
        <v>0</v>
      </c>
    </row>
    <row r="4370" spans="1:5" x14ac:dyDescent="0.3">
      <c r="A4370" s="20" t="s">
        <v>158</v>
      </c>
      <c r="B4370" s="21" t="s">
        <v>375</v>
      </c>
      <c r="C4370" s="22">
        <v>132000</v>
      </c>
      <c r="D4370" s="23">
        <v>180000</v>
      </c>
      <c r="E4370" s="24">
        <v>0</v>
      </c>
    </row>
    <row r="4371" spans="1:5" x14ac:dyDescent="0.3">
      <c r="A4371" s="20" t="s">
        <v>158</v>
      </c>
      <c r="B4371" s="21" t="s">
        <v>376</v>
      </c>
      <c r="C4371" s="22">
        <v>132000</v>
      </c>
      <c r="D4371" s="23">
        <v>208000</v>
      </c>
      <c r="E4371" s="24">
        <v>0</v>
      </c>
    </row>
    <row r="4372" spans="1:5" x14ac:dyDescent="0.3">
      <c r="A4372" s="20" t="s">
        <v>158</v>
      </c>
      <c r="B4372" s="21" t="s">
        <v>377</v>
      </c>
      <c r="C4372" s="22">
        <v>64000</v>
      </c>
      <c r="D4372" s="23">
        <v>64000</v>
      </c>
      <c r="E4372" s="24">
        <v>0</v>
      </c>
    </row>
    <row r="4373" spans="1:5" x14ac:dyDescent="0.3">
      <c r="A4373" s="16" t="s">
        <v>465</v>
      </c>
      <c r="B4373" s="16" t="s">
        <v>366</v>
      </c>
      <c r="C4373" s="17">
        <v>0</v>
      </c>
      <c r="D4373" s="18">
        <v>0</v>
      </c>
      <c r="E4373" s="19">
        <v>0</v>
      </c>
    </row>
    <row r="4374" spans="1:5" x14ac:dyDescent="0.3">
      <c r="A4374" s="20" t="s">
        <v>465</v>
      </c>
      <c r="B4374" s="21" t="s">
        <v>367</v>
      </c>
      <c r="C4374" s="22">
        <v>0</v>
      </c>
      <c r="D4374" s="23">
        <v>0</v>
      </c>
      <c r="E4374" s="24">
        <v>0</v>
      </c>
    </row>
    <row r="4375" spans="1:5" x14ac:dyDescent="0.3">
      <c r="A4375" s="20" t="s">
        <v>465</v>
      </c>
      <c r="B4375" s="21" t="s">
        <v>369</v>
      </c>
      <c r="C4375" s="22">
        <v>0</v>
      </c>
      <c r="D4375" s="23">
        <v>0</v>
      </c>
      <c r="E4375" s="24">
        <v>0</v>
      </c>
    </row>
    <row r="4376" spans="1:5" x14ac:dyDescent="0.3">
      <c r="A4376" s="20" t="s">
        <v>465</v>
      </c>
      <c r="B4376" s="21" t="s">
        <v>370</v>
      </c>
      <c r="C4376" s="22">
        <v>0</v>
      </c>
      <c r="D4376" s="23">
        <v>0</v>
      </c>
      <c r="E4376" s="24">
        <v>0</v>
      </c>
    </row>
    <row r="4377" spans="1:5" x14ac:dyDescent="0.3">
      <c r="A4377" s="20" t="s">
        <v>465</v>
      </c>
      <c r="B4377" s="21" t="s">
        <v>371</v>
      </c>
      <c r="C4377" s="22">
        <v>0</v>
      </c>
      <c r="D4377" s="23">
        <v>0</v>
      </c>
      <c r="E4377" s="24">
        <v>0</v>
      </c>
    </row>
    <row r="4378" spans="1:5" x14ac:dyDescent="0.3">
      <c r="A4378" s="20" t="s">
        <v>465</v>
      </c>
      <c r="B4378" s="21" t="s">
        <v>372</v>
      </c>
      <c r="C4378" s="22">
        <v>0</v>
      </c>
      <c r="D4378" s="23">
        <v>0</v>
      </c>
      <c r="E4378" s="24">
        <v>0</v>
      </c>
    </row>
    <row r="4379" spans="1:5" x14ac:dyDescent="0.3">
      <c r="A4379" s="20" t="s">
        <v>465</v>
      </c>
      <c r="B4379" s="21" t="s">
        <v>373</v>
      </c>
      <c r="C4379" s="22">
        <v>0</v>
      </c>
      <c r="D4379" s="23">
        <v>0</v>
      </c>
      <c r="E4379" s="24">
        <v>0</v>
      </c>
    </row>
    <row r="4380" spans="1:5" x14ac:dyDescent="0.3">
      <c r="A4380" s="20" t="s">
        <v>465</v>
      </c>
      <c r="B4380" s="21" t="s">
        <v>374</v>
      </c>
      <c r="C4380" s="22">
        <v>0</v>
      </c>
      <c r="D4380" s="23">
        <v>0</v>
      </c>
      <c r="E4380" s="24">
        <v>0</v>
      </c>
    </row>
    <row r="4381" spans="1:5" x14ac:dyDescent="0.3">
      <c r="A4381" s="20" t="s">
        <v>465</v>
      </c>
      <c r="B4381" s="21" t="s">
        <v>375</v>
      </c>
      <c r="C4381" s="22">
        <v>0</v>
      </c>
      <c r="D4381" s="23">
        <v>0</v>
      </c>
      <c r="E4381" s="24">
        <v>0</v>
      </c>
    </row>
    <row r="4382" spans="1:5" x14ac:dyDescent="0.3">
      <c r="A4382" s="16" t="s">
        <v>466</v>
      </c>
      <c r="B4382" s="16" t="s">
        <v>366</v>
      </c>
      <c r="C4382" s="17">
        <v>0</v>
      </c>
      <c r="D4382" s="18">
        <v>0</v>
      </c>
      <c r="E4382" s="19">
        <v>0</v>
      </c>
    </row>
    <row r="4383" spans="1:5" x14ac:dyDescent="0.3">
      <c r="A4383" s="20" t="s">
        <v>466</v>
      </c>
      <c r="B4383" s="21" t="s">
        <v>367</v>
      </c>
      <c r="C4383" s="22">
        <v>0</v>
      </c>
      <c r="D4383" s="23">
        <v>0</v>
      </c>
      <c r="E4383" s="24">
        <v>0</v>
      </c>
    </row>
    <row r="4384" spans="1:5" x14ac:dyDescent="0.3">
      <c r="A4384" s="20" t="s">
        <v>466</v>
      </c>
      <c r="B4384" s="21" t="s">
        <v>369</v>
      </c>
      <c r="C4384" s="22">
        <v>0</v>
      </c>
      <c r="D4384" s="23">
        <v>0</v>
      </c>
      <c r="E4384" s="24">
        <v>0</v>
      </c>
    </row>
    <row r="4385" spans="1:5" x14ac:dyDescent="0.3">
      <c r="A4385" s="20" t="s">
        <v>466</v>
      </c>
      <c r="B4385" s="21" t="s">
        <v>370</v>
      </c>
      <c r="C4385" s="22">
        <v>0</v>
      </c>
      <c r="D4385" s="23">
        <v>0</v>
      </c>
      <c r="E4385" s="24">
        <v>0</v>
      </c>
    </row>
    <row r="4386" spans="1:5" x14ac:dyDescent="0.3">
      <c r="A4386" s="20" t="s">
        <v>466</v>
      </c>
      <c r="B4386" s="21" t="s">
        <v>371</v>
      </c>
      <c r="C4386" s="22">
        <v>0</v>
      </c>
      <c r="D4386" s="23">
        <v>0</v>
      </c>
      <c r="E4386" s="24">
        <v>0</v>
      </c>
    </row>
    <row r="4387" spans="1:5" x14ac:dyDescent="0.3">
      <c r="A4387" s="20" t="s">
        <v>466</v>
      </c>
      <c r="B4387" s="21" t="s">
        <v>372</v>
      </c>
      <c r="C4387" s="22">
        <v>0</v>
      </c>
      <c r="D4387" s="23">
        <v>0</v>
      </c>
      <c r="E4387" s="24">
        <v>0</v>
      </c>
    </row>
    <row r="4388" spans="1:5" x14ac:dyDescent="0.3">
      <c r="A4388" s="20" t="s">
        <v>466</v>
      </c>
      <c r="B4388" s="21" t="s">
        <v>373</v>
      </c>
      <c r="C4388" s="22">
        <v>0</v>
      </c>
      <c r="D4388" s="23">
        <v>0</v>
      </c>
      <c r="E4388" s="24">
        <v>0</v>
      </c>
    </row>
    <row r="4389" spans="1:5" x14ac:dyDescent="0.3">
      <c r="A4389" s="20" t="s">
        <v>466</v>
      </c>
      <c r="B4389" s="21" t="s">
        <v>374</v>
      </c>
      <c r="C4389" s="22">
        <v>0</v>
      </c>
      <c r="D4389" s="23">
        <v>0</v>
      </c>
      <c r="E4389" s="24">
        <v>0</v>
      </c>
    </row>
    <row r="4390" spans="1:5" x14ac:dyDescent="0.3">
      <c r="A4390" s="20" t="s">
        <v>466</v>
      </c>
      <c r="B4390" s="21" t="s">
        <v>375</v>
      </c>
      <c r="C4390" s="22">
        <v>0</v>
      </c>
      <c r="D4390" s="23">
        <v>0</v>
      </c>
      <c r="E4390" s="24">
        <v>0</v>
      </c>
    </row>
    <row r="4391" spans="1:5" x14ac:dyDescent="0.3">
      <c r="A4391" s="16" t="s">
        <v>467</v>
      </c>
      <c r="B4391" s="16" t="s">
        <v>366</v>
      </c>
      <c r="C4391" s="17">
        <v>0</v>
      </c>
      <c r="D4391" s="18">
        <v>0</v>
      </c>
      <c r="E4391" s="19">
        <v>0</v>
      </c>
    </row>
    <row r="4392" spans="1:5" x14ac:dyDescent="0.3">
      <c r="A4392" s="20" t="s">
        <v>467</v>
      </c>
      <c r="B4392" s="21" t="s">
        <v>367</v>
      </c>
      <c r="C4392" s="22">
        <v>0</v>
      </c>
      <c r="D4392" s="23">
        <v>0</v>
      </c>
      <c r="E4392" s="24">
        <v>0</v>
      </c>
    </row>
    <row r="4393" spans="1:5" x14ac:dyDescent="0.3">
      <c r="A4393" s="20" t="s">
        <v>467</v>
      </c>
      <c r="B4393" s="21" t="s">
        <v>368</v>
      </c>
      <c r="C4393" s="22">
        <v>0</v>
      </c>
      <c r="D4393" s="23">
        <v>0</v>
      </c>
      <c r="E4393" s="24">
        <v>0</v>
      </c>
    </row>
    <row r="4394" spans="1:5" x14ac:dyDescent="0.3">
      <c r="A4394" s="20" t="s">
        <v>467</v>
      </c>
      <c r="B4394" s="21" t="s">
        <v>369</v>
      </c>
      <c r="C4394" s="22">
        <v>0</v>
      </c>
      <c r="D4394" s="23">
        <v>0</v>
      </c>
      <c r="E4394" s="24">
        <v>0</v>
      </c>
    </row>
    <row r="4395" spans="1:5" x14ac:dyDescent="0.3">
      <c r="A4395" s="20" t="s">
        <v>467</v>
      </c>
      <c r="B4395" s="21" t="s">
        <v>370</v>
      </c>
      <c r="C4395" s="22">
        <v>0</v>
      </c>
      <c r="D4395" s="23">
        <v>0</v>
      </c>
      <c r="E4395" s="24">
        <v>0</v>
      </c>
    </row>
    <row r="4396" spans="1:5" x14ac:dyDescent="0.3">
      <c r="A4396" s="20" t="s">
        <v>467</v>
      </c>
      <c r="B4396" s="21" t="s">
        <v>371</v>
      </c>
      <c r="C4396" s="22">
        <v>0</v>
      </c>
      <c r="D4396" s="23">
        <v>0</v>
      </c>
      <c r="E4396" s="24">
        <v>0</v>
      </c>
    </row>
    <row r="4397" spans="1:5" x14ac:dyDescent="0.3">
      <c r="A4397" s="20" t="s">
        <v>467</v>
      </c>
      <c r="B4397" s="21" t="s">
        <v>372</v>
      </c>
      <c r="C4397" s="22">
        <v>0</v>
      </c>
      <c r="D4397" s="23">
        <v>0</v>
      </c>
      <c r="E4397" s="24">
        <v>0</v>
      </c>
    </row>
    <row r="4398" spans="1:5" x14ac:dyDescent="0.3">
      <c r="A4398" s="20" t="s">
        <v>467</v>
      </c>
      <c r="B4398" s="21" t="s">
        <v>373</v>
      </c>
      <c r="C4398" s="22">
        <v>0</v>
      </c>
      <c r="D4398" s="23">
        <v>0</v>
      </c>
      <c r="E4398" s="24">
        <v>0</v>
      </c>
    </row>
    <row r="4399" spans="1:5" x14ac:dyDescent="0.3">
      <c r="A4399" s="20" t="s">
        <v>467</v>
      </c>
      <c r="B4399" s="21" t="s">
        <v>374</v>
      </c>
      <c r="C4399" s="22">
        <v>0</v>
      </c>
      <c r="D4399" s="23">
        <v>0</v>
      </c>
      <c r="E4399" s="24">
        <v>0</v>
      </c>
    </row>
    <row r="4400" spans="1:5" x14ac:dyDescent="0.3">
      <c r="A4400" s="20" t="s">
        <v>467</v>
      </c>
      <c r="B4400" s="21" t="s">
        <v>375</v>
      </c>
      <c r="C4400" s="22">
        <v>0</v>
      </c>
      <c r="D4400" s="23">
        <v>0</v>
      </c>
      <c r="E4400" s="24">
        <v>0</v>
      </c>
    </row>
    <row r="4401" spans="1:5" x14ac:dyDescent="0.3">
      <c r="A4401" s="16" t="s">
        <v>468</v>
      </c>
      <c r="B4401" s="16" t="s">
        <v>367</v>
      </c>
      <c r="C4401" s="17">
        <v>0</v>
      </c>
      <c r="D4401" s="18">
        <v>0</v>
      </c>
      <c r="E4401" s="19">
        <v>0</v>
      </c>
    </row>
    <row r="4402" spans="1:5" x14ac:dyDescent="0.3">
      <c r="A4402" s="20" t="s">
        <v>468</v>
      </c>
      <c r="B4402" s="21" t="s">
        <v>368</v>
      </c>
      <c r="C4402" s="22">
        <v>0</v>
      </c>
      <c r="D4402" s="23">
        <v>0</v>
      </c>
      <c r="E4402" s="24">
        <v>0</v>
      </c>
    </row>
    <row r="4403" spans="1:5" x14ac:dyDescent="0.3">
      <c r="A4403" s="20" t="s">
        <v>468</v>
      </c>
      <c r="B4403" s="21" t="s">
        <v>369</v>
      </c>
      <c r="C4403" s="22">
        <v>0</v>
      </c>
      <c r="D4403" s="23">
        <v>0</v>
      </c>
      <c r="E4403" s="24">
        <v>0</v>
      </c>
    </row>
    <row r="4404" spans="1:5" x14ac:dyDescent="0.3">
      <c r="A4404" s="16" t="s">
        <v>469</v>
      </c>
      <c r="B4404" s="16" t="s">
        <v>367</v>
      </c>
      <c r="C4404" s="17">
        <v>0</v>
      </c>
      <c r="D4404" s="18">
        <v>0</v>
      </c>
      <c r="E4404" s="19">
        <v>0</v>
      </c>
    </row>
    <row r="4405" spans="1:5" x14ac:dyDescent="0.3">
      <c r="A4405" s="20" t="s">
        <v>469</v>
      </c>
      <c r="B4405" s="21" t="s">
        <v>368</v>
      </c>
      <c r="C4405" s="22">
        <v>0</v>
      </c>
      <c r="D4405" s="23">
        <v>0</v>
      </c>
      <c r="E4405" s="24">
        <v>0</v>
      </c>
    </row>
    <row r="4406" spans="1:5" x14ac:dyDescent="0.3">
      <c r="A4406" s="20" t="s">
        <v>469</v>
      </c>
      <c r="B4406" s="21" t="s">
        <v>369</v>
      </c>
      <c r="C4406" s="22">
        <v>0</v>
      </c>
      <c r="D4406" s="23">
        <v>0</v>
      </c>
      <c r="E4406" s="24">
        <v>0</v>
      </c>
    </row>
    <row r="4407" spans="1:5" x14ac:dyDescent="0.3">
      <c r="A4407" s="16" t="s">
        <v>470</v>
      </c>
      <c r="B4407" s="16" t="s">
        <v>366</v>
      </c>
      <c r="C4407" s="17">
        <v>0</v>
      </c>
      <c r="D4407" s="18">
        <v>0</v>
      </c>
      <c r="E4407" s="19">
        <v>0</v>
      </c>
    </row>
    <row r="4408" spans="1:5" x14ac:dyDescent="0.3">
      <c r="A4408" s="20" t="s">
        <v>470</v>
      </c>
      <c r="B4408" s="21" t="s">
        <v>367</v>
      </c>
      <c r="C4408" s="22">
        <v>0</v>
      </c>
      <c r="D4408" s="23">
        <v>0</v>
      </c>
      <c r="E4408" s="24">
        <v>0</v>
      </c>
    </row>
    <row r="4409" spans="1:5" x14ac:dyDescent="0.3">
      <c r="A4409" s="20" t="s">
        <v>470</v>
      </c>
      <c r="B4409" s="21" t="s">
        <v>368</v>
      </c>
      <c r="C4409" s="22">
        <v>0</v>
      </c>
      <c r="D4409" s="23">
        <v>0</v>
      </c>
      <c r="E4409" s="24">
        <v>0</v>
      </c>
    </row>
    <row r="4410" spans="1:5" x14ac:dyDescent="0.3">
      <c r="A4410" s="20" t="s">
        <v>470</v>
      </c>
      <c r="B4410" s="21" t="s">
        <v>369</v>
      </c>
      <c r="C4410" s="22">
        <v>0</v>
      </c>
      <c r="D4410" s="23">
        <v>0</v>
      </c>
      <c r="E4410" s="24">
        <v>0</v>
      </c>
    </row>
    <row r="4411" spans="1:5" x14ac:dyDescent="0.3">
      <c r="A4411" s="20" t="s">
        <v>470</v>
      </c>
      <c r="B4411" s="21" t="s">
        <v>370</v>
      </c>
      <c r="C4411" s="22">
        <v>0</v>
      </c>
      <c r="D4411" s="23">
        <v>0</v>
      </c>
      <c r="E4411" s="24">
        <v>0</v>
      </c>
    </row>
    <row r="4412" spans="1:5" x14ac:dyDescent="0.3">
      <c r="A4412" s="20" t="s">
        <v>470</v>
      </c>
      <c r="B4412" s="21" t="s">
        <v>371</v>
      </c>
      <c r="C4412" s="22">
        <v>0</v>
      </c>
      <c r="D4412" s="23">
        <v>0</v>
      </c>
      <c r="E4412" s="24">
        <v>0</v>
      </c>
    </row>
    <row r="4413" spans="1:5" x14ac:dyDescent="0.3">
      <c r="A4413" s="20" t="s">
        <v>470</v>
      </c>
      <c r="B4413" s="21" t="s">
        <v>372</v>
      </c>
      <c r="C4413" s="22">
        <v>0</v>
      </c>
      <c r="D4413" s="23">
        <v>0</v>
      </c>
      <c r="E4413" s="24">
        <v>0</v>
      </c>
    </row>
    <row r="4414" spans="1:5" x14ac:dyDescent="0.3">
      <c r="A4414" s="20" t="s">
        <v>470</v>
      </c>
      <c r="B4414" s="21" t="s">
        <v>373</v>
      </c>
      <c r="C4414" s="22">
        <v>0</v>
      </c>
      <c r="D4414" s="23">
        <v>0</v>
      </c>
      <c r="E4414" s="24">
        <v>0</v>
      </c>
    </row>
    <row r="4415" spans="1:5" x14ac:dyDescent="0.3">
      <c r="A4415" s="20" t="s">
        <v>470</v>
      </c>
      <c r="B4415" s="21" t="s">
        <v>374</v>
      </c>
      <c r="C4415" s="22">
        <v>0</v>
      </c>
      <c r="D4415" s="23">
        <v>0</v>
      </c>
      <c r="E4415" s="24">
        <v>0</v>
      </c>
    </row>
    <row r="4416" spans="1:5" x14ac:dyDescent="0.3">
      <c r="A4416" s="20" t="s">
        <v>470</v>
      </c>
      <c r="B4416" s="21" t="s">
        <v>375</v>
      </c>
      <c r="C4416" s="22">
        <v>0</v>
      </c>
      <c r="D4416" s="23">
        <v>0</v>
      </c>
      <c r="E4416" s="24">
        <v>0</v>
      </c>
    </row>
    <row r="4417" spans="1:5" x14ac:dyDescent="0.3">
      <c r="A4417" s="16" t="s">
        <v>245</v>
      </c>
      <c r="B4417" s="16" t="s">
        <v>366</v>
      </c>
      <c r="C4417" s="17">
        <v>75000</v>
      </c>
      <c r="D4417" s="18">
        <v>75000</v>
      </c>
      <c r="E4417" s="19">
        <v>0</v>
      </c>
    </row>
    <row r="4418" spans="1:5" x14ac:dyDescent="0.3">
      <c r="A4418" s="20" t="s">
        <v>245</v>
      </c>
      <c r="B4418" s="21" t="s">
        <v>367</v>
      </c>
      <c r="C4418" s="22">
        <v>25000</v>
      </c>
      <c r="D4418" s="23">
        <v>100000</v>
      </c>
      <c r="E4418" s="24">
        <v>0</v>
      </c>
    </row>
    <row r="4419" spans="1:5" x14ac:dyDescent="0.3">
      <c r="A4419" s="20" t="s">
        <v>245</v>
      </c>
      <c r="B4419" s="21" t="s">
        <v>368</v>
      </c>
      <c r="C4419" s="22">
        <v>75000</v>
      </c>
      <c r="D4419" s="23">
        <v>75000</v>
      </c>
      <c r="E4419" s="24">
        <v>0</v>
      </c>
    </row>
    <row r="4420" spans="1:5" x14ac:dyDescent="0.3">
      <c r="A4420" s="20" t="s">
        <v>245</v>
      </c>
      <c r="B4420" s="21" t="s">
        <v>369</v>
      </c>
      <c r="C4420" s="22">
        <v>25000</v>
      </c>
      <c r="D4420" s="23">
        <v>50000</v>
      </c>
      <c r="E4420" s="24">
        <v>0</v>
      </c>
    </row>
    <row r="4421" spans="1:5" x14ac:dyDescent="0.3">
      <c r="A4421" s="20" t="s">
        <v>245</v>
      </c>
      <c r="B4421" s="21" t="s">
        <v>370</v>
      </c>
      <c r="C4421" s="22">
        <v>75000</v>
      </c>
      <c r="D4421" s="23">
        <v>50000</v>
      </c>
      <c r="E4421" s="24">
        <v>0</v>
      </c>
    </row>
    <row r="4422" spans="1:5" x14ac:dyDescent="0.3">
      <c r="A4422" s="20" t="s">
        <v>245</v>
      </c>
      <c r="B4422" s="21" t="s">
        <v>371</v>
      </c>
      <c r="C4422" s="22">
        <v>25000</v>
      </c>
      <c r="D4422" s="23">
        <v>75000</v>
      </c>
      <c r="E4422" s="24">
        <v>0</v>
      </c>
    </row>
    <row r="4423" spans="1:5" x14ac:dyDescent="0.3">
      <c r="A4423" s="20" t="s">
        <v>245</v>
      </c>
      <c r="B4423" s="21" t="s">
        <v>372</v>
      </c>
      <c r="C4423" s="22">
        <v>75000</v>
      </c>
      <c r="D4423" s="23">
        <v>25000</v>
      </c>
      <c r="E4423" s="24">
        <v>0</v>
      </c>
    </row>
    <row r="4424" spans="1:5" x14ac:dyDescent="0.3">
      <c r="A4424" s="20" t="s">
        <v>245</v>
      </c>
      <c r="B4424" s="21" t="s">
        <v>373</v>
      </c>
      <c r="C4424" s="22">
        <v>25000</v>
      </c>
      <c r="D4424" s="23">
        <v>25000</v>
      </c>
      <c r="E4424" s="24">
        <v>0</v>
      </c>
    </row>
    <row r="4425" spans="1:5" x14ac:dyDescent="0.3">
      <c r="A4425" s="20" t="s">
        <v>245</v>
      </c>
      <c r="B4425" s="21" t="s">
        <v>374</v>
      </c>
      <c r="C4425" s="22">
        <v>75000</v>
      </c>
      <c r="D4425" s="23">
        <v>25000</v>
      </c>
      <c r="E4425" s="24">
        <v>0</v>
      </c>
    </row>
    <row r="4426" spans="1:5" x14ac:dyDescent="0.3">
      <c r="A4426" s="20" t="s">
        <v>245</v>
      </c>
      <c r="B4426" s="21" t="s">
        <v>375</v>
      </c>
      <c r="C4426" s="22">
        <v>25000</v>
      </c>
      <c r="D4426" s="23">
        <v>0</v>
      </c>
      <c r="E4426" s="24">
        <v>0</v>
      </c>
    </row>
    <row r="4427" spans="1:5" x14ac:dyDescent="0.3">
      <c r="A4427" s="20" t="s">
        <v>245</v>
      </c>
      <c r="B4427" s="21" t="s">
        <v>376</v>
      </c>
      <c r="C4427" s="22">
        <v>75000</v>
      </c>
      <c r="D4427" s="23">
        <v>25000</v>
      </c>
      <c r="E4427" s="24">
        <v>0</v>
      </c>
    </row>
    <row r="4428" spans="1:5" x14ac:dyDescent="0.3">
      <c r="A4428" s="20" t="s">
        <v>245</v>
      </c>
      <c r="B4428" s="21" t="s">
        <v>377</v>
      </c>
      <c r="C4428" s="22">
        <v>25000</v>
      </c>
      <c r="D4428" s="23">
        <v>25000</v>
      </c>
      <c r="E4428" s="24">
        <v>0</v>
      </c>
    </row>
    <row r="4429" spans="1:5" x14ac:dyDescent="0.3">
      <c r="A4429" s="16" t="s">
        <v>246</v>
      </c>
      <c r="B4429" s="16" t="s">
        <v>368</v>
      </c>
      <c r="C4429" s="17">
        <v>25000</v>
      </c>
      <c r="D4429" s="18">
        <v>25000</v>
      </c>
      <c r="E4429" s="19">
        <v>0</v>
      </c>
    </row>
    <row r="4430" spans="1:5" x14ac:dyDescent="0.3">
      <c r="A4430" s="20" t="s">
        <v>246</v>
      </c>
      <c r="B4430" s="21" t="s">
        <v>370</v>
      </c>
      <c r="C4430" s="22">
        <v>0</v>
      </c>
      <c r="D4430" s="23">
        <v>0</v>
      </c>
      <c r="E4430" s="24">
        <v>0</v>
      </c>
    </row>
    <row r="4431" spans="1:5" x14ac:dyDescent="0.3">
      <c r="A4431" s="16" t="s">
        <v>245</v>
      </c>
      <c r="B4431" s="16" t="s">
        <v>366</v>
      </c>
      <c r="C4431" s="17">
        <v>0</v>
      </c>
      <c r="D4431" s="18">
        <v>0</v>
      </c>
      <c r="E4431" s="19">
        <v>0</v>
      </c>
    </row>
    <row r="4432" spans="1:5" x14ac:dyDescent="0.3">
      <c r="A4432" s="20" t="s">
        <v>245</v>
      </c>
      <c r="B4432" s="21" t="s">
        <v>367</v>
      </c>
      <c r="C4432" s="22">
        <v>25000</v>
      </c>
      <c r="D4432" s="23">
        <v>25000</v>
      </c>
      <c r="E4432" s="24">
        <v>0</v>
      </c>
    </row>
    <row r="4433" spans="1:5" x14ac:dyDescent="0.3">
      <c r="A4433" s="20" t="s">
        <v>245</v>
      </c>
      <c r="B4433" s="21" t="s">
        <v>369</v>
      </c>
      <c r="C4433" s="22">
        <v>0</v>
      </c>
      <c r="D4433" s="23">
        <v>0</v>
      </c>
      <c r="E4433" s="24">
        <v>0</v>
      </c>
    </row>
    <row r="4434" spans="1:5" x14ac:dyDescent="0.3">
      <c r="A4434" s="20" t="s">
        <v>245</v>
      </c>
      <c r="B4434" s="21" t="s">
        <v>371</v>
      </c>
      <c r="C4434" s="22">
        <v>25000</v>
      </c>
      <c r="D4434" s="23">
        <v>25000</v>
      </c>
      <c r="E4434" s="24">
        <v>0</v>
      </c>
    </row>
    <row r="4435" spans="1:5" x14ac:dyDescent="0.3">
      <c r="A4435" s="20" t="s">
        <v>245</v>
      </c>
      <c r="B4435" s="21" t="s">
        <v>372</v>
      </c>
      <c r="C4435" s="22">
        <v>0</v>
      </c>
      <c r="D4435" s="23">
        <v>0</v>
      </c>
      <c r="E4435" s="24">
        <v>0</v>
      </c>
    </row>
    <row r="4436" spans="1:5" x14ac:dyDescent="0.3">
      <c r="A4436" s="20" t="s">
        <v>245</v>
      </c>
      <c r="B4436" s="21" t="s">
        <v>375</v>
      </c>
      <c r="C4436" s="22">
        <v>25000</v>
      </c>
      <c r="D4436" s="23">
        <v>0</v>
      </c>
      <c r="E4436" s="24">
        <v>0</v>
      </c>
    </row>
    <row r="4437" spans="1:5" x14ac:dyDescent="0.3">
      <c r="A4437" s="20" t="s">
        <v>245</v>
      </c>
      <c r="B4437" s="21" t="s">
        <v>376</v>
      </c>
      <c r="C4437" s="22">
        <v>25000</v>
      </c>
      <c r="D4437" s="23">
        <v>0</v>
      </c>
      <c r="E4437" s="24">
        <v>0</v>
      </c>
    </row>
    <row r="4438" spans="1:5" x14ac:dyDescent="0.3">
      <c r="A4438" s="16" t="s">
        <v>169</v>
      </c>
      <c r="B4438" s="16" t="s">
        <v>366</v>
      </c>
      <c r="C4438" s="17">
        <v>9500</v>
      </c>
      <c r="D4438" s="18">
        <v>11000</v>
      </c>
      <c r="E4438" s="19">
        <v>0</v>
      </c>
    </row>
    <row r="4439" spans="1:5" x14ac:dyDescent="0.3">
      <c r="A4439" s="20" t="s">
        <v>169</v>
      </c>
      <c r="B4439" s="21" t="s">
        <v>367</v>
      </c>
      <c r="C4439" s="22">
        <v>9500</v>
      </c>
      <c r="D4439" s="23">
        <v>11000</v>
      </c>
      <c r="E4439" s="24">
        <v>0</v>
      </c>
    </row>
    <row r="4440" spans="1:5" x14ac:dyDescent="0.3">
      <c r="A4440" s="20" t="s">
        <v>169</v>
      </c>
      <c r="B4440" s="21" t="s">
        <v>368</v>
      </c>
      <c r="C4440" s="22">
        <v>9500</v>
      </c>
      <c r="D4440" s="23">
        <v>9500</v>
      </c>
      <c r="E4440" s="24">
        <v>0</v>
      </c>
    </row>
    <row r="4441" spans="1:5" x14ac:dyDescent="0.3">
      <c r="A4441" s="20" t="s">
        <v>169</v>
      </c>
      <c r="B4441" s="21" t="s">
        <v>369</v>
      </c>
      <c r="C4441" s="22">
        <v>9500</v>
      </c>
      <c r="D4441" s="23">
        <v>9500</v>
      </c>
      <c r="E4441" s="24">
        <v>0</v>
      </c>
    </row>
    <row r="4442" spans="1:5" x14ac:dyDescent="0.3">
      <c r="A4442" s="20" t="s">
        <v>169</v>
      </c>
      <c r="B4442" s="21" t="s">
        <v>370</v>
      </c>
      <c r="C4442" s="22">
        <v>8000</v>
      </c>
      <c r="D4442" s="23">
        <v>8000</v>
      </c>
      <c r="E4442" s="24">
        <v>0</v>
      </c>
    </row>
    <row r="4443" spans="1:5" x14ac:dyDescent="0.3">
      <c r="A4443" s="20" t="s">
        <v>169</v>
      </c>
      <c r="B4443" s="21" t="s">
        <v>371</v>
      </c>
      <c r="C4443" s="22">
        <v>8000</v>
      </c>
      <c r="D4443" s="23">
        <v>8000</v>
      </c>
      <c r="E4443" s="24">
        <v>0</v>
      </c>
    </row>
    <row r="4444" spans="1:5" x14ac:dyDescent="0.3">
      <c r="A4444" s="20" t="s">
        <v>169</v>
      </c>
      <c r="B4444" s="21" t="s">
        <v>372</v>
      </c>
      <c r="C4444" s="22">
        <v>8000</v>
      </c>
      <c r="D4444" s="23">
        <v>7500</v>
      </c>
      <c r="E4444" s="24">
        <v>0</v>
      </c>
    </row>
    <row r="4445" spans="1:5" x14ac:dyDescent="0.3">
      <c r="A4445" s="20" t="s">
        <v>169</v>
      </c>
      <c r="B4445" s="21" t="s">
        <v>373</v>
      </c>
      <c r="C4445" s="22">
        <v>8000</v>
      </c>
      <c r="D4445" s="23">
        <v>8000</v>
      </c>
      <c r="E4445" s="24">
        <v>0</v>
      </c>
    </row>
    <row r="4446" spans="1:5" x14ac:dyDescent="0.3">
      <c r="A4446" s="20" t="s">
        <v>169</v>
      </c>
      <c r="B4446" s="21" t="s">
        <v>374</v>
      </c>
      <c r="C4446" s="22">
        <v>9500</v>
      </c>
      <c r="D4446" s="23">
        <v>6500</v>
      </c>
      <c r="E4446" s="24">
        <v>0</v>
      </c>
    </row>
    <row r="4447" spans="1:5" x14ac:dyDescent="0.3">
      <c r="A4447" s="20" t="s">
        <v>169</v>
      </c>
      <c r="B4447" s="21" t="s">
        <v>375</v>
      </c>
      <c r="C4447" s="22">
        <v>9500</v>
      </c>
      <c r="D4447" s="23">
        <v>2500</v>
      </c>
      <c r="E4447" s="24">
        <v>0</v>
      </c>
    </row>
    <row r="4448" spans="1:5" x14ac:dyDescent="0.3">
      <c r="A4448" s="20" t="s">
        <v>169</v>
      </c>
      <c r="B4448" s="21" t="s">
        <v>376</v>
      </c>
      <c r="C4448" s="22">
        <v>9500</v>
      </c>
      <c r="D4448" s="23">
        <v>1000</v>
      </c>
      <c r="E4448" s="24">
        <v>0</v>
      </c>
    </row>
    <row r="4449" spans="1:5" x14ac:dyDescent="0.3">
      <c r="A4449" s="20" t="s">
        <v>169</v>
      </c>
      <c r="B4449" s="21" t="s">
        <v>377</v>
      </c>
      <c r="C4449" s="22">
        <v>8000</v>
      </c>
      <c r="D4449" s="23">
        <v>0</v>
      </c>
      <c r="E4449" s="24">
        <v>0</v>
      </c>
    </row>
    <row r="4450" spans="1:5" x14ac:dyDescent="0.3">
      <c r="A4450" s="16" t="s">
        <v>170</v>
      </c>
      <c r="B4450" s="16" t="s">
        <v>366</v>
      </c>
      <c r="C4450" s="17">
        <v>3000</v>
      </c>
      <c r="D4450" s="18">
        <v>3000</v>
      </c>
      <c r="E4450" s="19">
        <v>0</v>
      </c>
    </row>
    <row r="4451" spans="1:5" x14ac:dyDescent="0.3">
      <c r="A4451" s="20" t="s">
        <v>170</v>
      </c>
      <c r="B4451" s="21" t="s">
        <v>367</v>
      </c>
      <c r="C4451" s="22">
        <v>2000</v>
      </c>
      <c r="D4451" s="23">
        <v>2000</v>
      </c>
      <c r="E4451" s="24">
        <v>0</v>
      </c>
    </row>
    <row r="4452" spans="1:5" x14ac:dyDescent="0.3">
      <c r="A4452" s="20" t="s">
        <v>170</v>
      </c>
      <c r="B4452" s="21" t="s">
        <v>368</v>
      </c>
      <c r="C4452" s="22">
        <v>3000</v>
      </c>
      <c r="D4452" s="23">
        <v>3000</v>
      </c>
      <c r="E4452" s="24">
        <v>0</v>
      </c>
    </row>
    <row r="4453" spans="1:5" x14ac:dyDescent="0.3">
      <c r="A4453" s="20" t="s">
        <v>170</v>
      </c>
      <c r="B4453" s="21" t="s">
        <v>369</v>
      </c>
      <c r="C4453" s="22">
        <v>2000</v>
      </c>
      <c r="D4453" s="23">
        <v>2000</v>
      </c>
      <c r="E4453" s="24">
        <v>0</v>
      </c>
    </row>
    <row r="4454" spans="1:5" x14ac:dyDescent="0.3">
      <c r="A4454" s="20" t="s">
        <v>170</v>
      </c>
      <c r="B4454" s="21" t="s">
        <v>370</v>
      </c>
      <c r="C4454" s="22">
        <v>2000</v>
      </c>
      <c r="D4454" s="23">
        <v>2000</v>
      </c>
      <c r="E4454" s="24">
        <v>0</v>
      </c>
    </row>
    <row r="4455" spans="1:5" x14ac:dyDescent="0.3">
      <c r="A4455" s="20" t="s">
        <v>170</v>
      </c>
      <c r="B4455" s="21" t="s">
        <v>371</v>
      </c>
      <c r="C4455" s="22">
        <v>2000</v>
      </c>
      <c r="D4455" s="23">
        <v>2000</v>
      </c>
      <c r="E4455" s="24">
        <v>0</v>
      </c>
    </row>
    <row r="4456" spans="1:5" x14ac:dyDescent="0.3">
      <c r="A4456" s="20" t="s">
        <v>170</v>
      </c>
      <c r="B4456" s="21" t="s">
        <v>372</v>
      </c>
      <c r="C4456" s="22">
        <v>2000</v>
      </c>
      <c r="D4456" s="23">
        <v>2000</v>
      </c>
      <c r="E4456" s="24">
        <v>0</v>
      </c>
    </row>
    <row r="4457" spans="1:5" x14ac:dyDescent="0.3">
      <c r="A4457" s="20" t="s">
        <v>170</v>
      </c>
      <c r="B4457" s="21" t="s">
        <v>373</v>
      </c>
      <c r="C4457" s="22">
        <v>3000</v>
      </c>
      <c r="D4457" s="23">
        <v>3000</v>
      </c>
      <c r="E4457" s="24">
        <v>0</v>
      </c>
    </row>
    <row r="4458" spans="1:5" x14ac:dyDescent="0.3">
      <c r="A4458" s="20" t="s">
        <v>170</v>
      </c>
      <c r="B4458" s="21" t="s">
        <v>374</v>
      </c>
      <c r="C4458" s="22">
        <v>2000</v>
      </c>
      <c r="D4458" s="23">
        <v>1000</v>
      </c>
      <c r="E4458" s="24">
        <v>0</v>
      </c>
    </row>
    <row r="4459" spans="1:5" x14ac:dyDescent="0.3">
      <c r="A4459" s="20" t="s">
        <v>170</v>
      </c>
      <c r="B4459" s="21" t="s">
        <v>375</v>
      </c>
      <c r="C4459" s="22">
        <v>2000</v>
      </c>
      <c r="D4459" s="23">
        <v>1000</v>
      </c>
      <c r="E4459" s="24">
        <v>0</v>
      </c>
    </row>
    <row r="4460" spans="1:5" x14ac:dyDescent="0.3">
      <c r="A4460" s="20" t="s">
        <v>170</v>
      </c>
      <c r="B4460" s="21" t="s">
        <v>376</v>
      </c>
      <c r="C4460" s="22">
        <v>3000</v>
      </c>
      <c r="D4460" s="23">
        <v>0</v>
      </c>
      <c r="E4460" s="24">
        <v>0</v>
      </c>
    </row>
    <row r="4461" spans="1:5" x14ac:dyDescent="0.3">
      <c r="A4461" s="20" t="s">
        <v>170</v>
      </c>
      <c r="B4461" s="21" t="s">
        <v>377</v>
      </c>
      <c r="C4461" s="25">
        <v>2000</v>
      </c>
      <c r="D4461" s="23">
        <v>0</v>
      </c>
      <c r="E4461" s="24">
        <v>0</v>
      </c>
    </row>
    <row r="4462" spans="1:5" x14ac:dyDescent="0.3">
      <c r="A4462" s="26"/>
      <c r="B4462" s="27"/>
      <c r="C4462" s="28">
        <v>161015265.25999999</v>
      </c>
      <c r="D4462" s="29">
        <v>110868744</v>
      </c>
      <c r="E4462" s="30">
        <v>4011000</v>
      </c>
    </row>
    <row r="4463" spans="1:5" x14ac:dyDescent="0.3">
      <c r="A4463"/>
      <c r="B4463"/>
      <c r="C4463"/>
      <c r="D4463"/>
      <c r="E4463"/>
    </row>
    <row r="4464" spans="1:5" x14ac:dyDescent="0.3">
      <c r="A4464"/>
      <c r="B4464"/>
      <c r="C4464"/>
      <c r="D4464"/>
      <c r="E4464"/>
    </row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  <row r="7209" customFormat="1" x14ac:dyDescent="0.3"/>
    <row r="7210" customFormat="1" x14ac:dyDescent="0.3"/>
    <row r="7211" customFormat="1" x14ac:dyDescent="0.3"/>
    <row r="7212" customFormat="1" x14ac:dyDescent="0.3"/>
    <row r="7213" customFormat="1" x14ac:dyDescent="0.3"/>
    <row r="7214" customFormat="1" x14ac:dyDescent="0.3"/>
    <row r="7215" customFormat="1" x14ac:dyDescent="0.3"/>
    <row r="7216" customFormat="1" x14ac:dyDescent="0.3"/>
    <row r="7217" customFormat="1" x14ac:dyDescent="0.3"/>
    <row r="7218" customFormat="1" x14ac:dyDescent="0.3"/>
    <row r="7219" customFormat="1" x14ac:dyDescent="0.3"/>
    <row r="7220" customFormat="1" x14ac:dyDescent="0.3"/>
    <row r="7221" customFormat="1" x14ac:dyDescent="0.3"/>
    <row r="7222" customFormat="1" x14ac:dyDescent="0.3"/>
    <row r="7223" customFormat="1" x14ac:dyDescent="0.3"/>
    <row r="7224" customFormat="1" x14ac:dyDescent="0.3"/>
    <row r="7225" customFormat="1" x14ac:dyDescent="0.3"/>
    <row r="7226" customFormat="1" x14ac:dyDescent="0.3"/>
    <row r="7227" customFormat="1" x14ac:dyDescent="0.3"/>
    <row r="7228" customFormat="1" x14ac:dyDescent="0.3"/>
    <row r="7229" customFormat="1" x14ac:dyDescent="0.3"/>
    <row r="7230" customFormat="1" x14ac:dyDescent="0.3"/>
    <row r="7231" customFormat="1" x14ac:dyDescent="0.3"/>
    <row r="7232" customFormat="1" x14ac:dyDescent="0.3"/>
    <row r="7233" customFormat="1" x14ac:dyDescent="0.3"/>
    <row r="7234" customFormat="1" x14ac:dyDescent="0.3"/>
    <row r="7235" customFormat="1" x14ac:dyDescent="0.3"/>
    <row r="7236" customFormat="1" x14ac:dyDescent="0.3"/>
    <row r="7237" customFormat="1" x14ac:dyDescent="0.3"/>
    <row r="7238" customFormat="1" x14ac:dyDescent="0.3"/>
    <row r="7239" customFormat="1" x14ac:dyDescent="0.3"/>
    <row r="7240" customFormat="1" x14ac:dyDescent="0.3"/>
    <row r="7241" customFormat="1" x14ac:dyDescent="0.3"/>
    <row r="7242" customFormat="1" x14ac:dyDescent="0.3"/>
    <row r="7243" customFormat="1" x14ac:dyDescent="0.3"/>
    <row r="7244" customFormat="1" x14ac:dyDescent="0.3"/>
    <row r="7245" customFormat="1" x14ac:dyDescent="0.3"/>
    <row r="7246" customFormat="1" x14ac:dyDescent="0.3"/>
    <row r="7247" customFormat="1" x14ac:dyDescent="0.3"/>
    <row r="7248" customFormat="1" x14ac:dyDescent="0.3"/>
    <row r="7249" customFormat="1" x14ac:dyDescent="0.3"/>
    <row r="7250" customFormat="1" x14ac:dyDescent="0.3"/>
    <row r="7251" customFormat="1" x14ac:dyDescent="0.3"/>
    <row r="7252" customFormat="1" x14ac:dyDescent="0.3"/>
    <row r="7253" customFormat="1" x14ac:dyDescent="0.3"/>
    <row r="7254" customFormat="1" x14ac:dyDescent="0.3"/>
    <row r="7255" customFormat="1" x14ac:dyDescent="0.3"/>
    <row r="7256" customFormat="1" x14ac:dyDescent="0.3"/>
    <row r="7257" customFormat="1" x14ac:dyDescent="0.3"/>
    <row r="7258" customFormat="1" x14ac:dyDescent="0.3"/>
    <row r="7259" customFormat="1" x14ac:dyDescent="0.3"/>
    <row r="7260" customFormat="1" x14ac:dyDescent="0.3"/>
    <row r="7261" customFormat="1" x14ac:dyDescent="0.3"/>
    <row r="7262" customFormat="1" x14ac:dyDescent="0.3"/>
    <row r="7263" customFormat="1" x14ac:dyDescent="0.3"/>
    <row r="7264" customFormat="1" x14ac:dyDescent="0.3"/>
    <row r="7265" customFormat="1" x14ac:dyDescent="0.3"/>
    <row r="7266" customFormat="1" x14ac:dyDescent="0.3"/>
    <row r="7267" customFormat="1" x14ac:dyDescent="0.3"/>
    <row r="7268" customFormat="1" x14ac:dyDescent="0.3"/>
    <row r="7269" customFormat="1" x14ac:dyDescent="0.3"/>
    <row r="7270" customFormat="1" x14ac:dyDescent="0.3"/>
    <row r="7271" customFormat="1" x14ac:dyDescent="0.3"/>
    <row r="7272" customFormat="1" x14ac:dyDescent="0.3"/>
    <row r="7273" customFormat="1" x14ac:dyDescent="0.3"/>
    <row r="7274" customFormat="1" x14ac:dyDescent="0.3"/>
    <row r="7275" customFormat="1" x14ac:dyDescent="0.3"/>
    <row r="7276" customFormat="1" x14ac:dyDescent="0.3"/>
    <row r="7277" customFormat="1" x14ac:dyDescent="0.3"/>
    <row r="7278" customFormat="1" x14ac:dyDescent="0.3"/>
    <row r="7279" customFormat="1" x14ac:dyDescent="0.3"/>
    <row r="7280" customFormat="1" x14ac:dyDescent="0.3"/>
    <row r="7281" customFormat="1" x14ac:dyDescent="0.3"/>
    <row r="7282" customFormat="1" x14ac:dyDescent="0.3"/>
    <row r="7283" customFormat="1" x14ac:dyDescent="0.3"/>
    <row r="7284" customFormat="1" x14ac:dyDescent="0.3"/>
    <row r="7285" customFormat="1" x14ac:dyDescent="0.3"/>
    <row r="7286" customFormat="1" x14ac:dyDescent="0.3"/>
    <row r="7287" customFormat="1" x14ac:dyDescent="0.3"/>
    <row r="7288" customFormat="1" x14ac:dyDescent="0.3"/>
    <row r="7289" customFormat="1" x14ac:dyDescent="0.3"/>
    <row r="7290" customFormat="1" x14ac:dyDescent="0.3"/>
    <row r="7291" customFormat="1" x14ac:dyDescent="0.3"/>
    <row r="7292" customFormat="1" x14ac:dyDescent="0.3"/>
    <row r="7293" customFormat="1" x14ac:dyDescent="0.3"/>
    <row r="7294" customFormat="1" x14ac:dyDescent="0.3"/>
    <row r="7295" customFormat="1" x14ac:dyDescent="0.3"/>
    <row r="7296" customFormat="1" x14ac:dyDescent="0.3"/>
    <row r="7297" customFormat="1" x14ac:dyDescent="0.3"/>
    <row r="7298" customFormat="1" x14ac:dyDescent="0.3"/>
    <row r="7299" customFormat="1" x14ac:dyDescent="0.3"/>
    <row r="7300" customFormat="1" x14ac:dyDescent="0.3"/>
    <row r="7301" customFormat="1" x14ac:dyDescent="0.3"/>
    <row r="7302" customFormat="1" x14ac:dyDescent="0.3"/>
    <row r="7303" customFormat="1" x14ac:dyDescent="0.3"/>
    <row r="7304" customFormat="1" x14ac:dyDescent="0.3"/>
    <row r="7305" customFormat="1" x14ac:dyDescent="0.3"/>
    <row r="7306" customFormat="1" x14ac:dyDescent="0.3"/>
    <row r="7307" customFormat="1" x14ac:dyDescent="0.3"/>
    <row r="7308" customFormat="1" x14ac:dyDescent="0.3"/>
    <row r="7309" customFormat="1" x14ac:dyDescent="0.3"/>
    <row r="7310" customFormat="1" x14ac:dyDescent="0.3"/>
    <row r="7311" customFormat="1" x14ac:dyDescent="0.3"/>
    <row r="7312" customFormat="1" x14ac:dyDescent="0.3"/>
    <row r="7313" customFormat="1" x14ac:dyDescent="0.3"/>
    <row r="7314" customFormat="1" x14ac:dyDescent="0.3"/>
    <row r="7315" customFormat="1" x14ac:dyDescent="0.3"/>
    <row r="7316" customFormat="1" x14ac:dyDescent="0.3"/>
    <row r="7317" customFormat="1" x14ac:dyDescent="0.3"/>
    <row r="7318" customFormat="1" x14ac:dyDescent="0.3"/>
    <row r="7319" customFormat="1" x14ac:dyDescent="0.3"/>
    <row r="7320" customFormat="1" x14ac:dyDescent="0.3"/>
    <row r="7321" customFormat="1" x14ac:dyDescent="0.3"/>
    <row r="7322" customFormat="1" x14ac:dyDescent="0.3"/>
    <row r="7323" customFormat="1" x14ac:dyDescent="0.3"/>
    <row r="7324" customFormat="1" x14ac:dyDescent="0.3"/>
    <row r="7325" customFormat="1" x14ac:dyDescent="0.3"/>
    <row r="7326" customFormat="1" x14ac:dyDescent="0.3"/>
    <row r="7327" customFormat="1" x14ac:dyDescent="0.3"/>
    <row r="7328" customFormat="1" x14ac:dyDescent="0.3"/>
    <row r="7329" customFormat="1" x14ac:dyDescent="0.3"/>
    <row r="7330" customFormat="1" x14ac:dyDescent="0.3"/>
    <row r="7331" customFormat="1" x14ac:dyDescent="0.3"/>
    <row r="7332" customFormat="1" x14ac:dyDescent="0.3"/>
    <row r="7333" customFormat="1" x14ac:dyDescent="0.3"/>
    <row r="7334" customFormat="1" x14ac:dyDescent="0.3"/>
    <row r="7335" customFormat="1" x14ac:dyDescent="0.3"/>
    <row r="7336" customFormat="1" x14ac:dyDescent="0.3"/>
    <row r="7337" customFormat="1" x14ac:dyDescent="0.3"/>
    <row r="7338" customFormat="1" x14ac:dyDescent="0.3"/>
    <row r="7339" customFormat="1" x14ac:dyDescent="0.3"/>
    <row r="7340" customFormat="1" x14ac:dyDescent="0.3"/>
    <row r="7341" customFormat="1" x14ac:dyDescent="0.3"/>
    <row r="7342" customFormat="1" x14ac:dyDescent="0.3"/>
    <row r="7343" customFormat="1" x14ac:dyDescent="0.3"/>
    <row r="7344" customFormat="1" x14ac:dyDescent="0.3"/>
    <row r="7345" customFormat="1" x14ac:dyDescent="0.3"/>
    <row r="7346" customFormat="1" x14ac:dyDescent="0.3"/>
    <row r="7347" customFormat="1" x14ac:dyDescent="0.3"/>
    <row r="7348" customFormat="1" x14ac:dyDescent="0.3"/>
    <row r="7349" customFormat="1" x14ac:dyDescent="0.3"/>
    <row r="7350" customFormat="1" x14ac:dyDescent="0.3"/>
    <row r="7351" customFormat="1" x14ac:dyDescent="0.3"/>
    <row r="7352" customFormat="1" x14ac:dyDescent="0.3"/>
    <row r="7353" customFormat="1" x14ac:dyDescent="0.3"/>
    <row r="7354" customFormat="1" x14ac:dyDescent="0.3"/>
    <row r="7355" customFormat="1" x14ac:dyDescent="0.3"/>
    <row r="7356" customFormat="1" x14ac:dyDescent="0.3"/>
    <row r="7357" customFormat="1" x14ac:dyDescent="0.3"/>
    <row r="7358" customFormat="1" x14ac:dyDescent="0.3"/>
    <row r="7359" customFormat="1" x14ac:dyDescent="0.3"/>
    <row r="7360" customFormat="1" x14ac:dyDescent="0.3"/>
    <row r="7361" customFormat="1" x14ac:dyDescent="0.3"/>
    <row r="7362" customFormat="1" x14ac:dyDescent="0.3"/>
    <row r="7363" customFormat="1" x14ac:dyDescent="0.3"/>
    <row r="7364" customFormat="1" x14ac:dyDescent="0.3"/>
    <row r="7365" customFormat="1" x14ac:dyDescent="0.3"/>
    <row r="7366" customFormat="1" x14ac:dyDescent="0.3"/>
    <row r="7367" customFormat="1" x14ac:dyDescent="0.3"/>
    <row r="7368" customFormat="1" x14ac:dyDescent="0.3"/>
    <row r="7369" customFormat="1" x14ac:dyDescent="0.3"/>
    <row r="7370" customFormat="1" x14ac:dyDescent="0.3"/>
    <row r="7371" customFormat="1" x14ac:dyDescent="0.3"/>
    <row r="7372" customFormat="1" x14ac:dyDescent="0.3"/>
    <row r="7373" customFormat="1" x14ac:dyDescent="0.3"/>
    <row r="7374" customFormat="1" x14ac:dyDescent="0.3"/>
    <row r="7375" customFormat="1" x14ac:dyDescent="0.3"/>
    <row r="7376" customFormat="1" x14ac:dyDescent="0.3"/>
    <row r="7377" customFormat="1" x14ac:dyDescent="0.3"/>
    <row r="7378" customFormat="1" x14ac:dyDescent="0.3"/>
    <row r="7379" customFormat="1" x14ac:dyDescent="0.3"/>
    <row r="7380" customFormat="1" x14ac:dyDescent="0.3"/>
    <row r="7381" customFormat="1" x14ac:dyDescent="0.3"/>
    <row r="7382" customFormat="1" x14ac:dyDescent="0.3"/>
    <row r="7383" customFormat="1" x14ac:dyDescent="0.3"/>
    <row r="7384" customFormat="1" x14ac:dyDescent="0.3"/>
    <row r="7385" customFormat="1" x14ac:dyDescent="0.3"/>
    <row r="7386" customFormat="1" x14ac:dyDescent="0.3"/>
    <row r="7387" customFormat="1" x14ac:dyDescent="0.3"/>
    <row r="7388" customFormat="1" x14ac:dyDescent="0.3"/>
    <row r="7389" customFormat="1" x14ac:dyDescent="0.3"/>
    <row r="7390" customFormat="1" x14ac:dyDescent="0.3"/>
    <row r="7391" customFormat="1" x14ac:dyDescent="0.3"/>
    <row r="7392" customFormat="1" x14ac:dyDescent="0.3"/>
    <row r="7393" customFormat="1" x14ac:dyDescent="0.3"/>
    <row r="7394" customFormat="1" x14ac:dyDescent="0.3"/>
    <row r="7395" customFormat="1" x14ac:dyDescent="0.3"/>
    <row r="7396" customFormat="1" x14ac:dyDescent="0.3"/>
    <row r="7397" customFormat="1" x14ac:dyDescent="0.3"/>
    <row r="7398" customFormat="1" x14ac:dyDescent="0.3"/>
    <row r="7399" customFormat="1" x14ac:dyDescent="0.3"/>
    <row r="7400" customFormat="1" x14ac:dyDescent="0.3"/>
    <row r="7401" customFormat="1" x14ac:dyDescent="0.3"/>
    <row r="7402" customFormat="1" x14ac:dyDescent="0.3"/>
    <row r="7403" customFormat="1" x14ac:dyDescent="0.3"/>
    <row r="7404" customFormat="1" x14ac:dyDescent="0.3"/>
    <row r="7405" customFormat="1" x14ac:dyDescent="0.3"/>
    <row r="7406" customFormat="1" x14ac:dyDescent="0.3"/>
    <row r="7407" customFormat="1" x14ac:dyDescent="0.3"/>
    <row r="7408" customFormat="1" x14ac:dyDescent="0.3"/>
    <row r="7409" customFormat="1" x14ac:dyDescent="0.3"/>
    <row r="7410" customFormat="1" x14ac:dyDescent="0.3"/>
    <row r="7411" customFormat="1" x14ac:dyDescent="0.3"/>
    <row r="7412" customFormat="1" x14ac:dyDescent="0.3"/>
    <row r="7413" customFormat="1" x14ac:dyDescent="0.3"/>
    <row r="7414" customFormat="1" x14ac:dyDescent="0.3"/>
    <row r="7415" customFormat="1" x14ac:dyDescent="0.3"/>
    <row r="7416" customFormat="1" x14ac:dyDescent="0.3"/>
    <row r="7417" customFormat="1" x14ac:dyDescent="0.3"/>
    <row r="7418" customFormat="1" x14ac:dyDescent="0.3"/>
    <row r="7419" customFormat="1" x14ac:dyDescent="0.3"/>
    <row r="7420" customFormat="1" x14ac:dyDescent="0.3"/>
    <row r="7421" customFormat="1" x14ac:dyDescent="0.3"/>
    <row r="7422" customFormat="1" x14ac:dyDescent="0.3"/>
    <row r="7423" customFormat="1" x14ac:dyDescent="0.3"/>
    <row r="7424" customFormat="1" x14ac:dyDescent="0.3"/>
    <row r="7425" customFormat="1" x14ac:dyDescent="0.3"/>
    <row r="7426" customFormat="1" x14ac:dyDescent="0.3"/>
    <row r="7427" customFormat="1" x14ac:dyDescent="0.3"/>
    <row r="7428" customFormat="1" x14ac:dyDescent="0.3"/>
    <row r="7429" customFormat="1" x14ac:dyDescent="0.3"/>
    <row r="7430" customFormat="1" x14ac:dyDescent="0.3"/>
    <row r="7431" customFormat="1" x14ac:dyDescent="0.3"/>
    <row r="7432" customFormat="1" x14ac:dyDescent="0.3"/>
    <row r="7433" customFormat="1" x14ac:dyDescent="0.3"/>
    <row r="7434" customFormat="1" x14ac:dyDescent="0.3"/>
    <row r="7435" customFormat="1" x14ac:dyDescent="0.3"/>
    <row r="7436" customFormat="1" x14ac:dyDescent="0.3"/>
    <row r="7437" customFormat="1" x14ac:dyDescent="0.3"/>
    <row r="7438" customFormat="1" x14ac:dyDescent="0.3"/>
    <row r="7439" customFormat="1" x14ac:dyDescent="0.3"/>
    <row r="7440" customFormat="1" x14ac:dyDescent="0.3"/>
    <row r="7441" customFormat="1" x14ac:dyDescent="0.3"/>
    <row r="7442" customFormat="1" x14ac:dyDescent="0.3"/>
    <row r="7443" customFormat="1" x14ac:dyDescent="0.3"/>
    <row r="7444" customFormat="1" x14ac:dyDescent="0.3"/>
    <row r="7445" customFormat="1" x14ac:dyDescent="0.3"/>
    <row r="7446" customFormat="1" x14ac:dyDescent="0.3"/>
    <row r="7447" customFormat="1" x14ac:dyDescent="0.3"/>
    <row r="7448" customFormat="1" x14ac:dyDescent="0.3"/>
    <row r="7449" customFormat="1" x14ac:dyDescent="0.3"/>
    <row r="7450" customFormat="1" x14ac:dyDescent="0.3"/>
    <row r="7451" customFormat="1" x14ac:dyDescent="0.3"/>
    <row r="7452" customFormat="1" x14ac:dyDescent="0.3"/>
    <row r="7453" customFormat="1" x14ac:dyDescent="0.3"/>
    <row r="7454" customFormat="1" x14ac:dyDescent="0.3"/>
    <row r="7455" customFormat="1" x14ac:dyDescent="0.3"/>
    <row r="7456" customFormat="1" x14ac:dyDescent="0.3"/>
    <row r="7457" customFormat="1" x14ac:dyDescent="0.3"/>
    <row r="7458" customFormat="1" x14ac:dyDescent="0.3"/>
    <row r="7459" customFormat="1" x14ac:dyDescent="0.3"/>
    <row r="7460" customFormat="1" x14ac:dyDescent="0.3"/>
    <row r="7461" customFormat="1" x14ac:dyDescent="0.3"/>
    <row r="7462" customFormat="1" x14ac:dyDescent="0.3"/>
    <row r="7463" customFormat="1" x14ac:dyDescent="0.3"/>
    <row r="7464" customFormat="1" x14ac:dyDescent="0.3"/>
    <row r="7465" customFormat="1" x14ac:dyDescent="0.3"/>
    <row r="7466" customFormat="1" x14ac:dyDescent="0.3"/>
    <row r="7467" customFormat="1" x14ac:dyDescent="0.3"/>
    <row r="7468" customFormat="1" x14ac:dyDescent="0.3"/>
    <row r="7469" customFormat="1" x14ac:dyDescent="0.3"/>
    <row r="7470" customFormat="1" x14ac:dyDescent="0.3"/>
    <row r="7471" customFormat="1" x14ac:dyDescent="0.3"/>
    <row r="7472" customFormat="1" x14ac:dyDescent="0.3"/>
    <row r="7473" customFormat="1" x14ac:dyDescent="0.3"/>
    <row r="7474" customFormat="1" x14ac:dyDescent="0.3"/>
    <row r="7475" customFormat="1" x14ac:dyDescent="0.3"/>
    <row r="7476" customFormat="1" x14ac:dyDescent="0.3"/>
    <row r="7477" customFormat="1" x14ac:dyDescent="0.3"/>
    <row r="7478" customFormat="1" x14ac:dyDescent="0.3"/>
    <row r="7479" customFormat="1" x14ac:dyDescent="0.3"/>
    <row r="7480" customFormat="1" x14ac:dyDescent="0.3"/>
    <row r="7481" customFormat="1" x14ac:dyDescent="0.3"/>
    <row r="7482" customFormat="1" x14ac:dyDescent="0.3"/>
    <row r="7483" customFormat="1" x14ac:dyDescent="0.3"/>
    <row r="7484" customFormat="1" x14ac:dyDescent="0.3"/>
    <row r="7485" customFormat="1" x14ac:dyDescent="0.3"/>
    <row r="7486" customFormat="1" x14ac:dyDescent="0.3"/>
    <row r="7487" customFormat="1" x14ac:dyDescent="0.3"/>
    <row r="7488" customFormat="1" x14ac:dyDescent="0.3"/>
    <row r="7489" customFormat="1" x14ac:dyDescent="0.3"/>
    <row r="7490" customFormat="1" x14ac:dyDescent="0.3"/>
    <row r="7491" customFormat="1" x14ac:dyDescent="0.3"/>
    <row r="7492" customFormat="1" x14ac:dyDescent="0.3"/>
    <row r="7493" customFormat="1" x14ac:dyDescent="0.3"/>
    <row r="7494" customFormat="1" x14ac:dyDescent="0.3"/>
    <row r="7495" customFormat="1" x14ac:dyDescent="0.3"/>
    <row r="7496" customFormat="1" x14ac:dyDescent="0.3"/>
    <row r="7497" customFormat="1" x14ac:dyDescent="0.3"/>
    <row r="7498" customFormat="1" x14ac:dyDescent="0.3"/>
    <row r="7499" customFormat="1" x14ac:dyDescent="0.3"/>
    <row r="7500" customFormat="1" x14ac:dyDescent="0.3"/>
    <row r="7501" customFormat="1" x14ac:dyDescent="0.3"/>
    <row r="7502" customFormat="1" x14ac:dyDescent="0.3"/>
    <row r="7503" customFormat="1" x14ac:dyDescent="0.3"/>
    <row r="7504" customFormat="1" x14ac:dyDescent="0.3"/>
    <row r="7505" customFormat="1" x14ac:dyDescent="0.3"/>
    <row r="7506" customFormat="1" x14ac:dyDescent="0.3"/>
    <row r="7507" customFormat="1" x14ac:dyDescent="0.3"/>
    <row r="7508" customFormat="1" x14ac:dyDescent="0.3"/>
    <row r="7509" customFormat="1" x14ac:dyDescent="0.3"/>
    <row r="7510" customFormat="1" x14ac:dyDescent="0.3"/>
    <row r="7511" customFormat="1" x14ac:dyDescent="0.3"/>
    <row r="7512" customFormat="1" x14ac:dyDescent="0.3"/>
    <row r="7513" customFormat="1" x14ac:dyDescent="0.3"/>
    <row r="7514" customFormat="1" x14ac:dyDescent="0.3"/>
    <row r="7515" customFormat="1" x14ac:dyDescent="0.3"/>
    <row r="7516" customFormat="1" x14ac:dyDescent="0.3"/>
    <row r="7517" customFormat="1" x14ac:dyDescent="0.3"/>
    <row r="7518" customFormat="1" x14ac:dyDescent="0.3"/>
    <row r="7519" customFormat="1" x14ac:dyDescent="0.3"/>
    <row r="7520" customFormat="1" x14ac:dyDescent="0.3"/>
    <row r="7521" customFormat="1" x14ac:dyDescent="0.3"/>
    <row r="7522" customFormat="1" x14ac:dyDescent="0.3"/>
    <row r="7523" customFormat="1" x14ac:dyDescent="0.3"/>
    <row r="7524" customFormat="1" x14ac:dyDescent="0.3"/>
    <row r="7525" customFormat="1" x14ac:dyDescent="0.3"/>
    <row r="7526" customFormat="1" x14ac:dyDescent="0.3"/>
    <row r="7527" customFormat="1" x14ac:dyDescent="0.3"/>
    <row r="7528" customFormat="1" x14ac:dyDescent="0.3"/>
    <row r="7529" customFormat="1" x14ac:dyDescent="0.3"/>
    <row r="7530" customFormat="1" x14ac:dyDescent="0.3"/>
    <row r="7531" customFormat="1" x14ac:dyDescent="0.3"/>
    <row r="7532" customFormat="1" x14ac:dyDescent="0.3"/>
    <row r="7533" customFormat="1" x14ac:dyDescent="0.3"/>
    <row r="7534" customFormat="1" x14ac:dyDescent="0.3"/>
    <row r="7535" customFormat="1" x14ac:dyDescent="0.3"/>
    <row r="7536" customFormat="1" x14ac:dyDescent="0.3"/>
    <row r="7537" customFormat="1" x14ac:dyDescent="0.3"/>
    <row r="7538" customFormat="1" x14ac:dyDescent="0.3"/>
    <row r="7539" customFormat="1" x14ac:dyDescent="0.3"/>
    <row r="7540" customFormat="1" x14ac:dyDescent="0.3"/>
    <row r="7541" customFormat="1" x14ac:dyDescent="0.3"/>
    <row r="7542" customFormat="1" x14ac:dyDescent="0.3"/>
    <row r="7543" customFormat="1" x14ac:dyDescent="0.3"/>
    <row r="7544" customFormat="1" x14ac:dyDescent="0.3"/>
    <row r="7545" customFormat="1" x14ac:dyDescent="0.3"/>
    <row r="7546" customFormat="1" x14ac:dyDescent="0.3"/>
    <row r="7547" customFormat="1" x14ac:dyDescent="0.3"/>
    <row r="7548" customFormat="1" x14ac:dyDescent="0.3"/>
    <row r="7549" customFormat="1" x14ac:dyDescent="0.3"/>
    <row r="7550" customFormat="1" x14ac:dyDescent="0.3"/>
    <row r="7551" customFormat="1" x14ac:dyDescent="0.3"/>
    <row r="7552" customFormat="1" x14ac:dyDescent="0.3"/>
    <row r="7553" customFormat="1" x14ac:dyDescent="0.3"/>
    <row r="7554" customFormat="1" x14ac:dyDescent="0.3"/>
    <row r="7555" customFormat="1" x14ac:dyDescent="0.3"/>
    <row r="7556" customFormat="1" x14ac:dyDescent="0.3"/>
    <row r="7557" customFormat="1" x14ac:dyDescent="0.3"/>
    <row r="7558" customFormat="1" x14ac:dyDescent="0.3"/>
    <row r="7559" customFormat="1" x14ac:dyDescent="0.3"/>
    <row r="7560" customFormat="1" x14ac:dyDescent="0.3"/>
    <row r="7561" customFormat="1" x14ac:dyDescent="0.3"/>
    <row r="7562" customFormat="1" x14ac:dyDescent="0.3"/>
    <row r="7563" customFormat="1" x14ac:dyDescent="0.3"/>
    <row r="7564" customFormat="1" x14ac:dyDescent="0.3"/>
    <row r="7565" customFormat="1" x14ac:dyDescent="0.3"/>
    <row r="7566" customFormat="1" x14ac:dyDescent="0.3"/>
    <row r="7567" customFormat="1" x14ac:dyDescent="0.3"/>
    <row r="7568" customFormat="1" x14ac:dyDescent="0.3"/>
    <row r="7569" customFormat="1" x14ac:dyDescent="0.3"/>
    <row r="7570" customFormat="1" x14ac:dyDescent="0.3"/>
    <row r="7571" customFormat="1" x14ac:dyDescent="0.3"/>
    <row r="7572" customFormat="1" x14ac:dyDescent="0.3"/>
    <row r="7573" customFormat="1" x14ac:dyDescent="0.3"/>
    <row r="7574" customFormat="1" x14ac:dyDescent="0.3"/>
    <row r="7575" customFormat="1" x14ac:dyDescent="0.3"/>
    <row r="7576" customFormat="1" x14ac:dyDescent="0.3"/>
    <row r="7577" customFormat="1" x14ac:dyDescent="0.3"/>
    <row r="7578" customFormat="1" x14ac:dyDescent="0.3"/>
    <row r="7579" customFormat="1" x14ac:dyDescent="0.3"/>
    <row r="7580" customFormat="1" x14ac:dyDescent="0.3"/>
    <row r="7581" customFormat="1" x14ac:dyDescent="0.3"/>
    <row r="7582" customFormat="1" x14ac:dyDescent="0.3"/>
    <row r="7583" customFormat="1" x14ac:dyDescent="0.3"/>
    <row r="7584" customFormat="1" x14ac:dyDescent="0.3"/>
    <row r="7585" customFormat="1" x14ac:dyDescent="0.3"/>
    <row r="7586" customFormat="1" x14ac:dyDescent="0.3"/>
    <row r="7587" customFormat="1" x14ac:dyDescent="0.3"/>
    <row r="7588" customFormat="1" x14ac:dyDescent="0.3"/>
    <row r="7589" customFormat="1" x14ac:dyDescent="0.3"/>
    <row r="7590" customFormat="1" x14ac:dyDescent="0.3"/>
    <row r="7591" customFormat="1" x14ac:dyDescent="0.3"/>
    <row r="7592" customFormat="1" x14ac:dyDescent="0.3"/>
    <row r="7593" customFormat="1" x14ac:dyDescent="0.3"/>
    <row r="7594" customFormat="1" x14ac:dyDescent="0.3"/>
    <row r="7595" customFormat="1" x14ac:dyDescent="0.3"/>
    <row r="7596" customFormat="1" x14ac:dyDescent="0.3"/>
    <row r="7597" customFormat="1" x14ac:dyDescent="0.3"/>
    <row r="7598" customFormat="1" x14ac:dyDescent="0.3"/>
    <row r="7599" customFormat="1" x14ac:dyDescent="0.3"/>
    <row r="7600" customFormat="1" x14ac:dyDescent="0.3"/>
    <row r="7601" customFormat="1" x14ac:dyDescent="0.3"/>
    <row r="7602" customFormat="1" x14ac:dyDescent="0.3"/>
    <row r="7603" customFormat="1" x14ac:dyDescent="0.3"/>
    <row r="7604" customFormat="1" x14ac:dyDescent="0.3"/>
    <row r="7605" customFormat="1" x14ac:dyDescent="0.3"/>
    <row r="7606" customFormat="1" x14ac:dyDescent="0.3"/>
    <row r="7607" customFormat="1" x14ac:dyDescent="0.3"/>
    <row r="7608" customFormat="1" x14ac:dyDescent="0.3"/>
    <row r="7609" customFormat="1" x14ac:dyDescent="0.3"/>
    <row r="7610" customFormat="1" x14ac:dyDescent="0.3"/>
    <row r="7611" customFormat="1" x14ac:dyDescent="0.3"/>
    <row r="7612" customFormat="1" x14ac:dyDescent="0.3"/>
    <row r="7613" customFormat="1" x14ac:dyDescent="0.3"/>
    <row r="7614" customFormat="1" x14ac:dyDescent="0.3"/>
    <row r="7615" customFormat="1" x14ac:dyDescent="0.3"/>
    <row r="7616" customFormat="1" x14ac:dyDescent="0.3"/>
    <row r="7617" customFormat="1" x14ac:dyDescent="0.3"/>
    <row r="7618" customFormat="1" x14ac:dyDescent="0.3"/>
    <row r="7619" customFormat="1" x14ac:dyDescent="0.3"/>
    <row r="7620" customFormat="1" x14ac:dyDescent="0.3"/>
    <row r="7621" customFormat="1" x14ac:dyDescent="0.3"/>
    <row r="7622" customFormat="1" x14ac:dyDescent="0.3"/>
    <row r="7623" customFormat="1" x14ac:dyDescent="0.3"/>
    <row r="7624" customFormat="1" x14ac:dyDescent="0.3"/>
    <row r="7625" customFormat="1" x14ac:dyDescent="0.3"/>
    <row r="7626" customFormat="1" x14ac:dyDescent="0.3"/>
    <row r="7627" customFormat="1" x14ac:dyDescent="0.3"/>
    <row r="7628" customFormat="1" x14ac:dyDescent="0.3"/>
    <row r="7629" customFormat="1" x14ac:dyDescent="0.3"/>
    <row r="7630" customFormat="1" x14ac:dyDescent="0.3"/>
    <row r="7631" customFormat="1" x14ac:dyDescent="0.3"/>
    <row r="7632" customFormat="1" x14ac:dyDescent="0.3"/>
    <row r="7633" customFormat="1" x14ac:dyDescent="0.3"/>
    <row r="7634" customFormat="1" x14ac:dyDescent="0.3"/>
    <row r="7635" customFormat="1" x14ac:dyDescent="0.3"/>
    <row r="7636" customFormat="1" x14ac:dyDescent="0.3"/>
    <row r="7637" customFormat="1" x14ac:dyDescent="0.3"/>
    <row r="7638" customFormat="1" x14ac:dyDescent="0.3"/>
    <row r="7639" customFormat="1" x14ac:dyDescent="0.3"/>
    <row r="7640" customFormat="1" x14ac:dyDescent="0.3"/>
    <row r="7641" customFormat="1" x14ac:dyDescent="0.3"/>
    <row r="7642" customFormat="1" x14ac:dyDescent="0.3"/>
    <row r="7643" customFormat="1" x14ac:dyDescent="0.3"/>
    <row r="7644" customFormat="1" x14ac:dyDescent="0.3"/>
    <row r="7645" customFormat="1" x14ac:dyDescent="0.3"/>
    <row r="7646" customFormat="1" x14ac:dyDescent="0.3"/>
    <row r="7647" customFormat="1" x14ac:dyDescent="0.3"/>
    <row r="7648" customFormat="1" x14ac:dyDescent="0.3"/>
    <row r="7649" customFormat="1" x14ac:dyDescent="0.3"/>
    <row r="7650" customFormat="1" x14ac:dyDescent="0.3"/>
    <row r="7651" customFormat="1" x14ac:dyDescent="0.3"/>
    <row r="7652" customFormat="1" x14ac:dyDescent="0.3"/>
    <row r="7653" customFormat="1" x14ac:dyDescent="0.3"/>
    <row r="7654" customFormat="1" x14ac:dyDescent="0.3"/>
    <row r="7655" customFormat="1" x14ac:dyDescent="0.3"/>
    <row r="7656" customFormat="1" x14ac:dyDescent="0.3"/>
    <row r="7657" customFormat="1" x14ac:dyDescent="0.3"/>
    <row r="7658" customFormat="1" x14ac:dyDescent="0.3"/>
    <row r="7659" customFormat="1" x14ac:dyDescent="0.3"/>
    <row r="7660" customFormat="1" x14ac:dyDescent="0.3"/>
    <row r="7661" customFormat="1" x14ac:dyDescent="0.3"/>
    <row r="7662" customFormat="1" x14ac:dyDescent="0.3"/>
    <row r="7663" customFormat="1" x14ac:dyDescent="0.3"/>
    <row r="7664" customFormat="1" x14ac:dyDescent="0.3"/>
    <row r="7665" customFormat="1" x14ac:dyDescent="0.3"/>
    <row r="7666" customFormat="1" x14ac:dyDescent="0.3"/>
    <row r="7667" customFormat="1" x14ac:dyDescent="0.3"/>
    <row r="7668" customFormat="1" x14ac:dyDescent="0.3"/>
    <row r="7669" customFormat="1" x14ac:dyDescent="0.3"/>
    <row r="7670" customFormat="1" x14ac:dyDescent="0.3"/>
    <row r="7671" customFormat="1" x14ac:dyDescent="0.3"/>
    <row r="7672" customFormat="1" x14ac:dyDescent="0.3"/>
    <row r="7673" customFormat="1" x14ac:dyDescent="0.3"/>
    <row r="7674" customFormat="1" x14ac:dyDescent="0.3"/>
    <row r="7675" customFormat="1" x14ac:dyDescent="0.3"/>
    <row r="7676" customFormat="1" x14ac:dyDescent="0.3"/>
    <row r="7677" customFormat="1" x14ac:dyDescent="0.3"/>
    <row r="7678" customFormat="1" x14ac:dyDescent="0.3"/>
    <row r="7679" customFormat="1" x14ac:dyDescent="0.3"/>
    <row r="7680" customFormat="1" x14ac:dyDescent="0.3"/>
    <row r="7681" customFormat="1" x14ac:dyDescent="0.3"/>
    <row r="7682" customFormat="1" x14ac:dyDescent="0.3"/>
    <row r="7683" customFormat="1" x14ac:dyDescent="0.3"/>
    <row r="7684" customFormat="1" x14ac:dyDescent="0.3"/>
    <row r="7685" customFormat="1" x14ac:dyDescent="0.3"/>
    <row r="7686" customFormat="1" x14ac:dyDescent="0.3"/>
    <row r="7687" customFormat="1" x14ac:dyDescent="0.3"/>
    <row r="7688" customFormat="1" x14ac:dyDescent="0.3"/>
    <row r="7689" customFormat="1" x14ac:dyDescent="0.3"/>
    <row r="7690" customFormat="1" x14ac:dyDescent="0.3"/>
    <row r="7691" customFormat="1" x14ac:dyDescent="0.3"/>
    <row r="7692" customFormat="1" x14ac:dyDescent="0.3"/>
    <row r="7693" customFormat="1" x14ac:dyDescent="0.3"/>
    <row r="7694" customFormat="1" x14ac:dyDescent="0.3"/>
    <row r="7695" customFormat="1" x14ac:dyDescent="0.3"/>
    <row r="7696" customFormat="1" x14ac:dyDescent="0.3"/>
    <row r="7697" customFormat="1" x14ac:dyDescent="0.3"/>
    <row r="7698" customFormat="1" x14ac:dyDescent="0.3"/>
    <row r="7699" customFormat="1" x14ac:dyDescent="0.3"/>
    <row r="7700" customFormat="1" x14ac:dyDescent="0.3"/>
    <row r="7701" customFormat="1" x14ac:dyDescent="0.3"/>
    <row r="7702" customFormat="1" x14ac:dyDescent="0.3"/>
    <row r="7703" customFormat="1" x14ac:dyDescent="0.3"/>
    <row r="7704" customFormat="1" x14ac:dyDescent="0.3"/>
    <row r="7705" customFormat="1" x14ac:dyDescent="0.3"/>
    <row r="7706" customFormat="1" x14ac:dyDescent="0.3"/>
    <row r="7707" customFormat="1" x14ac:dyDescent="0.3"/>
    <row r="7708" customFormat="1" x14ac:dyDescent="0.3"/>
    <row r="7709" customFormat="1" x14ac:dyDescent="0.3"/>
    <row r="7710" customFormat="1" x14ac:dyDescent="0.3"/>
    <row r="7711" customFormat="1" x14ac:dyDescent="0.3"/>
    <row r="7712" customFormat="1" x14ac:dyDescent="0.3"/>
    <row r="7713" customFormat="1" x14ac:dyDescent="0.3"/>
    <row r="7714" customFormat="1" x14ac:dyDescent="0.3"/>
    <row r="7715" customFormat="1" x14ac:dyDescent="0.3"/>
    <row r="7716" customFormat="1" x14ac:dyDescent="0.3"/>
    <row r="7717" customFormat="1" x14ac:dyDescent="0.3"/>
    <row r="7718" customFormat="1" x14ac:dyDescent="0.3"/>
    <row r="7719" customFormat="1" x14ac:dyDescent="0.3"/>
    <row r="7720" customFormat="1" x14ac:dyDescent="0.3"/>
    <row r="7721" customFormat="1" x14ac:dyDescent="0.3"/>
    <row r="7722" customFormat="1" x14ac:dyDescent="0.3"/>
    <row r="7723" customFormat="1" x14ac:dyDescent="0.3"/>
    <row r="7724" customFormat="1" x14ac:dyDescent="0.3"/>
    <row r="7725" customFormat="1" x14ac:dyDescent="0.3"/>
    <row r="7726" customFormat="1" x14ac:dyDescent="0.3"/>
    <row r="7727" customFormat="1" x14ac:dyDescent="0.3"/>
    <row r="7728" customFormat="1" x14ac:dyDescent="0.3"/>
    <row r="7729" customFormat="1" x14ac:dyDescent="0.3"/>
    <row r="7730" customFormat="1" x14ac:dyDescent="0.3"/>
    <row r="7731" customFormat="1" x14ac:dyDescent="0.3"/>
    <row r="7732" customFormat="1" x14ac:dyDescent="0.3"/>
    <row r="7733" customFormat="1" x14ac:dyDescent="0.3"/>
    <row r="7734" customFormat="1" x14ac:dyDescent="0.3"/>
    <row r="7735" customFormat="1" x14ac:dyDescent="0.3"/>
    <row r="7736" customFormat="1" x14ac:dyDescent="0.3"/>
    <row r="7737" customFormat="1" x14ac:dyDescent="0.3"/>
    <row r="7738" customFormat="1" x14ac:dyDescent="0.3"/>
    <row r="7739" customFormat="1" x14ac:dyDescent="0.3"/>
    <row r="7740" customFormat="1" x14ac:dyDescent="0.3"/>
    <row r="7741" customFormat="1" x14ac:dyDescent="0.3"/>
    <row r="7742" customFormat="1" x14ac:dyDescent="0.3"/>
    <row r="7743" customFormat="1" x14ac:dyDescent="0.3"/>
    <row r="7744" customFormat="1" x14ac:dyDescent="0.3"/>
    <row r="7745" customFormat="1" x14ac:dyDescent="0.3"/>
    <row r="7746" customFormat="1" x14ac:dyDescent="0.3"/>
    <row r="7747" customFormat="1" x14ac:dyDescent="0.3"/>
    <row r="7748" customFormat="1" x14ac:dyDescent="0.3"/>
    <row r="7749" customFormat="1" x14ac:dyDescent="0.3"/>
    <row r="7750" customFormat="1" x14ac:dyDescent="0.3"/>
    <row r="7751" customFormat="1" x14ac:dyDescent="0.3"/>
    <row r="7752" customFormat="1" x14ac:dyDescent="0.3"/>
    <row r="7753" customFormat="1" x14ac:dyDescent="0.3"/>
    <row r="7754" customFormat="1" x14ac:dyDescent="0.3"/>
    <row r="7755" customFormat="1" x14ac:dyDescent="0.3"/>
    <row r="7756" customFormat="1" x14ac:dyDescent="0.3"/>
    <row r="7757" customFormat="1" x14ac:dyDescent="0.3"/>
    <row r="7758" customFormat="1" x14ac:dyDescent="0.3"/>
    <row r="7759" customFormat="1" x14ac:dyDescent="0.3"/>
    <row r="7760" customFormat="1" x14ac:dyDescent="0.3"/>
    <row r="7761" customFormat="1" x14ac:dyDescent="0.3"/>
    <row r="7762" customFormat="1" x14ac:dyDescent="0.3"/>
    <row r="7763" customFormat="1" x14ac:dyDescent="0.3"/>
    <row r="7764" customFormat="1" x14ac:dyDescent="0.3"/>
    <row r="7765" customFormat="1" x14ac:dyDescent="0.3"/>
    <row r="7766" customFormat="1" x14ac:dyDescent="0.3"/>
    <row r="7767" customFormat="1" x14ac:dyDescent="0.3"/>
    <row r="7768" customFormat="1" x14ac:dyDescent="0.3"/>
    <row r="7769" customFormat="1" x14ac:dyDescent="0.3"/>
    <row r="7770" customFormat="1" x14ac:dyDescent="0.3"/>
    <row r="7771" customFormat="1" x14ac:dyDescent="0.3"/>
    <row r="7772" customFormat="1" x14ac:dyDescent="0.3"/>
    <row r="7773" customFormat="1" x14ac:dyDescent="0.3"/>
    <row r="7774" customFormat="1" x14ac:dyDescent="0.3"/>
    <row r="7775" customFormat="1" x14ac:dyDescent="0.3"/>
    <row r="7776" customFormat="1" x14ac:dyDescent="0.3"/>
    <row r="7777" customFormat="1" x14ac:dyDescent="0.3"/>
    <row r="7778" customFormat="1" x14ac:dyDescent="0.3"/>
    <row r="7779" customFormat="1" x14ac:dyDescent="0.3"/>
    <row r="7780" customFormat="1" x14ac:dyDescent="0.3"/>
    <row r="7781" customFormat="1" x14ac:dyDescent="0.3"/>
    <row r="7782" customFormat="1" x14ac:dyDescent="0.3"/>
    <row r="7783" customFormat="1" x14ac:dyDescent="0.3"/>
    <row r="7784" customFormat="1" x14ac:dyDescent="0.3"/>
    <row r="7785" customFormat="1" x14ac:dyDescent="0.3"/>
    <row r="7786" customFormat="1" x14ac:dyDescent="0.3"/>
    <row r="7787" customFormat="1" x14ac:dyDescent="0.3"/>
    <row r="7788" customFormat="1" x14ac:dyDescent="0.3"/>
    <row r="7789" customFormat="1" x14ac:dyDescent="0.3"/>
    <row r="7790" customFormat="1" x14ac:dyDescent="0.3"/>
    <row r="7791" customFormat="1" x14ac:dyDescent="0.3"/>
    <row r="7792" customFormat="1" x14ac:dyDescent="0.3"/>
    <row r="7793" customFormat="1" x14ac:dyDescent="0.3"/>
    <row r="7794" customFormat="1" x14ac:dyDescent="0.3"/>
    <row r="7795" customFormat="1" x14ac:dyDescent="0.3"/>
    <row r="7796" customFormat="1" x14ac:dyDescent="0.3"/>
    <row r="7797" customFormat="1" x14ac:dyDescent="0.3"/>
    <row r="7798" customFormat="1" x14ac:dyDescent="0.3"/>
    <row r="7799" customFormat="1" x14ac:dyDescent="0.3"/>
    <row r="7800" customFormat="1" x14ac:dyDescent="0.3"/>
    <row r="7801" customFormat="1" x14ac:dyDescent="0.3"/>
    <row r="7802" customFormat="1" x14ac:dyDescent="0.3"/>
    <row r="7803" customFormat="1" x14ac:dyDescent="0.3"/>
    <row r="7804" customFormat="1" x14ac:dyDescent="0.3"/>
    <row r="7805" customFormat="1" x14ac:dyDescent="0.3"/>
    <row r="7806" customFormat="1" x14ac:dyDescent="0.3"/>
    <row r="7807" customFormat="1" x14ac:dyDescent="0.3"/>
    <row r="7808" customFormat="1" x14ac:dyDescent="0.3"/>
    <row r="7809" customFormat="1" x14ac:dyDescent="0.3"/>
    <row r="7810" customFormat="1" x14ac:dyDescent="0.3"/>
    <row r="7811" customFormat="1" x14ac:dyDescent="0.3"/>
    <row r="7812" customFormat="1" x14ac:dyDescent="0.3"/>
    <row r="7813" customFormat="1" x14ac:dyDescent="0.3"/>
    <row r="7814" customFormat="1" x14ac:dyDescent="0.3"/>
    <row r="7815" customFormat="1" x14ac:dyDescent="0.3"/>
    <row r="7816" customFormat="1" x14ac:dyDescent="0.3"/>
    <row r="7817" customFormat="1" x14ac:dyDescent="0.3"/>
    <row r="7818" customFormat="1" x14ac:dyDescent="0.3"/>
    <row r="7819" customFormat="1" x14ac:dyDescent="0.3"/>
    <row r="7820" customFormat="1" x14ac:dyDescent="0.3"/>
    <row r="7821" customFormat="1" x14ac:dyDescent="0.3"/>
    <row r="7822" customFormat="1" x14ac:dyDescent="0.3"/>
    <row r="7823" customFormat="1" x14ac:dyDescent="0.3"/>
    <row r="7824" customFormat="1" x14ac:dyDescent="0.3"/>
    <row r="7825" customFormat="1" x14ac:dyDescent="0.3"/>
    <row r="7826" customFormat="1" x14ac:dyDescent="0.3"/>
    <row r="7827" customFormat="1" x14ac:dyDescent="0.3"/>
    <row r="7828" customFormat="1" x14ac:dyDescent="0.3"/>
    <row r="7829" customFormat="1" x14ac:dyDescent="0.3"/>
    <row r="7830" customFormat="1" x14ac:dyDescent="0.3"/>
    <row r="7831" customFormat="1" x14ac:dyDescent="0.3"/>
    <row r="7832" customFormat="1" x14ac:dyDescent="0.3"/>
    <row r="7833" customFormat="1" x14ac:dyDescent="0.3"/>
    <row r="7834" customFormat="1" x14ac:dyDescent="0.3"/>
    <row r="7835" customFormat="1" x14ac:dyDescent="0.3"/>
    <row r="7836" customFormat="1" x14ac:dyDescent="0.3"/>
    <row r="7837" customFormat="1" x14ac:dyDescent="0.3"/>
    <row r="7838" customFormat="1" x14ac:dyDescent="0.3"/>
    <row r="7839" customFormat="1" x14ac:dyDescent="0.3"/>
    <row r="7840" customFormat="1" x14ac:dyDescent="0.3"/>
    <row r="7841" customFormat="1" x14ac:dyDescent="0.3"/>
    <row r="7842" customFormat="1" x14ac:dyDescent="0.3"/>
    <row r="7843" customFormat="1" x14ac:dyDescent="0.3"/>
    <row r="7844" customFormat="1" x14ac:dyDescent="0.3"/>
    <row r="7845" customFormat="1" x14ac:dyDescent="0.3"/>
    <row r="7846" customFormat="1" x14ac:dyDescent="0.3"/>
    <row r="7847" customFormat="1" x14ac:dyDescent="0.3"/>
    <row r="7848" customFormat="1" x14ac:dyDescent="0.3"/>
    <row r="7849" customFormat="1" x14ac:dyDescent="0.3"/>
    <row r="7850" customFormat="1" x14ac:dyDescent="0.3"/>
    <row r="7851" customFormat="1" x14ac:dyDescent="0.3"/>
    <row r="7852" customFormat="1" x14ac:dyDescent="0.3"/>
    <row r="7853" customFormat="1" x14ac:dyDescent="0.3"/>
    <row r="7854" customFormat="1" x14ac:dyDescent="0.3"/>
    <row r="7855" customFormat="1" x14ac:dyDescent="0.3"/>
    <row r="7856" customFormat="1" x14ac:dyDescent="0.3"/>
    <row r="7857" customFormat="1" x14ac:dyDescent="0.3"/>
    <row r="7858" customFormat="1" x14ac:dyDescent="0.3"/>
    <row r="7859" customFormat="1" x14ac:dyDescent="0.3"/>
    <row r="7860" customFormat="1" x14ac:dyDescent="0.3"/>
    <row r="7861" customFormat="1" x14ac:dyDescent="0.3"/>
    <row r="7862" customFormat="1" x14ac:dyDescent="0.3"/>
    <row r="7863" customFormat="1" x14ac:dyDescent="0.3"/>
    <row r="7864" customFormat="1" x14ac:dyDescent="0.3"/>
    <row r="7865" customFormat="1" x14ac:dyDescent="0.3"/>
    <row r="7866" customFormat="1" x14ac:dyDescent="0.3"/>
    <row r="7867" customFormat="1" x14ac:dyDescent="0.3"/>
    <row r="7868" customFormat="1" x14ac:dyDescent="0.3"/>
    <row r="7869" customFormat="1" x14ac:dyDescent="0.3"/>
    <row r="7870" customFormat="1" x14ac:dyDescent="0.3"/>
    <row r="7871" customFormat="1" x14ac:dyDescent="0.3"/>
    <row r="7872" customFormat="1" x14ac:dyDescent="0.3"/>
    <row r="7873" customFormat="1" x14ac:dyDescent="0.3"/>
    <row r="7874" customFormat="1" x14ac:dyDescent="0.3"/>
    <row r="7875" customFormat="1" x14ac:dyDescent="0.3"/>
    <row r="7876" customFormat="1" x14ac:dyDescent="0.3"/>
    <row r="7877" customFormat="1" x14ac:dyDescent="0.3"/>
    <row r="7878" customFormat="1" x14ac:dyDescent="0.3"/>
    <row r="7879" customFormat="1" x14ac:dyDescent="0.3"/>
    <row r="7880" customFormat="1" x14ac:dyDescent="0.3"/>
    <row r="7881" customFormat="1" x14ac:dyDescent="0.3"/>
    <row r="7882" customFormat="1" x14ac:dyDescent="0.3"/>
    <row r="7883" customFormat="1" x14ac:dyDescent="0.3"/>
    <row r="7884" customFormat="1" x14ac:dyDescent="0.3"/>
    <row r="7885" customFormat="1" x14ac:dyDescent="0.3"/>
    <row r="7886" customFormat="1" x14ac:dyDescent="0.3"/>
    <row r="7887" customFormat="1" x14ac:dyDescent="0.3"/>
    <row r="7888" customFormat="1" x14ac:dyDescent="0.3"/>
    <row r="7889" customFormat="1" x14ac:dyDescent="0.3"/>
    <row r="7890" customFormat="1" x14ac:dyDescent="0.3"/>
    <row r="7891" customFormat="1" x14ac:dyDescent="0.3"/>
    <row r="7892" customFormat="1" x14ac:dyDescent="0.3"/>
    <row r="7893" customFormat="1" x14ac:dyDescent="0.3"/>
    <row r="7894" customFormat="1" x14ac:dyDescent="0.3"/>
    <row r="7895" customFormat="1" x14ac:dyDescent="0.3"/>
    <row r="7896" customFormat="1" x14ac:dyDescent="0.3"/>
    <row r="7897" customFormat="1" x14ac:dyDescent="0.3"/>
    <row r="7898" customFormat="1" x14ac:dyDescent="0.3"/>
    <row r="7899" customFormat="1" x14ac:dyDescent="0.3"/>
    <row r="7900" customFormat="1" x14ac:dyDescent="0.3"/>
    <row r="7901" customFormat="1" x14ac:dyDescent="0.3"/>
    <row r="7902" customFormat="1" x14ac:dyDescent="0.3"/>
    <row r="7903" customFormat="1" x14ac:dyDescent="0.3"/>
    <row r="7904" customFormat="1" x14ac:dyDescent="0.3"/>
    <row r="7905" customFormat="1" x14ac:dyDescent="0.3"/>
    <row r="7906" customFormat="1" x14ac:dyDescent="0.3"/>
    <row r="7907" customFormat="1" x14ac:dyDescent="0.3"/>
    <row r="7908" customFormat="1" x14ac:dyDescent="0.3"/>
    <row r="7909" customFormat="1" x14ac:dyDescent="0.3"/>
    <row r="7910" customFormat="1" x14ac:dyDescent="0.3"/>
    <row r="7911" customFormat="1" x14ac:dyDescent="0.3"/>
    <row r="7912" customFormat="1" x14ac:dyDescent="0.3"/>
    <row r="7913" customFormat="1" x14ac:dyDescent="0.3"/>
    <row r="7914" customFormat="1" x14ac:dyDescent="0.3"/>
    <row r="7915" customFormat="1" x14ac:dyDescent="0.3"/>
    <row r="7916" customFormat="1" x14ac:dyDescent="0.3"/>
    <row r="7917" customFormat="1" x14ac:dyDescent="0.3"/>
    <row r="7918" customFormat="1" x14ac:dyDescent="0.3"/>
    <row r="7919" customFormat="1" x14ac:dyDescent="0.3"/>
    <row r="7920" customFormat="1" x14ac:dyDescent="0.3"/>
    <row r="7921" customFormat="1" x14ac:dyDescent="0.3"/>
    <row r="7922" customFormat="1" x14ac:dyDescent="0.3"/>
    <row r="7923" customFormat="1" x14ac:dyDescent="0.3"/>
    <row r="7924" customFormat="1" x14ac:dyDescent="0.3"/>
    <row r="7925" customFormat="1" x14ac:dyDescent="0.3"/>
    <row r="7926" customFormat="1" x14ac:dyDescent="0.3"/>
    <row r="7927" customFormat="1" x14ac:dyDescent="0.3"/>
    <row r="7928" customFormat="1" x14ac:dyDescent="0.3"/>
    <row r="7929" customFormat="1" x14ac:dyDescent="0.3"/>
    <row r="7930" customFormat="1" x14ac:dyDescent="0.3"/>
    <row r="7931" customFormat="1" x14ac:dyDescent="0.3"/>
    <row r="7932" customFormat="1" x14ac:dyDescent="0.3"/>
    <row r="7933" customFormat="1" x14ac:dyDescent="0.3"/>
    <row r="7934" customFormat="1" x14ac:dyDescent="0.3"/>
    <row r="7935" customFormat="1" x14ac:dyDescent="0.3"/>
    <row r="7936" customFormat="1" x14ac:dyDescent="0.3"/>
    <row r="7937" customFormat="1" x14ac:dyDescent="0.3"/>
    <row r="7938" customFormat="1" x14ac:dyDescent="0.3"/>
    <row r="7939" customFormat="1" x14ac:dyDescent="0.3"/>
    <row r="7940" customFormat="1" x14ac:dyDescent="0.3"/>
    <row r="7941" customFormat="1" x14ac:dyDescent="0.3"/>
    <row r="7942" customFormat="1" x14ac:dyDescent="0.3"/>
    <row r="7943" customFormat="1" x14ac:dyDescent="0.3"/>
    <row r="7944" customFormat="1" x14ac:dyDescent="0.3"/>
    <row r="7945" customFormat="1" x14ac:dyDescent="0.3"/>
    <row r="7946" customFormat="1" x14ac:dyDescent="0.3"/>
    <row r="7947" customFormat="1" x14ac:dyDescent="0.3"/>
    <row r="7948" customFormat="1" x14ac:dyDescent="0.3"/>
    <row r="7949" customFormat="1" x14ac:dyDescent="0.3"/>
    <row r="7950" customFormat="1" x14ac:dyDescent="0.3"/>
    <row r="7951" customFormat="1" x14ac:dyDescent="0.3"/>
    <row r="7952" customFormat="1" x14ac:dyDescent="0.3"/>
    <row r="7953" customFormat="1" x14ac:dyDescent="0.3"/>
    <row r="7954" customFormat="1" x14ac:dyDescent="0.3"/>
    <row r="7955" customFormat="1" x14ac:dyDescent="0.3"/>
    <row r="7956" customFormat="1" x14ac:dyDescent="0.3"/>
    <row r="7957" customFormat="1" x14ac:dyDescent="0.3"/>
    <row r="7958" customFormat="1" x14ac:dyDescent="0.3"/>
    <row r="7959" customFormat="1" x14ac:dyDescent="0.3"/>
    <row r="7960" customFormat="1" x14ac:dyDescent="0.3"/>
    <row r="7961" customFormat="1" x14ac:dyDescent="0.3"/>
    <row r="7962" customFormat="1" x14ac:dyDescent="0.3"/>
    <row r="7963" customFormat="1" x14ac:dyDescent="0.3"/>
    <row r="7964" customFormat="1" x14ac:dyDescent="0.3"/>
    <row r="7965" customFormat="1" x14ac:dyDescent="0.3"/>
    <row r="7966" customFormat="1" x14ac:dyDescent="0.3"/>
    <row r="7967" customFormat="1" x14ac:dyDescent="0.3"/>
    <row r="7968" customFormat="1" x14ac:dyDescent="0.3"/>
    <row r="7969" customFormat="1" x14ac:dyDescent="0.3"/>
    <row r="7970" customFormat="1" x14ac:dyDescent="0.3"/>
    <row r="7971" customFormat="1" x14ac:dyDescent="0.3"/>
    <row r="7972" customFormat="1" x14ac:dyDescent="0.3"/>
    <row r="7973" customFormat="1" x14ac:dyDescent="0.3"/>
    <row r="7974" customFormat="1" x14ac:dyDescent="0.3"/>
    <row r="7975" customFormat="1" x14ac:dyDescent="0.3"/>
    <row r="7976" customFormat="1" x14ac:dyDescent="0.3"/>
    <row r="7977" customFormat="1" x14ac:dyDescent="0.3"/>
    <row r="7978" customFormat="1" x14ac:dyDescent="0.3"/>
    <row r="7979" customFormat="1" x14ac:dyDescent="0.3"/>
    <row r="7980" customFormat="1" x14ac:dyDescent="0.3"/>
    <row r="7981" customFormat="1" x14ac:dyDescent="0.3"/>
    <row r="7982" customFormat="1" x14ac:dyDescent="0.3"/>
    <row r="7983" customFormat="1" x14ac:dyDescent="0.3"/>
    <row r="7984" customFormat="1" x14ac:dyDescent="0.3"/>
    <row r="7985" customFormat="1" x14ac:dyDescent="0.3"/>
    <row r="7986" customFormat="1" x14ac:dyDescent="0.3"/>
    <row r="7987" customFormat="1" x14ac:dyDescent="0.3"/>
    <row r="7988" customFormat="1" x14ac:dyDescent="0.3"/>
    <row r="7989" customFormat="1" x14ac:dyDescent="0.3"/>
    <row r="7990" customFormat="1" x14ac:dyDescent="0.3"/>
    <row r="7991" customFormat="1" x14ac:dyDescent="0.3"/>
    <row r="7992" customFormat="1" x14ac:dyDescent="0.3"/>
    <row r="7993" customFormat="1" x14ac:dyDescent="0.3"/>
    <row r="7994" customFormat="1" x14ac:dyDescent="0.3"/>
    <row r="7995" customFormat="1" x14ac:dyDescent="0.3"/>
    <row r="7996" customFormat="1" x14ac:dyDescent="0.3"/>
    <row r="7997" customFormat="1" x14ac:dyDescent="0.3"/>
    <row r="7998" customFormat="1" x14ac:dyDescent="0.3"/>
    <row r="7999" customFormat="1" x14ac:dyDescent="0.3"/>
    <row r="8000" customFormat="1" x14ac:dyDescent="0.3"/>
    <row r="8001" customFormat="1" x14ac:dyDescent="0.3"/>
    <row r="8002" customFormat="1" x14ac:dyDescent="0.3"/>
    <row r="8003" customFormat="1" x14ac:dyDescent="0.3"/>
    <row r="8004" customFormat="1" x14ac:dyDescent="0.3"/>
    <row r="8005" customFormat="1" x14ac:dyDescent="0.3"/>
    <row r="8006" customFormat="1" x14ac:dyDescent="0.3"/>
    <row r="8007" customFormat="1" x14ac:dyDescent="0.3"/>
    <row r="8008" customFormat="1" x14ac:dyDescent="0.3"/>
    <row r="8009" customFormat="1" x14ac:dyDescent="0.3"/>
    <row r="8010" customFormat="1" x14ac:dyDescent="0.3"/>
    <row r="8011" customFormat="1" x14ac:dyDescent="0.3"/>
    <row r="8012" customFormat="1" x14ac:dyDescent="0.3"/>
    <row r="8013" customFormat="1" x14ac:dyDescent="0.3"/>
    <row r="8014" customFormat="1" x14ac:dyDescent="0.3"/>
    <row r="8015" customFormat="1" x14ac:dyDescent="0.3"/>
    <row r="8016" customFormat="1" x14ac:dyDescent="0.3"/>
    <row r="8017" customFormat="1" x14ac:dyDescent="0.3"/>
    <row r="8018" customFormat="1" x14ac:dyDescent="0.3"/>
    <row r="8019" customFormat="1" x14ac:dyDescent="0.3"/>
    <row r="8020" customFormat="1" x14ac:dyDescent="0.3"/>
    <row r="8021" customFormat="1" x14ac:dyDescent="0.3"/>
    <row r="8022" customFormat="1" x14ac:dyDescent="0.3"/>
    <row r="8023" customFormat="1" x14ac:dyDescent="0.3"/>
    <row r="8024" customFormat="1" x14ac:dyDescent="0.3"/>
    <row r="8025" customFormat="1" x14ac:dyDescent="0.3"/>
    <row r="8026" customFormat="1" x14ac:dyDescent="0.3"/>
    <row r="8027" customFormat="1" x14ac:dyDescent="0.3"/>
    <row r="8028" customFormat="1" x14ac:dyDescent="0.3"/>
    <row r="8029" customFormat="1" x14ac:dyDescent="0.3"/>
    <row r="8030" customFormat="1" x14ac:dyDescent="0.3"/>
    <row r="8031" customFormat="1" x14ac:dyDescent="0.3"/>
    <row r="8032" customFormat="1" x14ac:dyDescent="0.3"/>
    <row r="8033" customFormat="1" x14ac:dyDescent="0.3"/>
    <row r="8034" customFormat="1" x14ac:dyDescent="0.3"/>
    <row r="8035" customFormat="1" x14ac:dyDescent="0.3"/>
    <row r="8036" customFormat="1" x14ac:dyDescent="0.3"/>
    <row r="8037" customFormat="1" x14ac:dyDescent="0.3"/>
    <row r="8038" customFormat="1" x14ac:dyDescent="0.3"/>
    <row r="8039" customFormat="1" x14ac:dyDescent="0.3"/>
    <row r="8040" customFormat="1" x14ac:dyDescent="0.3"/>
    <row r="8041" customFormat="1" x14ac:dyDescent="0.3"/>
    <row r="8042" customFormat="1" x14ac:dyDescent="0.3"/>
    <row r="8043" customFormat="1" x14ac:dyDescent="0.3"/>
    <row r="8044" customFormat="1" x14ac:dyDescent="0.3"/>
    <row r="8045" customFormat="1" x14ac:dyDescent="0.3"/>
    <row r="8046" customFormat="1" x14ac:dyDescent="0.3"/>
    <row r="8047" customFormat="1" x14ac:dyDescent="0.3"/>
    <row r="8048" customFormat="1" x14ac:dyDescent="0.3"/>
    <row r="8049" customFormat="1" x14ac:dyDescent="0.3"/>
    <row r="8050" customFormat="1" x14ac:dyDescent="0.3"/>
    <row r="8051" customFormat="1" x14ac:dyDescent="0.3"/>
    <row r="8052" customFormat="1" x14ac:dyDescent="0.3"/>
    <row r="8053" customFormat="1" x14ac:dyDescent="0.3"/>
    <row r="8054" customFormat="1" x14ac:dyDescent="0.3"/>
    <row r="8055" customFormat="1" x14ac:dyDescent="0.3"/>
    <row r="8056" customFormat="1" x14ac:dyDescent="0.3"/>
    <row r="8057" customFormat="1" x14ac:dyDescent="0.3"/>
    <row r="8058" customFormat="1" x14ac:dyDescent="0.3"/>
    <row r="8059" customFormat="1" x14ac:dyDescent="0.3"/>
    <row r="8060" customFormat="1" x14ac:dyDescent="0.3"/>
    <row r="8061" customFormat="1" x14ac:dyDescent="0.3"/>
    <row r="8062" customFormat="1" x14ac:dyDescent="0.3"/>
    <row r="8063" customFormat="1" x14ac:dyDescent="0.3"/>
    <row r="8064" customFormat="1" x14ac:dyDescent="0.3"/>
    <row r="8065" customFormat="1" x14ac:dyDescent="0.3"/>
    <row r="8066" customFormat="1" x14ac:dyDescent="0.3"/>
    <row r="8067" customFormat="1" x14ac:dyDescent="0.3"/>
    <row r="8068" customFormat="1" x14ac:dyDescent="0.3"/>
    <row r="8069" customFormat="1" x14ac:dyDescent="0.3"/>
    <row r="8070" customFormat="1" x14ac:dyDescent="0.3"/>
    <row r="8071" customFormat="1" x14ac:dyDescent="0.3"/>
    <row r="8072" customFormat="1" x14ac:dyDescent="0.3"/>
    <row r="8073" customFormat="1" x14ac:dyDescent="0.3"/>
    <row r="8074" customFormat="1" x14ac:dyDescent="0.3"/>
    <row r="8075" customFormat="1" x14ac:dyDescent="0.3"/>
    <row r="8076" customFormat="1" x14ac:dyDescent="0.3"/>
    <row r="8077" customFormat="1" x14ac:dyDescent="0.3"/>
    <row r="8078" customFormat="1" x14ac:dyDescent="0.3"/>
    <row r="8079" customFormat="1" x14ac:dyDescent="0.3"/>
    <row r="8080" customFormat="1" x14ac:dyDescent="0.3"/>
    <row r="8081" customFormat="1" x14ac:dyDescent="0.3"/>
    <row r="8082" customFormat="1" x14ac:dyDescent="0.3"/>
    <row r="8083" customFormat="1" x14ac:dyDescent="0.3"/>
    <row r="8084" customFormat="1" x14ac:dyDescent="0.3"/>
    <row r="8085" customFormat="1" x14ac:dyDescent="0.3"/>
    <row r="8086" customFormat="1" x14ac:dyDescent="0.3"/>
    <row r="8087" customFormat="1" x14ac:dyDescent="0.3"/>
    <row r="8088" customFormat="1" x14ac:dyDescent="0.3"/>
    <row r="8089" customFormat="1" x14ac:dyDescent="0.3"/>
    <row r="8090" customFormat="1" x14ac:dyDescent="0.3"/>
    <row r="8091" customFormat="1" x14ac:dyDescent="0.3"/>
    <row r="8092" customFormat="1" x14ac:dyDescent="0.3"/>
    <row r="8093" customFormat="1" x14ac:dyDescent="0.3"/>
    <row r="8094" customFormat="1" x14ac:dyDescent="0.3"/>
    <row r="8095" customFormat="1" x14ac:dyDescent="0.3"/>
    <row r="8096" customFormat="1" x14ac:dyDescent="0.3"/>
    <row r="8097" customFormat="1" x14ac:dyDescent="0.3"/>
    <row r="8098" customFormat="1" x14ac:dyDescent="0.3"/>
    <row r="8099" customFormat="1" x14ac:dyDescent="0.3"/>
    <row r="8100" customFormat="1" x14ac:dyDescent="0.3"/>
    <row r="8101" customFormat="1" x14ac:dyDescent="0.3"/>
    <row r="8102" customFormat="1" x14ac:dyDescent="0.3"/>
    <row r="8103" customFormat="1" x14ac:dyDescent="0.3"/>
    <row r="8104" customFormat="1" x14ac:dyDescent="0.3"/>
    <row r="8105" customFormat="1" x14ac:dyDescent="0.3"/>
    <row r="8106" customFormat="1" x14ac:dyDescent="0.3"/>
    <row r="8107" customFormat="1" x14ac:dyDescent="0.3"/>
    <row r="8108" customFormat="1" x14ac:dyDescent="0.3"/>
    <row r="8109" customFormat="1" x14ac:dyDescent="0.3"/>
    <row r="8110" customFormat="1" x14ac:dyDescent="0.3"/>
    <row r="8111" customFormat="1" x14ac:dyDescent="0.3"/>
    <row r="8112" customFormat="1" x14ac:dyDescent="0.3"/>
    <row r="8113" customFormat="1" x14ac:dyDescent="0.3"/>
    <row r="8114" customFormat="1" x14ac:dyDescent="0.3"/>
    <row r="8115" customFormat="1" x14ac:dyDescent="0.3"/>
    <row r="8116" customFormat="1" x14ac:dyDescent="0.3"/>
    <row r="8117" customFormat="1" x14ac:dyDescent="0.3"/>
    <row r="8118" customFormat="1" x14ac:dyDescent="0.3"/>
    <row r="8119" customFormat="1" x14ac:dyDescent="0.3"/>
    <row r="8120" customFormat="1" x14ac:dyDescent="0.3"/>
    <row r="8121" customFormat="1" x14ac:dyDescent="0.3"/>
    <row r="8122" customFormat="1" x14ac:dyDescent="0.3"/>
    <row r="8123" customFormat="1" x14ac:dyDescent="0.3"/>
    <row r="8124" customFormat="1" x14ac:dyDescent="0.3"/>
    <row r="8125" customFormat="1" x14ac:dyDescent="0.3"/>
    <row r="8126" customFormat="1" x14ac:dyDescent="0.3"/>
    <row r="8127" customFormat="1" x14ac:dyDescent="0.3"/>
    <row r="8128" customFormat="1" x14ac:dyDescent="0.3"/>
    <row r="8129" customFormat="1" x14ac:dyDescent="0.3"/>
    <row r="8130" customFormat="1" x14ac:dyDescent="0.3"/>
    <row r="8131" customFormat="1" x14ac:dyDescent="0.3"/>
    <row r="8132" customFormat="1" x14ac:dyDescent="0.3"/>
    <row r="8133" customFormat="1" x14ac:dyDescent="0.3"/>
    <row r="8134" customFormat="1" x14ac:dyDescent="0.3"/>
    <row r="8135" customFormat="1" x14ac:dyDescent="0.3"/>
    <row r="8136" customFormat="1" x14ac:dyDescent="0.3"/>
    <row r="8137" customFormat="1" x14ac:dyDescent="0.3"/>
    <row r="8138" customFormat="1" x14ac:dyDescent="0.3"/>
    <row r="8139" customFormat="1" x14ac:dyDescent="0.3"/>
    <row r="8140" customFormat="1" x14ac:dyDescent="0.3"/>
    <row r="8141" customFormat="1" x14ac:dyDescent="0.3"/>
    <row r="8142" customFormat="1" x14ac:dyDescent="0.3"/>
    <row r="8143" customFormat="1" x14ac:dyDescent="0.3"/>
    <row r="8144" customFormat="1" x14ac:dyDescent="0.3"/>
    <row r="8145" customFormat="1" x14ac:dyDescent="0.3"/>
    <row r="8146" customFormat="1" x14ac:dyDescent="0.3"/>
    <row r="8147" customFormat="1" x14ac:dyDescent="0.3"/>
    <row r="8148" customFormat="1" x14ac:dyDescent="0.3"/>
    <row r="8149" customFormat="1" x14ac:dyDescent="0.3"/>
    <row r="8150" customFormat="1" x14ac:dyDescent="0.3"/>
    <row r="8151" customFormat="1" x14ac:dyDescent="0.3"/>
    <row r="8152" customFormat="1" x14ac:dyDescent="0.3"/>
    <row r="8153" customFormat="1" x14ac:dyDescent="0.3"/>
    <row r="8154" customFormat="1" x14ac:dyDescent="0.3"/>
    <row r="8155" customFormat="1" x14ac:dyDescent="0.3"/>
    <row r="8156" customFormat="1" x14ac:dyDescent="0.3"/>
    <row r="8157" customFormat="1" x14ac:dyDescent="0.3"/>
    <row r="8158" customFormat="1" x14ac:dyDescent="0.3"/>
    <row r="8159" customFormat="1" x14ac:dyDescent="0.3"/>
    <row r="8160" customFormat="1" x14ac:dyDescent="0.3"/>
    <row r="8161" customFormat="1" x14ac:dyDescent="0.3"/>
    <row r="8162" customFormat="1" x14ac:dyDescent="0.3"/>
    <row r="8163" customFormat="1" x14ac:dyDescent="0.3"/>
    <row r="8164" customFormat="1" x14ac:dyDescent="0.3"/>
    <row r="8165" customFormat="1" x14ac:dyDescent="0.3"/>
    <row r="8166" customFormat="1" x14ac:dyDescent="0.3"/>
    <row r="8167" customFormat="1" x14ac:dyDescent="0.3"/>
    <row r="8168" customFormat="1" x14ac:dyDescent="0.3"/>
    <row r="8169" customFormat="1" x14ac:dyDescent="0.3"/>
    <row r="8170" customFormat="1" x14ac:dyDescent="0.3"/>
    <row r="8171" customFormat="1" x14ac:dyDescent="0.3"/>
    <row r="8172" customFormat="1" x14ac:dyDescent="0.3"/>
    <row r="8173" customFormat="1" x14ac:dyDescent="0.3"/>
    <row r="8174" customFormat="1" x14ac:dyDescent="0.3"/>
    <row r="8175" customFormat="1" x14ac:dyDescent="0.3"/>
    <row r="8176" customFormat="1" x14ac:dyDescent="0.3"/>
    <row r="8177" customFormat="1" x14ac:dyDescent="0.3"/>
    <row r="8178" customFormat="1" x14ac:dyDescent="0.3"/>
    <row r="8179" customFormat="1" x14ac:dyDescent="0.3"/>
    <row r="8180" customFormat="1" x14ac:dyDescent="0.3"/>
    <row r="8181" customFormat="1" x14ac:dyDescent="0.3"/>
    <row r="8182" customFormat="1" x14ac:dyDescent="0.3"/>
    <row r="8183" customFormat="1" x14ac:dyDescent="0.3"/>
    <row r="8184" customFormat="1" x14ac:dyDescent="0.3"/>
    <row r="8185" customFormat="1" x14ac:dyDescent="0.3"/>
    <row r="8186" customFormat="1" x14ac:dyDescent="0.3"/>
    <row r="8187" customFormat="1" x14ac:dyDescent="0.3"/>
    <row r="8188" customFormat="1" x14ac:dyDescent="0.3"/>
    <row r="8189" customFormat="1" x14ac:dyDescent="0.3"/>
    <row r="8190" customFormat="1" x14ac:dyDescent="0.3"/>
    <row r="8191" customFormat="1" x14ac:dyDescent="0.3"/>
    <row r="8192" customFormat="1" x14ac:dyDescent="0.3"/>
    <row r="8193" customFormat="1" x14ac:dyDescent="0.3"/>
    <row r="8194" customFormat="1" x14ac:dyDescent="0.3"/>
    <row r="8195" customFormat="1" x14ac:dyDescent="0.3"/>
    <row r="8196" customFormat="1" x14ac:dyDescent="0.3"/>
    <row r="8197" customFormat="1" x14ac:dyDescent="0.3"/>
    <row r="8198" customFormat="1" x14ac:dyDescent="0.3"/>
    <row r="8199" customFormat="1" x14ac:dyDescent="0.3"/>
    <row r="8200" customFormat="1" x14ac:dyDescent="0.3"/>
    <row r="8201" customFormat="1" x14ac:dyDescent="0.3"/>
    <row r="8202" customFormat="1" x14ac:dyDescent="0.3"/>
    <row r="8203" customFormat="1" x14ac:dyDescent="0.3"/>
    <row r="8204" customFormat="1" x14ac:dyDescent="0.3"/>
    <row r="8205" customFormat="1" x14ac:dyDescent="0.3"/>
    <row r="8206" customFormat="1" x14ac:dyDescent="0.3"/>
    <row r="8207" customFormat="1" x14ac:dyDescent="0.3"/>
    <row r="8208" customFormat="1" x14ac:dyDescent="0.3"/>
    <row r="8209" customFormat="1" x14ac:dyDescent="0.3"/>
    <row r="8210" customFormat="1" x14ac:dyDescent="0.3"/>
    <row r="8211" customFormat="1" x14ac:dyDescent="0.3"/>
    <row r="8212" customFormat="1" x14ac:dyDescent="0.3"/>
    <row r="8213" customFormat="1" x14ac:dyDescent="0.3"/>
    <row r="8214" customFormat="1" x14ac:dyDescent="0.3"/>
    <row r="8215" customFormat="1" x14ac:dyDescent="0.3"/>
    <row r="8216" customFormat="1" x14ac:dyDescent="0.3"/>
    <row r="8217" customFormat="1" x14ac:dyDescent="0.3"/>
    <row r="8218" customFormat="1" x14ac:dyDescent="0.3"/>
    <row r="8219" customFormat="1" x14ac:dyDescent="0.3"/>
    <row r="8220" customFormat="1" x14ac:dyDescent="0.3"/>
    <row r="8221" customFormat="1" x14ac:dyDescent="0.3"/>
    <row r="8222" customFormat="1" x14ac:dyDescent="0.3"/>
    <row r="8223" customFormat="1" x14ac:dyDescent="0.3"/>
    <row r="8224" customFormat="1" x14ac:dyDescent="0.3"/>
    <row r="8225" customFormat="1" x14ac:dyDescent="0.3"/>
    <row r="8226" customFormat="1" x14ac:dyDescent="0.3"/>
    <row r="8227" customFormat="1" x14ac:dyDescent="0.3"/>
    <row r="8228" customFormat="1" x14ac:dyDescent="0.3"/>
    <row r="8229" customFormat="1" x14ac:dyDescent="0.3"/>
    <row r="8230" customFormat="1" x14ac:dyDescent="0.3"/>
    <row r="8231" customFormat="1" x14ac:dyDescent="0.3"/>
    <row r="8232" customFormat="1" x14ac:dyDescent="0.3"/>
    <row r="8233" customFormat="1" x14ac:dyDescent="0.3"/>
    <row r="8234" customFormat="1" x14ac:dyDescent="0.3"/>
    <row r="8235" customFormat="1" x14ac:dyDescent="0.3"/>
    <row r="8236" customFormat="1" x14ac:dyDescent="0.3"/>
    <row r="8237" customFormat="1" x14ac:dyDescent="0.3"/>
    <row r="8238" customFormat="1" x14ac:dyDescent="0.3"/>
    <row r="8239" customFormat="1" x14ac:dyDescent="0.3"/>
    <row r="8240" customFormat="1" x14ac:dyDescent="0.3"/>
    <row r="8241" customFormat="1" x14ac:dyDescent="0.3"/>
    <row r="8242" customFormat="1" x14ac:dyDescent="0.3"/>
    <row r="8243" customFormat="1" x14ac:dyDescent="0.3"/>
    <row r="8244" customFormat="1" x14ac:dyDescent="0.3"/>
    <row r="8245" customFormat="1" x14ac:dyDescent="0.3"/>
    <row r="8246" customFormat="1" x14ac:dyDescent="0.3"/>
    <row r="8247" customFormat="1" x14ac:dyDescent="0.3"/>
    <row r="8248" customFormat="1" x14ac:dyDescent="0.3"/>
    <row r="8249" customFormat="1" x14ac:dyDescent="0.3"/>
    <row r="8250" customFormat="1" x14ac:dyDescent="0.3"/>
    <row r="8251" customFormat="1" x14ac:dyDescent="0.3"/>
    <row r="8252" customFormat="1" x14ac:dyDescent="0.3"/>
    <row r="8253" customFormat="1" x14ac:dyDescent="0.3"/>
    <row r="8254" customFormat="1" x14ac:dyDescent="0.3"/>
    <row r="8255" customFormat="1" x14ac:dyDescent="0.3"/>
    <row r="8256" customFormat="1" x14ac:dyDescent="0.3"/>
    <row r="8257" customFormat="1" x14ac:dyDescent="0.3"/>
    <row r="8258" customFormat="1" x14ac:dyDescent="0.3"/>
    <row r="8259" customFormat="1" x14ac:dyDescent="0.3"/>
    <row r="8260" customFormat="1" x14ac:dyDescent="0.3"/>
    <row r="8261" customFormat="1" x14ac:dyDescent="0.3"/>
    <row r="8262" customFormat="1" x14ac:dyDescent="0.3"/>
    <row r="8263" customFormat="1" x14ac:dyDescent="0.3"/>
    <row r="8264" customFormat="1" x14ac:dyDescent="0.3"/>
    <row r="8265" customFormat="1" x14ac:dyDescent="0.3"/>
    <row r="8266" customFormat="1" x14ac:dyDescent="0.3"/>
    <row r="8267" customFormat="1" x14ac:dyDescent="0.3"/>
    <row r="8268" customFormat="1" x14ac:dyDescent="0.3"/>
    <row r="8269" customFormat="1" x14ac:dyDescent="0.3"/>
    <row r="8270" customFormat="1" x14ac:dyDescent="0.3"/>
    <row r="8271" customFormat="1" x14ac:dyDescent="0.3"/>
    <row r="8272" customFormat="1" x14ac:dyDescent="0.3"/>
    <row r="8273" customFormat="1" x14ac:dyDescent="0.3"/>
    <row r="8274" customFormat="1" x14ac:dyDescent="0.3"/>
    <row r="8275" customFormat="1" x14ac:dyDescent="0.3"/>
    <row r="8276" customFormat="1" x14ac:dyDescent="0.3"/>
    <row r="8277" customFormat="1" x14ac:dyDescent="0.3"/>
    <row r="8278" customFormat="1" x14ac:dyDescent="0.3"/>
    <row r="8279" customFormat="1" x14ac:dyDescent="0.3"/>
    <row r="8280" customFormat="1" x14ac:dyDescent="0.3"/>
    <row r="8281" customFormat="1" x14ac:dyDescent="0.3"/>
    <row r="8282" customFormat="1" x14ac:dyDescent="0.3"/>
    <row r="8283" customFormat="1" x14ac:dyDescent="0.3"/>
    <row r="8284" customFormat="1" x14ac:dyDescent="0.3"/>
    <row r="8285" customFormat="1" x14ac:dyDescent="0.3"/>
    <row r="8286" customFormat="1" x14ac:dyDescent="0.3"/>
    <row r="8287" customFormat="1" x14ac:dyDescent="0.3"/>
    <row r="8288" customFormat="1" x14ac:dyDescent="0.3"/>
    <row r="8289" customFormat="1" x14ac:dyDescent="0.3"/>
    <row r="8290" customFormat="1" x14ac:dyDescent="0.3"/>
    <row r="8291" customFormat="1" x14ac:dyDescent="0.3"/>
    <row r="8292" customFormat="1" x14ac:dyDescent="0.3"/>
    <row r="8293" customFormat="1" x14ac:dyDescent="0.3"/>
    <row r="8294" customFormat="1" x14ac:dyDescent="0.3"/>
    <row r="8295" customFormat="1" x14ac:dyDescent="0.3"/>
    <row r="8296" customFormat="1" x14ac:dyDescent="0.3"/>
    <row r="8297" customFormat="1" x14ac:dyDescent="0.3"/>
    <row r="8298" customFormat="1" x14ac:dyDescent="0.3"/>
    <row r="8299" customFormat="1" x14ac:dyDescent="0.3"/>
    <row r="8300" customFormat="1" x14ac:dyDescent="0.3"/>
    <row r="8301" customFormat="1" x14ac:dyDescent="0.3"/>
    <row r="8302" customFormat="1" x14ac:dyDescent="0.3"/>
    <row r="8303" customFormat="1" x14ac:dyDescent="0.3"/>
    <row r="8304" customFormat="1" x14ac:dyDescent="0.3"/>
    <row r="8305" customFormat="1" x14ac:dyDescent="0.3"/>
    <row r="8306" customFormat="1" x14ac:dyDescent="0.3"/>
    <row r="8307" customFormat="1" x14ac:dyDescent="0.3"/>
    <row r="8308" customFormat="1" x14ac:dyDescent="0.3"/>
    <row r="8309" customFormat="1" x14ac:dyDescent="0.3"/>
    <row r="8310" customFormat="1" x14ac:dyDescent="0.3"/>
    <row r="8311" customFormat="1" x14ac:dyDescent="0.3"/>
    <row r="8312" customFormat="1" x14ac:dyDescent="0.3"/>
    <row r="8313" customFormat="1" x14ac:dyDescent="0.3"/>
    <row r="8314" customFormat="1" x14ac:dyDescent="0.3"/>
    <row r="8315" customFormat="1" x14ac:dyDescent="0.3"/>
    <row r="8316" customFormat="1" x14ac:dyDescent="0.3"/>
    <row r="8317" customFormat="1" x14ac:dyDescent="0.3"/>
    <row r="8318" customFormat="1" x14ac:dyDescent="0.3"/>
    <row r="8319" customFormat="1" x14ac:dyDescent="0.3"/>
    <row r="8320" customFormat="1" x14ac:dyDescent="0.3"/>
    <row r="8321" customFormat="1" x14ac:dyDescent="0.3"/>
    <row r="8322" customFormat="1" x14ac:dyDescent="0.3"/>
    <row r="8323" customFormat="1" x14ac:dyDescent="0.3"/>
    <row r="8324" customFormat="1" x14ac:dyDescent="0.3"/>
    <row r="8325" customFormat="1" x14ac:dyDescent="0.3"/>
    <row r="8326" customFormat="1" x14ac:dyDescent="0.3"/>
    <row r="8327" customFormat="1" x14ac:dyDescent="0.3"/>
    <row r="8328" customFormat="1" x14ac:dyDescent="0.3"/>
    <row r="8329" customFormat="1" x14ac:dyDescent="0.3"/>
    <row r="8330" customFormat="1" x14ac:dyDescent="0.3"/>
    <row r="8331" customFormat="1" x14ac:dyDescent="0.3"/>
    <row r="8332" customFormat="1" x14ac:dyDescent="0.3"/>
    <row r="8333" customFormat="1" x14ac:dyDescent="0.3"/>
    <row r="8334" customFormat="1" x14ac:dyDescent="0.3"/>
    <row r="8335" customFormat="1" x14ac:dyDescent="0.3"/>
    <row r="8336" customFormat="1" x14ac:dyDescent="0.3"/>
    <row r="8337" customFormat="1" x14ac:dyDescent="0.3"/>
    <row r="8338" customFormat="1" x14ac:dyDescent="0.3"/>
    <row r="8339" customFormat="1" x14ac:dyDescent="0.3"/>
    <row r="8340" customFormat="1" x14ac:dyDescent="0.3"/>
    <row r="8341" customFormat="1" x14ac:dyDescent="0.3"/>
    <row r="8342" customFormat="1" x14ac:dyDescent="0.3"/>
    <row r="8343" customFormat="1" x14ac:dyDescent="0.3"/>
    <row r="8344" customFormat="1" x14ac:dyDescent="0.3"/>
    <row r="8345" customFormat="1" x14ac:dyDescent="0.3"/>
    <row r="8346" customFormat="1" x14ac:dyDescent="0.3"/>
    <row r="8347" customFormat="1" x14ac:dyDescent="0.3"/>
    <row r="8348" customFormat="1" x14ac:dyDescent="0.3"/>
    <row r="8349" customFormat="1" x14ac:dyDescent="0.3"/>
    <row r="8350" customFormat="1" x14ac:dyDescent="0.3"/>
    <row r="8351" customFormat="1" x14ac:dyDescent="0.3"/>
    <row r="8352" customFormat="1" x14ac:dyDescent="0.3"/>
    <row r="8353" customFormat="1" x14ac:dyDescent="0.3"/>
    <row r="8354" customFormat="1" x14ac:dyDescent="0.3"/>
    <row r="8355" customFormat="1" x14ac:dyDescent="0.3"/>
    <row r="8356" customFormat="1" x14ac:dyDescent="0.3"/>
    <row r="8357" customFormat="1" x14ac:dyDescent="0.3"/>
    <row r="8358" customFormat="1" x14ac:dyDescent="0.3"/>
    <row r="8359" customFormat="1" x14ac:dyDescent="0.3"/>
    <row r="8360" customFormat="1" x14ac:dyDescent="0.3"/>
    <row r="8361" customFormat="1" x14ac:dyDescent="0.3"/>
    <row r="8362" customFormat="1" x14ac:dyDescent="0.3"/>
    <row r="8363" customFormat="1" x14ac:dyDescent="0.3"/>
    <row r="8364" customFormat="1" x14ac:dyDescent="0.3"/>
    <row r="8365" customFormat="1" x14ac:dyDescent="0.3"/>
    <row r="8366" customFormat="1" x14ac:dyDescent="0.3"/>
    <row r="8367" customFormat="1" x14ac:dyDescent="0.3"/>
    <row r="8368" customFormat="1" x14ac:dyDescent="0.3"/>
    <row r="8369" customFormat="1" x14ac:dyDescent="0.3"/>
    <row r="8370" customFormat="1" x14ac:dyDescent="0.3"/>
    <row r="8371" customFormat="1" x14ac:dyDescent="0.3"/>
    <row r="8372" customFormat="1" x14ac:dyDescent="0.3"/>
    <row r="8373" customFormat="1" x14ac:dyDescent="0.3"/>
    <row r="8374" customFormat="1" x14ac:dyDescent="0.3"/>
    <row r="8375" customFormat="1" x14ac:dyDescent="0.3"/>
    <row r="8376" customFormat="1" x14ac:dyDescent="0.3"/>
    <row r="8377" customFormat="1" x14ac:dyDescent="0.3"/>
    <row r="8378" customFormat="1" x14ac:dyDescent="0.3"/>
    <row r="8379" customFormat="1" x14ac:dyDescent="0.3"/>
    <row r="8380" customFormat="1" x14ac:dyDescent="0.3"/>
    <row r="8381" customFormat="1" x14ac:dyDescent="0.3"/>
    <row r="8382" customFormat="1" x14ac:dyDescent="0.3"/>
    <row r="8383" customFormat="1" x14ac:dyDescent="0.3"/>
    <row r="8384" customFormat="1" x14ac:dyDescent="0.3"/>
    <row r="8385" customFormat="1" x14ac:dyDescent="0.3"/>
    <row r="8386" customFormat="1" x14ac:dyDescent="0.3"/>
    <row r="8387" customFormat="1" x14ac:dyDescent="0.3"/>
    <row r="8388" customFormat="1" x14ac:dyDescent="0.3"/>
    <row r="8389" customFormat="1" x14ac:dyDescent="0.3"/>
    <row r="8390" customFormat="1" x14ac:dyDescent="0.3"/>
    <row r="8391" customFormat="1" x14ac:dyDescent="0.3"/>
    <row r="8392" customFormat="1" x14ac:dyDescent="0.3"/>
    <row r="8393" customFormat="1" x14ac:dyDescent="0.3"/>
    <row r="8394" customFormat="1" x14ac:dyDescent="0.3"/>
    <row r="8395" customFormat="1" x14ac:dyDescent="0.3"/>
    <row r="8396" customFormat="1" x14ac:dyDescent="0.3"/>
    <row r="8397" customFormat="1" x14ac:dyDescent="0.3"/>
    <row r="8398" customFormat="1" x14ac:dyDescent="0.3"/>
    <row r="8399" customFormat="1" x14ac:dyDescent="0.3"/>
    <row r="8400" customFormat="1" x14ac:dyDescent="0.3"/>
    <row r="8401" customFormat="1" x14ac:dyDescent="0.3"/>
    <row r="8402" customFormat="1" x14ac:dyDescent="0.3"/>
    <row r="8403" customFormat="1" x14ac:dyDescent="0.3"/>
    <row r="8404" customFormat="1" x14ac:dyDescent="0.3"/>
    <row r="8405" customFormat="1" x14ac:dyDescent="0.3"/>
    <row r="8406" customFormat="1" x14ac:dyDescent="0.3"/>
    <row r="8407" customFormat="1" x14ac:dyDescent="0.3"/>
    <row r="8408" customFormat="1" x14ac:dyDescent="0.3"/>
    <row r="8409" customFormat="1" x14ac:dyDescent="0.3"/>
    <row r="8410" customFormat="1" x14ac:dyDescent="0.3"/>
    <row r="8411" customFormat="1" x14ac:dyDescent="0.3"/>
    <row r="8412" customFormat="1" x14ac:dyDescent="0.3"/>
    <row r="8413" customFormat="1" x14ac:dyDescent="0.3"/>
    <row r="8414" customFormat="1" x14ac:dyDescent="0.3"/>
    <row r="8415" customFormat="1" x14ac:dyDescent="0.3"/>
    <row r="8416" customFormat="1" x14ac:dyDescent="0.3"/>
    <row r="8417" customFormat="1" x14ac:dyDescent="0.3"/>
    <row r="8418" customFormat="1" x14ac:dyDescent="0.3"/>
    <row r="8419" customFormat="1" x14ac:dyDescent="0.3"/>
    <row r="8420" customFormat="1" x14ac:dyDescent="0.3"/>
    <row r="8421" customFormat="1" x14ac:dyDescent="0.3"/>
    <row r="8422" customFormat="1" x14ac:dyDescent="0.3"/>
    <row r="8423" customFormat="1" x14ac:dyDescent="0.3"/>
    <row r="8424" customFormat="1" x14ac:dyDescent="0.3"/>
    <row r="8425" customFormat="1" x14ac:dyDescent="0.3"/>
    <row r="8426" customFormat="1" x14ac:dyDescent="0.3"/>
    <row r="8427" customFormat="1" x14ac:dyDescent="0.3"/>
    <row r="8428" customFormat="1" x14ac:dyDescent="0.3"/>
    <row r="8429" customFormat="1" x14ac:dyDescent="0.3"/>
    <row r="8430" customFormat="1" x14ac:dyDescent="0.3"/>
    <row r="8431" customFormat="1" x14ac:dyDescent="0.3"/>
    <row r="8432" customFormat="1" x14ac:dyDescent="0.3"/>
    <row r="8433" customFormat="1" x14ac:dyDescent="0.3"/>
    <row r="8434" customFormat="1" x14ac:dyDescent="0.3"/>
    <row r="8435" customFormat="1" x14ac:dyDescent="0.3"/>
    <row r="8436" customFormat="1" x14ac:dyDescent="0.3"/>
    <row r="8437" customFormat="1" x14ac:dyDescent="0.3"/>
    <row r="8438" customFormat="1" x14ac:dyDescent="0.3"/>
    <row r="8439" customFormat="1" x14ac:dyDescent="0.3"/>
    <row r="8440" customFormat="1" x14ac:dyDescent="0.3"/>
    <row r="8441" customFormat="1" x14ac:dyDescent="0.3"/>
    <row r="8442" customFormat="1" x14ac:dyDescent="0.3"/>
    <row r="8443" customFormat="1" x14ac:dyDescent="0.3"/>
    <row r="8444" customFormat="1" x14ac:dyDescent="0.3"/>
    <row r="8445" customFormat="1" x14ac:dyDescent="0.3"/>
    <row r="8446" customFormat="1" x14ac:dyDescent="0.3"/>
    <row r="8447" customFormat="1" x14ac:dyDescent="0.3"/>
    <row r="8448" customFormat="1" x14ac:dyDescent="0.3"/>
    <row r="8449" customFormat="1" x14ac:dyDescent="0.3"/>
    <row r="8450" customFormat="1" x14ac:dyDescent="0.3"/>
    <row r="8451" customFormat="1" x14ac:dyDescent="0.3"/>
    <row r="8452" customFormat="1" x14ac:dyDescent="0.3"/>
    <row r="8453" customFormat="1" x14ac:dyDescent="0.3"/>
    <row r="8454" customFormat="1" x14ac:dyDescent="0.3"/>
    <row r="8455" customFormat="1" x14ac:dyDescent="0.3"/>
    <row r="8456" customFormat="1" x14ac:dyDescent="0.3"/>
    <row r="8457" customFormat="1" x14ac:dyDescent="0.3"/>
    <row r="8458" customFormat="1" x14ac:dyDescent="0.3"/>
    <row r="8459" customFormat="1" x14ac:dyDescent="0.3"/>
    <row r="8460" customFormat="1" x14ac:dyDescent="0.3"/>
    <row r="8461" customFormat="1" x14ac:dyDescent="0.3"/>
    <row r="8462" customFormat="1" x14ac:dyDescent="0.3"/>
    <row r="8463" customFormat="1" x14ac:dyDescent="0.3"/>
    <row r="8464" customFormat="1" x14ac:dyDescent="0.3"/>
    <row r="8465" customFormat="1" x14ac:dyDescent="0.3"/>
    <row r="8466" customFormat="1" x14ac:dyDescent="0.3"/>
    <row r="8467" customFormat="1" x14ac:dyDescent="0.3"/>
    <row r="8468" customFormat="1" x14ac:dyDescent="0.3"/>
    <row r="8469" customFormat="1" x14ac:dyDescent="0.3"/>
    <row r="8470" customFormat="1" x14ac:dyDescent="0.3"/>
    <row r="8471" customFormat="1" x14ac:dyDescent="0.3"/>
    <row r="8472" customFormat="1" x14ac:dyDescent="0.3"/>
    <row r="8473" customFormat="1" x14ac:dyDescent="0.3"/>
    <row r="8474" customFormat="1" x14ac:dyDescent="0.3"/>
    <row r="8475" customFormat="1" x14ac:dyDescent="0.3"/>
    <row r="8476" customFormat="1" x14ac:dyDescent="0.3"/>
    <row r="8477" customFormat="1" x14ac:dyDescent="0.3"/>
    <row r="8478" customFormat="1" x14ac:dyDescent="0.3"/>
    <row r="8479" customFormat="1" x14ac:dyDescent="0.3"/>
    <row r="8480" customFormat="1" x14ac:dyDescent="0.3"/>
    <row r="8481" customFormat="1" x14ac:dyDescent="0.3"/>
    <row r="8482" customFormat="1" x14ac:dyDescent="0.3"/>
    <row r="8483" customFormat="1" x14ac:dyDescent="0.3"/>
    <row r="8484" customFormat="1" x14ac:dyDescent="0.3"/>
    <row r="8485" customFormat="1" x14ac:dyDescent="0.3"/>
    <row r="8486" customFormat="1" x14ac:dyDescent="0.3"/>
    <row r="8487" customFormat="1" x14ac:dyDescent="0.3"/>
    <row r="8488" customFormat="1" x14ac:dyDescent="0.3"/>
    <row r="8489" customFormat="1" x14ac:dyDescent="0.3"/>
    <row r="8490" customFormat="1" x14ac:dyDescent="0.3"/>
    <row r="8491" customFormat="1" x14ac:dyDescent="0.3"/>
    <row r="8492" customFormat="1" x14ac:dyDescent="0.3"/>
    <row r="8493" customFormat="1" x14ac:dyDescent="0.3"/>
    <row r="8494" customFormat="1" x14ac:dyDescent="0.3"/>
    <row r="8495" customFormat="1" x14ac:dyDescent="0.3"/>
    <row r="8496" customFormat="1" x14ac:dyDescent="0.3"/>
    <row r="8497" customFormat="1" x14ac:dyDescent="0.3"/>
    <row r="8498" customFormat="1" x14ac:dyDescent="0.3"/>
    <row r="8499" customFormat="1" x14ac:dyDescent="0.3"/>
    <row r="8500" customFormat="1" x14ac:dyDescent="0.3"/>
    <row r="8501" customFormat="1" x14ac:dyDescent="0.3"/>
    <row r="8502" customFormat="1" x14ac:dyDescent="0.3"/>
    <row r="8503" customFormat="1" x14ac:dyDescent="0.3"/>
    <row r="8504" customFormat="1" x14ac:dyDescent="0.3"/>
    <row r="8505" customFormat="1" x14ac:dyDescent="0.3"/>
    <row r="8506" customFormat="1" x14ac:dyDescent="0.3"/>
    <row r="8507" customFormat="1" x14ac:dyDescent="0.3"/>
    <row r="8508" customFormat="1" x14ac:dyDescent="0.3"/>
    <row r="8509" customFormat="1" x14ac:dyDescent="0.3"/>
    <row r="8510" customFormat="1" x14ac:dyDescent="0.3"/>
    <row r="8511" customFormat="1" x14ac:dyDescent="0.3"/>
    <row r="8512" customFormat="1" x14ac:dyDescent="0.3"/>
    <row r="8513" customFormat="1" x14ac:dyDescent="0.3"/>
    <row r="8514" customFormat="1" x14ac:dyDescent="0.3"/>
    <row r="8515" customFormat="1" x14ac:dyDescent="0.3"/>
    <row r="8516" customFormat="1" x14ac:dyDescent="0.3"/>
    <row r="8517" customFormat="1" x14ac:dyDescent="0.3"/>
    <row r="8518" customFormat="1" x14ac:dyDescent="0.3"/>
    <row r="8519" customFormat="1" x14ac:dyDescent="0.3"/>
    <row r="8520" customFormat="1" x14ac:dyDescent="0.3"/>
    <row r="8521" customFormat="1" x14ac:dyDescent="0.3"/>
    <row r="8522" customFormat="1" x14ac:dyDescent="0.3"/>
    <row r="8523" customFormat="1" x14ac:dyDescent="0.3"/>
    <row r="8524" customFormat="1" x14ac:dyDescent="0.3"/>
    <row r="8525" customFormat="1" x14ac:dyDescent="0.3"/>
    <row r="8526" customFormat="1" x14ac:dyDescent="0.3"/>
    <row r="8527" customFormat="1" x14ac:dyDescent="0.3"/>
    <row r="8528" customFormat="1" x14ac:dyDescent="0.3"/>
    <row r="8529" customFormat="1" x14ac:dyDescent="0.3"/>
    <row r="8530" customFormat="1" x14ac:dyDescent="0.3"/>
    <row r="8531" customFormat="1" x14ac:dyDescent="0.3"/>
    <row r="8532" customFormat="1" x14ac:dyDescent="0.3"/>
    <row r="8533" customFormat="1" x14ac:dyDescent="0.3"/>
    <row r="8534" customFormat="1" x14ac:dyDescent="0.3"/>
    <row r="8535" customFormat="1" x14ac:dyDescent="0.3"/>
    <row r="8536" customFormat="1" x14ac:dyDescent="0.3"/>
    <row r="8537" customFormat="1" x14ac:dyDescent="0.3"/>
    <row r="8538" customFormat="1" x14ac:dyDescent="0.3"/>
    <row r="8539" customFormat="1" x14ac:dyDescent="0.3"/>
    <row r="8540" customFormat="1" x14ac:dyDescent="0.3"/>
    <row r="8541" customFormat="1" x14ac:dyDescent="0.3"/>
    <row r="8542" customFormat="1" x14ac:dyDescent="0.3"/>
    <row r="8543" customFormat="1" x14ac:dyDescent="0.3"/>
    <row r="8544" customFormat="1" x14ac:dyDescent="0.3"/>
    <row r="8545" customFormat="1" x14ac:dyDescent="0.3"/>
    <row r="8546" customFormat="1" x14ac:dyDescent="0.3"/>
    <row r="8547" customFormat="1" x14ac:dyDescent="0.3"/>
    <row r="8548" customFormat="1" x14ac:dyDescent="0.3"/>
    <row r="8549" customFormat="1" x14ac:dyDescent="0.3"/>
    <row r="8550" customFormat="1" x14ac:dyDescent="0.3"/>
    <row r="8551" customFormat="1" x14ac:dyDescent="0.3"/>
    <row r="8552" customFormat="1" x14ac:dyDescent="0.3"/>
    <row r="8553" customFormat="1" x14ac:dyDescent="0.3"/>
    <row r="8554" customFormat="1" x14ac:dyDescent="0.3"/>
    <row r="8555" customFormat="1" x14ac:dyDescent="0.3"/>
    <row r="8556" customFormat="1" x14ac:dyDescent="0.3"/>
    <row r="8557" customFormat="1" x14ac:dyDescent="0.3"/>
    <row r="8558" customFormat="1" x14ac:dyDescent="0.3"/>
    <row r="8559" customFormat="1" x14ac:dyDescent="0.3"/>
    <row r="8560" customFormat="1" x14ac:dyDescent="0.3"/>
    <row r="8561" customFormat="1" x14ac:dyDescent="0.3"/>
    <row r="8562" customFormat="1" x14ac:dyDescent="0.3"/>
    <row r="8563" customFormat="1" x14ac:dyDescent="0.3"/>
    <row r="8564" customFormat="1" x14ac:dyDescent="0.3"/>
    <row r="8565" customFormat="1" x14ac:dyDescent="0.3"/>
    <row r="8566" customFormat="1" x14ac:dyDescent="0.3"/>
    <row r="8567" customFormat="1" x14ac:dyDescent="0.3"/>
    <row r="8568" customFormat="1" x14ac:dyDescent="0.3"/>
    <row r="8569" customFormat="1" x14ac:dyDescent="0.3"/>
    <row r="8570" customFormat="1" x14ac:dyDescent="0.3"/>
    <row r="8571" customFormat="1" x14ac:dyDescent="0.3"/>
    <row r="8572" customFormat="1" x14ac:dyDescent="0.3"/>
    <row r="8573" customFormat="1" x14ac:dyDescent="0.3"/>
    <row r="8574" customFormat="1" x14ac:dyDescent="0.3"/>
    <row r="8575" customFormat="1" x14ac:dyDescent="0.3"/>
    <row r="8576" customFormat="1" x14ac:dyDescent="0.3"/>
    <row r="8577" customFormat="1" x14ac:dyDescent="0.3"/>
    <row r="8578" customFormat="1" x14ac:dyDescent="0.3"/>
    <row r="8579" customFormat="1" x14ac:dyDescent="0.3"/>
    <row r="8580" customFormat="1" x14ac:dyDescent="0.3"/>
    <row r="8581" customFormat="1" x14ac:dyDescent="0.3"/>
    <row r="8582" customFormat="1" x14ac:dyDescent="0.3"/>
    <row r="8583" customFormat="1" x14ac:dyDescent="0.3"/>
    <row r="8584" customFormat="1" x14ac:dyDescent="0.3"/>
    <row r="8585" customFormat="1" x14ac:dyDescent="0.3"/>
    <row r="8586" customFormat="1" x14ac:dyDescent="0.3"/>
    <row r="8587" customFormat="1" x14ac:dyDescent="0.3"/>
    <row r="8588" customFormat="1" x14ac:dyDescent="0.3"/>
    <row r="8589" customFormat="1" x14ac:dyDescent="0.3"/>
    <row r="8590" customFormat="1" x14ac:dyDescent="0.3"/>
    <row r="8591" customFormat="1" x14ac:dyDescent="0.3"/>
    <row r="8592" customFormat="1" x14ac:dyDescent="0.3"/>
    <row r="8593" customFormat="1" x14ac:dyDescent="0.3"/>
    <row r="8594" customFormat="1" x14ac:dyDescent="0.3"/>
    <row r="8595" customFormat="1" x14ac:dyDescent="0.3"/>
    <row r="8596" customFormat="1" x14ac:dyDescent="0.3"/>
    <row r="8597" customFormat="1" x14ac:dyDescent="0.3"/>
    <row r="8598" customFormat="1" x14ac:dyDescent="0.3"/>
    <row r="8599" customFormat="1" x14ac:dyDescent="0.3"/>
    <row r="8600" customFormat="1" x14ac:dyDescent="0.3"/>
    <row r="8601" customFormat="1" x14ac:dyDescent="0.3"/>
    <row r="8602" customFormat="1" x14ac:dyDescent="0.3"/>
    <row r="8603" customFormat="1" x14ac:dyDescent="0.3"/>
    <row r="8604" customFormat="1" x14ac:dyDescent="0.3"/>
    <row r="8605" customFormat="1" x14ac:dyDescent="0.3"/>
    <row r="8606" customFormat="1" x14ac:dyDescent="0.3"/>
    <row r="8607" customFormat="1" x14ac:dyDescent="0.3"/>
    <row r="8608" customFormat="1" x14ac:dyDescent="0.3"/>
    <row r="8609" customFormat="1" x14ac:dyDescent="0.3"/>
    <row r="8610" customFormat="1" x14ac:dyDescent="0.3"/>
    <row r="8611" customFormat="1" x14ac:dyDescent="0.3"/>
    <row r="8612" customFormat="1" x14ac:dyDescent="0.3"/>
    <row r="8613" customFormat="1" x14ac:dyDescent="0.3"/>
    <row r="8614" customFormat="1" x14ac:dyDescent="0.3"/>
    <row r="8615" customFormat="1" x14ac:dyDescent="0.3"/>
    <row r="8616" customFormat="1" x14ac:dyDescent="0.3"/>
    <row r="8617" customFormat="1" x14ac:dyDescent="0.3"/>
    <row r="8618" customFormat="1" x14ac:dyDescent="0.3"/>
    <row r="8619" customFormat="1" x14ac:dyDescent="0.3"/>
    <row r="8620" customFormat="1" x14ac:dyDescent="0.3"/>
    <row r="8621" customFormat="1" x14ac:dyDescent="0.3"/>
    <row r="8622" customFormat="1" x14ac:dyDescent="0.3"/>
    <row r="8623" customFormat="1" x14ac:dyDescent="0.3"/>
    <row r="8624" customFormat="1" x14ac:dyDescent="0.3"/>
    <row r="8625" customFormat="1" x14ac:dyDescent="0.3"/>
    <row r="8626" customFormat="1" x14ac:dyDescent="0.3"/>
    <row r="8627" customFormat="1" x14ac:dyDescent="0.3"/>
    <row r="8628" customFormat="1" x14ac:dyDescent="0.3"/>
    <row r="8629" customFormat="1" x14ac:dyDescent="0.3"/>
    <row r="8630" customFormat="1" x14ac:dyDescent="0.3"/>
    <row r="8631" customFormat="1" x14ac:dyDescent="0.3"/>
    <row r="8632" customFormat="1" x14ac:dyDescent="0.3"/>
    <row r="8633" customFormat="1" x14ac:dyDescent="0.3"/>
    <row r="8634" customFormat="1" x14ac:dyDescent="0.3"/>
    <row r="8635" customFormat="1" x14ac:dyDescent="0.3"/>
    <row r="8636" customFormat="1" x14ac:dyDescent="0.3"/>
    <row r="8637" customFormat="1" x14ac:dyDescent="0.3"/>
    <row r="8638" customFormat="1" x14ac:dyDescent="0.3"/>
    <row r="8639" customFormat="1" x14ac:dyDescent="0.3"/>
    <row r="8640" customFormat="1" x14ac:dyDescent="0.3"/>
    <row r="8641" customFormat="1" x14ac:dyDescent="0.3"/>
    <row r="8642" customFormat="1" x14ac:dyDescent="0.3"/>
    <row r="8643" customFormat="1" x14ac:dyDescent="0.3"/>
    <row r="8644" customFormat="1" x14ac:dyDescent="0.3"/>
    <row r="8645" customFormat="1" x14ac:dyDescent="0.3"/>
    <row r="8646" customFormat="1" x14ac:dyDescent="0.3"/>
    <row r="8647" customFormat="1" x14ac:dyDescent="0.3"/>
    <row r="8648" customFormat="1" x14ac:dyDescent="0.3"/>
    <row r="8649" customFormat="1" x14ac:dyDescent="0.3"/>
    <row r="8650" customFormat="1" x14ac:dyDescent="0.3"/>
    <row r="8651" customFormat="1" x14ac:dyDescent="0.3"/>
    <row r="8652" customFormat="1" x14ac:dyDescent="0.3"/>
    <row r="8653" customFormat="1" x14ac:dyDescent="0.3"/>
    <row r="8654" customFormat="1" x14ac:dyDescent="0.3"/>
    <row r="8655" customFormat="1" x14ac:dyDescent="0.3"/>
    <row r="8656" customFormat="1" x14ac:dyDescent="0.3"/>
    <row r="8657" customFormat="1" x14ac:dyDescent="0.3"/>
    <row r="8658" customFormat="1" x14ac:dyDescent="0.3"/>
    <row r="8659" customFormat="1" x14ac:dyDescent="0.3"/>
    <row r="8660" customFormat="1" x14ac:dyDescent="0.3"/>
    <row r="8661" customFormat="1" x14ac:dyDescent="0.3"/>
    <row r="8662" customFormat="1" x14ac:dyDescent="0.3"/>
    <row r="8663" customFormat="1" x14ac:dyDescent="0.3"/>
    <row r="8664" customFormat="1" x14ac:dyDescent="0.3"/>
    <row r="8665" customFormat="1" x14ac:dyDescent="0.3"/>
    <row r="8666" customFormat="1" x14ac:dyDescent="0.3"/>
    <row r="8667" customFormat="1" x14ac:dyDescent="0.3"/>
    <row r="8668" customFormat="1" x14ac:dyDescent="0.3"/>
    <row r="8669" customFormat="1" x14ac:dyDescent="0.3"/>
    <row r="8670" customFormat="1" x14ac:dyDescent="0.3"/>
    <row r="8671" customFormat="1" x14ac:dyDescent="0.3"/>
    <row r="8672" customFormat="1" x14ac:dyDescent="0.3"/>
    <row r="8673" customFormat="1" x14ac:dyDescent="0.3"/>
    <row r="8674" customFormat="1" x14ac:dyDescent="0.3"/>
    <row r="8675" customFormat="1" x14ac:dyDescent="0.3"/>
    <row r="8676" customFormat="1" x14ac:dyDescent="0.3"/>
    <row r="8677" customFormat="1" x14ac:dyDescent="0.3"/>
    <row r="8678" customFormat="1" x14ac:dyDescent="0.3"/>
    <row r="8679" customFormat="1" x14ac:dyDescent="0.3"/>
    <row r="8680" customFormat="1" x14ac:dyDescent="0.3"/>
    <row r="8681" customFormat="1" x14ac:dyDescent="0.3"/>
    <row r="8682" customFormat="1" x14ac:dyDescent="0.3"/>
    <row r="8683" customFormat="1" x14ac:dyDescent="0.3"/>
    <row r="8684" customFormat="1" x14ac:dyDescent="0.3"/>
    <row r="8685" customFormat="1" x14ac:dyDescent="0.3"/>
    <row r="8686" customFormat="1" x14ac:dyDescent="0.3"/>
    <row r="8687" customFormat="1" x14ac:dyDescent="0.3"/>
    <row r="8688" customFormat="1" x14ac:dyDescent="0.3"/>
    <row r="8689" customFormat="1" x14ac:dyDescent="0.3"/>
    <row r="8690" customFormat="1" x14ac:dyDescent="0.3"/>
    <row r="8691" customFormat="1" x14ac:dyDescent="0.3"/>
    <row r="8692" customFormat="1" x14ac:dyDescent="0.3"/>
    <row r="8693" customFormat="1" x14ac:dyDescent="0.3"/>
    <row r="8694" customFormat="1" x14ac:dyDescent="0.3"/>
    <row r="8695" customFormat="1" x14ac:dyDescent="0.3"/>
    <row r="8696" customFormat="1" x14ac:dyDescent="0.3"/>
    <row r="8697" customFormat="1" x14ac:dyDescent="0.3"/>
    <row r="8698" customFormat="1" x14ac:dyDescent="0.3"/>
    <row r="8699" customFormat="1" x14ac:dyDescent="0.3"/>
    <row r="8700" customFormat="1" x14ac:dyDescent="0.3"/>
    <row r="8701" customFormat="1" x14ac:dyDescent="0.3"/>
    <row r="8702" customFormat="1" x14ac:dyDescent="0.3"/>
    <row r="8703" customFormat="1" x14ac:dyDescent="0.3"/>
    <row r="8704" customFormat="1" x14ac:dyDescent="0.3"/>
    <row r="8705" customFormat="1" x14ac:dyDescent="0.3"/>
    <row r="8706" customFormat="1" x14ac:dyDescent="0.3"/>
    <row r="8707" customFormat="1" x14ac:dyDescent="0.3"/>
    <row r="8708" customFormat="1" x14ac:dyDescent="0.3"/>
    <row r="8709" customFormat="1" x14ac:dyDescent="0.3"/>
    <row r="8710" customFormat="1" x14ac:dyDescent="0.3"/>
    <row r="8711" customFormat="1" x14ac:dyDescent="0.3"/>
    <row r="8712" customFormat="1" x14ac:dyDescent="0.3"/>
    <row r="8713" customFormat="1" x14ac:dyDescent="0.3"/>
    <row r="8714" customFormat="1" x14ac:dyDescent="0.3"/>
    <row r="8715" customFormat="1" x14ac:dyDescent="0.3"/>
    <row r="8716" customFormat="1" x14ac:dyDescent="0.3"/>
    <row r="8717" customFormat="1" x14ac:dyDescent="0.3"/>
    <row r="8718" customFormat="1" x14ac:dyDescent="0.3"/>
    <row r="8719" customFormat="1" x14ac:dyDescent="0.3"/>
    <row r="8720" customFormat="1" x14ac:dyDescent="0.3"/>
    <row r="8721" customFormat="1" x14ac:dyDescent="0.3"/>
    <row r="8722" customFormat="1" x14ac:dyDescent="0.3"/>
    <row r="8723" customFormat="1" x14ac:dyDescent="0.3"/>
    <row r="8724" customFormat="1" x14ac:dyDescent="0.3"/>
    <row r="8725" customFormat="1" x14ac:dyDescent="0.3"/>
    <row r="8726" customFormat="1" x14ac:dyDescent="0.3"/>
    <row r="8727" customFormat="1" x14ac:dyDescent="0.3"/>
    <row r="8728" customFormat="1" x14ac:dyDescent="0.3"/>
    <row r="8729" customFormat="1" x14ac:dyDescent="0.3"/>
    <row r="8730" customFormat="1" x14ac:dyDescent="0.3"/>
    <row r="8731" customFormat="1" x14ac:dyDescent="0.3"/>
    <row r="8732" customFormat="1" x14ac:dyDescent="0.3"/>
    <row r="8733" customFormat="1" x14ac:dyDescent="0.3"/>
    <row r="8734" customFormat="1" x14ac:dyDescent="0.3"/>
    <row r="8735" customFormat="1" x14ac:dyDescent="0.3"/>
    <row r="8736" customFormat="1" x14ac:dyDescent="0.3"/>
    <row r="8737" customFormat="1" x14ac:dyDescent="0.3"/>
    <row r="8738" customFormat="1" x14ac:dyDescent="0.3"/>
    <row r="8739" customFormat="1" x14ac:dyDescent="0.3"/>
    <row r="8740" customFormat="1" x14ac:dyDescent="0.3"/>
    <row r="8741" customFormat="1" x14ac:dyDescent="0.3"/>
    <row r="8742" customFormat="1" x14ac:dyDescent="0.3"/>
    <row r="8743" customFormat="1" x14ac:dyDescent="0.3"/>
    <row r="8744" customFormat="1" x14ac:dyDescent="0.3"/>
    <row r="8745" customFormat="1" x14ac:dyDescent="0.3"/>
    <row r="8746" customFormat="1" x14ac:dyDescent="0.3"/>
    <row r="8747" customFormat="1" x14ac:dyDescent="0.3"/>
    <row r="8748" customFormat="1" x14ac:dyDescent="0.3"/>
    <row r="8749" customFormat="1" x14ac:dyDescent="0.3"/>
    <row r="8750" customFormat="1" x14ac:dyDescent="0.3"/>
    <row r="8751" customFormat="1" x14ac:dyDescent="0.3"/>
    <row r="8752" customFormat="1" x14ac:dyDescent="0.3"/>
    <row r="8753" customFormat="1" x14ac:dyDescent="0.3"/>
    <row r="8754" customFormat="1" x14ac:dyDescent="0.3"/>
    <row r="8755" customFormat="1" x14ac:dyDescent="0.3"/>
    <row r="8756" customFormat="1" x14ac:dyDescent="0.3"/>
    <row r="8757" customFormat="1" x14ac:dyDescent="0.3"/>
    <row r="8758" customFormat="1" x14ac:dyDescent="0.3"/>
    <row r="8759" customFormat="1" x14ac:dyDescent="0.3"/>
    <row r="8760" customFormat="1" x14ac:dyDescent="0.3"/>
    <row r="8761" customFormat="1" x14ac:dyDescent="0.3"/>
    <row r="8762" customFormat="1" x14ac:dyDescent="0.3"/>
    <row r="8763" customFormat="1" x14ac:dyDescent="0.3"/>
    <row r="8764" customFormat="1" x14ac:dyDescent="0.3"/>
    <row r="8765" customFormat="1" x14ac:dyDescent="0.3"/>
    <row r="8766" customFormat="1" x14ac:dyDescent="0.3"/>
    <row r="8767" customFormat="1" x14ac:dyDescent="0.3"/>
    <row r="8768" customFormat="1" x14ac:dyDescent="0.3"/>
    <row r="8769" customFormat="1" x14ac:dyDescent="0.3"/>
    <row r="8770" customFormat="1" x14ac:dyDescent="0.3"/>
    <row r="8771" customFormat="1" x14ac:dyDescent="0.3"/>
    <row r="8772" customFormat="1" x14ac:dyDescent="0.3"/>
    <row r="8773" customFormat="1" x14ac:dyDescent="0.3"/>
    <row r="8774" customFormat="1" x14ac:dyDescent="0.3"/>
    <row r="8775" customFormat="1" x14ac:dyDescent="0.3"/>
    <row r="8776" customFormat="1" x14ac:dyDescent="0.3"/>
    <row r="8777" customFormat="1" x14ac:dyDescent="0.3"/>
    <row r="8778" customFormat="1" x14ac:dyDescent="0.3"/>
    <row r="8779" customFormat="1" x14ac:dyDescent="0.3"/>
    <row r="8780" customFormat="1" x14ac:dyDescent="0.3"/>
    <row r="8781" customFormat="1" x14ac:dyDescent="0.3"/>
    <row r="8782" customFormat="1" x14ac:dyDescent="0.3"/>
    <row r="8783" customFormat="1" x14ac:dyDescent="0.3"/>
    <row r="8784" customFormat="1" x14ac:dyDescent="0.3"/>
    <row r="8785" customFormat="1" x14ac:dyDescent="0.3"/>
    <row r="8786" customFormat="1" x14ac:dyDescent="0.3"/>
    <row r="8787" customFormat="1" x14ac:dyDescent="0.3"/>
    <row r="8788" customFormat="1" x14ac:dyDescent="0.3"/>
    <row r="8789" customFormat="1" x14ac:dyDescent="0.3"/>
    <row r="8790" customFormat="1" x14ac:dyDescent="0.3"/>
    <row r="8791" customFormat="1" x14ac:dyDescent="0.3"/>
    <row r="8792" customFormat="1" x14ac:dyDescent="0.3"/>
    <row r="8793" customFormat="1" x14ac:dyDescent="0.3"/>
    <row r="8794" customFormat="1" x14ac:dyDescent="0.3"/>
    <row r="8795" customFormat="1" x14ac:dyDescent="0.3"/>
    <row r="8796" customFormat="1" x14ac:dyDescent="0.3"/>
    <row r="8797" customFormat="1" x14ac:dyDescent="0.3"/>
    <row r="8798" customFormat="1" x14ac:dyDescent="0.3"/>
    <row r="8799" customFormat="1" x14ac:dyDescent="0.3"/>
    <row r="8800" customFormat="1" x14ac:dyDescent="0.3"/>
    <row r="8801" customFormat="1" x14ac:dyDescent="0.3"/>
    <row r="8802" customFormat="1" x14ac:dyDescent="0.3"/>
    <row r="8803" customFormat="1" x14ac:dyDescent="0.3"/>
    <row r="8804" customFormat="1" x14ac:dyDescent="0.3"/>
    <row r="8805" customFormat="1" x14ac:dyDescent="0.3"/>
    <row r="8806" customFormat="1" x14ac:dyDescent="0.3"/>
    <row r="8807" customFormat="1" x14ac:dyDescent="0.3"/>
    <row r="8808" customFormat="1" x14ac:dyDescent="0.3"/>
    <row r="8809" customFormat="1" x14ac:dyDescent="0.3"/>
    <row r="8810" customFormat="1" x14ac:dyDescent="0.3"/>
    <row r="8811" customFormat="1" x14ac:dyDescent="0.3"/>
    <row r="8812" customFormat="1" x14ac:dyDescent="0.3"/>
    <row r="8813" customFormat="1" x14ac:dyDescent="0.3"/>
    <row r="8814" customFormat="1" x14ac:dyDescent="0.3"/>
    <row r="8815" customFormat="1" x14ac:dyDescent="0.3"/>
    <row r="8816" customFormat="1" x14ac:dyDescent="0.3"/>
    <row r="8817" customFormat="1" x14ac:dyDescent="0.3"/>
    <row r="8818" customFormat="1" x14ac:dyDescent="0.3"/>
    <row r="8819" customFormat="1" x14ac:dyDescent="0.3"/>
    <row r="8820" customFormat="1" x14ac:dyDescent="0.3"/>
    <row r="8821" customFormat="1" x14ac:dyDescent="0.3"/>
    <row r="8822" customFormat="1" x14ac:dyDescent="0.3"/>
    <row r="8823" customFormat="1" x14ac:dyDescent="0.3"/>
    <row r="8824" customFormat="1" x14ac:dyDescent="0.3"/>
    <row r="8825" customFormat="1" x14ac:dyDescent="0.3"/>
    <row r="8826" customFormat="1" x14ac:dyDescent="0.3"/>
    <row r="8827" customFormat="1" x14ac:dyDescent="0.3"/>
    <row r="8828" customFormat="1" x14ac:dyDescent="0.3"/>
    <row r="8829" customFormat="1" x14ac:dyDescent="0.3"/>
    <row r="8830" customFormat="1" x14ac:dyDescent="0.3"/>
    <row r="8831" customFormat="1" x14ac:dyDescent="0.3"/>
    <row r="8832" customFormat="1" x14ac:dyDescent="0.3"/>
    <row r="8833" customFormat="1" x14ac:dyDescent="0.3"/>
    <row r="8834" customFormat="1" x14ac:dyDescent="0.3"/>
    <row r="8835" customFormat="1" x14ac:dyDescent="0.3"/>
    <row r="8836" customFormat="1" x14ac:dyDescent="0.3"/>
    <row r="8837" customFormat="1" x14ac:dyDescent="0.3"/>
    <row r="8838" customFormat="1" x14ac:dyDescent="0.3"/>
    <row r="8839" customFormat="1" x14ac:dyDescent="0.3"/>
    <row r="8840" customFormat="1" x14ac:dyDescent="0.3"/>
    <row r="8841" customFormat="1" x14ac:dyDescent="0.3"/>
    <row r="8842" customFormat="1" x14ac:dyDescent="0.3"/>
    <row r="8843" customFormat="1" x14ac:dyDescent="0.3"/>
    <row r="8844" customFormat="1" x14ac:dyDescent="0.3"/>
    <row r="8845" customFormat="1" x14ac:dyDescent="0.3"/>
    <row r="8846" customFormat="1" x14ac:dyDescent="0.3"/>
    <row r="8847" customFormat="1" x14ac:dyDescent="0.3"/>
    <row r="8848" customFormat="1" x14ac:dyDescent="0.3"/>
    <row r="8849" customFormat="1" x14ac:dyDescent="0.3"/>
    <row r="8850" customFormat="1" x14ac:dyDescent="0.3"/>
    <row r="8851" customFormat="1" x14ac:dyDescent="0.3"/>
    <row r="8852" customFormat="1" x14ac:dyDescent="0.3"/>
    <row r="8853" customFormat="1" x14ac:dyDescent="0.3"/>
    <row r="8854" customFormat="1" x14ac:dyDescent="0.3"/>
    <row r="8855" customFormat="1" x14ac:dyDescent="0.3"/>
    <row r="8856" customFormat="1" x14ac:dyDescent="0.3"/>
    <row r="8857" customFormat="1" x14ac:dyDescent="0.3"/>
    <row r="8858" customFormat="1" x14ac:dyDescent="0.3"/>
    <row r="8859" customFormat="1" x14ac:dyDescent="0.3"/>
    <row r="8860" customFormat="1" x14ac:dyDescent="0.3"/>
    <row r="8861" customFormat="1" x14ac:dyDescent="0.3"/>
    <row r="8862" customFormat="1" x14ac:dyDescent="0.3"/>
    <row r="8863" customFormat="1" x14ac:dyDescent="0.3"/>
    <row r="8864" customFormat="1" x14ac:dyDescent="0.3"/>
    <row r="8865" customFormat="1" x14ac:dyDescent="0.3"/>
    <row r="8866" customFormat="1" x14ac:dyDescent="0.3"/>
    <row r="8867" customFormat="1" x14ac:dyDescent="0.3"/>
    <row r="8868" customFormat="1" x14ac:dyDescent="0.3"/>
    <row r="8869" customFormat="1" x14ac:dyDescent="0.3"/>
    <row r="8870" customFormat="1" x14ac:dyDescent="0.3"/>
    <row r="8871" customFormat="1" x14ac:dyDescent="0.3"/>
    <row r="8872" customFormat="1" x14ac:dyDescent="0.3"/>
    <row r="8873" customFormat="1" x14ac:dyDescent="0.3"/>
    <row r="8874" customFormat="1" x14ac:dyDescent="0.3"/>
    <row r="8875" customFormat="1" x14ac:dyDescent="0.3"/>
    <row r="8876" customFormat="1" x14ac:dyDescent="0.3"/>
    <row r="8877" customFormat="1" x14ac:dyDescent="0.3"/>
    <row r="8878" customFormat="1" x14ac:dyDescent="0.3"/>
    <row r="8879" customFormat="1" x14ac:dyDescent="0.3"/>
    <row r="8880" customFormat="1" x14ac:dyDescent="0.3"/>
    <row r="8881" customFormat="1" x14ac:dyDescent="0.3"/>
    <row r="8882" customFormat="1" x14ac:dyDescent="0.3"/>
    <row r="8883" customFormat="1" x14ac:dyDescent="0.3"/>
    <row r="8884" customFormat="1" x14ac:dyDescent="0.3"/>
    <row r="8885" customFormat="1" x14ac:dyDescent="0.3"/>
    <row r="8886" customFormat="1" x14ac:dyDescent="0.3"/>
    <row r="8887" customFormat="1" x14ac:dyDescent="0.3"/>
    <row r="8888" customFormat="1" x14ac:dyDescent="0.3"/>
    <row r="8889" customFormat="1" x14ac:dyDescent="0.3"/>
    <row r="8890" customFormat="1" x14ac:dyDescent="0.3"/>
    <row r="8891" customFormat="1" x14ac:dyDescent="0.3"/>
    <row r="8892" customFormat="1" x14ac:dyDescent="0.3"/>
    <row r="8893" customFormat="1" x14ac:dyDescent="0.3"/>
    <row r="8894" customFormat="1" x14ac:dyDescent="0.3"/>
    <row r="8895" customFormat="1" x14ac:dyDescent="0.3"/>
    <row r="8896" customFormat="1" x14ac:dyDescent="0.3"/>
    <row r="8897" customFormat="1" x14ac:dyDescent="0.3"/>
    <row r="8898" customFormat="1" x14ac:dyDescent="0.3"/>
    <row r="8899" customFormat="1" x14ac:dyDescent="0.3"/>
    <row r="8900" customFormat="1" x14ac:dyDescent="0.3"/>
    <row r="8901" customFormat="1" x14ac:dyDescent="0.3"/>
    <row r="8902" customFormat="1" x14ac:dyDescent="0.3"/>
    <row r="8903" customFormat="1" x14ac:dyDescent="0.3"/>
    <row r="8904" customFormat="1" x14ac:dyDescent="0.3"/>
    <row r="8905" customFormat="1" x14ac:dyDescent="0.3"/>
    <row r="8906" customFormat="1" x14ac:dyDescent="0.3"/>
    <row r="8907" customFormat="1" x14ac:dyDescent="0.3"/>
    <row r="8908" customFormat="1" x14ac:dyDescent="0.3"/>
    <row r="8909" customFormat="1" x14ac:dyDescent="0.3"/>
    <row r="8910" customFormat="1" x14ac:dyDescent="0.3"/>
    <row r="8911" customFormat="1" x14ac:dyDescent="0.3"/>
    <row r="8912" customFormat="1" x14ac:dyDescent="0.3"/>
    <row r="8913" customFormat="1" x14ac:dyDescent="0.3"/>
    <row r="8914" customFormat="1" x14ac:dyDescent="0.3"/>
    <row r="8915" customFormat="1" x14ac:dyDescent="0.3"/>
    <row r="8916" customFormat="1" x14ac:dyDescent="0.3"/>
    <row r="8917" customFormat="1" x14ac:dyDescent="0.3"/>
    <row r="8918" customFormat="1" x14ac:dyDescent="0.3"/>
    <row r="8919" customFormat="1" x14ac:dyDescent="0.3"/>
    <row r="8920" customFormat="1" x14ac:dyDescent="0.3"/>
    <row r="8921" customFormat="1" x14ac:dyDescent="0.3"/>
    <row r="8922" customFormat="1" x14ac:dyDescent="0.3"/>
    <row r="8923" customFormat="1" x14ac:dyDescent="0.3"/>
    <row r="8924" customFormat="1" x14ac:dyDescent="0.3"/>
    <row r="8925" customFormat="1" x14ac:dyDescent="0.3"/>
    <row r="8926" customFormat="1" x14ac:dyDescent="0.3"/>
    <row r="8927" customFormat="1" x14ac:dyDescent="0.3"/>
    <row r="8928" customFormat="1" x14ac:dyDescent="0.3"/>
    <row r="8929" customFormat="1" x14ac:dyDescent="0.3"/>
    <row r="8930" customFormat="1" x14ac:dyDescent="0.3"/>
    <row r="8931" customFormat="1" x14ac:dyDescent="0.3"/>
    <row r="8932" customFormat="1" x14ac:dyDescent="0.3"/>
    <row r="8933" customFormat="1" x14ac:dyDescent="0.3"/>
    <row r="8934" customFormat="1" x14ac:dyDescent="0.3"/>
    <row r="8935" customFormat="1" x14ac:dyDescent="0.3"/>
    <row r="8936" customFormat="1" x14ac:dyDescent="0.3"/>
    <row r="8937" customFormat="1" x14ac:dyDescent="0.3"/>
    <row r="8938" customFormat="1" x14ac:dyDescent="0.3"/>
    <row r="8939" customFormat="1" x14ac:dyDescent="0.3"/>
    <row r="8940" customFormat="1" x14ac:dyDescent="0.3"/>
    <row r="8941" customFormat="1" x14ac:dyDescent="0.3"/>
    <row r="8942" customFormat="1" x14ac:dyDescent="0.3"/>
    <row r="8943" customFormat="1" x14ac:dyDescent="0.3"/>
    <row r="8944" customFormat="1" x14ac:dyDescent="0.3"/>
    <row r="8945" customFormat="1" x14ac:dyDescent="0.3"/>
    <row r="8946" customFormat="1" x14ac:dyDescent="0.3"/>
    <row r="8947" customFormat="1" x14ac:dyDescent="0.3"/>
    <row r="8948" customFormat="1" x14ac:dyDescent="0.3"/>
    <row r="8949" customFormat="1" x14ac:dyDescent="0.3"/>
    <row r="8950" customFormat="1" x14ac:dyDescent="0.3"/>
    <row r="8951" customFormat="1" x14ac:dyDescent="0.3"/>
    <row r="8952" customFormat="1" x14ac:dyDescent="0.3"/>
    <row r="8953" customFormat="1" x14ac:dyDescent="0.3"/>
    <row r="8954" customFormat="1" x14ac:dyDescent="0.3"/>
    <row r="8955" customFormat="1" x14ac:dyDescent="0.3"/>
    <row r="8956" customFormat="1" x14ac:dyDescent="0.3"/>
    <row r="8957" customFormat="1" x14ac:dyDescent="0.3"/>
    <row r="8958" customFormat="1" x14ac:dyDescent="0.3"/>
    <row r="8959" customFormat="1" x14ac:dyDescent="0.3"/>
    <row r="8960" customFormat="1" x14ac:dyDescent="0.3"/>
    <row r="8961" customFormat="1" x14ac:dyDescent="0.3"/>
    <row r="8962" customFormat="1" x14ac:dyDescent="0.3"/>
    <row r="8963" customFormat="1" x14ac:dyDescent="0.3"/>
    <row r="8964" customFormat="1" x14ac:dyDescent="0.3"/>
    <row r="8965" customFormat="1" x14ac:dyDescent="0.3"/>
    <row r="8966" customFormat="1" x14ac:dyDescent="0.3"/>
    <row r="8967" customFormat="1" x14ac:dyDescent="0.3"/>
    <row r="8968" customFormat="1" x14ac:dyDescent="0.3"/>
    <row r="8969" customFormat="1" x14ac:dyDescent="0.3"/>
    <row r="8970" customFormat="1" x14ac:dyDescent="0.3"/>
    <row r="8971" customFormat="1" x14ac:dyDescent="0.3"/>
    <row r="8972" customFormat="1" x14ac:dyDescent="0.3"/>
    <row r="8973" customFormat="1" x14ac:dyDescent="0.3"/>
    <row r="8974" customFormat="1" x14ac:dyDescent="0.3"/>
    <row r="8975" customFormat="1" x14ac:dyDescent="0.3"/>
    <row r="8976" customFormat="1" x14ac:dyDescent="0.3"/>
    <row r="8977" customFormat="1" x14ac:dyDescent="0.3"/>
    <row r="8978" customFormat="1" x14ac:dyDescent="0.3"/>
    <row r="8979" customFormat="1" x14ac:dyDescent="0.3"/>
    <row r="8980" customFormat="1" x14ac:dyDescent="0.3"/>
    <row r="8981" customFormat="1" x14ac:dyDescent="0.3"/>
    <row r="8982" customFormat="1" x14ac:dyDescent="0.3"/>
    <row r="8983" customFormat="1" x14ac:dyDescent="0.3"/>
    <row r="8984" customFormat="1" x14ac:dyDescent="0.3"/>
    <row r="8985" customFormat="1" x14ac:dyDescent="0.3"/>
    <row r="8986" customFormat="1" x14ac:dyDescent="0.3"/>
    <row r="8987" customFormat="1" x14ac:dyDescent="0.3"/>
    <row r="8988" customFormat="1" x14ac:dyDescent="0.3"/>
    <row r="8989" customFormat="1" x14ac:dyDescent="0.3"/>
    <row r="8990" customFormat="1" x14ac:dyDescent="0.3"/>
    <row r="8991" customFormat="1" x14ac:dyDescent="0.3"/>
    <row r="8992" customFormat="1" x14ac:dyDescent="0.3"/>
    <row r="8993" customFormat="1" x14ac:dyDescent="0.3"/>
    <row r="8994" customFormat="1" x14ac:dyDescent="0.3"/>
    <row r="8995" customFormat="1" x14ac:dyDescent="0.3"/>
    <row r="8996" customFormat="1" x14ac:dyDescent="0.3"/>
    <row r="8997" customFormat="1" x14ac:dyDescent="0.3"/>
    <row r="8998" customFormat="1" x14ac:dyDescent="0.3"/>
    <row r="8999" customFormat="1" x14ac:dyDescent="0.3"/>
    <row r="9000" customFormat="1" x14ac:dyDescent="0.3"/>
    <row r="9001" customFormat="1" x14ac:dyDescent="0.3"/>
    <row r="9002" customFormat="1" x14ac:dyDescent="0.3"/>
    <row r="9003" customFormat="1" x14ac:dyDescent="0.3"/>
    <row r="9004" customFormat="1" x14ac:dyDescent="0.3"/>
    <row r="9005" customFormat="1" x14ac:dyDescent="0.3"/>
    <row r="9006" customFormat="1" x14ac:dyDescent="0.3"/>
    <row r="9007" customFormat="1" x14ac:dyDescent="0.3"/>
    <row r="9008" customFormat="1" x14ac:dyDescent="0.3"/>
    <row r="9009" customFormat="1" x14ac:dyDescent="0.3"/>
    <row r="9010" customFormat="1" x14ac:dyDescent="0.3"/>
    <row r="9011" customFormat="1" x14ac:dyDescent="0.3"/>
    <row r="9012" customFormat="1" x14ac:dyDescent="0.3"/>
    <row r="9013" customFormat="1" x14ac:dyDescent="0.3"/>
    <row r="9014" customFormat="1" x14ac:dyDescent="0.3"/>
    <row r="9015" customFormat="1" x14ac:dyDescent="0.3"/>
    <row r="9016" customFormat="1" x14ac:dyDescent="0.3"/>
    <row r="9017" customFormat="1" x14ac:dyDescent="0.3"/>
    <row r="9018" customFormat="1" x14ac:dyDescent="0.3"/>
    <row r="9019" customFormat="1" x14ac:dyDescent="0.3"/>
    <row r="9020" customFormat="1" x14ac:dyDescent="0.3"/>
    <row r="9021" customFormat="1" x14ac:dyDescent="0.3"/>
    <row r="9022" customFormat="1" x14ac:dyDescent="0.3"/>
    <row r="9023" customFormat="1" x14ac:dyDescent="0.3"/>
    <row r="9024" customFormat="1" x14ac:dyDescent="0.3"/>
    <row r="9025" customFormat="1" x14ac:dyDescent="0.3"/>
    <row r="9026" customFormat="1" x14ac:dyDescent="0.3"/>
    <row r="9027" customFormat="1" x14ac:dyDescent="0.3"/>
    <row r="9028" customFormat="1" x14ac:dyDescent="0.3"/>
    <row r="9029" customFormat="1" x14ac:dyDescent="0.3"/>
    <row r="9030" customFormat="1" x14ac:dyDescent="0.3"/>
    <row r="9031" customFormat="1" x14ac:dyDescent="0.3"/>
    <row r="9032" customFormat="1" x14ac:dyDescent="0.3"/>
    <row r="9033" customFormat="1" x14ac:dyDescent="0.3"/>
    <row r="9034" customFormat="1" x14ac:dyDescent="0.3"/>
    <row r="9035" customFormat="1" x14ac:dyDescent="0.3"/>
    <row r="9036" customFormat="1" x14ac:dyDescent="0.3"/>
    <row r="9037" customFormat="1" x14ac:dyDescent="0.3"/>
    <row r="9038" customFormat="1" x14ac:dyDescent="0.3"/>
    <row r="9039" customFormat="1" x14ac:dyDescent="0.3"/>
    <row r="9040" customFormat="1" x14ac:dyDescent="0.3"/>
    <row r="9041" customFormat="1" x14ac:dyDescent="0.3"/>
    <row r="9042" customFormat="1" x14ac:dyDescent="0.3"/>
    <row r="9043" customFormat="1" x14ac:dyDescent="0.3"/>
    <row r="9044" customFormat="1" x14ac:dyDescent="0.3"/>
    <row r="9045" customFormat="1" x14ac:dyDescent="0.3"/>
    <row r="9046" customFormat="1" x14ac:dyDescent="0.3"/>
    <row r="9047" customFormat="1" x14ac:dyDescent="0.3"/>
    <row r="9048" customFormat="1" x14ac:dyDescent="0.3"/>
    <row r="9049" customFormat="1" x14ac:dyDescent="0.3"/>
    <row r="9050" customFormat="1" x14ac:dyDescent="0.3"/>
    <row r="9051" customFormat="1" x14ac:dyDescent="0.3"/>
    <row r="9052" customFormat="1" x14ac:dyDescent="0.3"/>
    <row r="9053" customFormat="1" x14ac:dyDescent="0.3"/>
    <row r="9054" customFormat="1" x14ac:dyDescent="0.3"/>
    <row r="9055" customFormat="1" x14ac:dyDescent="0.3"/>
    <row r="9056" customFormat="1" x14ac:dyDescent="0.3"/>
    <row r="9057" customFormat="1" x14ac:dyDescent="0.3"/>
    <row r="9058" customFormat="1" x14ac:dyDescent="0.3"/>
    <row r="9059" customFormat="1" x14ac:dyDescent="0.3"/>
    <row r="9060" customFormat="1" x14ac:dyDescent="0.3"/>
    <row r="9061" customFormat="1" x14ac:dyDescent="0.3"/>
    <row r="9062" customFormat="1" x14ac:dyDescent="0.3"/>
    <row r="9063" customFormat="1" x14ac:dyDescent="0.3"/>
    <row r="9064" customFormat="1" x14ac:dyDescent="0.3"/>
    <row r="9065" customFormat="1" x14ac:dyDescent="0.3"/>
    <row r="9066" customFormat="1" x14ac:dyDescent="0.3"/>
    <row r="9067" customFormat="1" x14ac:dyDescent="0.3"/>
    <row r="9068" customFormat="1" x14ac:dyDescent="0.3"/>
    <row r="9069" customFormat="1" x14ac:dyDescent="0.3"/>
    <row r="9070" customFormat="1" x14ac:dyDescent="0.3"/>
    <row r="9071" customFormat="1" x14ac:dyDescent="0.3"/>
    <row r="9072" customFormat="1" x14ac:dyDescent="0.3"/>
    <row r="9073" customFormat="1" x14ac:dyDescent="0.3"/>
    <row r="9074" customFormat="1" x14ac:dyDescent="0.3"/>
    <row r="9075" customFormat="1" x14ac:dyDescent="0.3"/>
    <row r="9076" customFormat="1" x14ac:dyDescent="0.3"/>
    <row r="9077" customFormat="1" x14ac:dyDescent="0.3"/>
    <row r="9078" customFormat="1" x14ac:dyDescent="0.3"/>
    <row r="9079" customFormat="1" x14ac:dyDescent="0.3"/>
    <row r="9080" customFormat="1" x14ac:dyDescent="0.3"/>
    <row r="9081" customFormat="1" x14ac:dyDescent="0.3"/>
    <row r="9082" customFormat="1" x14ac:dyDescent="0.3"/>
    <row r="9083" customFormat="1" x14ac:dyDescent="0.3"/>
    <row r="9084" customFormat="1" x14ac:dyDescent="0.3"/>
    <row r="9085" customFormat="1" x14ac:dyDescent="0.3"/>
    <row r="9086" customFormat="1" x14ac:dyDescent="0.3"/>
    <row r="9087" customFormat="1" x14ac:dyDescent="0.3"/>
    <row r="9088" customFormat="1" x14ac:dyDescent="0.3"/>
    <row r="9089" customFormat="1" x14ac:dyDescent="0.3"/>
    <row r="9090" customFormat="1" x14ac:dyDescent="0.3"/>
    <row r="9091" customFormat="1" x14ac:dyDescent="0.3"/>
    <row r="9092" customFormat="1" x14ac:dyDescent="0.3"/>
    <row r="9093" customFormat="1" x14ac:dyDescent="0.3"/>
    <row r="9094" customFormat="1" x14ac:dyDescent="0.3"/>
    <row r="9095" customFormat="1" x14ac:dyDescent="0.3"/>
    <row r="9096" customFormat="1" x14ac:dyDescent="0.3"/>
    <row r="9097" customFormat="1" x14ac:dyDescent="0.3"/>
    <row r="9098" customFormat="1" x14ac:dyDescent="0.3"/>
    <row r="9099" customFormat="1" x14ac:dyDescent="0.3"/>
    <row r="9100" customFormat="1" x14ac:dyDescent="0.3"/>
    <row r="9101" customFormat="1" x14ac:dyDescent="0.3"/>
    <row r="9102" customFormat="1" x14ac:dyDescent="0.3"/>
    <row r="9103" customFormat="1" x14ac:dyDescent="0.3"/>
    <row r="9104" customFormat="1" x14ac:dyDescent="0.3"/>
    <row r="9105" customFormat="1" x14ac:dyDescent="0.3"/>
    <row r="9106" customFormat="1" x14ac:dyDescent="0.3"/>
    <row r="9107" customFormat="1" x14ac:dyDescent="0.3"/>
    <row r="9108" customFormat="1" x14ac:dyDescent="0.3"/>
    <row r="9109" customFormat="1" x14ac:dyDescent="0.3"/>
    <row r="9110" customFormat="1" x14ac:dyDescent="0.3"/>
    <row r="9111" customFormat="1" x14ac:dyDescent="0.3"/>
    <row r="9112" customFormat="1" x14ac:dyDescent="0.3"/>
    <row r="9113" customFormat="1" x14ac:dyDescent="0.3"/>
    <row r="9114" customFormat="1" x14ac:dyDescent="0.3"/>
    <row r="9115" customFormat="1" x14ac:dyDescent="0.3"/>
    <row r="9116" customFormat="1" x14ac:dyDescent="0.3"/>
    <row r="9117" customFormat="1" x14ac:dyDescent="0.3"/>
    <row r="9118" customFormat="1" x14ac:dyDescent="0.3"/>
    <row r="9119" customFormat="1" x14ac:dyDescent="0.3"/>
    <row r="9120" customFormat="1" x14ac:dyDescent="0.3"/>
    <row r="9121" customFormat="1" x14ac:dyDescent="0.3"/>
    <row r="9122" customFormat="1" x14ac:dyDescent="0.3"/>
    <row r="9123" customFormat="1" x14ac:dyDescent="0.3"/>
    <row r="9124" customFormat="1" x14ac:dyDescent="0.3"/>
    <row r="9125" customFormat="1" x14ac:dyDescent="0.3"/>
    <row r="9126" customFormat="1" x14ac:dyDescent="0.3"/>
    <row r="9127" customFormat="1" x14ac:dyDescent="0.3"/>
    <row r="9128" customFormat="1" x14ac:dyDescent="0.3"/>
    <row r="9129" customFormat="1" x14ac:dyDescent="0.3"/>
    <row r="9130" customFormat="1" x14ac:dyDescent="0.3"/>
    <row r="9131" customFormat="1" x14ac:dyDescent="0.3"/>
    <row r="9132" customFormat="1" x14ac:dyDescent="0.3"/>
    <row r="9133" customFormat="1" x14ac:dyDescent="0.3"/>
    <row r="9134" customFormat="1" x14ac:dyDescent="0.3"/>
    <row r="9135" customFormat="1" x14ac:dyDescent="0.3"/>
    <row r="9136" customFormat="1" x14ac:dyDescent="0.3"/>
    <row r="9137" customFormat="1" x14ac:dyDescent="0.3"/>
    <row r="9138" customFormat="1" x14ac:dyDescent="0.3"/>
    <row r="9139" customFormat="1" x14ac:dyDescent="0.3"/>
    <row r="9140" customFormat="1" x14ac:dyDescent="0.3"/>
    <row r="9141" customFormat="1" x14ac:dyDescent="0.3"/>
    <row r="9142" customFormat="1" x14ac:dyDescent="0.3"/>
    <row r="9143" customFormat="1" x14ac:dyDescent="0.3"/>
    <row r="9144" customFormat="1" x14ac:dyDescent="0.3"/>
    <row r="9145" customFormat="1" x14ac:dyDescent="0.3"/>
    <row r="9146" customFormat="1" x14ac:dyDescent="0.3"/>
    <row r="9147" customFormat="1" x14ac:dyDescent="0.3"/>
    <row r="9148" customFormat="1" x14ac:dyDescent="0.3"/>
    <row r="9149" customFormat="1" x14ac:dyDescent="0.3"/>
    <row r="9150" customFormat="1" x14ac:dyDescent="0.3"/>
    <row r="9151" customFormat="1" x14ac:dyDescent="0.3"/>
    <row r="9152" customFormat="1" x14ac:dyDescent="0.3"/>
    <row r="9153" customFormat="1" x14ac:dyDescent="0.3"/>
    <row r="9154" customFormat="1" x14ac:dyDescent="0.3"/>
    <row r="9155" customFormat="1" x14ac:dyDescent="0.3"/>
    <row r="9156" customFormat="1" x14ac:dyDescent="0.3"/>
    <row r="9157" customFormat="1" x14ac:dyDescent="0.3"/>
    <row r="9158" customFormat="1" x14ac:dyDescent="0.3"/>
    <row r="9159" customFormat="1" x14ac:dyDescent="0.3"/>
    <row r="9160" customFormat="1" x14ac:dyDescent="0.3"/>
    <row r="9161" customFormat="1" x14ac:dyDescent="0.3"/>
    <row r="9162" customFormat="1" x14ac:dyDescent="0.3"/>
    <row r="9163" customFormat="1" x14ac:dyDescent="0.3"/>
    <row r="9164" customFormat="1" x14ac:dyDescent="0.3"/>
    <row r="9165" customFormat="1" x14ac:dyDescent="0.3"/>
    <row r="9166" customFormat="1" x14ac:dyDescent="0.3"/>
    <row r="9167" customFormat="1" x14ac:dyDescent="0.3"/>
    <row r="9168" customFormat="1" x14ac:dyDescent="0.3"/>
    <row r="9169" customFormat="1" x14ac:dyDescent="0.3"/>
    <row r="9170" customFormat="1" x14ac:dyDescent="0.3"/>
    <row r="9171" customFormat="1" x14ac:dyDescent="0.3"/>
    <row r="9172" customFormat="1" x14ac:dyDescent="0.3"/>
    <row r="9173" customFormat="1" x14ac:dyDescent="0.3"/>
    <row r="9174" customFormat="1" x14ac:dyDescent="0.3"/>
    <row r="9175" customFormat="1" x14ac:dyDescent="0.3"/>
    <row r="9176" customFormat="1" x14ac:dyDescent="0.3"/>
    <row r="9177" customFormat="1" x14ac:dyDescent="0.3"/>
    <row r="9178" customFormat="1" x14ac:dyDescent="0.3"/>
    <row r="9179" customFormat="1" x14ac:dyDescent="0.3"/>
    <row r="9180" customFormat="1" x14ac:dyDescent="0.3"/>
    <row r="9181" customFormat="1" x14ac:dyDescent="0.3"/>
    <row r="9182" customFormat="1" x14ac:dyDescent="0.3"/>
    <row r="9183" customFormat="1" x14ac:dyDescent="0.3"/>
    <row r="9184" customFormat="1" x14ac:dyDescent="0.3"/>
    <row r="9185" customFormat="1" x14ac:dyDescent="0.3"/>
    <row r="9186" customFormat="1" x14ac:dyDescent="0.3"/>
    <row r="9187" customFormat="1" x14ac:dyDescent="0.3"/>
    <row r="9188" customFormat="1" x14ac:dyDescent="0.3"/>
    <row r="9189" customFormat="1" x14ac:dyDescent="0.3"/>
    <row r="9190" customFormat="1" x14ac:dyDescent="0.3"/>
    <row r="9191" customFormat="1" x14ac:dyDescent="0.3"/>
    <row r="9192" customFormat="1" x14ac:dyDescent="0.3"/>
    <row r="9193" customFormat="1" x14ac:dyDescent="0.3"/>
    <row r="9194" customFormat="1" x14ac:dyDescent="0.3"/>
    <row r="9195" customFormat="1" x14ac:dyDescent="0.3"/>
    <row r="9196" customFormat="1" x14ac:dyDescent="0.3"/>
    <row r="9197" customFormat="1" x14ac:dyDescent="0.3"/>
    <row r="9198" customFormat="1" x14ac:dyDescent="0.3"/>
    <row r="9199" customFormat="1" x14ac:dyDescent="0.3"/>
    <row r="9200" customFormat="1" x14ac:dyDescent="0.3"/>
    <row r="9201" customFormat="1" x14ac:dyDescent="0.3"/>
    <row r="9202" customFormat="1" x14ac:dyDescent="0.3"/>
    <row r="9203" customFormat="1" x14ac:dyDescent="0.3"/>
    <row r="9204" customFormat="1" x14ac:dyDescent="0.3"/>
    <row r="9205" customFormat="1" x14ac:dyDescent="0.3"/>
    <row r="9206" customFormat="1" x14ac:dyDescent="0.3"/>
    <row r="9207" customFormat="1" x14ac:dyDescent="0.3"/>
    <row r="9208" customFormat="1" x14ac:dyDescent="0.3"/>
    <row r="9209" customFormat="1" x14ac:dyDescent="0.3"/>
    <row r="9210" customFormat="1" x14ac:dyDescent="0.3"/>
    <row r="9211" customFormat="1" x14ac:dyDescent="0.3"/>
    <row r="9212" customFormat="1" x14ac:dyDescent="0.3"/>
    <row r="9213" customFormat="1" x14ac:dyDescent="0.3"/>
    <row r="9214" customFormat="1" x14ac:dyDescent="0.3"/>
    <row r="9215" customFormat="1" x14ac:dyDescent="0.3"/>
    <row r="9216" customFormat="1" x14ac:dyDescent="0.3"/>
    <row r="9217" customFormat="1" x14ac:dyDescent="0.3"/>
    <row r="9218" customFormat="1" x14ac:dyDescent="0.3"/>
    <row r="9219" customFormat="1" x14ac:dyDescent="0.3"/>
    <row r="9220" customFormat="1" x14ac:dyDescent="0.3"/>
    <row r="9221" customFormat="1" x14ac:dyDescent="0.3"/>
    <row r="9222" customFormat="1" x14ac:dyDescent="0.3"/>
    <row r="9223" customFormat="1" x14ac:dyDescent="0.3"/>
    <row r="9224" customFormat="1" x14ac:dyDescent="0.3"/>
    <row r="9225" customFormat="1" x14ac:dyDescent="0.3"/>
    <row r="9226" customFormat="1" x14ac:dyDescent="0.3"/>
    <row r="9227" customFormat="1" x14ac:dyDescent="0.3"/>
    <row r="9228" customFormat="1" x14ac:dyDescent="0.3"/>
    <row r="9229" customFormat="1" x14ac:dyDescent="0.3"/>
    <row r="9230" customFormat="1" x14ac:dyDescent="0.3"/>
    <row r="9231" customFormat="1" x14ac:dyDescent="0.3"/>
    <row r="9232" customFormat="1" x14ac:dyDescent="0.3"/>
    <row r="9233" customFormat="1" x14ac:dyDescent="0.3"/>
    <row r="9234" customFormat="1" x14ac:dyDescent="0.3"/>
    <row r="9235" customFormat="1" x14ac:dyDescent="0.3"/>
    <row r="9236" customFormat="1" x14ac:dyDescent="0.3"/>
    <row r="9237" customFormat="1" x14ac:dyDescent="0.3"/>
    <row r="9238" customFormat="1" x14ac:dyDescent="0.3"/>
    <row r="9239" customFormat="1" x14ac:dyDescent="0.3"/>
    <row r="9240" customFormat="1" x14ac:dyDescent="0.3"/>
    <row r="9241" customFormat="1" x14ac:dyDescent="0.3"/>
    <row r="9242" customFormat="1" x14ac:dyDescent="0.3"/>
    <row r="9243" customFormat="1" x14ac:dyDescent="0.3"/>
    <row r="9244" customFormat="1" x14ac:dyDescent="0.3"/>
    <row r="9245" customFormat="1" x14ac:dyDescent="0.3"/>
    <row r="9246" customFormat="1" x14ac:dyDescent="0.3"/>
    <row r="9247" customFormat="1" x14ac:dyDescent="0.3"/>
    <row r="9248" customFormat="1" x14ac:dyDescent="0.3"/>
    <row r="9249" customFormat="1" x14ac:dyDescent="0.3"/>
    <row r="9250" customFormat="1" x14ac:dyDescent="0.3"/>
    <row r="9251" customFormat="1" x14ac:dyDescent="0.3"/>
    <row r="9252" customFormat="1" x14ac:dyDescent="0.3"/>
    <row r="9253" customFormat="1" x14ac:dyDescent="0.3"/>
    <row r="9254" customFormat="1" x14ac:dyDescent="0.3"/>
    <row r="9255" customFormat="1" x14ac:dyDescent="0.3"/>
    <row r="9256" customFormat="1" x14ac:dyDescent="0.3"/>
    <row r="9257" customFormat="1" x14ac:dyDescent="0.3"/>
    <row r="9258" customFormat="1" x14ac:dyDescent="0.3"/>
    <row r="9259" customFormat="1" x14ac:dyDescent="0.3"/>
    <row r="9260" customFormat="1" x14ac:dyDescent="0.3"/>
    <row r="9261" customFormat="1" x14ac:dyDescent="0.3"/>
    <row r="9262" customFormat="1" x14ac:dyDescent="0.3"/>
    <row r="9263" customFormat="1" x14ac:dyDescent="0.3"/>
    <row r="9264" customFormat="1" x14ac:dyDescent="0.3"/>
    <row r="9265" customFormat="1" x14ac:dyDescent="0.3"/>
    <row r="9266" customFormat="1" x14ac:dyDescent="0.3"/>
    <row r="9267" customFormat="1" x14ac:dyDescent="0.3"/>
    <row r="9268" customFormat="1" x14ac:dyDescent="0.3"/>
    <row r="9269" customFormat="1" x14ac:dyDescent="0.3"/>
    <row r="9270" customFormat="1" x14ac:dyDescent="0.3"/>
    <row r="9271" customFormat="1" x14ac:dyDescent="0.3"/>
    <row r="9272" customFormat="1" x14ac:dyDescent="0.3"/>
    <row r="9273" customFormat="1" x14ac:dyDescent="0.3"/>
    <row r="9274" customFormat="1" x14ac:dyDescent="0.3"/>
    <row r="9275" customFormat="1" x14ac:dyDescent="0.3"/>
    <row r="9276" customFormat="1" x14ac:dyDescent="0.3"/>
    <row r="9277" customFormat="1" x14ac:dyDescent="0.3"/>
    <row r="9278" customFormat="1" x14ac:dyDescent="0.3"/>
    <row r="9279" customFormat="1" x14ac:dyDescent="0.3"/>
    <row r="9280" customFormat="1" x14ac:dyDescent="0.3"/>
    <row r="9281" customFormat="1" x14ac:dyDescent="0.3"/>
    <row r="9282" customFormat="1" x14ac:dyDescent="0.3"/>
    <row r="9283" customFormat="1" x14ac:dyDescent="0.3"/>
    <row r="9284" customFormat="1" x14ac:dyDescent="0.3"/>
    <row r="9285" customFormat="1" x14ac:dyDescent="0.3"/>
    <row r="9286" customFormat="1" x14ac:dyDescent="0.3"/>
    <row r="9287" customFormat="1" x14ac:dyDescent="0.3"/>
    <row r="9288" customFormat="1" x14ac:dyDescent="0.3"/>
    <row r="9289" customFormat="1" x14ac:dyDescent="0.3"/>
    <row r="9290" customFormat="1" x14ac:dyDescent="0.3"/>
    <row r="9291" customFormat="1" x14ac:dyDescent="0.3"/>
    <row r="9292" customFormat="1" x14ac:dyDescent="0.3"/>
    <row r="9293" customFormat="1" x14ac:dyDescent="0.3"/>
    <row r="9294" customFormat="1" x14ac:dyDescent="0.3"/>
    <row r="9295" customFormat="1" x14ac:dyDescent="0.3"/>
    <row r="9296" customFormat="1" x14ac:dyDescent="0.3"/>
    <row r="9297" customFormat="1" x14ac:dyDescent="0.3"/>
    <row r="9298" customFormat="1" x14ac:dyDescent="0.3"/>
    <row r="9299" customFormat="1" x14ac:dyDescent="0.3"/>
    <row r="9300" customFormat="1" x14ac:dyDescent="0.3"/>
    <row r="9301" customFormat="1" x14ac:dyDescent="0.3"/>
    <row r="9302" customFormat="1" x14ac:dyDescent="0.3"/>
    <row r="9303" customFormat="1" x14ac:dyDescent="0.3"/>
    <row r="9304" customFormat="1" x14ac:dyDescent="0.3"/>
    <row r="9305" customFormat="1" x14ac:dyDescent="0.3"/>
    <row r="9306" customFormat="1" x14ac:dyDescent="0.3"/>
    <row r="9307" customFormat="1" x14ac:dyDescent="0.3"/>
    <row r="9308" customFormat="1" x14ac:dyDescent="0.3"/>
    <row r="9309" customFormat="1" x14ac:dyDescent="0.3"/>
    <row r="9310" customFormat="1" x14ac:dyDescent="0.3"/>
    <row r="9311" customFormat="1" x14ac:dyDescent="0.3"/>
    <row r="9312" customFormat="1" x14ac:dyDescent="0.3"/>
    <row r="9313" customFormat="1" x14ac:dyDescent="0.3"/>
    <row r="9314" customFormat="1" x14ac:dyDescent="0.3"/>
    <row r="9315" customFormat="1" x14ac:dyDescent="0.3"/>
    <row r="9316" customFormat="1" x14ac:dyDescent="0.3"/>
    <row r="9317" customFormat="1" x14ac:dyDescent="0.3"/>
    <row r="9318" customFormat="1" x14ac:dyDescent="0.3"/>
    <row r="9319" customFormat="1" x14ac:dyDescent="0.3"/>
    <row r="9320" customFormat="1" x14ac:dyDescent="0.3"/>
    <row r="9321" customFormat="1" x14ac:dyDescent="0.3"/>
    <row r="9322" customFormat="1" x14ac:dyDescent="0.3"/>
    <row r="9323" customFormat="1" x14ac:dyDescent="0.3"/>
    <row r="9324" customFormat="1" x14ac:dyDescent="0.3"/>
    <row r="9325" customFormat="1" x14ac:dyDescent="0.3"/>
    <row r="9326" customFormat="1" x14ac:dyDescent="0.3"/>
    <row r="9327" customFormat="1" x14ac:dyDescent="0.3"/>
    <row r="9328" customFormat="1" x14ac:dyDescent="0.3"/>
    <row r="9329" customFormat="1" x14ac:dyDescent="0.3"/>
    <row r="9330" customFormat="1" x14ac:dyDescent="0.3"/>
    <row r="9331" customFormat="1" x14ac:dyDescent="0.3"/>
    <row r="9332" customFormat="1" x14ac:dyDescent="0.3"/>
    <row r="9333" customFormat="1" x14ac:dyDescent="0.3"/>
    <row r="9334" customFormat="1" x14ac:dyDescent="0.3"/>
    <row r="9335" customFormat="1" x14ac:dyDescent="0.3"/>
    <row r="9336" customFormat="1" x14ac:dyDescent="0.3"/>
    <row r="9337" customFormat="1" x14ac:dyDescent="0.3"/>
    <row r="9338" customFormat="1" x14ac:dyDescent="0.3"/>
    <row r="9339" customFormat="1" x14ac:dyDescent="0.3"/>
    <row r="9340" customFormat="1" x14ac:dyDescent="0.3"/>
    <row r="9341" customFormat="1" x14ac:dyDescent="0.3"/>
    <row r="9342" customFormat="1" x14ac:dyDescent="0.3"/>
    <row r="9343" customFormat="1" x14ac:dyDescent="0.3"/>
    <row r="9344" customFormat="1" x14ac:dyDescent="0.3"/>
    <row r="9345" customFormat="1" x14ac:dyDescent="0.3"/>
    <row r="9346" customFormat="1" x14ac:dyDescent="0.3"/>
    <row r="9347" customFormat="1" x14ac:dyDescent="0.3"/>
    <row r="9348" customFormat="1" x14ac:dyDescent="0.3"/>
    <row r="9349" customFormat="1" x14ac:dyDescent="0.3"/>
    <row r="9350" customFormat="1" x14ac:dyDescent="0.3"/>
    <row r="9351" customFormat="1" x14ac:dyDescent="0.3"/>
    <row r="9352" customFormat="1" x14ac:dyDescent="0.3"/>
    <row r="9353" customFormat="1" x14ac:dyDescent="0.3"/>
    <row r="9354" customFormat="1" x14ac:dyDescent="0.3"/>
    <row r="9355" customFormat="1" x14ac:dyDescent="0.3"/>
    <row r="9356" customFormat="1" x14ac:dyDescent="0.3"/>
    <row r="9357" customFormat="1" x14ac:dyDescent="0.3"/>
    <row r="9358" customFormat="1" x14ac:dyDescent="0.3"/>
    <row r="9359" customFormat="1" x14ac:dyDescent="0.3"/>
    <row r="9360" customFormat="1" x14ac:dyDescent="0.3"/>
    <row r="9361" customFormat="1" x14ac:dyDescent="0.3"/>
    <row r="9362" customFormat="1" x14ac:dyDescent="0.3"/>
    <row r="9363" customFormat="1" x14ac:dyDescent="0.3"/>
    <row r="9364" customFormat="1" x14ac:dyDescent="0.3"/>
    <row r="9365" customFormat="1" x14ac:dyDescent="0.3"/>
    <row r="9366" customFormat="1" x14ac:dyDescent="0.3"/>
    <row r="9367" customFormat="1" x14ac:dyDescent="0.3"/>
    <row r="9368" customFormat="1" x14ac:dyDescent="0.3"/>
    <row r="9369" customFormat="1" x14ac:dyDescent="0.3"/>
    <row r="9370" customFormat="1" x14ac:dyDescent="0.3"/>
    <row r="9371" customFormat="1" x14ac:dyDescent="0.3"/>
    <row r="9372" customFormat="1" x14ac:dyDescent="0.3"/>
    <row r="9373" customFormat="1" x14ac:dyDescent="0.3"/>
    <row r="9374" customFormat="1" x14ac:dyDescent="0.3"/>
    <row r="9375" customFormat="1" x14ac:dyDescent="0.3"/>
    <row r="9376" customFormat="1" x14ac:dyDescent="0.3"/>
    <row r="9377" customFormat="1" x14ac:dyDescent="0.3"/>
    <row r="9378" customFormat="1" x14ac:dyDescent="0.3"/>
    <row r="9379" customFormat="1" x14ac:dyDescent="0.3"/>
    <row r="9380" customFormat="1" x14ac:dyDescent="0.3"/>
    <row r="9381" customFormat="1" x14ac:dyDescent="0.3"/>
    <row r="9382" customFormat="1" x14ac:dyDescent="0.3"/>
    <row r="9383" customFormat="1" x14ac:dyDescent="0.3"/>
    <row r="9384" customFormat="1" x14ac:dyDescent="0.3"/>
    <row r="9385" customFormat="1" x14ac:dyDescent="0.3"/>
    <row r="9386" customFormat="1" x14ac:dyDescent="0.3"/>
    <row r="9387" customFormat="1" x14ac:dyDescent="0.3"/>
    <row r="9388" customFormat="1" x14ac:dyDescent="0.3"/>
    <row r="9389" customFormat="1" x14ac:dyDescent="0.3"/>
    <row r="9390" customFormat="1" x14ac:dyDescent="0.3"/>
    <row r="9391" customFormat="1" x14ac:dyDescent="0.3"/>
    <row r="9392" customFormat="1" x14ac:dyDescent="0.3"/>
    <row r="9393" customFormat="1" x14ac:dyDescent="0.3"/>
    <row r="9394" customFormat="1" x14ac:dyDescent="0.3"/>
    <row r="9395" customFormat="1" x14ac:dyDescent="0.3"/>
    <row r="9396" customFormat="1" x14ac:dyDescent="0.3"/>
    <row r="9397" customFormat="1" x14ac:dyDescent="0.3"/>
    <row r="9398" customFormat="1" x14ac:dyDescent="0.3"/>
    <row r="9399" customFormat="1" x14ac:dyDescent="0.3"/>
    <row r="9400" customFormat="1" x14ac:dyDescent="0.3"/>
    <row r="9401" customFormat="1" x14ac:dyDescent="0.3"/>
    <row r="9402" customFormat="1" x14ac:dyDescent="0.3"/>
    <row r="9403" customFormat="1" x14ac:dyDescent="0.3"/>
    <row r="9404" customFormat="1" x14ac:dyDescent="0.3"/>
    <row r="9405" customFormat="1" x14ac:dyDescent="0.3"/>
    <row r="9406" customFormat="1" x14ac:dyDescent="0.3"/>
    <row r="9407" customFormat="1" x14ac:dyDescent="0.3"/>
    <row r="9408" customFormat="1" x14ac:dyDescent="0.3"/>
    <row r="9409" customFormat="1" x14ac:dyDescent="0.3"/>
    <row r="9410" customFormat="1" x14ac:dyDescent="0.3"/>
    <row r="9411" customFormat="1" x14ac:dyDescent="0.3"/>
    <row r="9412" customFormat="1" x14ac:dyDescent="0.3"/>
    <row r="9413" customFormat="1" x14ac:dyDescent="0.3"/>
    <row r="9414" customFormat="1" x14ac:dyDescent="0.3"/>
    <row r="9415" customFormat="1" x14ac:dyDescent="0.3"/>
    <row r="9416" customFormat="1" x14ac:dyDescent="0.3"/>
    <row r="9417" customFormat="1" x14ac:dyDescent="0.3"/>
    <row r="9418" customFormat="1" x14ac:dyDescent="0.3"/>
    <row r="9419" customFormat="1" x14ac:dyDescent="0.3"/>
    <row r="9420" customFormat="1" x14ac:dyDescent="0.3"/>
    <row r="9421" customFormat="1" x14ac:dyDescent="0.3"/>
    <row r="9422" customFormat="1" x14ac:dyDescent="0.3"/>
    <row r="9423" customFormat="1" x14ac:dyDescent="0.3"/>
    <row r="9424" customFormat="1" x14ac:dyDescent="0.3"/>
    <row r="9425" customFormat="1" x14ac:dyDescent="0.3"/>
    <row r="9426" customFormat="1" x14ac:dyDescent="0.3"/>
    <row r="9427" customFormat="1" x14ac:dyDescent="0.3"/>
    <row r="9428" customFormat="1" x14ac:dyDescent="0.3"/>
    <row r="9429" customFormat="1" x14ac:dyDescent="0.3"/>
    <row r="9430" customFormat="1" x14ac:dyDescent="0.3"/>
    <row r="9431" customFormat="1" x14ac:dyDescent="0.3"/>
    <row r="9432" customFormat="1" x14ac:dyDescent="0.3"/>
    <row r="9433" customFormat="1" x14ac:dyDescent="0.3"/>
    <row r="9434" customFormat="1" x14ac:dyDescent="0.3"/>
    <row r="9435" customFormat="1" x14ac:dyDescent="0.3"/>
    <row r="9436" customFormat="1" x14ac:dyDescent="0.3"/>
    <row r="9437" customFormat="1" x14ac:dyDescent="0.3"/>
    <row r="9438" customFormat="1" x14ac:dyDescent="0.3"/>
    <row r="9439" customFormat="1" x14ac:dyDescent="0.3"/>
    <row r="9440" customFormat="1" x14ac:dyDescent="0.3"/>
    <row r="9441" customFormat="1" x14ac:dyDescent="0.3"/>
    <row r="9442" customFormat="1" x14ac:dyDescent="0.3"/>
    <row r="9443" customFormat="1" x14ac:dyDescent="0.3"/>
    <row r="9444" customFormat="1" x14ac:dyDescent="0.3"/>
    <row r="9445" customFormat="1" x14ac:dyDescent="0.3"/>
    <row r="9446" customFormat="1" x14ac:dyDescent="0.3"/>
    <row r="9447" customFormat="1" x14ac:dyDescent="0.3"/>
    <row r="9448" customFormat="1" x14ac:dyDescent="0.3"/>
    <row r="9449" customFormat="1" x14ac:dyDescent="0.3"/>
    <row r="9450" customFormat="1" x14ac:dyDescent="0.3"/>
    <row r="9451" customFormat="1" x14ac:dyDescent="0.3"/>
    <row r="9452" customFormat="1" x14ac:dyDescent="0.3"/>
    <row r="9453" customFormat="1" x14ac:dyDescent="0.3"/>
    <row r="9454" customFormat="1" x14ac:dyDescent="0.3"/>
    <row r="9455" customFormat="1" x14ac:dyDescent="0.3"/>
    <row r="9456" customFormat="1" x14ac:dyDescent="0.3"/>
    <row r="9457" customFormat="1" x14ac:dyDescent="0.3"/>
    <row r="9458" customFormat="1" x14ac:dyDescent="0.3"/>
    <row r="9459" customFormat="1" x14ac:dyDescent="0.3"/>
    <row r="9460" customFormat="1" x14ac:dyDescent="0.3"/>
    <row r="9461" customFormat="1" x14ac:dyDescent="0.3"/>
    <row r="9462" customFormat="1" x14ac:dyDescent="0.3"/>
    <row r="9463" customFormat="1" x14ac:dyDescent="0.3"/>
    <row r="9464" customFormat="1" x14ac:dyDescent="0.3"/>
    <row r="9465" customFormat="1" x14ac:dyDescent="0.3"/>
    <row r="9466" customFormat="1" x14ac:dyDescent="0.3"/>
    <row r="9467" customFormat="1" x14ac:dyDescent="0.3"/>
    <row r="9468" customFormat="1" x14ac:dyDescent="0.3"/>
    <row r="9469" customFormat="1" x14ac:dyDescent="0.3"/>
    <row r="9470" customFormat="1" x14ac:dyDescent="0.3"/>
    <row r="9471" customFormat="1" x14ac:dyDescent="0.3"/>
    <row r="9472" customFormat="1" x14ac:dyDescent="0.3"/>
    <row r="9473" customFormat="1" x14ac:dyDescent="0.3"/>
    <row r="9474" customFormat="1" x14ac:dyDescent="0.3"/>
    <row r="9475" customFormat="1" x14ac:dyDescent="0.3"/>
    <row r="9476" customFormat="1" x14ac:dyDescent="0.3"/>
    <row r="9477" customFormat="1" x14ac:dyDescent="0.3"/>
    <row r="9478" customFormat="1" x14ac:dyDescent="0.3"/>
    <row r="9479" customFormat="1" x14ac:dyDescent="0.3"/>
    <row r="9480" customFormat="1" x14ac:dyDescent="0.3"/>
    <row r="9481" customFormat="1" x14ac:dyDescent="0.3"/>
    <row r="9482" customFormat="1" x14ac:dyDescent="0.3"/>
    <row r="9483" customFormat="1" x14ac:dyDescent="0.3"/>
    <row r="9484" customFormat="1" x14ac:dyDescent="0.3"/>
    <row r="9485" customFormat="1" x14ac:dyDescent="0.3"/>
    <row r="9486" customFormat="1" x14ac:dyDescent="0.3"/>
    <row r="9487" customFormat="1" x14ac:dyDescent="0.3"/>
    <row r="9488" customFormat="1" x14ac:dyDescent="0.3"/>
    <row r="9489" customFormat="1" x14ac:dyDescent="0.3"/>
    <row r="9490" customFormat="1" x14ac:dyDescent="0.3"/>
    <row r="9491" customFormat="1" x14ac:dyDescent="0.3"/>
    <row r="9492" customFormat="1" x14ac:dyDescent="0.3"/>
    <row r="9493" customFormat="1" x14ac:dyDescent="0.3"/>
    <row r="9494" customFormat="1" x14ac:dyDescent="0.3"/>
    <row r="9495" customFormat="1" x14ac:dyDescent="0.3"/>
    <row r="9496" customFormat="1" x14ac:dyDescent="0.3"/>
    <row r="9497" customFormat="1" x14ac:dyDescent="0.3"/>
    <row r="9498" customFormat="1" x14ac:dyDescent="0.3"/>
    <row r="9499" customFormat="1" x14ac:dyDescent="0.3"/>
    <row r="9500" customFormat="1" x14ac:dyDescent="0.3"/>
    <row r="9501" customFormat="1" x14ac:dyDescent="0.3"/>
    <row r="9502" customFormat="1" x14ac:dyDescent="0.3"/>
    <row r="9503" customFormat="1" x14ac:dyDescent="0.3"/>
    <row r="9504" customFormat="1" x14ac:dyDescent="0.3"/>
    <row r="9505" customFormat="1" x14ac:dyDescent="0.3"/>
    <row r="9506" customFormat="1" x14ac:dyDescent="0.3"/>
    <row r="9507" customFormat="1" x14ac:dyDescent="0.3"/>
    <row r="9508" customFormat="1" x14ac:dyDescent="0.3"/>
    <row r="9509" customFormat="1" x14ac:dyDescent="0.3"/>
    <row r="9510" customFormat="1" x14ac:dyDescent="0.3"/>
    <row r="9511" customFormat="1" x14ac:dyDescent="0.3"/>
    <row r="9512" customFormat="1" x14ac:dyDescent="0.3"/>
    <row r="9513" customFormat="1" x14ac:dyDescent="0.3"/>
    <row r="9514" customFormat="1" x14ac:dyDescent="0.3"/>
    <row r="9515" customFormat="1" x14ac:dyDescent="0.3"/>
    <row r="9516" customFormat="1" x14ac:dyDescent="0.3"/>
    <row r="9517" customFormat="1" x14ac:dyDescent="0.3"/>
    <row r="9518" customFormat="1" x14ac:dyDescent="0.3"/>
    <row r="9519" customFormat="1" x14ac:dyDescent="0.3"/>
    <row r="9520" customFormat="1" x14ac:dyDescent="0.3"/>
    <row r="9521" customFormat="1" x14ac:dyDescent="0.3"/>
    <row r="9522" customFormat="1" x14ac:dyDescent="0.3"/>
    <row r="9523" customFormat="1" x14ac:dyDescent="0.3"/>
    <row r="9524" customFormat="1" x14ac:dyDescent="0.3"/>
    <row r="9525" customFormat="1" x14ac:dyDescent="0.3"/>
    <row r="9526" customFormat="1" x14ac:dyDescent="0.3"/>
    <row r="9527" customFormat="1" x14ac:dyDescent="0.3"/>
    <row r="9528" customFormat="1" x14ac:dyDescent="0.3"/>
    <row r="9529" customFormat="1" x14ac:dyDescent="0.3"/>
    <row r="9530" customFormat="1" x14ac:dyDescent="0.3"/>
    <row r="9531" customFormat="1" x14ac:dyDescent="0.3"/>
    <row r="9532" customFormat="1" x14ac:dyDescent="0.3"/>
    <row r="9533" customFormat="1" x14ac:dyDescent="0.3"/>
    <row r="9534" customFormat="1" x14ac:dyDescent="0.3"/>
    <row r="9535" customFormat="1" x14ac:dyDescent="0.3"/>
    <row r="9536" customFormat="1" x14ac:dyDescent="0.3"/>
    <row r="9537" customFormat="1" x14ac:dyDescent="0.3"/>
    <row r="9538" customFormat="1" x14ac:dyDescent="0.3"/>
    <row r="9539" customFormat="1" x14ac:dyDescent="0.3"/>
    <row r="9540" customFormat="1" x14ac:dyDescent="0.3"/>
    <row r="9541" customFormat="1" x14ac:dyDescent="0.3"/>
    <row r="9542" customFormat="1" x14ac:dyDescent="0.3"/>
    <row r="9543" customFormat="1" x14ac:dyDescent="0.3"/>
    <row r="9544" customFormat="1" x14ac:dyDescent="0.3"/>
    <row r="9545" customFormat="1" x14ac:dyDescent="0.3"/>
    <row r="9546" customFormat="1" x14ac:dyDescent="0.3"/>
    <row r="9547" customFormat="1" x14ac:dyDescent="0.3"/>
    <row r="9548" customFormat="1" x14ac:dyDescent="0.3"/>
    <row r="9549" customFormat="1" x14ac:dyDescent="0.3"/>
    <row r="9550" customFormat="1" x14ac:dyDescent="0.3"/>
    <row r="9551" customFormat="1" x14ac:dyDescent="0.3"/>
    <row r="9552" customFormat="1" x14ac:dyDescent="0.3"/>
    <row r="9553" customFormat="1" x14ac:dyDescent="0.3"/>
    <row r="9554" customFormat="1" x14ac:dyDescent="0.3"/>
    <row r="9555" customFormat="1" x14ac:dyDescent="0.3"/>
    <row r="9556" customFormat="1" x14ac:dyDescent="0.3"/>
    <row r="9557" customFormat="1" x14ac:dyDescent="0.3"/>
    <row r="9558" customFormat="1" x14ac:dyDescent="0.3"/>
    <row r="9559" customFormat="1" x14ac:dyDescent="0.3"/>
    <row r="9560" customFormat="1" x14ac:dyDescent="0.3"/>
    <row r="9561" customFormat="1" x14ac:dyDescent="0.3"/>
    <row r="9562" customFormat="1" x14ac:dyDescent="0.3"/>
    <row r="9563" customFormat="1" x14ac:dyDescent="0.3"/>
    <row r="9564" customFormat="1" x14ac:dyDescent="0.3"/>
    <row r="9565" customFormat="1" x14ac:dyDescent="0.3"/>
    <row r="9566" customFormat="1" x14ac:dyDescent="0.3"/>
    <row r="9567" customFormat="1" x14ac:dyDescent="0.3"/>
    <row r="9568" customFormat="1" x14ac:dyDescent="0.3"/>
    <row r="9569" customFormat="1" x14ac:dyDescent="0.3"/>
    <row r="9570" customFormat="1" x14ac:dyDescent="0.3"/>
    <row r="9571" customFormat="1" x14ac:dyDescent="0.3"/>
    <row r="9572" customFormat="1" x14ac:dyDescent="0.3"/>
    <row r="9573" customFormat="1" x14ac:dyDescent="0.3"/>
    <row r="9574" customFormat="1" x14ac:dyDescent="0.3"/>
    <row r="9575" customFormat="1" x14ac:dyDescent="0.3"/>
    <row r="9576" customFormat="1" x14ac:dyDescent="0.3"/>
    <row r="9577" customFormat="1" x14ac:dyDescent="0.3"/>
    <row r="9578" customFormat="1" x14ac:dyDescent="0.3"/>
    <row r="9579" customFormat="1" x14ac:dyDescent="0.3"/>
    <row r="9580" customFormat="1" x14ac:dyDescent="0.3"/>
    <row r="9581" customFormat="1" x14ac:dyDescent="0.3"/>
    <row r="9582" customFormat="1" x14ac:dyDescent="0.3"/>
    <row r="9583" customFormat="1" x14ac:dyDescent="0.3"/>
    <row r="9584" customFormat="1" x14ac:dyDescent="0.3"/>
    <row r="9585" customFormat="1" x14ac:dyDescent="0.3"/>
    <row r="9586" customFormat="1" x14ac:dyDescent="0.3"/>
    <row r="9587" customFormat="1" x14ac:dyDescent="0.3"/>
    <row r="9588" customFormat="1" x14ac:dyDescent="0.3"/>
    <row r="9589" customFormat="1" x14ac:dyDescent="0.3"/>
    <row r="9590" customFormat="1" x14ac:dyDescent="0.3"/>
    <row r="9591" customFormat="1" x14ac:dyDescent="0.3"/>
    <row r="9592" customFormat="1" x14ac:dyDescent="0.3"/>
    <row r="9593" customFormat="1" x14ac:dyDescent="0.3"/>
    <row r="9594" customFormat="1" x14ac:dyDescent="0.3"/>
    <row r="9595" customFormat="1" x14ac:dyDescent="0.3"/>
    <row r="9596" customFormat="1" x14ac:dyDescent="0.3"/>
    <row r="9597" customFormat="1" x14ac:dyDescent="0.3"/>
    <row r="9598" customFormat="1" x14ac:dyDescent="0.3"/>
    <row r="9599" customFormat="1" x14ac:dyDescent="0.3"/>
    <row r="9600" customFormat="1" x14ac:dyDescent="0.3"/>
    <row r="9601" customFormat="1" x14ac:dyDescent="0.3"/>
    <row r="9602" customFormat="1" x14ac:dyDescent="0.3"/>
    <row r="9603" customFormat="1" x14ac:dyDescent="0.3"/>
    <row r="9604" customFormat="1" x14ac:dyDescent="0.3"/>
    <row r="9605" customFormat="1" x14ac:dyDescent="0.3"/>
    <row r="9606" customFormat="1" x14ac:dyDescent="0.3"/>
    <row r="9607" customFormat="1" x14ac:dyDescent="0.3"/>
    <row r="9608" customFormat="1" x14ac:dyDescent="0.3"/>
    <row r="9609" customFormat="1" x14ac:dyDescent="0.3"/>
    <row r="9610" customFormat="1" x14ac:dyDescent="0.3"/>
    <row r="9611" customFormat="1" x14ac:dyDescent="0.3"/>
    <row r="9612" customFormat="1" x14ac:dyDescent="0.3"/>
    <row r="9613" customFormat="1" x14ac:dyDescent="0.3"/>
    <row r="9614" customFormat="1" x14ac:dyDescent="0.3"/>
    <row r="9615" customFormat="1" x14ac:dyDescent="0.3"/>
    <row r="9616" customFormat="1" x14ac:dyDescent="0.3"/>
    <row r="9617" customFormat="1" x14ac:dyDescent="0.3"/>
    <row r="9618" customFormat="1" x14ac:dyDescent="0.3"/>
    <row r="9619" customFormat="1" x14ac:dyDescent="0.3"/>
    <row r="9620" customFormat="1" x14ac:dyDescent="0.3"/>
    <row r="9621" customFormat="1" x14ac:dyDescent="0.3"/>
    <row r="9622" customFormat="1" x14ac:dyDescent="0.3"/>
    <row r="9623" customFormat="1" x14ac:dyDescent="0.3"/>
    <row r="9624" customFormat="1" x14ac:dyDescent="0.3"/>
    <row r="9625" customFormat="1" x14ac:dyDescent="0.3"/>
    <row r="9626" customFormat="1" x14ac:dyDescent="0.3"/>
    <row r="9627" customFormat="1" x14ac:dyDescent="0.3"/>
    <row r="9628" customFormat="1" x14ac:dyDescent="0.3"/>
    <row r="9629" customFormat="1" x14ac:dyDescent="0.3"/>
    <row r="9630" customFormat="1" x14ac:dyDescent="0.3"/>
    <row r="9631" customFormat="1" x14ac:dyDescent="0.3"/>
    <row r="9632" customFormat="1" x14ac:dyDescent="0.3"/>
    <row r="9633" customFormat="1" x14ac:dyDescent="0.3"/>
    <row r="9634" customFormat="1" x14ac:dyDescent="0.3"/>
    <row r="9635" customFormat="1" x14ac:dyDescent="0.3"/>
    <row r="9636" customFormat="1" x14ac:dyDescent="0.3"/>
    <row r="9637" customFormat="1" x14ac:dyDescent="0.3"/>
    <row r="9638" customFormat="1" x14ac:dyDescent="0.3"/>
    <row r="9639" customFormat="1" x14ac:dyDescent="0.3"/>
    <row r="9640" customFormat="1" x14ac:dyDescent="0.3"/>
    <row r="9641" customFormat="1" x14ac:dyDescent="0.3"/>
    <row r="9642" customFormat="1" x14ac:dyDescent="0.3"/>
    <row r="9643" customFormat="1" x14ac:dyDescent="0.3"/>
    <row r="9644" customFormat="1" x14ac:dyDescent="0.3"/>
    <row r="9645" customFormat="1" x14ac:dyDescent="0.3"/>
    <row r="9646" customFormat="1" x14ac:dyDescent="0.3"/>
    <row r="9647" customFormat="1" x14ac:dyDescent="0.3"/>
    <row r="9648" customFormat="1" x14ac:dyDescent="0.3"/>
    <row r="9649" customFormat="1" x14ac:dyDescent="0.3"/>
    <row r="9650" customFormat="1" x14ac:dyDescent="0.3"/>
    <row r="9651" customFormat="1" x14ac:dyDescent="0.3"/>
    <row r="9652" customFormat="1" x14ac:dyDescent="0.3"/>
    <row r="9653" customFormat="1" x14ac:dyDescent="0.3"/>
    <row r="9654" customFormat="1" x14ac:dyDescent="0.3"/>
    <row r="9655" customFormat="1" x14ac:dyDescent="0.3"/>
    <row r="9656" customFormat="1" x14ac:dyDescent="0.3"/>
    <row r="9657" customFormat="1" x14ac:dyDescent="0.3"/>
    <row r="9658" customFormat="1" x14ac:dyDescent="0.3"/>
    <row r="9659" customFormat="1" x14ac:dyDescent="0.3"/>
    <row r="9660" customFormat="1" x14ac:dyDescent="0.3"/>
    <row r="9661" customFormat="1" x14ac:dyDescent="0.3"/>
    <row r="9662" customFormat="1" x14ac:dyDescent="0.3"/>
    <row r="9663" customFormat="1" x14ac:dyDescent="0.3"/>
    <row r="9664" customFormat="1" x14ac:dyDescent="0.3"/>
    <row r="9665" customFormat="1" x14ac:dyDescent="0.3"/>
    <row r="9666" customFormat="1" x14ac:dyDescent="0.3"/>
    <row r="9667" customFormat="1" x14ac:dyDescent="0.3"/>
    <row r="9668" customFormat="1" x14ac:dyDescent="0.3"/>
    <row r="9669" customFormat="1" x14ac:dyDescent="0.3"/>
    <row r="9670" customFormat="1" x14ac:dyDescent="0.3"/>
    <row r="9671" customFormat="1" x14ac:dyDescent="0.3"/>
    <row r="9672" customFormat="1" x14ac:dyDescent="0.3"/>
    <row r="9673" customFormat="1" x14ac:dyDescent="0.3"/>
    <row r="9674" customFormat="1" x14ac:dyDescent="0.3"/>
    <row r="9675" customFormat="1" x14ac:dyDescent="0.3"/>
    <row r="9676" customFormat="1" x14ac:dyDescent="0.3"/>
    <row r="9677" customFormat="1" x14ac:dyDescent="0.3"/>
    <row r="9678" customFormat="1" x14ac:dyDescent="0.3"/>
    <row r="9679" customFormat="1" x14ac:dyDescent="0.3"/>
    <row r="9680" customFormat="1" x14ac:dyDescent="0.3"/>
    <row r="9681" customFormat="1" x14ac:dyDescent="0.3"/>
    <row r="9682" customFormat="1" x14ac:dyDescent="0.3"/>
    <row r="9683" customFormat="1" x14ac:dyDescent="0.3"/>
    <row r="9684" customFormat="1" x14ac:dyDescent="0.3"/>
    <row r="9685" customFormat="1" x14ac:dyDescent="0.3"/>
    <row r="9686" customFormat="1" x14ac:dyDescent="0.3"/>
    <row r="9687" customFormat="1" x14ac:dyDescent="0.3"/>
    <row r="9688" customFormat="1" x14ac:dyDescent="0.3"/>
    <row r="9689" customFormat="1" x14ac:dyDescent="0.3"/>
    <row r="9690" customFormat="1" x14ac:dyDescent="0.3"/>
    <row r="9691" customFormat="1" x14ac:dyDescent="0.3"/>
    <row r="9692" customFormat="1" x14ac:dyDescent="0.3"/>
    <row r="9693" customFormat="1" x14ac:dyDescent="0.3"/>
    <row r="9694" customFormat="1" x14ac:dyDescent="0.3"/>
    <row r="9695" customFormat="1" x14ac:dyDescent="0.3"/>
    <row r="9696" customFormat="1" x14ac:dyDescent="0.3"/>
    <row r="9697" customFormat="1" x14ac:dyDescent="0.3"/>
    <row r="9698" customFormat="1" x14ac:dyDescent="0.3"/>
    <row r="9699" customFormat="1" x14ac:dyDescent="0.3"/>
    <row r="9700" customFormat="1" x14ac:dyDescent="0.3"/>
    <row r="9701" customFormat="1" x14ac:dyDescent="0.3"/>
    <row r="9702" customFormat="1" x14ac:dyDescent="0.3"/>
    <row r="9703" customFormat="1" x14ac:dyDescent="0.3"/>
    <row r="9704" customFormat="1" x14ac:dyDescent="0.3"/>
    <row r="9705" customFormat="1" x14ac:dyDescent="0.3"/>
    <row r="9706" customFormat="1" x14ac:dyDescent="0.3"/>
    <row r="9707" customFormat="1" x14ac:dyDescent="0.3"/>
    <row r="9708" customFormat="1" x14ac:dyDescent="0.3"/>
    <row r="9709" customFormat="1" x14ac:dyDescent="0.3"/>
    <row r="9710" customFormat="1" x14ac:dyDescent="0.3"/>
    <row r="9711" customFormat="1" x14ac:dyDescent="0.3"/>
    <row r="9712" customFormat="1" x14ac:dyDescent="0.3"/>
    <row r="9713" customFormat="1" x14ac:dyDescent="0.3"/>
    <row r="9714" customFormat="1" x14ac:dyDescent="0.3"/>
    <row r="9715" customFormat="1" x14ac:dyDescent="0.3"/>
    <row r="9716" customFormat="1" x14ac:dyDescent="0.3"/>
    <row r="9717" customFormat="1" x14ac:dyDescent="0.3"/>
    <row r="9718" customFormat="1" x14ac:dyDescent="0.3"/>
    <row r="9719" customFormat="1" x14ac:dyDescent="0.3"/>
    <row r="9720" customFormat="1" x14ac:dyDescent="0.3"/>
    <row r="9721" customFormat="1" x14ac:dyDescent="0.3"/>
    <row r="9722" customFormat="1" x14ac:dyDescent="0.3"/>
    <row r="9723" customFormat="1" x14ac:dyDescent="0.3"/>
    <row r="9724" customFormat="1" x14ac:dyDescent="0.3"/>
    <row r="9725" customFormat="1" x14ac:dyDescent="0.3"/>
    <row r="9726" customFormat="1" x14ac:dyDescent="0.3"/>
    <row r="9727" customFormat="1" x14ac:dyDescent="0.3"/>
    <row r="9728" customFormat="1" x14ac:dyDescent="0.3"/>
    <row r="9729" customFormat="1" x14ac:dyDescent="0.3"/>
    <row r="9730" customFormat="1" x14ac:dyDescent="0.3"/>
    <row r="9731" customFormat="1" x14ac:dyDescent="0.3"/>
    <row r="9732" customFormat="1" x14ac:dyDescent="0.3"/>
    <row r="9733" customFormat="1" x14ac:dyDescent="0.3"/>
    <row r="9734" customFormat="1" x14ac:dyDescent="0.3"/>
    <row r="9735" customFormat="1" x14ac:dyDescent="0.3"/>
    <row r="9736" customFormat="1" x14ac:dyDescent="0.3"/>
    <row r="9737" customFormat="1" x14ac:dyDescent="0.3"/>
    <row r="9738" customFormat="1" x14ac:dyDescent="0.3"/>
    <row r="9739" customFormat="1" x14ac:dyDescent="0.3"/>
    <row r="9740" customFormat="1" x14ac:dyDescent="0.3"/>
    <row r="9741" customFormat="1" x14ac:dyDescent="0.3"/>
    <row r="9742" customFormat="1" x14ac:dyDescent="0.3"/>
    <row r="9743" customFormat="1" x14ac:dyDescent="0.3"/>
    <row r="9744" customFormat="1" x14ac:dyDescent="0.3"/>
    <row r="9745" customFormat="1" x14ac:dyDescent="0.3"/>
    <row r="9746" customFormat="1" x14ac:dyDescent="0.3"/>
    <row r="9747" customFormat="1" x14ac:dyDescent="0.3"/>
    <row r="9748" customFormat="1" x14ac:dyDescent="0.3"/>
    <row r="9749" customFormat="1" x14ac:dyDescent="0.3"/>
    <row r="9750" customFormat="1" x14ac:dyDescent="0.3"/>
    <row r="9751" customFormat="1" x14ac:dyDescent="0.3"/>
    <row r="9752" customFormat="1" x14ac:dyDescent="0.3"/>
    <row r="9753" customFormat="1" x14ac:dyDescent="0.3"/>
    <row r="9754" customFormat="1" x14ac:dyDescent="0.3"/>
    <row r="9755" customFormat="1" x14ac:dyDescent="0.3"/>
    <row r="9756" customFormat="1" x14ac:dyDescent="0.3"/>
    <row r="9757" customFormat="1" x14ac:dyDescent="0.3"/>
    <row r="9758" customFormat="1" x14ac:dyDescent="0.3"/>
    <row r="9759" customFormat="1" x14ac:dyDescent="0.3"/>
    <row r="9760" customFormat="1" x14ac:dyDescent="0.3"/>
    <row r="9761" customFormat="1" x14ac:dyDescent="0.3"/>
    <row r="9762" customFormat="1" x14ac:dyDescent="0.3"/>
    <row r="9763" customFormat="1" x14ac:dyDescent="0.3"/>
    <row r="9764" customFormat="1" x14ac:dyDescent="0.3"/>
    <row r="9765" customFormat="1" x14ac:dyDescent="0.3"/>
    <row r="9766" customFormat="1" x14ac:dyDescent="0.3"/>
    <row r="9767" customFormat="1" x14ac:dyDescent="0.3"/>
    <row r="9768" customFormat="1" x14ac:dyDescent="0.3"/>
    <row r="9769" customFormat="1" x14ac:dyDescent="0.3"/>
    <row r="9770" customFormat="1" x14ac:dyDescent="0.3"/>
    <row r="9771" customFormat="1" x14ac:dyDescent="0.3"/>
    <row r="9772" customFormat="1" x14ac:dyDescent="0.3"/>
    <row r="9773" customFormat="1" x14ac:dyDescent="0.3"/>
    <row r="9774" customFormat="1" x14ac:dyDescent="0.3"/>
    <row r="9775" customFormat="1" x14ac:dyDescent="0.3"/>
    <row r="9776" customFormat="1" x14ac:dyDescent="0.3"/>
    <row r="9777" customFormat="1" x14ac:dyDescent="0.3"/>
    <row r="9778" customFormat="1" x14ac:dyDescent="0.3"/>
    <row r="9779" customFormat="1" x14ac:dyDescent="0.3"/>
    <row r="9780" customFormat="1" x14ac:dyDescent="0.3"/>
    <row r="9781" customFormat="1" x14ac:dyDescent="0.3"/>
    <row r="9782" customFormat="1" x14ac:dyDescent="0.3"/>
    <row r="9783" customFormat="1" x14ac:dyDescent="0.3"/>
    <row r="9784" customFormat="1" x14ac:dyDescent="0.3"/>
    <row r="9785" customFormat="1" x14ac:dyDescent="0.3"/>
    <row r="9786" customFormat="1" x14ac:dyDescent="0.3"/>
    <row r="9787" customFormat="1" x14ac:dyDescent="0.3"/>
    <row r="9788" customFormat="1" x14ac:dyDescent="0.3"/>
    <row r="9789" customFormat="1" x14ac:dyDescent="0.3"/>
    <row r="9790" customFormat="1" x14ac:dyDescent="0.3"/>
    <row r="9791" customFormat="1" x14ac:dyDescent="0.3"/>
    <row r="9792" customFormat="1" x14ac:dyDescent="0.3"/>
    <row r="9793" customFormat="1" x14ac:dyDescent="0.3"/>
    <row r="9794" customFormat="1" x14ac:dyDescent="0.3"/>
    <row r="9795" customFormat="1" x14ac:dyDescent="0.3"/>
    <row r="9796" customFormat="1" x14ac:dyDescent="0.3"/>
    <row r="9797" customFormat="1" x14ac:dyDescent="0.3"/>
    <row r="9798" customFormat="1" x14ac:dyDescent="0.3"/>
    <row r="9799" customFormat="1" x14ac:dyDescent="0.3"/>
    <row r="9800" customFormat="1" x14ac:dyDescent="0.3"/>
    <row r="9801" customFormat="1" x14ac:dyDescent="0.3"/>
    <row r="9802" customFormat="1" x14ac:dyDescent="0.3"/>
    <row r="9803" customFormat="1" x14ac:dyDescent="0.3"/>
    <row r="9804" customFormat="1" x14ac:dyDescent="0.3"/>
    <row r="9805" customFormat="1" x14ac:dyDescent="0.3"/>
    <row r="9806" customFormat="1" x14ac:dyDescent="0.3"/>
    <row r="9807" customFormat="1" x14ac:dyDescent="0.3"/>
    <row r="9808" customFormat="1" x14ac:dyDescent="0.3"/>
    <row r="9809" customFormat="1" x14ac:dyDescent="0.3"/>
    <row r="9810" customFormat="1" x14ac:dyDescent="0.3"/>
    <row r="9811" customFormat="1" x14ac:dyDescent="0.3"/>
    <row r="9812" customFormat="1" x14ac:dyDescent="0.3"/>
    <row r="9813" customFormat="1" x14ac:dyDescent="0.3"/>
    <row r="9814" customFormat="1" x14ac:dyDescent="0.3"/>
    <row r="9815" customFormat="1" x14ac:dyDescent="0.3"/>
    <row r="9816" customFormat="1" x14ac:dyDescent="0.3"/>
    <row r="9817" customFormat="1" x14ac:dyDescent="0.3"/>
    <row r="9818" customFormat="1" x14ac:dyDescent="0.3"/>
    <row r="9819" customFormat="1" x14ac:dyDescent="0.3"/>
    <row r="9820" customFormat="1" x14ac:dyDescent="0.3"/>
    <row r="9821" customFormat="1" x14ac:dyDescent="0.3"/>
    <row r="9822" customFormat="1" x14ac:dyDescent="0.3"/>
    <row r="9823" customFormat="1" x14ac:dyDescent="0.3"/>
    <row r="9824" customFormat="1" x14ac:dyDescent="0.3"/>
    <row r="9825" customFormat="1" x14ac:dyDescent="0.3"/>
    <row r="9826" customFormat="1" x14ac:dyDescent="0.3"/>
    <row r="9827" customFormat="1" x14ac:dyDescent="0.3"/>
    <row r="9828" customFormat="1" x14ac:dyDescent="0.3"/>
    <row r="9829" customFormat="1" x14ac:dyDescent="0.3"/>
    <row r="9830" customFormat="1" x14ac:dyDescent="0.3"/>
    <row r="9831" customFormat="1" x14ac:dyDescent="0.3"/>
    <row r="9832" customFormat="1" x14ac:dyDescent="0.3"/>
    <row r="9833" customFormat="1" x14ac:dyDescent="0.3"/>
    <row r="9834" customFormat="1" x14ac:dyDescent="0.3"/>
    <row r="9835" customFormat="1" x14ac:dyDescent="0.3"/>
    <row r="9836" customFormat="1" x14ac:dyDescent="0.3"/>
    <row r="9837" customFormat="1" x14ac:dyDescent="0.3"/>
    <row r="9838" customFormat="1" x14ac:dyDescent="0.3"/>
    <row r="9839" customFormat="1" x14ac:dyDescent="0.3"/>
    <row r="9840" customFormat="1" x14ac:dyDescent="0.3"/>
    <row r="9841" customFormat="1" x14ac:dyDescent="0.3"/>
    <row r="9842" customFormat="1" x14ac:dyDescent="0.3"/>
    <row r="9843" customFormat="1" x14ac:dyDescent="0.3"/>
    <row r="9844" customFormat="1" x14ac:dyDescent="0.3"/>
    <row r="9845" customFormat="1" x14ac:dyDescent="0.3"/>
    <row r="9846" customFormat="1" x14ac:dyDescent="0.3"/>
    <row r="9847" customFormat="1" x14ac:dyDescent="0.3"/>
    <row r="9848" customFormat="1" x14ac:dyDescent="0.3"/>
    <row r="9849" customFormat="1" x14ac:dyDescent="0.3"/>
    <row r="9850" customFormat="1" x14ac:dyDescent="0.3"/>
    <row r="9851" customFormat="1" x14ac:dyDescent="0.3"/>
    <row r="9852" customFormat="1" x14ac:dyDescent="0.3"/>
    <row r="9853" customFormat="1" x14ac:dyDescent="0.3"/>
    <row r="9854" customFormat="1" x14ac:dyDescent="0.3"/>
    <row r="9855" customFormat="1" x14ac:dyDescent="0.3"/>
    <row r="9856" customFormat="1" x14ac:dyDescent="0.3"/>
    <row r="9857" customFormat="1" x14ac:dyDescent="0.3"/>
    <row r="9858" customFormat="1" x14ac:dyDescent="0.3"/>
    <row r="9859" customFormat="1" x14ac:dyDescent="0.3"/>
    <row r="9860" customFormat="1" x14ac:dyDescent="0.3"/>
    <row r="9861" customFormat="1" x14ac:dyDescent="0.3"/>
    <row r="9862" customFormat="1" x14ac:dyDescent="0.3"/>
    <row r="9863" customFormat="1" x14ac:dyDescent="0.3"/>
    <row r="9864" customFormat="1" x14ac:dyDescent="0.3"/>
    <row r="9865" customFormat="1" x14ac:dyDescent="0.3"/>
    <row r="9866" customFormat="1" x14ac:dyDescent="0.3"/>
    <row r="9867" customFormat="1" x14ac:dyDescent="0.3"/>
    <row r="9868" customFormat="1" x14ac:dyDescent="0.3"/>
    <row r="9869" customFormat="1" x14ac:dyDescent="0.3"/>
    <row r="9870" customFormat="1" x14ac:dyDescent="0.3"/>
    <row r="9871" customFormat="1" x14ac:dyDescent="0.3"/>
    <row r="9872" customFormat="1" x14ac:dyDescent="0.3"/>
    <row r="9873" customFormat="1" x14ac:dyDescent="0.3"/>
    <row r="9874" customFormat="1" x14ac:dyDescent="0.3"/>
    <row r="9875" customFormat="1" x14ac:dyDescent="0.3"/>
    <row r="9876" customFormat="1" x14ac:dyDescent="0.3"/>
    <row r="9877" customFormat="1" x14ac:dyDescent="0.3"/>
    <row r="9878" customFormat="1" x14ac:dyDescent="0.3"/>
    <row r="9879" customFormat="1" x14ac:dyDescent="0.3"/>
    <row r="9880" customFormat="1" x14ac:dyDescent="0.3"/>
    <row r="9881" customFormat="1" x14ac:dyDescent="0.3"/>
    <row r="9882" customFormat="1" x14ac:dyDescent="0.3"/>
    <row r="9883" customFormat="1" x14ac:dyDescent="0.3"/>
    <row r="9884" customFormat="1" x14ac:dyDescent="0.3"/>
    <row r="9885" customFormat="1" x14ac:dyDescent="0.3"/>
    <row r="9886" customFormat="1" x14ac:dyDescent="0.3"/>
    <row r="9887" customFormat="1" x14ac:dyDescent="0.3"/>
    <row r="9888" customFormat="1" x14ac:dyDescent="0.3"/>
    <row r="9889" customFormat="1" x14ac:dyDescent="0.3"/>
    <row r="9890" customFormat="1" x14ac:dyDescent="0.3"/>
    <row r="9891" customFormat="1" x14ac:dyDescent="0.3"/>
    <row r="9892" customFormat="1" x14ac:dyDescent="0.3"/>
    <row r="9893" customFormat="1" x14ac:dyDescent="0.3"/>
    <row r="9894" customFormat="1" x14ac:dyDescent="0.3"/>
    <row r="9895" customFormat="1" x14ac:dyDescent="0.3"/>
    <row r="9896" customFormat="1" x14ac:dyDescent="0.3"/>
    <row r="9897" customFormat="1" x14ac:dyDescent="0.3"/>
    <row r="9898" customFormat="1" x14ac:dyDescent="0.3"/>
    <row r="9899" customFormat="1" x14ac:dyDescent="0.3"/>
    <row r="9900" customFormat="1" x14ac:dyDescent="0.3"/>
    <row r="9901" customFormat="1" x14ac:dyDescent="0.3"/>
    <row r="9902" customFormat="1" x14ac:dyDescent="0.3"/>
    <row r="9903" customFormat="1" x14ac:dyDescent="0.3"/>
    <row r="9904" customFormat="1" x14ac:dyDescent="0.3"/>
    <row r="9905" customFormat="1" x14ac:dyDescent="0.3"/>
    <row r="9906" customFormat="1" x14ac:dyDescent="0.3"/>
    <row r="9907" customFormat="1" x14ac:dyDescent="0.3"/>
    <row r="9908" customFormat="1" x14ac:dyDescent="0.3"/>
    <row r="9909" customFormat="1" x14ac:dyDescent="0.3"/>
    <row r="9910" customFormat="1" x14ac:dyDescent="0.3"/>
    <row r="9911" customFormat="1" x14ac:dyDescent="0.3"/>
    <row r="9912" customFormat="1" x14ac:dyDescent="0.3"/>
    <row r="9913" customFormat="1" x14ac:dyDescent="0.3"/>
    <row r="9914" customFormat="1" x14ac:dyDescent="0.3"/>
    <row r="9915" customFormat="1" x14ac:dyDescent="0.3"/>
    <row r="9916" customFormat="1" x14ac:dyDescent="0.3"/>
    <row r="9917" customFormat="1" x14ac:dyDescent="0.3"/>
    <row r="9918" customFormat="1" x14ac:dyDescent="0.3"/>
    <row r="9919" customFormat="1" x14ac:dyDescent="0.3"/>
    <row r="9920" customFormat="1" x14ac:dyDescent="0.3"/>
    <row r="9921" customFormat="1" x14ac:dyDescent="0.3"/>
    <row r="9922" customFormat="1" x14ac:dyDescent="0.3"/>
    <row r="9923" customFormat="1" x14ac:dyDescent="0.3"/>
    <row r="9924" customFormat="1" x14ac:dyDescent="0.3"/>
    <row r="9925" customFormat="1" x14ac:dyDescent="0.3"/>
    <row r="9926" customFormat="1" x14ac:dyDescent="0.3"/>
    <row r="9927" customFormat="1" x14ac:dyDescent="0.3"/>
    <row r="9928" customFormat="1" x14ac:dyDescent="0.3"/>
    <row r="9929" customFormat="1" x14ac:dyDescent="0.3"/>
    <row r="9930" customFormat="1" x14ac:dyDescent="0.3"/>
    <row r="9931" customFormat="1" x14ac:dyDescent="0.3"/>
    <row r="9932" customFormat="1" x14ac:dyDescent="0.3"/>
    <row r="9933" customFormat="1" x14ac:dyDescent="0.3"/>
    <row r="9934" customFormat="1" x14ac:dyDescent="0.3"/>
    <row r="9935" customFormat="1" x14ac:dyDescent="0.3"/>
    <row r="9936" customFormat="1" x14ac:dyDescent="0.3"/>
    <row r="9937" customFormat="1" x14ac:dyDescent="0.3"/>
    <row r="9938" customFormat="1" x14ac:dyDescent="0.3"/>
    <row r="9939" customFormat="1" x14ac:dyDescent="0.3"/>
    <row r="9940" customFormat="1" x14ac:dyDescent="0.3"/>
    <row r="9941" customFormat="1" x14ac:dyDescent="0.3"/>
    <row r="9942" customFormat="1" x14ac:dyDescent="0.3"/>
    <row r="9943" customFormat="1" x14ac:dyDescent="0.3"/>
    <row r="9944" customFormat="1" x14ac:dyDescent="0.3"/>
    <row r="9945" customFormat="1" x14ac:dyDescent="0.3"/>
    <row r="9946" customFormat="1" x14ac:dyDescent="0.3"/>
    <row r="9947" customFormat="1" x14ac:dyDescent="0.3"/>
    <row r="9948" customFormat="1" x14ac:dyDescent="0.3"/>
    <row r="9949" customFormat="1" x14ac:dyDescent="0.3"/>
    <row r="9950" customFormat="1" x14ac:dyDescent="0.3"/>
    <row r="9951" customFormat="1" x14ac:dyDescent="0.3"/>
    <row r="9952" customFormat="1" x14ac:dyDescent="0.3"/>
    <row r="9953" customFormat="1" x14ac:dyDescent="0.3"/>
    <row r="9954" customFormat="1" x14ac:dyDescent="0.3"/>
    <row r="9955" customFormat="1" x14ac:dyDescent="0.3"/>
    <row r="9956" customFormat="1" x14ac:dyDescent="0.3"/>
    <row r="9957" customFormat="1" x14ac:dyDescent="0.3"/>
    <row r="9958" customFormat="1" x14ac:dyDescent="0.3"/>
    <row r="9959" customFormat="1" x14ac:dyDescent="0.3"/>
    <row r="9960" customFormat="1" x14ac:dyDescent="0.3"/>
    <row r="9961" customFormat="1" x14ac:dyDescent="0.3"/>
    <row r="9962" customFormat="1" x14ac:dyDescent="0.3"/>
    <row r="9963" customFormat="1" x14ac:dyDescent="0.3"/>
    <row r="9964" customFormat="1" x14ac:dyDescent="0.3"/>
    <row r="9965" customFormat="1" x14ac:dyDescent="0.3"/>
    <row r="9966" customFormat="1" x14ac:dyDescent="0.3"/>
    <row r="9967" customFormat="1" x14ac:dyDescent="0.3"/>
    <row r="9968" customFormat="1" x14ac:dyDescent="0.3"/>
    <row r="9969" customFormat="1" x14ac:dyDescent="0.3"/>
    <row r="9970" customFormat="1" x14ac:dyDescent="0.3"/>
    <row r="9971" customFormat="1" x14ac:dyDescent="0.3"/>
    <row r="9972" customFormat="1" x14ac:dyDescent="0.3"/>
    <row r="9973" customFormat="1" x14ac:dyDescent="0.3"/>
    <row r="9974" customFormat="1" x14ac:dyDescent="0.3"/>
    <row r="9975" customFormat="1" x14ac:dyDescent="0.3"/>
    <row r="9976" customFormat="1" x14ac:dyDescent="0.3"/>
    <row r="9977" customFormat="1" x14ac:dyDescent="0.3"/>
    <row r="9978" customFormat="1" x14ac:dyDescent="0.3"/>
    <row r="9979" customFormat="1" x14ac:dyDescent="0.3"/>
    <row r="9980" customFormat="1" x14ac:dyDescent="0.3"/>
    <row r="9981" customFormat="1" x14ac:dyDescent="0.3"/>
    <row r="9982" customFormat="1" x14ac:dyDescent="0.3"/>
    <row r="9983" customFormat="1" x14ac:dyDescent="0.3"/>
    <row r="9984" customFormat="1" x14ac:dyDescent="0.3"/>
    <row r="9985" customFormat="1" x14ac:dyDescent="0.3"/>
    <row r="9986" customFormat="1" x14ac:dyDescent="0.3"/>
    <row r="9987" customFormat="1" x14ac:dyDescent="0.3"/>
    <row r="9988" customFormat="1" x14ac:dyDescent="0.3"/>
    <row r="9989" customFormat="1" x14ac:dyDescent="0.3"/>
    <row r="9990" customFormat="1" x14ac:dyDescent="0.3"/>
    <row r="9991" customFormat="1" x14ac:dyDescent="0.3"/>
    <row r="9992" customFormat="1" x14ac:dyDescent="0.3"/>
    <row r="9993" customFormat="1" x14ac:dyDescent="0.3"/>
    <row r="9994" customFormat="1" x14ac:dyDescent="0.3"/>
    <row r="9995" customFormat="1" x14ac:dyDescent="0.3"/>
    <row r="9996" customFormat="1" x14ac:dyDescent="0.3"/>
    <row r="9997" customFormat="1" x14ac:dyDescent="0.3"/>
    <row r="9998" customFormat="1" x14ac:dyDescent="0.3"/>
    <row r="9999" customFormat="1" x14ac:dyDescent="0.3"/>
    <row r="10000" customFormat="1" x14ac:dyDescent="0.3"/>
    <row r="10001" customFormat="1" x14ac:dyDescent="0.3"/>
    <row r="10002" customFormat="1" x14ac:dyDescent="0.3"/>
    <row r="10003" customFormat="1" x14ac:dyDescent="0.3"/>
    <row r="10004" customFormat="1" x14ac:dyDescent="0.3"/>
    <row r="10005" customFormat="1" x14ac:dyDescent="0.3"/>
    <row r="10006" customFormat="1" x14ac:dyDescent="0.3"/>
    <row r="10007" customFormat="1" x14ac:dyDescent="0.3"/>
    <row r="10008" customFormat="1" x14ac:dyDescent="0.3"/>
    <row r="10009" customFormat="1" x14ac:dyDescent="0.3"/>
    <row r="10010" customFormat="1" x14ac:dyDescent="0.3"/>
    <row r="10011" customFormat="1" x14ac:dyDescent="0.3"/>
    <row r="10012" customFormat="1" x14ac:dyDescent="0.3"/>
    <row r="10013" customFormat="1" x14ac:dyDescent="0.3"/>
    <row r="10014" customFormat="1" x14ac:dyDescent="0.3"/>
    <row r="10015" customFormat="1" x14ac:dyDescent="0.3"/>
    <row r="10016" customFormat="1" x14ac:dyDescent="0.3"/>
    <row r="10017" customFormat="1" x14ac:dyDescent="0.3"/>
    <row r="10018" customFormat="1" x14ac:dyDescent="0.3"/>
    <row r="10019" customFormat="1" x14ac:dyDescent="0.3"/>
    <row r="10020" customFormat="1" x14ac:dyDescent="0.3"/>
    <row r="10021" customFormat="1" x14ac:dyDescent="0.3"/>
    <row r="10022" customFormat="1" x14ac:dyDescent="0.3"/>
    <row r="10023" customFormat="1" x14ac:dyDescent="0.3"/>
    <row r="10024" customFormat="1" x14ac:dyDescent="0.3"/>
    <row r="10025" customFormat="1" x14ac:dyDescent="0.3"/>
    <row r="10026" customFormat="1" x14ac:dyDescent="0.3"/>
    <row r="10027" customFormat="1" x14ac:dyDescent="0.3"/>
    <row r="10028" customFormat="1" x14ac:dyDescent="0.3"/>
    <row r="10029" customFormat="1" x14ac:dyDescent="0.3"/>
    <row r="10030" customFormat="1" x14ac:dyDescent="0.3"/>
    <row r="10031" customFormat="1" x14ac:dyDescent="0.3"/>
    <row r="10032" customFormat="1" x14ac:dyDescent="0.3"/>
    <row r="10033" customFormat="1" x14ac:dyDescent="0.3"/>
    <row r="10034" customFormat="1" x14ac:dyDescent="0.3"/>
    <row r="10035" customFormat="1" x14ac:dyDescent="0.3"/>
    <row r="10036" customFormat="1" x14ac:dyDescent="0.3"/>
    <row r="10037" customFormat="1" x14ac:dyDescent="0.3"/>
    <row r="10038" customFormat="1" x14ac:dyDescent="0.3"/>
    <row r="10039" customFormat="1" x14ac:dyDescent="0.3"/>
    <row r="10040" customFormat="1" x14ac:dyDescent="0.3"/>
    <row r="10041" customFormat="1" x14ac:dyDescent="0.3"/>
    <row r="10042" customFormat="1" x14ac:dyDescent="0.3"/>
    <row r="10043" customFormat="1" x14ac:dyDescent="0.3"/>
    <row r="10044" customFormat="1" x14ac:dyDescent="0.3"/>
    <row r="10045" customFormat="1" x14ac:dyDescent="0.3"/>
    <row r="10046" customFormat="1" x14ac:dyDescent="0.3"/>
    <row r="10047" customFormat="1" x14ac:dyDescent="0.3"/>
    <row r="10048" customFormat="1" x14ac:dyDescent="0.3"/>
    <row r="10049" customFormat="1" x14ac:dyDescent="0.3"/>
    <row r="10050" customFormat="1" x14ac:dyDescent="0.3"/>
    <row r="10051" customFormat="1" x14ac:dyDescent="0.3"/>
    <row r="10052" customFormat="1" x14ac:dyDescent="0.3"/>
    <row r="10053" customFormat="1" x14ac:dyDescent="0.3"/>
    <row r="10054" customFormat="1" x14ac:dyDescent="0.3"/>
    <row r="10055" customFormat="1" x14ac:dyDescent="0.3"/>
    <row r="10056" customFormat="1" x14ac:dyDescent="0.3"/>
    <row r="10057" customFormat="1" x14ac:dyDescent="0.3"/>
    <row r="10058" customFormat="1" x14ac:dyDescent="0.3"/>
    <row r="10059" customFormat="1" x14ac:dyDescent="0.3"/>
    <row r="10060" customFormat="1" x14ac:dyDescent="0.3"/>
    <row r="10061" customFormat="1" x14ac:dyDescent="0.3"/>
    <row r="10062" customFormat="1" x14ac:dyDescent="0.3"/>
    <row r="10063" customFormat="1" x14ac:dyDescent="0.3"/>
    <row r="10064" customFormat="1" x14ac:dyDescent="0.3"/>
    <row r="10065" customFormat="1" x14ac:dyDescent="0.3"/>
    <row r="10066" customFormat="1" x14ac:dyDescent="0.3"/>
    <row r="10067" customFormat="1" x14ac:dyDescent="0.3"/>
    <row r="10068" customFormat="1" x14ac:dyDescent="0.3"/>
    <row r="10069" customFormat="1" x14ac:dyDescent="0.3"/>
    <row r="10070" customFormat="1" x14ac:dyDescent="0.3"/>
    <row r="10071" customFormat="1" x14ac:dyDescent="0.3"/>
    <row r="10072" customFormat="1" x14ac:dyDescent="0.3"/>
    <row r="10073" customFormat="1" x14ac:dyDescent="0.3"/>
    <row r="10074" customFormat="1" x14ac:dyDescent="0.3"/>
    <row r="10075" customFormat="1" x14ac:dyDescent="0.3"/>
    <row r="10076" customFormat="1" x14ac:dyDescent="0.3"/>
    <row r="10077" customFormat="1" x14ac:dyDescent="0.3"/>
    <row r="10078" customFormat="1" x14ac:dyDescent="0.3"/>
    <row r="10079" customFormat="1" x14ac:dyDescent="0.3"/>
    <row r="10080" customFormat="1" x14ac:dyDescent="0.3"/>
    <row r="10081" customFormat="1" x14ac:dyDescent="0.3"/>
    <row r="10082" customFormat="1" x14ac:dyDescent="0.3"/>
    <row r="10083" customFormat="1" x14ac:dyDescent="0.3"/>
    <row r="10084" customFormat="1" x14ac:dyDescent="0.3"/>
    <row r="10085" customFormat="1" x14ac:dyDescent="0.3"/>
    <row r="10086" customFormat="1" x14ac:dyDescent="0.3"/>
    <row r="10087" customFormat="1" x14ac:dyDescent="0.3"/>
    <row r="10088" customFormat="1" x14ac:dyDescent="0.3"/>
    <row r="10089" customFormat="1" x14ac:dyDescent="0.3"/>
    <row r="10090" customFormat="1" x14ac:dyDescent="0.3"/>
    <row r="10091" customFormat="1" x14ac:dyDescent="0.3"/>
    <row r="10092" customFormat="1" x14ac:dyDescent="0.3"/>
    <row r="10093" customFormat="1" x14ac:dyDescent="0.3"/>
    <row r="10094" customFormat="1" x14ac:dyDescent="0.3"/>
    <row r="10095" customFormat="1" x14ac:dyDescent="0.3"/>
    <row r="10096" customFormat="1" x14ac:dyDescent="0.3"/>
    <row r="10097" customFormat="1" x14ac:dyDescent="0.3"/>
    <row r="10098" customFormat="1" x14ac:dyDescent="0.3"/>
    <row r="10099" customFormat="1" x14ac:dyDescent="0.3"/>
    <row r="10100" customFormat="1" x14ac:dyDescent="0.3"/>
    <row r="10101" customFormat="1" x14ac:dyDescent="0.3"/>
    <row r="10102" customFormat="1" x14ac:dyDescent="0.3"/>
    <row r="10103" customFormat="1" x14ac:dyDescent="0.3"/>
    <row r="10104" customFormat="1" x14ac:dyDescent="0.3"/>
    <row r="10105" customFormat="1" x14ac:dyDescent="0.3"/>
    <row r="10106" customFormat="1" x14ac:dyDescent="0.3"/>
    <row r="10107" customFormat="1" x14ac:dyDescent="0.3"/>
    <row r="10108" customFormat="1" x14ac:dyDescent="0.3"/>
    <row r="10109" customFormat="1" x14ac:dyDescent="0.3"/>
    <row r="10110" customFormat="1" x14ac:dyDescent="0.3"/>
    <row r="10111" customFormat="1" x14ac:dyDescent="0.3"/>
    <row r="10112" customFormat="1" x14ac:dyDescent="0.3"/>
    <row r="10113" customFormat="1" x14ac:dyDescent="0.3"/>
    <row r="10114" customFormat="1" x14ac:dyDescent="0.3"/>
    <row r="10115" customFormat="1" x14ac:dyDescent="0.3"/>
    <row r="10116" customFormat="1" x14ac:dyDescent="0.3"/>
    <row r="10117" customFormat="1" x14ac:dyDescent="0.3"/>
    <row r="10118" customFormat="1" x14ac:dyDescent="0.3"/>
    <row r="10119" customFormat="1" x14ac:dyDescent="0.3"/>
    <row r="10120" customFormat="1" x14ac:dyDescent="0.3"/>
    <row r="10121" customFormat="1" x14ac:dyDescent="0.3"/>
    <row r="10122" customFormat="1" x14ac:dyDescent="0.3"/>
    <row r="10123" customFormat="1" x14ac:dyDescent="0.3"/>
    <row r="10124" customFormat="1" x14ac:dyDescent="0.3"/>
    <row r="10125" customFormat="1" x14ac:dyDescent="0.3"/>
    <row r="10126" customFormat="1" x14ac:dyDescent="0.3"/>
    <row r="10127" customFormat="1" x14ac:dyDescent="0.3"/>
    <row r="10128" customFormat="1" x14ac:dyDescent="0.3"/>
    <row r="10129" customFormat="1" x14ac:dyDescent="0.3"/>
    <row r="10130" customFormat="1" x14ac:dyDescent="0.3"/>
    <row r="10131" customFormat="1" x14ac:dyDescent="0.3"/>
    <row r="10132" customFormat="1" x14ac:dyDescent="0.3"/>
    <row r="10133" customFormat="1" x14ac:dyDescent="0.3"/>
    <row r="10134" customFormat="1" x14ac:dyDescent="0.3"/>
    <row r="10135" customFormat="1" x14ac:dyDescent="0.3"/>
    <row r="10136" customFormat="1" x14ac:dyDescent="0.3"/>
    <row r="10137" customFormat="1" x14ac:dyDescent="0.3"/>
    <row r="10138" customFormat="1" x14ac:dyDescent="0.3"/>
    <row r="10139" customFormat="1" x14ac:dyDescent="0.3"/>
    <row r="10140" customFormat="1" x14ac:dyDescent="0.3"/>
    <row r="10141" customFormat="1" x14ac:dyDescent="0.3"/>
    <row r="10142" customFormat="1" x14ac:dyDescent="0.3"/>
    <row r="10143" customFormat="1" x14ac:dyDescent="0.3"/>
    <row r="10144" customFormat="1" x14ac:dyDescent="0.3"/>
    <row r="10145" customFormat="1" x14ac:dyDescent="0.3"/>
    <row r="10146" customFormat="1" x14ac:dyDescent="0.3"/>
    <row r="10147" customFormat="1" x14ac:dyDescent="0.3"/>
    <row r="10148" customFormat="1" x14ac:dyDescent="0.3"/>
    <row r="10149" customFormat="1" x14ac:dyDescent="0.3"/>
    <row r="10150" customFormat="1" x14ac:dyDescent="0.3"/>
    <row r="10151" customFormat="1" x14ac:dyDescent="0.3"/>
    <row r="10152" customFormat="1" x14ac:dyDescent="0.3"/>
    <row r="10153" customFormat="1" x14ac:dyDescent="0.3"/>
    <row r="10154" customFormat="1" x14ac:dyDescent="0.3"/>
    <row r="10155" customFormat="1" x14ac:dyDescent="0.3"/>
    <row r="10156" customFormat="1" x14ac:dyDescent="0.3"/>
    <row r="10157" customFormat="1" x14ac:dyDescent="0.3"/>
    <row r="10158" customFormat="1" x14ac:dyDescent="0.3"/>
    <row r="10159" customFormat="1" x14ac:dyDescent="0.3"/>
    <row r="10160" customFormat="1" x14ac:dyDescent="0.3"/>
    <row r="10161" customFormat="1" x14ac:dyDescent="0.3"/>
    <row r="10162" customFormat="1" x14ac:dyDescent="0.3"/>
    <row r="10163" customFormat="1" x14ac:dyDescent="0.3"/>
    <row r="10164" customFormat="1" x14ac:dyDescent="0.3"/>
    <row r="10165" customFormat="1" x14ac:dyDescent="0.3"/>
    <row r="10166" customFormat="1" x14ac:dyDescent="0.3"/>
    <row r="10167" customFormat="1" x14ac:dyDescent="0.3"/>
    <row r="10168" customFormat="1" x14ac:dyDescent="0.3"/>
    <row r="10169" customFormat="1" x14ac:dyDescent="0.3"/>
    <row r="10170" customFormat="1" x14ac:dyDescent="0.3"/>
    <row r="10171" customFormat="1" x14ac:dyDescent="0.3"/>
    <row r="10172" customFormat="1" x14ac:dyDescent="0.3"/>
    <row r="10173" customFormat="1" x14ac:dyDescent="0.3"/>
    <row r="10174" customFormat="1" x14ac:dyDescent="0.3"/>
    <row r="10175" customFormat="1" x14ac:dyDescent="0.3"/>
    <row r="10176" customFormat="1" x14ac:dyDescent="0.3"/>
    <row r="10177" customFormat="1" x14ac:dyDescent="0.3"/>
    <row r="10178" customFormat="1" x14ac:dyDescent="0.3"/>
    <row r="10179" customFormat="1" x14ac:dyDescent="0.3"/>
    <row r="10180" customFormat="1" x14ac:dyDescent="0.3"/>
    <row r="10181" customFormat="1" x14ac:dyDescent="0.3"/>
    <row r="10182" customFormat="1" x14ac:dyDescent="0.3"/>
    <row r="10183" customFormat="1" x14ac:dyDescent="0.3"/>
    <row r="10184" customFormat="1" x14ac:dyDescent="0.3"/>
    <row r="10185" customFormat="1" x14ac:dyDescent="0.3"/>
    <row r="10186" customFormat="1" x14ac:dyDescent="0.3"/>
    <row r="10187" customFormat="1" x14ac:dyDescent="0.3"/>
    <row r="10188" customFormat="1" x14ac:dyDescent="0.3"/>
    <row r="10189" customFormat="1" x14ac:dyDescent="0.3"/>
    <row r="10190" customFormat="1" x14ac:dyDescent="0.3"/>
    <row r="10191" customFormat="1" x14ac:dyDescent="0.3"/>
    <row r="10192" customFormat="1" x14ac:dyDescent="0.3"/>
    <row r="10193" customFormat="1" x14ac:dyDescent="0.3"/>
    <row r="10194" customFormat="1" x14ac:dyDescent="0.3"/>
    <row r="10195" customFormat="1" x14ac:dyDescent="0.3"/>
    <row r="10196" customFormat="1" x14ac:dyDescent="0.3"/>
    <row r="10197" customFormat="1" x14ac:dyDescent="0.3"/>
    <row r="10198" customFormat="1" x14ac:dyDescent="0.3"/>
    <row r="10199" customFormat="1" x14ac:dyDescent="0.3"/>
    <row r="10200" customFormat="1" x14ac:dyDescent="0.3"/>
    <row r="10201" customFormat="1" x14ac:dyDescent="0.3"/>
    <row r="10202" customFormat="1" x14ac:dyDescent="0.3"/>
    <row r="10203" customFormat="1" x14ac:dyDescent="0.3"/>
    <row r="10204" customFormat="1" x14ac:dyDescent="0.3"/>
    <row r="10205" customFormat="1" x14ac:dyDescent="0.3"/>
    <row r="10206" customFormat="1" x14ac:dyDescent="0.3"/>
    <row r="10207" customFormat="1" x14ac:dyDescent="0.3"/>
    <row r="10208" customFormat="1" x14ac:dyDescent="0.3"/>
    <row r="10209" customFormat="1" x14ac:dyDescent="0.3"/>
    <row r="10210" customFormat="1" x14ac:dyDescent="0.3"/>
    <row r="10211" customFormat="1" x14ac:dyDescent="0.3"/>
    <row r="10212" customFormat="1" x14ac:dyDescent="0.3"/>
    <row r="10213" customFormat="1" x14ac:dyDescent="0.3"/>
    <row r="10214" customFormat="1" x14ac:dyDescent="0.3"/>
    <row r="10215" customFormat="1" x14ac:dyDescent="0.3"/>
    <row r="10216" customFormat="1" x14ac:dyDescent="0.3"/>
    <row r="10217" customFormat="1" x14ac:dyDescent="0.3"/>
    <row r="10218" customFormat="1" x14ac:dyDescent="0.3"/>
    <row r="10219" customFormat="1" x14ac:dyDescent="0.3"/>
    <row r="10220" customFormat="1" x14ac:dyDescent="0.3"/>
    <row r="10221" customFormat="1" x14ac:dyDescent="0.3"/>
    <row r="10222" customFormat="1" x14ac:dyDescent="0.3"/>
    <row r="10223" customFormat="1" x14ac:dyDescent="0.3"/>
    <row r="10224" customFormat="1" x14ac:dyDescent="0.3"/>
    <row r="10225" customFormat="1" x14ac:dyDescent="0.3"/>
    <row r="10226" customFormat="1" x14ac:dyDescent="0.3"/>
    <row r="10227" customFormat="1" x14ac:dyDescent="0.3"/>
    <row r="10228" customFormat="1" x14ac:dyDescent="0.3"/>
    <row r="10229" customFormat="1" x14ac:dyDescent="0.3"/>
    <row r="10230" customFormat="1" x14ac:dyDescent="0.3"/>
    <row r="10231" customFormat="1" x14ac:dyDescent="0.3"/>
    <row r="10232" customFormat="1" x14ac:dyDescent="0.3"/>
    <row r="10233" customFormat="1" x14ac:dyDescent="0.3"/>
    <row r="10234" customFormat="1" x14ac:dyDescent="0.3"/>
    <row r="10235" customFormat="1" x14ac:dyDescent="0.3"/>
    <row r="10236" customFormat="1" x14ac:dyDescent="0.3"/>
    <row r="10237" customFormat="1" x14ac:dyDescent="0.3"/>
    <row r="10238" customFormat="1" x14ac:dyDescent="0.3"/>
    <row r="10239" customFormat="1" x14ac:dyDescent="0.3"/>
    <row r="10240" customFormat="1" x14ac:dyDescent="0.3"/>
    <row r="10241" customFormat="1" x14ac:dyDescent="0.3"/>
    <row r="10242" customFormat="1" x14ac:dyDescent="0.3"/>
    <row r="10243" customFormat="1" x14ac:dyDescent="0.3"/>
    <row r="10244" customFormat="1" x14ac:dyDescent="0.3"/>
    <row r="10245" customFormat="1" x14ac:dyDescent="0.3"/>
    <row r="10246" customFormat="1" x14ac:dyDescent="0.3"/>
    <row r="10247" customFormat="1" x14ac:dyDescent="0.3"/>
    <row r="10248" customFormat="1" x14ac:dyDescent="0.3"/>
    <row r="10249" customFormat="1" x14ac:dyDescent="0.3"/>
    <row r="10250" customFormat="1" x14ac:dyDescent="0.3"/>
    <row r="10251" customFormat="1" x14ac:dyDescent="0.3"/>
    <row r="10252" customFormat="1" x14ac:dyDescent="0.3"/>
    <row r="10253" customFormat="1" x14ac:dyDescent="0.3"/>
    <row r="10254" customFormat="1" x14ac:dyDescent="0.3"/>
    <row r="10255" customFormat="1" x14ac:dyDescent="0.3"/>
    <row r="10256" customFormat="1" x14ac:dyDescent="0.3"/>
    <row r="10257" customFormat="1" x14ac:dyDescent="0.3"/>
    <row r="10258" customFormat="1" x14ac:dyDescent="0.3"/>
    <row r="10259" customFormat="1" x14ac:dyDescent="0.3"/>
    <row r="10260" customFormat="1" x14ac:dyDescent="0.3"/>
    <row r="10261" customFormat="1" x14ac:dyDescent="0.3"/>
    <row r="10262" customFormat="1" x14ac:dyDescent="0.3"/>
    <row r="10263" customFormat="1" x14ac:dyDescent="0.3"/>
    <row r="10264" customFormat="1" x14ac:dyDescent="0.3"/>
    <row r="10265" customFormat="1" x14ac:dyDescent="0.3"/>
    <row r="10266" customFormat="1" x14ac:dyDescent="0.3"/>
    <row r="10267" customFormat="1" x14ac:dyDescent="0.3"/>
    <row r="10268" customFormat="1" x14ac:dyDescent="0.3"/>
    <row r="10269" customFormat="1" x14ac:dyDescent="0.3"/>
    <row r="10270" customFormat="1" x14ac:dyDescent="0.3"/>
    <row r="10271" customFormat="1" x14ac:dyDescent="0.3"/>
    <row r="10272" customFormat="1" x14ac:dyDescent="0.3"/>
    <row r="10273" customFormat="1" x14ac:dyDescent="0.3"/>
    <row r="10274" customFormat="1" x14ac:dyDescent="0.3"/>
    <row r="10275" customFormat="1" x14ac:dyDescent="0.3"/>
    <row r="10276" customFormat="1" x14ac:dyDescent="0.3"/>
    <row r="10277" customFormat="1" x14ac:dyDescent="0.3"/>
    <row r="10278" customFormat="1" x14ac:dyDescent="0.3"/>
    <row r="10279" customFormat="1" x14ac:dyDescent="0.3"/>
    <row r="10280" customFormat="1" x14ac:dyDescent="0.3"/>
    <row r="10281" customFormat="1" x14ac:dyDescent="0.3"/>
    <row r="10282" customFormat="1" x14ac:dyDescent="0.3"/>
    <row r="10283" customFormat="1" x14ac:dyDescent="0.3"/>
    <row r="10284" customFormat="1" x14ac:dyDescent="0.3"/>
    <row r="10285" customFormat="1" x14ac:dyDescent="0.3"/>
    <row r="10286" customFormat="1" x14ac:dyDescent="0.3"/>
    <row r="10287" customFormat="1" x14ac:dyDescent="0.3"/>
    <row r="10288" customFormat="1" x14ac:dyDescent="0.3"/>
    <row r="10289" customFormat="1" x14ac:dyDescent="0.3"/>
    <row r="10290" customFormat="1" x14ac:dyDescent="0.3"/>
    <row r="10291" customFormat="1" x14ac:dyDescent="0.3"/>
    <row r="10292" customFormat="1" x14ac:dyDescent="0.3"/>
    <row r="10293" customFormat="1" x14ac:dyDescent="0.3"/>
    <row r="10294" customFormat="1" x14ac:dyDescent="0.3"/>
    <row r="10295" customFormat="1" x14ac:dyDescent="0.3"/>
    <row r="10296" customFormat="1" x14ac:dyDescent="0.3"/>
    <row r="10297" customFormat="1" x14ac:dyDescent="0.3"/>
    <row r="10298" customFormat="1" x14ac:dyDescent="0.3"/>
    <row r="10299" customFormat="1" x14ac:dyDescent="0.3"/>
    <row r="10300" customFormat="1" x14ac:dyDescent="0.3"/>
    <row r="10301" customFormat="1" x14ac:dyDescent="0.3"/>
    <row r="10302" customFormat="1" x14ac:dyDescent="0.3"/>
    <row r="10303" customFormat="1" x14ac:dyDescent="0.3"/>
    <row r="10304" customFormat="1" x14ac:dyDescent="0.3"/>
    <row r="10305" customFormat="1" x14ac:dyDescent="0.3"/>
    <row r="10306" customFormat="1" x14ac:dyDescent="0.3"/>
    <row r="10307" customFormat="1" x14ac:dyDescent="0.3"/>
    <row r="10308" customFormat="1" x14ac:dyDescent="0.3"/>
    <row r="10309" customFormat="1" x14ac:dyDescent="0.3"/>
    <row r="10310" customFormat="1" x14ac:dyDescent="0.3"/>
    <row r="10311" customFormat="1" x14ac:dyDescent="0.3"/>
    <row r="10312" customFormat="1" x14ac:dyDescent="0.3"/>
    <row r="10313" customFormat="1" x14ac:dyDescent="0.3"/>
    <row r="10314" customFormat="1" x14ac:dyDescent="0.3"/>
    <row r="10315" customFormat="1" x14ac:dyDescent="0.3"/>
    <row r="10316" customFormat="1" x14ac:dyDescent="0.3"/>
    <row r="10317" customFormat="1" x14ac:dyDescent="0.3"/>
    <row r="10318" customFormat="1" x14ac:dyDescent="0.3"/>
    <row r="10319" customFormat="1" x14ac:dyDescent="0.3"/>
    <row r="10320" customFormat="1" x14ac:dyDescent="0.3"/>
    <row r="10321" customFormat="1" x14ac:dyDescent="0.3"/>
    <row r="10322" customFormat="1" x14ac:dyDescent="0.3"/>
    <row r="10323" customFormat="1" x14ac:dyDescent="0.3"/>
    <row r="10324" customFormat="1" x14ac:dyDescent="0.3"/>
    <row r="10325" customFormat="1" x14ac:dyDescent="0.3"/>
    <row r="10326" customFormat="1" x14ac:dyDescent="0.3"/>
    <row r="10327" customFormat="1" x14ac:dyDescent="0.3"/>
    <row r="10328" customFormat="1" x14ac:dyDescent="0.3"/>
    <row r="10329" customFormat="1" x14ac:dyDescent="0.3"/>
    <row r="10330" customFormat="1" x14ac:dyDescent="0.3"/>
    <row r="10331" customFormat="1" x14ac:dyDescent="0.3"/>
    <row r="10332" customFormat="1" x14ac:dyDescent="0.3"/>
    <row r="10333" customFormat="1" x14ac:dyDescent="0.3"/>
    <row r="10334" customFormat="1" x14ac:dyDescent="0.3"/>
    <row r="10335" customFormat="1" x14ac:dyDescent="0.3"/>
    <row r="10336" customFormat="1" x14ac:dyDescent="0.3"/>
    <row r="10337" customFormat="1" x14ac:dyDescent="0.3"/>
    <row r="10338" customFormat="1" x14ac:dyDescent="0.3"/>
    <row r="10339" customFormat="1" x14ac:dyDescent="0.3"/>
    <row r="10340" customFormat="1" x14ac:dyDescent="0.3"/>
    <row r="10341" customFormat="1" x14ac:dyDescent="0.3"/>
    <row r="10342" customFormat="1" x14ac:dyDescent="0.3"/>
    <row r="10343" customFormat="1" x14ac:dyDescent="0.3"/>
    <row r="10344" customFormat="1" x14ac:dyDescent="0.3"/>
    <row r="10345" customFormat="1" x14ac:dyDescent="0.3"/>
    <row r="10346" customFormat="1" x14ac:dyDescent="0.3"/>
    <row r="10347" customFormat="1" x14ac:dyDescent="0.3"/>
    <row r="10348" customFormat="1" x14ac:dyDescent="0.3"/>
    <row r="10349" customFormat="1" x14ac:dyDescent="0.3"/>
    <row r="10350" customFormat="1" x14ac:dyDescent="0.3"/>
    <row r="10351" customFormat="1" x14ac:dyDescent="0.3"/>
    <row r="10352" customFormat="1" x14ac:dyDescent="0.3"/>
    <row r="10353" customFormat="1" x14ac:dyDescent="0.3"/>
    <row r="10354" customFormat="1" x14ac:dyDescent="0.3"/>
    <row r="10355" customFormat="1" x14ac:dyDescent="0.3"/>
    <row r="10356" customFormat="1" x14ac:dyDescent="0.3"/>
    <row r="10357" customFormat="1" x14ac:dyDescent="0.3"/>
    <row r="10358" customFormat="1" x14ac:dyDescent="0.3"/>
    <row r="10359" customFormat="1" x14ac:dyDescent="0.3"/>
    <row r="10360" customFormat="1" x14ac:dyDescent="0.3"/>
    <row r="10361" customFormat="1" x14ac:dyDescent="0.3"/>
    <row r="10362" customFormat="1" x14ac:dyDescent="0.3"/>
    <row r="10363" customFormat="1" x14ac:dyDescent="0.3"/>
    <row r="10364" customFormat="1" x14ac:dyDescent="0.3"/>
    <row r="10365" customFormat="1" x14ac:dyDescent="0.3"/>
    <row r="10366" customFormat="1" x14ac:dyDescent="0.3"/>
    <row r="10367" customFormat="1" x14ac:dyDescent="0.3"/>
    <row r="10368" customFormat="1" x14ac:dyDescent="0.3"/>
    <row r="10369" customFormat="1" x14ac:dyDescent="0.3"/>
    <row r="10370" customFormat="1" x14ac:dyDescent="0.3"/>
    <row r="10371" customFormat="1" x14ac:dyDescent="0.3"/>
    <row r="10372" customFormat="1" x14ac:dyDescent="0.3"/>
    <row r="10373" customFormat="1" x14ac:dyDescent="0.3"/>
    <row r="10374" customFormat="1" x14ac:dyDescent="0.3"/>
    <row r="10375" customFormat="1" x14ac:dyDescent="0.3"/>
    <row r="10376" customFormat="1" x14ac:dyDescent="0.3"/>
    <row r="10377" customFormat="1" x14ac:dyDescent="0.3"/>
    <row r="10378" customFormat="1" x14ac:dyDescent="0.3"/>
    <row r="10379" customFormat="1" x14ac:dyDescent="0.3"/>
    <row r="10380" customFormat="1" x14ac:dyDescent="0.3"/>
    <row r="10381" customFormat="1" x14ac:dyDescent="0.3"/>
    <row r="10382" customFormat="1" x14ac:dyDescent="0.3"/>
    <row r="10383" customFormat="1" x14ac:dyDescent="0.3"/>
    <row r="10384" customFormat="1" x14ac:dyDescent="0.3"/>
    <row r="10385" customFormat="1" x14ac:dyDescent="0.3"/>
    <row r="10386" customFormat="1" x14ac:dyDescent="0.3"/>
    <row r="10387" customFormat="1" x14ac:dyDescent="0.3"/>
    <row r="10388" customFormat="1" x14ac:dyDescent="0.3"/>
    <row r="10389" customFormat="1" x14ac:dyDescent="0.3"/>
    <row r="10390" customFormat="1" x14ac:dyDescent="0.3"/>
    <row r="10391" customFormat="1" x14ac:dyDescent="0.3"/>
    <row r="10392" customFormat="1" x14ac:dyDescent="0.3"/>
    <row r="10393" customFormat="1" x14ac:dyDescent="0.3"/>
    <row r="10394" customFormat="1" x14ac:dyDescent="0.3"/>
    <row r="10395" customFormat="1" x14ac:dyDescent="0.3"/>
    <row r="10396" customFormat="1" x14ac:dyDescent="0.3"/>
    <row r="10397" customFormat="1" x14ac:dyDescent="0.3"/>
    <row r="10398" customFormat="1" x14ac:dyDescent="0.3"/>
    <row r="10399" customFormat="1" x14ac:dyDescent="0.3"/>
    <row r="10400" customFormat="1" x14ac:dyDescent="0.3"/>
    <row r="10401" customFormat="1" x14ac:dyDescent="0.3"/>
    <row r="10402" customFormat="1" x14ac:dyDescent="0.3"/>
    <row r="10403" customFormat="1" x14ac:dyDescent="0.3"/>
    <row r="10404" customFormat="1" x14ac:dyDescent="0.3"/>
    <row r="10405" customFormat="1" x14ac:dyDescent="0.3"/>
    <row r="10406" customFormat="1" x14ac:dyDescent="0.3"/>
    <row r="10407" customFormat="1" x14ac:dyDescent="0.3"/>
    <row r="10408" customFormat="1" x14ac:dyDescent="0.3"/>
    <row r="10409" customFormat="1" x14ac:dyDescent="0.3"/>
    <row r="10410" customFormat="1" x14ac:dyDescent="0.3"/>
    <row r="10411" customFormat="1" x14ac:dyDescent="0.3"/>
    <row r="10412" customFormat="1" x14ac:dyDescent="0.3"/>
    <row r="10413" customFormat="1" x14ac:dyDescent="0.3"/>
    <row r="10414" customFormat="1" x14ac:dyDescent="0.3"/>
    <row r="10415" customFormat="1" x14ac:dyDescent="0.3"/>
    <row r="10416" customFormat="1" x14ac:dyDescent="0.3"/>
    <row r="10417" customFormat="1" x14ac:dyDescent="0.3"/>
    <row r="10418" customFormat="1" x14ac:dyDescent="0.3"/>
    <row r="10419" customFormat="1" x14ac:dyDescent="0.3"/>
    <row r="10420" customFormat="1" x14ac:dyDescent="0.3"/>
    <row r="10421" customFormat="1" x14ac:dyDescent="0.3"/>
    <row r="10422" customFormat="1" x14ac:dyDescent="0.3"/>
    <row r="10423" customFormat="1" x14ac:dyDescent="0.3"/>
    <row r="10424" customFormat="1" x14ac:dyDescent="0.3"/>
    <row r="10425" customFormat="1" x14ac:dyDescent="0.3"/>
    <row r="10426" customFormat="1" x14ac:dyDescent="0.3"/>
    <row r="10427" customFormat="1" x14ac:dyDescent="0.3"/>
    <row r="10428" customFormat="1" x14ac:dyDescent="0.3"/>
    <row r="10429" customFormat="1" x14ac:dyDescent="0.3"/>
    <row r="10430" customFormat="1" x14ac:dyDescent="0.3"/>
    <row r="10431" customFormat="1" x14ac:dyDescent="0.3"/>
    <row r="10432" customFormat="1" x14ac:dyDescent="0.3"/>
    <row r="10433" customFormat="1" x14ac:dyDescent="0.3"/>
    <row r="10434" customFormat="1" x14ac:dyDescent="0.3"/>
    <row r="10435" customFormat="1" x14ac:dyDescent="0.3"/>
    <row r="10436" customFormat="1" x14ac:dyDescent="0.3"/>
    <row r="10437" customFormat="1" x14ac:dyDescent="0.3"/>
    <row r="10438" customFormat="1" x14ac:dyDescent="0.3"/>
    <row r="10439" customFormat="1" x14ac:dyDescent="0.3"/>
    <row r="10440" customFormat="1" x14ac:dyDescent="0.3"/>
    <row r="10441" customFormat="1" x14ac:dyDescent="0.3"/>
    <row r="10442" customFormat="1" x14ac:dyDescent="0.3"/>
    <row r="10443" customFormat="1" x14ac:dyDescent="0.3"/>
    <row r="10444" customFormat="1" x14ac:dyDescent="0.3"/>
    <row r="10445" customFormat="1" x14ac:dyDescent="0.3"/>
    <row r="10446" customFormat="1" x14ac:dyDescent="0.3"/>
    <row r="10447" customFormat="1" x14ac:dyDescent="0.3"/>
    <row r="10448" customFormat="1" x14ac:dyDescent="0.3"/>
    <row r="10449" customFormat="1" x14ac:dyDescent="0.3"/>
    <row r="10450" customFormat="1" x14ac:dyDescent="0.3"/>
    <row r="10451" customFormat="1" x14ac:dyDescent="0.3"/>
    <row r="10452" customFormat="1" x14ac:dyDescent="0.3"/>
    <row r="10453" customFormat="1" x14ac:dyDescent="0.3"/>
    <row r="10454" customFormat="1" x14ac:dyDescent="0.3"/>
    <row r="10455" customFormat="1" x14ac:dyDescent="0.3"/>
    <row r="10456" customFormat="1" x14ac:dyDescent="0.3"/>
    <row r="10457" customFormat="1" x14ac:dyDescent="0.3"/>
    <row r="10458" customFormat="1" x14ac:dyDescent="0.3"/>
    <row r="10459" customFormat="1" x14ac:dyDescent="0.3"/>
    <row r="10460" customFormat="1" x14ac:dyDescent="0.3"/>
    <row r="10461" customFormat="1" x14ac:dyDescent="0.3"/>
    <row r="10462" customFormat="1" x14ac:dyDescent="0.3"/>
    <row r="10463" customFormat="1" x14ac:dyDescent="0.3"/>
    <row r="10464" customFormat="1" x14ac:dyDescent="0.3"/>
    <row r="10465" customFormat="1" x14ac:dyDescent="0.3"/>
    <row r="10466" customFormat="1" x14ac:dyDescent="0.3"/>
    <row r="10467" customFormat="1" x14ac:dyDescent="0.3"/>
    <row r="10468" customFormat="1" x14ac:dyDescent="0.3"/>
    <row r="10469" customFormat="1" x14ac:dyDescent="0.3"/>
    <row r="10470" customFormat="1" x14ac:dyDescent="0.3"/>
    <row r="10471" customFormat="1" x14ac:dyDescent="0.3"/>
    <row r="10472" customFormat="1" x14ac:dyDescent="0.3"/>
    <row r="10473" customFormat="1" x14ac:dyDescent="0.3"/>
    <row r="10474" customFormat="1" x14ac:dyDescent="0.3"/>
    <row r="10475" customFormat="1" x14ac:dyDescent="0.3"/>
    <row r="10476" customFormat="1" x14ac:dyDescent="0.3"/>
    <row r="10477" customFormat="1" x14ac:dyDescent="0.3"/>
    <row r="10478" customFormat="1" x14ac:dyDescent="0.3"/>
    <row r="10479" customFormat="1" x14ac:dyDescent="0.3"/>
    <row r="10480" customFormat="1" x14ac:dyDescent="0.3"/>
    <row r="10481" customFormat="1" x14ac:dyDescent="0.3"/>
    <row r="10482" customFormat="1" x14ac:dyDescent="0.3"/>
    <row r="10483" customFormat="1" x14ac:dyDescent="0.3"/>
    <row r="10484" customFormat="1" x14ac:dyDescent="0.3"/>
    <row r="10485" customFormat="1" x14ac:dyDescent="0.3"/>
    <row r="10486" customFormat="1" x14ac:dyDescent="0.3"/>
    <row r="10487" customFormat="1" x14ac:dyDescent="0.3"/>
    <row r="10488" customFormat="1" x14ac:dyDescent="0.3"/>
    <row r="10489" customFormat="1" x14ac:dyDescent="0.3"/>
    <row r="10490" customFormat="1" x14ac:dyDescent="0.3"/>
    <row r="10491" customFormat="1" x14ac:dyDescent="0.3"/>
    <row r="10492" customFormat="1" x14ac:dyDescent="0.3"/>
    <row r="10493" customFormat="1" x14ac:dyDescent="0.3"/>
    <row r="10494" customFormat="1" x14ac:dyDescent="0.3"/>
    <row r="10495" customFormat="1" x14ac:dyDescent="0.3"/>
    <row r="10496" customFormat="1" x14ac:dyDescent="0.3"/>
    <row r="10497" customFormat="1" x14ac:dyDescent="0.3"/>
    <row r="10498" customFormat="1" x14ac:dyDescent="0.3"/>
    <row r="10499" customFormat="1" x14ac:dyDescent="0.3"/>
    <row r="10500" customFormat="1" x14ac:dyDescent="0.3"/>
    <row r="10501" customFormat="1" x14ac:dyDescent="0.3"/>
    <row r="10502" customFormat="1" x14ac:dyDescent="0.3"/>
    <row r="10503" customFormat="1" x14ac:dyDescent="0.3"/>
    <row r="10504" customFormat="1" x14ac:dyDescent="0.3"/>
    <row r="10505" customFormat="1" x14ac:dyDescent="0.3"/>
    <row r="10506" customFormat="1" x14ac:dyDescent="0.3"/>
    <row r="10507" customFormat="1" x14ac:dyDescent="0.3"/>
    <row r="10508" customFormat="1" x14ac:dyDescent="0.3"/>
    <row r="10509" customFormat="1" x14ac:dyDescent="0.3"/>
    <row r="10510" customFormat="1" x14ac:dyDescent="0.3"/>
    <row r="10511" customFormat="1" x14ac:dyDescent="0.3"/>
    <row r="10512" customFormat="1" x14ac:dyDescent="0.3"/>
    <row r="10513" customFormat="1" x14ac:dyDescent="0.3"/>
    <row r="10514" customFormat="1" x14ac:dyDescent="0.3"/>
    <row r="10515" customFormat="1" x14ac:dyDescent="0.3"/>
    <row r="10516" customFormat="1" x14ac:dyDescent="0.3"/>
    <row r="10517" customFormat="1" x14ac:dyDescent="0.3"/>
    <row r="10518" customFormat="1" x14ac:dyDescent="0.3"/>
    <row r="10519" customFormat="1" x14ac:dyDescent="0.3"/>
    <row r="10520" customFormat="1" x14ac:dyDescent="0.3"/>
    <row r="10521" customFormat="1" x14ac:dyDescent="0.3"/>
    <row r="10522" customFormat="1" x14ac:dyDescent="0.3"/>
    <row r="10523" customFormat="1" x14ac:dyDescent="0.3"/>
    <row r="10524" customFormat="1" x14ac:dyDescent="0.3"/>
    <row r="10525" customFormat="1" x14ac:dyDescent="0.3"/>
    <row r="10526" customFormat="1" x14ac:dyDescent="0.3"/>
    <row r="10527" customFormat="1" x14ac:dyDescent="0.3"/>
    <row r="10528" customFormat="1" x14ac:dyDescent="0.3"/>
    <row r="10529" customFormat="1" x14ac:dyDescent="0.3"/>
    <row r="10530" customFormat="1" x14ac:dyDescent="0.3"/>
    <row r="10531" customFormat="1" x14ac:dyDescent="0.3"/>
    <row r="10532" customFormat="1" x14ac:dyDescent="0.3"/>
    <row r="10533" customFormat="1" x14ac:dyDescent="0.3"/>
    <row r="10534" customFormat="1" x14ac:dyDescent="0.3"/>
    <row r="10535" customFormat="1" x14ac:dyDescent="0.3"/>
    <row r="10536" customFormat="1" x14ac:dyDescent="0.3"/>
    <row r="10537" customFormat="1" x14ac:dyDescent="0.3"/>
    <row r="10538" customFormat="1" x14ac:dyDescent="0.3"/>
    <row r="10539" customFormat="1" x14ac:dyDescent="0.3"/>
    <row r="10540" customFormat="1" x14ac:dyDescent="0.3"/>
    <row r="10541" customFormat="1" x14ac:dyDescent="0.3"/>
    <row r="10542" customFormat="1" x14ac:dyDescent="0.3"/>
    <row r="10543" customFormat="1" x14ac:dyDescent="0.3"/>
    <row r="10544" customFormat="1" x14ac:dyDescent="0.3"/>
    <row r="10545" customFormat="1" x14ac:dyDescent="0.3"/>
    <row r="10546" customFormat="1" x14ac:dyDescent="0.3"/>
    <row r="10547" customFormat="1" x14ac:dyDescent="0.3"/>
    <row r="10548" customFormat="1" x14ac:dyDescent="0.3"/>
    <row r="10549" customFormat="1" x14ac:dyDescent="0.3"/>
    <row r="10550" customFormat="1" x14ac:dyDescent="0.3"/>
    <row r="10551" customFormat="1" x14ac:dyDescent="0.3"/>
    <row r="10552" customFormat="1" x14ac:dyDescent="0.3"/>
    <row r="10553" customFormat="1" x14ac:dyDescent="0.3"/>
    <row r="10554" customFormat="1" x14ac:dyDescent="0.3"/>
    <row r="10555" customFormat="1" x14ac:dyDescent="0.3"/>
    <row r="10556" customFormat="1" x14ac:dyDescent="0.3"/>
    <row r="10557" customFormat="1" x14ac:dyDescent="0.3"/>
    <row r="10558" customFormat="1" x14ac:dyDescent="0.3"/>
    <row r="10559" customFormat="1" x14ac:dyDescent="0.3"/>
    <row r="10560" customFormat="1" x14ac:dyDescent="0.3"/>
    <row r="10561" customFormat="1" x14ac:dyDescent="0.3"/>
    <row r="10562" customFormat="1" x14ac:dyDescent="0.3"/>
    <row r="10563" customFormat="1" x14ac:dyDescent="0.3"/>
    <row r="10564" customFormat="1" x14ac:dyDescent="0.3"/>
    <row r="10565" customFormat="1" x14ac:dyDescent="0.3"/>
    <row r="10566" customFormat="1" x14ac:dyDescent="0.3"/>
    <row r="10567" customFormat="1" x14ac:dyDescent="0.3"/>
    <row r="10568" customFormat="1" x14ac:dyDescent="0.3"/>
    <row r="10569" customFormat="1" x14ac:dyDescent="0.3"/>
    <row r="10570" customFormat="1" x14ac:dyDescent="0.3"/>
    <row r="10571" customFormat="1" x14ac:dyDescent="0.3"/>
    <row r="10572" customFormat="1" x14ac:dyDescent="0.3"/>
    <row r="10573" customFormat="1" x14ac:dyDescent="0.3"/>
    <row r="10574" customFormat="1" x14ac:dyDescent="0.3"/>
    <row r="10575" customFormat="1" x14ac:dyDescent="0.3"/>
    <row r="10576" customFormat="1" x14ac:dyDescent="0.3"/>
    <row r="10577" customFormat="1" x14ac:dyDescent="0.3"/>
    <row r="10578" customFormat="1" x14ac:dyDescent="0.3"/>
    <row r="10579" customFormat="1" x14ac:dyDescent="0.3"/>
    <row r="10580" customFormat="1" x14ac:dyDescent="0.3"/>
    <row r="10581" customFormat="1" x14ac:dyDescent="0.3"/>
    <row r="10582" customFormat="1" x14ac:dyDescent="0.3"/>
    <row r="10583" customFormat="1" x14ac:dyDescent="0.3"/>
    <row r="10584" customFormat="1" x14ac:dyDescent="0.3"/>
    <row r="10585" customFormat="1" x14ac:dyDescent="0.3"/>
    <row r="10586" customFormat="1" x14ac:dyDescent="0.3"/>
    <row r="10587" customFormat="1" x14ac:dyDescent="0.3"/>
    <row r="10588" customFormat="1" x14ac:dyDescent="0.3"/>
    <row r="10589" customFormat="1" x14ac:dyDescent="0.3"/>
    <row r="10590" customFormat="1" x14ac:dyDescent="0.3"/>
    <row r="10591" customFormat="1" x14ac:dyDescent="0.3"/>
    <row r="10592" customFormat="1" x14ac:dyDescent="0.3"/>
    <row r="10593" customFormat="1" x14ac:dyDescent="0.3"/>
    <row r="10594" customFormat="1" x14ac:dyDescent="0.3"/>
    <row r="10595" customFormat="1" x14ac:dyDescent="0.3"/>
    <row r="10596" customFormat="1" x14ac:dyDescent="0.3"/>
    <row r="10597" customFormat="1" x14ac:dyDescent="0.3"/>
    <row r="10598" customFormat="1" x14ac:dyDescent="0.3"/>
    <row r="10599" customFormat="1" x14ac:dyDescent="0.3"/>
    <row r="10600" customFormat="1" x14ac:dyDescent="0.3"/>
    <row r="10601" customFormat="1" x14ac:dyDescent="0.3"/>
    <row r="10602" customFormat="1" x14ac:dyDescent="0.3"/>
    <row r="10603" customFormat="1" x14ac:dyDescent="0.3"/>
    <row r="10604" customFormat="1" x14ac:dyDescent="0.3"/>
    <row r="10605" customFormat="1" x14ac:dyDescent="0.3"/>
    <row r="10606" customFormat="1" x14ac:dyDescent="0.3"/>
    <row r="10607" customFormat="1" x14ac:dyDescent="0.3"/>
    <row r="10608" customFormat="1" x14ac:dyDescent="0.3"/>
    <row r="10609" customFormat="1" x14ac:dyDescent="0.3"/>
    <row r="10610" customFormat="1" x14ac:dyDescent="0.3"/>
    <row r="10611" customFormat="1" x14ac:dyDescent="0.3"/>
    <row r="10612" customFormat="1" x14ac:dyDescent="0.3"/>
    <row r="10613" customFormat="1" x14ac:dyDescent="0.3"/>
    <row r="10614" customFormat="1" x14ac:dyDescent="0.3"/>
    <row r="10615" customFormat="1" x14ac:dyDescent="0.3"/>
    <row r="10616" customFormat="1" x14ac:dyDescent="0.3"/>
    <row r="10617" customFormat="1" x14ac:dyDescent="0.3"/>
    <row r="10618" customFormat="1" x14ac:dyDescent="0.3"/>
    <row r="10619" customFormat="1" x14ac:dyDescent="0.3"/>
    <row r="10620" customFormat="1" x14ac:dyDescent="0.3"/>
    <row r="10621" customFormat="1" x14ac:dyDescent="0.3"/>
    <row r="10622" customFormat="1" x14ac:dyDescent="0.3"/>
    <row r="10623" customFormat="1" x14ac:dyDescent="0.3"/>
    <row r="10624" customFormat="1" x14ac:dyDescent="0.3"/>
    <row r="10625" customFormat="1" x14ac:dyDescent="0.3"/>
    <row r="10626" customFormat="1" x14ac:dyDescent="0.3"/>
    <row r="10627" customFormat="1" x14ac:dyDescent="0.3"/>
    <row r="10628" customFormat="1" x14ac:dyDescent="0.3"/>
    <row r="10629" customFormat="1" x14ac:dyDescent="0.3"/>
    <row r="10630" customFormat="1" x14ac:dyDescent="0.3"/>
    <row r="10631" customFormat="1" x14ac:dyDescent="0.3"/>
    <row r="10632" customFormat="1" x14ac:dyDescent="0.3"/>
    <row r="10633" customFormat="1" x14ac:dyDescent="0.3"/>
    <row r="10634" customFormat="1" x14ac:dyDescent="0.3"/>
    <row r="10635" customFormat="1" x14ac:dyDescent="0.3"/>
    <row r="10636" customFormat="1" x14ac:dyDescent="0.3"/>
    <row r="10637" customFormat="1" x14ac:dyDescent="0.3"/>
    <row r="10638" customFormat="1" x14ac:dyDescent="0.3"/>
    <row r="10639" customFormat="1" x14ac:dyDescent="0.3"/>
    <row r="10640" customFormat="1" x14ac:dyDescent="0.3"/>
    <row r="10641" customFormat="1" x14ac:dyDescent="0.3"/>
    <row r="10642" customFormat="1" x14ac:dyDescent="0.3"/>
    <row r="10643" customFormat="1" x14ac:dyDescent="0.3"/>
    <row r="10644" customFormat="1" x14ac:dyDescent="0.3"/>
    <row r="10645" customFormat="1" x14ac:dyDescent="0.3"/>
    <row r="10646" customFormat="1" x14ac:dyDescent="0.3"/>
    <row r="10647" customFormat="1" x14ac:dyDescent="0.3"/>
    <row r="10648" customFormat="1" x14ac:dyDescent="0.3"/>
    <row r="10649" customFormat="1" x14ac:dyDescent="0.3"/>
    <row r="10650" customFormat="1" x14ac:dyDescent="0.3"/>
    <row r="10651" customFormat="1" x14ac:dyDescent="0.3"/>
    <row r="10652" customFormat="1" x14ac:dyDescent="0.3"/>
    <row r="10653" customFormat="1" x14ac:dyDescent="0.3"/>
    <row r="10654" customFormat="1" x14ac:dyDescent="0.3"/>
    <row r="10655" customFormat="1" x14ac:dyDescent="0.3"/>
    <row r="10656" customFormat="1" x14ac:dyDescent="0.3"/>
    <row r="10657" customFormat="1" x14ac:dyDescent="0.3"/>
    <row r="10658" customFormat="1" x14ac:dyDescent="0.3"/>
    <row r="10659" customFormat="1" x14ac:dyDescent="0.3"/>
    <row r="10660" customFormat="1" x14ac:dyDescent="0.3"/>
    <row r="10661" customFormat="1" x14ac:dyDescent="0.3"/>
    <row r="10662" customFormat="1" x14ac:dyDescent="0.3"/>
    <row r="10663" customFormat="1" x14ac:dyDescent="0.3"/>
    <row r="10664" customFormat="1" x14ac:dyDescent="0.3"/>
    <row r="10665" customFormat="1" x14ac:dyDescent="0.3"/>
    <row r="10666" customFormat="1" x14ac:dyDescent="0.3"/>
    <row r="10667" customFormat="1" x14ac:dyDescent="0.3"/>
    <row r="10668" customFormat="1" x14ac:dyDescent="0.3"/>
    <row r="10669" customFormat="1" x14ac:dyDescent="0.3"/>
    <row r="10670" customFormat="1" x14ac:dyDescent="0.3"/>
    <row r="10671" customFormat="1" x14ac:dyDescent="0.3"/>
    <row r="10672" customFormat="1" x14ac:dyDescent="0.3"/>
    <row r="10673" customFormat="1" x14ac:dyDescent="0.3"/>
    <row r="10674" customFormat="1" x14ac:dyDescent="0.3"/>
    <row r="10675" customFormat="1" x14ac:dyDescent="0.3"/>
    <row r="10676" customFormat="1" x14ac:dyDescent="0.3"/>
    <row r="10677" customFormat="1" x14ac:dyDescent="0.3"/>
    <row r="10678" customFormat="1" x14ac:dyDescent="0.3"/>
    <row r="10679" customFormat="1" x14ac:dyDescent="0.3"/>
    <row r="10680" customFormat="1" x14ac:dyDescent="0.3"/>
    <row r="10681" customFormat="1" x14ac:dyDescent="0.3"/>
    <row r="10682" customFormat="1" x14ac:dyDescent="0.3"/>
    <row r="10683" customFormat="1" x14ac:dyDescent="0.3"/>
    <row r="10684" customFormat="1" x14ac:dyDescent="0.3"/>
    <row r="10685" customFormat="1" x14ac:dyDescent="0.3"/>
    <row r="10686" customFormat="1" x14ac:dyDescent="0.3"/>
    <row r="10687" customFormat="1" x14ac:dyDescent="0.3"/>
    <row r="10688" customFormat="1" x14ac:dyDescent="0.3"/>
    <row r="10689" customFormat="1" x14ac:dyDescent="0.3"/>
    <row r="10690" customFormat="1" x14ac:dyDescent="0.3"/>
    <row r="10691" customFormat="1" x14ac:dyDescent="0.3"/>
    <row r="10692" customFormat="1" x14ac:dyDescent="0.3"/>
    <row r="10693" customFormat="1" x14ac:dyDescent="0.3"/>
    <row r="10694" customFormat="1" x14ac:dyDescent="0.3"/>
    <row r="10695" customFormat="1" x14ac:dyDescent="0.3"/>
    <row r="10696" customFormat="1" x14ac:dyDescent="0.3"/>
    <row r="10697" customFormat="1" x14ac:dyDescent="0.3"/>
    <row r="10698" customFormat="1" x14ac:dyDescent="0.3"/>
    <row r="10699" customFormat="1" x14ac:dyDescent="0.3"/>
    <row r="10700" customFormat="1" x14ac:dyDescent="0.3"/>
    <row r="10701" customFormat="1" x14ac:dyDescent="0.3"/>
    <row r="10702" customFormat="1" x14ac:dyDescent="0.3"/>
    <row r="10703" customFormat="1" x14ac:dyDescent="0.3"/>
    <row r="10704" customFormat="1" x14ac:dyDescent="0.3"/>
    <row r="10705" customFormat="1" x14ac:dyDescent="0.3"/>
    <row r="10706" customFormat="1" x14ac:dyDescent="0.3"/>
    <row r="10707" customFormat="1" x14ac:dyDescent="0.3"/>
    <row r="10708" customFormat="1" x14ac:dyDescent="0.3"/>
    <row r="10709" customFormat="1" x14ac:dyDescent="0.3"/>
    <row r="10710" customFormat="1" x14ac:dyDescent="0.3"/>
    <row r="10711" customFormat="1" x14ac:dyDescent="0.3"/>
    <row r="10712" customFormat="1" x14ac:dyDescent="0.3"/>
    <row r="10713" customFormat="1" x14ac:dyDescent="0.3"/>
    <row r="10714" customFormat="1" x14ac:dyDescent="0.3"/>
    <row r="10715" customFormat="1" x14ac:dyDescent="0.3"/>
    <row r="10716" customFormat="1" x14ac:dyDescent="0.3"/>
    <row r="10717" customFormat="1" x14ac:dyDescent="0.3"/>
    <row r="10718" customFormat="1" x14ac:dyDescent="0.3"/>
    <row r="10719" customFormat="1" x14ac:dyDescent="0.3"/>
    <row r="10720" customFormat="1" x14ac:dyDescent="0.3"/>
    <row r="10721" customFormat="1" x14ac:dyDescent="0.3"/>
    <row r="10722" customFormat="1" x14ac:dyDescent="0.3"/>
    <row r="10723" customFormat="1" x14ac:dyDescent="0.3"/>
    <row r="10724" customFormat="1" x14ac:dyDescent="0.3"/>
    <row r="10725" customFormat="1" x14ac:dyDescent="0.3"/>
    <row r="10726" customFormat="1" x14ac:dyDescent="0.3"/>
    <row r="10727" customFormat="1" x14ac:dyDescent="0.3"/>
    <row r="10728" customFormat="1" x14ac:dyDescent="0.3"/>
    <row r="10729" customFormat="1" x14ac:dyDescent="0.3"/>
    <row r="10730" customFormat="1" x14ac:dyDescent="0.3"/>
    <row r="10731" customFormat="1" x14ac:dyDescent="0.3"/>
    <row r="10732" customFormat="1" x14ac:dyDescent="0.3"/>
    <row r="10733" customFormat="1" x14ac:dyDescent="0.3"/>
    <row r="10734" customFormat="1" x14ac:dyDescent="0.3"/>
    <row r="10735" customFormat="1" x14ac:dyDescent="0.3"/>
    <row r="10736" customFormat="1" x14ac:dyDescent="0.3"/>
    <row r="10737" customFormat="1" x14ac:dyDescent="0.3"/>
    <row r="10738" customFormat="1" x14ac:dyDescent="0.3"/>
    <row r="10739" customFormat="1" x14ac:dyDescent="0.3"/>
    <row r="10740" customFormat="1" x14ac:dyDescent="0.3"/>
    <row r="10741" customFormat="1" x14ac:dyDescent="0.3"/>
    <row r="10742" customFormat="1" x14ac:dyDescent="0.3"/>
    <row r="10743" customFormat="1" x14ac:dyDescent="0.3"/>
    <row r="10744" customFormat="1" x14ac:dyDescent="0.3"/>
    <row r="10745" customFormat="1" x14ac:dyDescent="0.3"/>
    <row r="10746" customFormat="1" x14ac:dyDescent="0.3"/>
    <row r="10747" customFormat="1" x14ac:dyDescent="0.3"/>
    <row r="10748" customFormat="1" x14ac:dyDescent="0.3"/>
    <row r="10749" customFormat="1" x14ac:dyDescent="0.3"/>
    <row r="10750" customFormat="1" x14ac:dyDescent="0.3"/>
    <row r="10751" customFormat="1" x14ac:dyDescent="0.3"/>
    <row r="10752" customFormat="1" x14ac:dyDescent="0.3"/>
    <row r="10753" customFormat="1" x14ac:dyDescent="0.3"/>
    <row r="10754" customFormat="1" x14ac:dyDescent="0.3"/>
    <row r="10755" customFormat="1" x14ac:dyDescent="0.3"/>
    <row r="10756" customFormat="1" x14ac:dyDescent="0.3"/>
    <row r="10757" customFormat="1" x14ac:dyDescent="0.3"/>
    <row r="10758" customFormat="1" x14ac:dyDescent="0.3"/>
    <row r="10759" customFormat="1" x14ac:dyDescent="0.3"/>
    <row r="10760" customFormat="1" x14ac:dyDescent="0.3"/>
    <row r="10761" customFormat="1" x14ac:dyDescent="0.3"/>
    <row r="10762" customFormat="1" x14ac:dyDescent="0.3"/>
    <row r="10763" customFormat="1" x14ac:dyDescent="0.3"/>
    <row r="10764" customFormat="1" x14ac:dyDescent="0.3"/>
    <row r="10765" customFormat="1" x14ac:dyDescent="0.3"/>
    <row r="10766" customFormat="1" x14ac:dyDescent="0.3"/>
    <row r="10767" customFormat="1" x14ac:dyDescent="0.3"/>
    <row r="10768" customFormat="1" x14ac:dyDescent="0.3"/>
    <row r="10769" customFormat="1" x14ac:dyDescent="0.3"/>
    <row r="10770" customFormat="1" x14ac:dyDescent="0.3"/>
    <row r="10771" customFormat="1" x14ac:dyDescent="0.3"/>
    <row r="10772" customFormat="1" x14ac:dyDescent="0.3"/>
    <row r="10773" customFormat="1" x14ac:dyDescent="0.3"/>
    <row r="10774" customFormat="1" x14ac:dyDescent="0.3"/>
    <row r="10775" customFormat="1" x14ac:dyDescent="0.3"/>
    <row r="10776" customFormat="1" x14ac:dyDescent="0.3"/>
    <row r="10777" customFormat="1" x14ac:dyDescent="0.3"/>
    <row r="10778" customFormat="1" x14ac:dyDescent="0.3"/>
    <row r="10779" customFormat="1" x14ac:dyDescent="0.3"/>
    <row r="10780" customFormat="1" x14ac:dyDescent="0.3"/>
    <row r="10781" customFormat="1" x14ac:dyDescent="0.3"/>
    <row r="10782" customFormat="1" x14ac:dyDescent="0.3"/>
    <row r="10783" customFormat="1" x14ac:dyDescent="0.3"/>
    <row r="10784" customFormat="1" x14ac:dyDescent="0.3"/>
    <row r="10785" customFormat="1" x14ac:dyDescent="0.3"/>
    <row r="10786" customFormat="1" x14ac:dyDescent="0.3"/>
    <row r="10787" customFormat="1" x14ac:dyDescent="0.3"/>
    <row r="10788" customFormat="1" x14ac:dyDescent="0.3"/>
    <row r="10789" customFormat="1" x14ac:dyDescent="0.3"/>
    <row r="10790" customFormat="1" x14ac:dyDescent="0.3"/>
    <row r="10791" customFormat="1" x14ac:dyDescent="0.3"/>
    <row r="10792" customFormat="1" x14ac:dyDescent="0.3"/>
    <row r="10793" customFormat="1" x14ac:dyDescent="0.3"/>
    <row r="10794" customFormat="1" x14ac:dyDescent="0.3"/>
    <row r="10795" customFormat="1" x14ac:dyDescent="0.3"/>
    <row r="10796" customFormat="1" x14ac:dyDescent="0.3"/>
    <row r="10797" customFormat="1" x14ac:dyDescent="0.3"/>
    <row r="10798" customFormat="1" x14ac:dyDescent="0.3"/>
    <row r="10799" customFormat="1" x14ac:dyDescent="0.3"/>
    <row r="10800" customFormat="1" x14ac:dyDescent="0.3"/>
    <row r="10801" customFormat="1" x14ac:dyDescent="0.3"/>
    <row r="10802" customFormat="1" x14ac:dyDescent="0.3"/>
    <row r="10803" customFormat="1" x14ac:dyDescent="0.3"/>
    <row r="10804" customFormat="1" x14ac:dyDescent="0.3"/>
    <row r="10805" customFormat="1" x14ac:dyDescent="0.3"/>
    <row r="10806" customFormat="1" x14ac:dyDescent="0.3"/>
    <row r="10807" customFormat="1" x14ac:dyDescent="0.3"/>
    <row r="10808" customFormat="1" x14ac:dyDescent="0.3"/>
    <row r="10809" customFormat="1" x14ac:dyDescent="0.3"/>
    <row r="10810" customFormat="1" x14ac:dyDescent="0.3"/>
    <row r="10811" customFormat="1" x14ac:dyDescent="0.3"/>
    <row r="10812" customFormat="1" x14ac:dyDescent="0.3"/>
    <row r="10813" customFormat="1" x14ac:dyDescent="0.3"/>
    <row r="10814" customFormat="1" x14ac:dyDescent="0.3"/>
    <row r="10815" customFormat="1" x14ac:dyDescent="0.3"/>
    <row r="10816" customFormat="1" x14ac:dyDescent="0.3"/>
    <row r="10817" customFormat="1" x14ac:dyDescent="0.3"/>
    <row r="10818" customFormat="1" x14ac:dyDescent="0.3"/>
    <row r="10819" customFormat="1" x14ac:dyDescent="0.3"/>
    <row r="10820" customFormat="1" x14ac:dyDescent="0.3"/>
    <row r="10821" customFormat="1" x14ac:dyDescent="0.3"/>
    <row r="10822" customFormat="1" x14ac:dyDescent="0.3"/>
    <row r="10823" customFormat="1" x14ac:dyDescent="0.3"/>
    <row r="10824" customFormat="1" x14ac:dyDescent="0.3"/>
    <row r="10825" customFormat="1" x14ac:dyDescent="0.3"/>
    <row r="10826" customFormat="1" x14ac:dyDescent="0.3"/>
    <row r="10827" customFormat="1" x14ac:dyDescent="0.3"/>
    <row r="10828" customFormat="1" x14ac:dyDescent="0.3"/>
    <row r="10829" customFormat="1" x14ac:dyDescent="0.3"/>
    <row r="10830" customFormat="1" x14ac:dyDescent="0.3"/>
    <row r="10831" customFormat="1" x14ac:dyDescent="0.3"/>
    <row r="10832" customFormat="1" x14ac:dyDescent="0.3"/>
    <row r="10833" customFormat="1" x14ac:dyDescent="0.3"/>
    <row r="10834" customFormat="1" x14ac:dyDescent="0.3"/>
    <row r="10835" customFormat="1" x14ac:dyDescent="0.3"/>
    <row r="10836" customFormat="1" x14ac:dyDescent="0.3"/>
    <row r="10837" customFormat="1" x14ac:dyDescent="0.3"/>
    <row r="10838" customFormat="1" x14ac:dyDescent="0.3"/>
    <row r="10839" customFormat="1" x14ac:dyDescent="0.3"/>
    <row r="10840" customFormat="1" x14ac:dyDescent="0.3"/>
    <row r="10841" customFormat="1" x14ac:dyDescent="0.3"/>
    <row r="10842" customFormat="1" x14ac:dyDescent="0.3"/>
    <row r="10843" customFormat="1" x14ac:dyDescent="0.3"/>
    <row r="10844" customFormat="1" x14ac:dyDescent="0.3"/>
    <row r="10845" customFormat="1" x14ac:dyDescent="0.3"/>
    <row r="10846" customFormat="1" x14ac:dyDescent="0.3"/>
    <row r="10847" customFormat="1" x14ac:dyDescent="0.3"/>
    <row r="10848" customFormat="1" x14ac:dyDescent="0.3"/>
    <row r="10849" customFormat="1" x14ac:dyDescent="0.3"/>
    <row r="10850" customFormat="1" x14ac:dyDescent="0.3"/>
    <row r="10851" customFormat="1" x14ac:dyDescent="0.3"/>
    <row r="10852" customFormat="1" x14ac:dyDescent="0.3"/>
    <row r="10853" customFormat="1" x14ac:dyDescent="0.3"/>
    <row r="10854" customFormat="1" x14ac:dyDescent="0.3"/>
    <row r="10855" customFormat="1" x14ac:dyDescent="0.3"/>
    <row r="10856" customFormat="1" x14ac:dyDescent="0.3"/>
    <row r="10857" customFormat="1" x14ac:dyDescent="0.3"/>
    <row r="10858" customFormat="1" x14ac:dyDescent="0.3"/>
    <row r="10859" customFormat="1" x14ac:dyDescent="0.3"/>
    <row r="10860" customFormat="1" x14ac:dyDescent="0.3"/>
    <row r="10861" customFormat="1" x14ac:dyDescent="0.3"/>
    <row r="10862" customFormat="1" x14ac:dyDescent="0.3"/>
    <row r="10863" customFormat="1" x14ac:dyDescent="0.3"/>
    <row r="10864" customFormat="1" x14ac:dyDescent="0.3"/>
    <row r="10865" customFormat="1" x14ac:dyDescent="0.3"/>
    <row r="10866" customFormat="1" x14ac:dyDescent="0.3"/>
    <row r="10867" customFormat="1" x14ac:dyDescent="0.3"/>
    <row r="10868" customFormat="1" x14ac:dyDescent="0.3"/>
    <row r="10869" customFormat="1" x14ac:dyDescent="0.3"/>
    <row r="10870" customFormat="1" x14ac:dyDescent="0.3"/>
    <row r="10871" customFormat="1" x14ac:dyDescent="0.3"/>
    <row r="10872" customFormat="1" x14ac:dyDescent="0.3"/>
    <row r="10873" customFormat="1" x14ac:dyDescent="0.3"/>
    <row r="10874" customFormat="1" x14ac:dyDescent="0.3"/>
    <row r="10875" customFormat="1" x14ac:dyDescent="0.3"/>
    <row r="10876" customFormat="1" x14ac:dyDescent="0.3"/>
    <row r="10877" customFormat="1" x14ac:dyDescent="0.3"/>
    <row r="10878" customFormat="1" x14ac:dyDescent="0.3"/>
    <row r="10879" customFormat="1" x14ac:dyDescent="0.3"/>
    <row r="10880" customFormat="1" x14ac:dyDescent="0.3"/>
    <row r="10881" customFormat="1" x14ac:dyDescent="0.3"/>
    <row r="10882" customFormat="1" x14ac:dyDescent="0.3"/>
    <row r="10883" customFormat="1" x14ac:dyDescent="0.3"/>
    <row r="10884" customFormat="1" x14ac:dyDescent="0.3"/>
    <row r="10885" customFormat="1" x14ac:dyDescent="0.3"/>
    <row r="10886" customFormat="1" x14ac:dyDescent="0.3"/>
    <row r="10887" customFormat="1" x14ac:dyDescent="0.3"/>
    <row r="10888" customFormat="1" x14ac:dyDescent="0.3"/>
    <row r="10889" customFormat="1" x14ac:dyDescent="0.3"/>
    <row r="10890" customFormat="1" x14ac:dyDescent="0.3"/>
    <row r="10891" customFormat="1" x14ac:dyDescent="0.3"/>
    <row r="10892" customFormat="1" x14ac:dyDescent="0.3"/>
    <row r="10893" customFormat="1" x14ac:dyDescent="0.3"/>
    <row r="10894" customFormat="1" x14ac:dyDescent="0.3"/>
    <row r="10895" customFormat="1" x14ac:dyDescent="0.3"/>
    <row r="10896" customFormat="1" x14ac:dyDescent="0.3"/>
    <row r="10897" customFormat="1" x14ac:dyDescent="0.3"/>
    <row r="10898" customFormat="1" x14ac:dyDescent="0.3"/>
    <row r="10899" customFormat="1" x14ac:dyDescent="0.3"/>
    <row r="10900" customFormat="1" x14ac:dyDescent="0.3"/>
    <row r="10901" customFormat="1" x14ac:dyDescent="0.3"/>
    <row r="10902" customFormat="1" x14ac:dyDescent="0.3"/>
    <row r="10903" customFormat="1" x14ac:dyDescent="0.3"/>
    <row r="10904" customFormat="1" x14ac:dyDescent="0.3"/>
    <row r="10905" customFormat="1" x14ac:dyDescent="0.3"/>
    <row r="10906" customFormat="1" x14ac:dyDescent="0.3"/>
    <row r="10907" customFormat="1" x14ac:dyDescent="0.3"/>
    <row r="10908" customFormat="1" x14ac:dyDescent="0.3"/>
    <row r="10909" customFormat="1" x14ac:dyDescent="0.3"/>
    <row r="10910" customFormat="1" x14ac:dyDescent="0.3"/>
    <row r="10911" customFormat="1" x14ac:dyDescent="0.3"/>
    <row r="10912" customFormat="1" x14ac:dyDescent="0.3"/>
    <row r="10913" customFormat="1" x14ac:dyDescent="0.3"/>
    <row r="10914" customFormat="1" x14ac:dyDescent="0.3"/>
    <row r="10915" customFormat="1" x14ac:dyDescent="0.3"/>
    <row r="10916" customFormat="1" x14ac:dyDescent="0.3"/>
    <row r="10917" customFormat="1" x14ac:dyDescent="0.3"/>
    <row r="10918" customFormat="1" x14ac:dyDescent="0.3"/>
    <row r="10919" customFormat="1" x14ac:dyDescent="0.3"/>
    <row r="10920" customFormat="1" x14ac:dyDescent="0.3"/>
    <row r="10921" customFormat="1" x14ac:dyDescent="0.3"/>
    <row r="10922" customFormat="1" x14ac:dyDescent="0.3"/>
    <row r="10923" customFormat="1" x14ac:dyDescent="0.3"/>
    <row r="10924" customFormat="1" x14ac:dyDescent="0.3"/>
    <row r="10925" customFormat="1" x14ac:dyDescent="0.3"/>
    <row r="10926" customFormat="1" x14ac:dyDescent="0.3"/>
    <row r="10927" customFormat="1" x14ac:dyDescent="0.3"/>
    <row r="10928" customFormat="1" x14ac:dyDescent="0.3"/>
    <row r="10929" customFormat="1" x14ac:dyDescent="0.3"/>
    <row r="10930" customFormat="1" x14ac:dyDescent="0.3"/>
    <row r="10931" customFormat="1" x14ac:dyDescent="0.3"/>
    <row r="10932" customFormat="1" x14ac:dyDescent="0.3"/>
    <row r="10933" customFormat="1" x14ac:dyDescent="0.3"/>
    <row r="10934" customFormat="1" x14ac:dyDescent="0.3"/>
    <row r="10935" customFormat="1" x14ac:dyDescent="0.3"/>
    <row r="10936" customFormat="1" x14ac:dyDescent="0.3"/>
    <row r="10937" customFormat="1" x14ac:dyDescent="0.3"/>
    <row r="10938" customFormat="1" x14ac:dyDescent="0.3"/>
    <row r="10939" customFormat="1" x14ac:dyDescent="0.3"/>
    <row r="10940" customFormat="1" x14ac:dyDescent="0.3"/>
    <row r="10941" customFormat="1" x14ac:dyDescent="0.3"/>
    <row r="10942" customFormat="1" x14ac:dyDescent="0.3"/>
    <row r="10943" customFormat="1" x14ac:dyDescent="0.3"/>
    <row r="10944" customFormat="1" x14ac:dyDescent="0.3"/>
    <row r="10945" customFormat="1" x14ac:dyDescent="0.3"/>
    <row r="10946" customFormat="1" x14ac:dyDescent="0.3"/>
    <row r="10947" customFormat="1" x14ac:dyDescent="0.3"/>
    <row r="10948" customFormat="1" x14ac:dyDescent="0.3"/>
    <row r="10949" customFormat="1" x14ac:dyDescent="0.3"/>
    <row r="10950" customFormat="1" x14ac:dyDescent="0.3"/>
    <row r="10951" customFormat="1" x14ac:dyDescent="0.3"/>
    <row r="10952" customFormat="1" x14ac:dyDescent="0.3"/>
    <row r="10953" customFormat="1" x14ac:dyDescent="0.3"/>
    <row r="10954" customFormat="1" x14ac:dyDescent="0.3"/>
    <row r="10955" customFormat="1" x14ac:dyDescent="0.3"/>
    <row r="10956" customFormat="1" x14ac:dyDescent="0.3"/>
    <row r="10957" customFormat="1" x14ac:dyDescent="0.3"/>
    <row r="10958" customFormat="1" x14ac:dyDescent="0.3"/>
    <row r="10959" customFormat="1" x14ac:dyDescent="0.3"/>
    <row r="10960" customFormat="1" x14ac:dyDescent="0.3"/>
    <row r="10961" customFormat="1" x14ac:dyDescent="0.3"/>
    <row r="10962" customFormat="1" x14ac:dyDescent="0.3"/>
    <row r="10963" customFormat="1" x14ac:dyDescent="0.3"/>
    <row r="10964" customFormat="1" x14ac:dyDescent="0.3"/>
    <row r="10965" customFormat="1" x14ac:dyDescent="0.3"/>
    <row r="10966" customFormat="1" x14ac:dyDescent="0.3"/>
    <row r="10967" customFormat="1" x14ac:dyDescent="0.3"/>
    <row r="10968" customFormat="1" x14ac:dyDescent="0.3"/>
    <row r="10969" customFormat="1" x14ac:dyDescent="0.3"/>
    <row r="10970" customFormat="1" x14ac:dyDescent="0.3"/>
    <row r="10971" customFormat="1" x14ac:dyDescent="0.3"/>
    <row r="10972" customFormat="1" x14ac:dyDescent="0.3"/>
    <row r="10973" customFormat="1" x14ac:dyDescent="0.3"/>
    <row r="10974" customFormat="1" x14ac:dyDescent="0.3"/>
    <row r="10975" customFormat="1" x14ac:dyDescent="0.3"/>
    <row r="10976" customFormat="1" x14ac:dyDescent="0.3"/>
    <row r="10977" customFormat="1" x14ac:dyDescent="0.3"/>
    <row r="10978" customFormat="1" x14ac:dyDescent="0.3"/>
    <row r="10979" customFormat="1" x14ac:dyDescent="0.3"/>
    <row r="10980" customFormat="1" x14ac:dyDescent="0.3"/>
    <row r="10981" customFormat="1" x14ac:dyDescent="0.3"/>
    <row r="10982" customFormat="1" x14ac:dyDescent="0.3"/>
    <row r="10983" customFormat="1" x14ac:dyDescent="0.3"/>
    <row r="10984" customFormat="1" x14ac:dyDescent="0.3"/>
    <row r="10985" customFormat="1" x14ac:dyDescent="0.3"/>
    <row r="10986" customFormat="1" x14ac:dyDescent="0.3"/>
    <row r="10987" customFormat="1" x14ac:dyDescent="0.3"/>
    <row r="10988" customFormat="1" x14ac:dyDescent="0.3"/>
    <row r="10989" customFormat="1" x14ac:dyDescent="0.3"/>
    <row r="10990" customFormat="1" x14ac:dyDescent="0.3"/>
    <row r="10991" customFormat="1" x14ac:dyDescent="0.3"/>
    <row r="10992" customFormat="1" x14ac:dyDescent="0.3"/>
    <row r="10993" customFormat="1" x14ac:dyDescent="0.3"/>
    <row r="10994" customFormat="1" x14ac:dyDescent="0.3"/>
    <row r="10995" customFormat="1" x14ac:dyDescent="0.3"/>
    <row r="10996" customFormat="1" x14ac:dyDescent="0.3"/>
    <row r="10997" customFormat="1" x14ac:dyDescent="0.3"/>
    <row r="10998" customFormat="1" x14ac:dyDescent="0.3"/>
    <row r="10999" customFormat="1" x14ac:dyDescent="0.3"/>
    <row r="11000" customFormat="1" x14ac:dyDescent="0.3"/>
    <row r="11001" customFormat="1" x14ac:dyDescent="0.3"/>
    <row r="11002" customFormat="1" x14ac:dyDescent="0.3"/>
    <row r="11003" customFormat="1" x14ac:dyDescent="0.3"/>
    <row r="11004" customFormat="1" x14ac:dyDescent="0.3"/>
    <row r="11005" customFormat="1" x14ac:dyDescent="0.3"/>
    <row r="11006" customFormat="1" x14ac:dyDescent="0.3"/>
    <row r="11007" customFormat="1" x14ac:dyDescent="0.3"/>
    <row r="11008" customFormat="1" x14ac:dyDescent="0.3"/>
    <row r="11009" customFormat="1" x14ac:dyDescent="0.3"/>
    <row r="11010" customFormat="1" x14ac:dyDescent="0.3"/>
    <row r="11011" customFormat="1" x14ac:dyDescent="0.3"/>
    <row r="11012" customFormat="1" x14ac:dyDescent="0.3"/>
    <row r="11013" customFormat="1" x14ac:dyDescent="0.3"/>
    <row r="11014" customFormat="1" x14ac:dyDescent="0.3"/>
    <row r="11015" customFormat="1" x14ac:dyDescent="0.3"/>
    <row r="11016" customFormat="1" x14ac:dyDescent="0.3"/>
    <row r="11017" customFormat="1" x14ac:dyDescent="0.3"/>
    <row r="11018" customFormat="1" x14ac:dyDescent="0.3"/>
    <row r="11019" customFormat="1" x14ac:dyDescent="0.3"/>
    <row r="11020" customFormat="1" x14ac:dyDescent="0.3"/>
    <row r="11021" customFormat="1" x14ac:dyDescent="0.3"/>
    <row r="11022" customFormat="1" x14ac:dyDescent="0.3"/>
    <row r="11023" customFormat="1" x14ac:dyDescent="0.3"/>
    <row r="11024" customFormat="1" x14ac:dyDescent="0.3"/>
    <row r="11025" customFormat="1" x14ac:dyDescent="0.3"/>
    <row r="11026" customFormat="1" x14ac:dyDescent="0.3"/>
    <row r="11027" customFormat="1" x14ac:dyDescent="0.3"/>
    <row r="11028" customFormat="1" x14ac:dyDescent="0.3"/>
    <row r="11029" customFormat="1" x14ac:dyDescent="0.3"/>
    <row r="11030" customFormat="1" x14ac:dyDescent="0.3"/>
    <row r="11031" customFormat="1" x14ac:dyDescent="0.3"/>
    <row r="11032" customFormat="1" x14ac:dyDescent="0.3"/>
    <row r="11033" customFormat="1" x14ac:dyDescent="0.3"/>
    <row r="11034" customFormat="1" x14ac:dyDescent="0.3"/>
    <row r="11035" customFormat="1" x14ac:dyDescent="0.3"/>
    <row r="11036" customFormat="1" x14ac:dyDescent="0.3"/>
    <row r="11037" customFormat="1" x14ac:dyDescent="0.3"/>
    <row r="11038" customFormat="1" x14ac:dyDescent="0.3"/>
    <row r="11039" customFormat="1" x14ac:dyDescent="0.3"/>
    <row r="11040" customFormat="1" x14ac:dyDescent="0.3"/>
    <row r="11041" customFormat="1" x14ac:dyDescent="0.3"/>
    <row r="11042" customFormat="1" x14ac:dyDescent="0.3"/>
    <row r="11043" customFormat="1" x14ac:dyDescent="0.3"/>
    <row r="11044" customFormat="1" x14ac:dyDescent="0.3"/>
    <row r="11045" customFormat="1" x14ac:dyDescent="0.3"/>
    <row r="11046" customFormat="1" x14ac:dyDescent="0.3"/>
    <row r="11047" customFormat="1" x14ac:dyDescent="0.3"/>
    <row r="11048" customFormat="1" x14ac:dyDescent="0.3"/>
    <row r="11049" customFormat="1" x14ac:dyDescent="0.3"/>
    <row r="11050" customFormat="1" x14ac:dyDescent="0.3"/>
    <row r="11051" customFormat="1" x14ac:dyDescent="0.3"/>
    <row r="11052" customFormat="1" x14ac:dyDescent="0.3"/>
    <row r="11053" customFormat="1" x14ac:dyDescent="0.3"/>
    <row r="11054" customFormat="1" x14ac:dyDescent="0.3"/>
    <row r="11055" customFormat="1" x14ac:dyDescent="0.3"/>
    <row r="11056" customFormat="1" x14ac:dyDescent="0.3"/>
    <row r="11057" customFormat="1" x14ac:dyDescent="0.3"/>
    <row r="11058" customFormat="1" x14ac:dyDescent="0.3"/>
    <row r="11059" customFormat="1" x14ac:dyDescent="0.3"/>
    <row r="11060" customFormat="1" x14ac:dyDescent="0.3"/>
    <row r="11061" customFormat="1" x14ac:dyDescent="0.3"/>
    <row r="11062" customFormat="1" x14ac:dyDescent="0.3"/>
    <row r="11063" customFormat="1" x14ac:dyDescent="0.3"/>
    <row r="11064" customFormat="1" x14ac:dyDescent="0.3"/>
    <row r="11065" customFormat="1" x14ac:dyDescent="0.3"/>
    <row r="11066" customFormat="1" x14ac:dyDescent="0.3"/>
    <row r="11067" customFormat="1" x14ac:dyDescent="0.3"/>
    <row r="11068" customFormat="1" x14ac:dyDescent="0.3"/>
    <row r="11069" customFormat="1" x14ac:dyDescent="0.3"/>
    <row r="11070" customFormat="1" x14ac:dyDescent="0.3"/>
    <row r="11071" customFormat="1" x14ac:dyDescent="0.3"/>
    <row r="11072" customFormat="1" x14ac:dyDescent="0.3"/>
    <row r="11073" customFormat="1" x14ac:dyDescent="0.3"/>
    <row r="11074" customFormat="1" x14ac:dyDescent="0.3"/>
    <row r="11075" customFormat="1" x14ac:dyDescent="0.3"/>
    <row r="11076" customFormat="1" x14ac:dyDescent="0.3"/>
    <row r="11077" customFormat="1" x14ac:dyDescent="0.3"/>
    <row r="11078" customFormat="1" x14ac:dyDescent="0.3"/>
    <row r="11079" customFormat="1" x14ac:dyDescent="0.3"/>
    <row r="11080" customFormat="1" x14ac:dyDescent="0.3"/>
    <row r="11081" customFormat="1" x14ac:dyDescent="0.3"/>
    <row r="11082" customFormat="1" x14ac:dyDescent="0.3"/>
    <row r="11083" customFormat="1" x14ac:dyDescent="0.3"/>
    <row r="11084" customFormat="1" x14ac:dyDescent="0.3"/>
    <row r="11085" customFormat="1" x14ac:dyDescent="0.3"/>
    <row r="11086" customFormat="1" x14ac:dyDescent="0.3"/>
    <row r="11087" customFormat="1" x14ac:dyDescent="0.3"/>
    <row r="11088" customFormat="1" x14ac:dyDescent="0.3"/>
    <row r="11089" customFormat="1" x14ac:dyDescent="0.3"/>
    <row r="11090" customFormat="1" x14ac:dyDescent="0.3"/>
    <row r="11091" customFormat="1" x14ac:dyDescent="0.3"/>
    <row r="11092" customFormat="1" x14ac:dyDescent="0.3"/>
    <row r="11093" customFormat="1" x14ac:dyDescent="0.3"/>
    <row r="11094" customFormat="1" x14ac:dyDescent="0.3"/>
    <row r="11095" customFormat="1" x14ac:dyDescent="0.3"/>
    <row r="11096" customFormat="1" x14ac:dyDescent="0.3"/>
    <row r="11097" customFormat="1" x14ac:dyDescent="0.3"/>
    <row r="11098" customFormat="1" x14ac:dyDescent="0.3"/>
    <row r="11099" customFormat="1" x14ac:dyDescent="0.3"/>
    <row r="11100" customFormat="1" x14ac:dyDescent="0.3"/>
    <row r="11101" customFormat="1" x14ac:dyDescent="0.3"/>
    <row r="11102" customFormat="1" x14ac:dyDescent="0.3"/>
    <row r="11103" customFormat="1" x14ac:dyDescent="0.3"/>
    <row r="11104" customFormat="1" x14ac:dyDescent="0.3"/>
    <row r="11105" customFormat="1" x14ac:dyDescent="0.3"/>
    <row r="11106" customFormat="1" x14ac:dyDescent="0.3"/>
    <row r="11107" customFormat="1" x14ac:dyDescent="0.3"/>
    <row r="11108" customFormat="1" x14ac:dyDescent="0.3"/>
    <row r="11109" customFormat="1" x14ac:dyDescent="0.3"/>
    <row r="11110" customFormat="1" x14ac:dyDescent="0.3"/>
    <row r="11111" customFormat="1" x14ac:dyDescent="0.3"/>
    <row r="11112" customFormat="1" x14ac:dyDescent="0.3"/>
    <row r="11113" customFormat="1" x14ac:dyDescent="0.3"/>
    <row r="11114" customFormat="1" x14ac:dyDescent="0.3"/>
    <row r="11115" customFormat="1" x14ac:dyDescent="0.3"/>
    <row r="11116" customFormat="1" x14ac:dyDescent="0.3"/>
    <row r="11117" customFormat="1" x14ac:dyDescent="0.3"/>
    <row r="11118" customFormat="1" x14ac:dyDescent="0.3"/>
    <row r="11119" customFormat="1" x14ac:dyDescent="0.3"/>
    <row r="11120" customFormat="1" x14ac:dyDescent="0.3"/>
    <row r="11121" customFormat="1" x14ac:dyDescent="0.3"/>
    <row r="11122" customFormat="1" x14ac:dyDescent="0.3"/>
    <row r="11123" customFormat="1" x14ac:dyDescent="0.3"/>
    <row r="11124" customFormat="1" x14ac:dyDescent="0.3"/>
    <row r="11125" customFormat="1" x14ac:dyDescent="0.3"/>
    <row r="11126" customFormat="1" x14ac:dyDescent="0.3"/>
    <row r="11127" customFormat="1" x14ac:dyDescent="0.3"/>
    <row r="11128" customFormat="1" x14ac:dyDescent="0.3"/>
    <row r="11129" customFormat="1" x14ac:dyDescent="0.3"/>
    <row r="11130" customFormat="1" x14ac:dyDescent="0.3"/>
    <row r="11131" customFormat="1" x14ac:dyDescent="0.3"/>
    <row r="11132" customFormat="1" x14ac:dyDescent="0.3"/>
    <row r="11133" customFormat="1" x14ac:dyDescent="0.3"/>
    <row r="11134" customFormat="1" x14ac:dyDescent="0.3"/>
    <row r="11135" customFormat="1" x14ac:dyDescent="0.3"/>
    <row r="11136" customFormat="1" x14ac:dyDescent="0.3"/>
    <row r="11137" customFormat="1" x14ac:dyDescent="0.3"/>
    <row r="11138" customFormat="1" x14ac:dyDescent="0.3"/>
    <row r="11139" customFormat="1" x14ac:dyDescent="0.3"/>
    <row r="11140" customFormat="1" x14ac:dyDescent="0.3"/>
    <row r="11141" customFormat="1" x14ac:dyDescent="0.3"/>
    <row r="11142" customFormat="1" x14ac:dyDescent="0.3"/>
    <row r="11143" customFormat="1" x14ac:dyDescent="0.3"/>
    <row r="11144" customFormat="1" x14ac:dyDescent="0.3"/>
    <row r="11145" customFormat="1" x14ac:dyDescent="0.3"/>
    <row r="11146" customFormat="1" x14ac:dyDescent="0.3"/>
    <row r="11147" customFormat="1" x14ac:dyDescent="0.3"/>
    <row r="11148" customFormat="1" x14ac:dyDescent="0.3"/>
    <row r="11149" customFormat="1" x14ac:dyDescent="0.3"/>
    <row r="11150" customFormat="1" x14ac:dyDescent="0.3"/>
    <row r="11151" customFormat="1" x14ac:dyDescent="0.3"/>
    <row r="11152" customFormat="1" x14ac:dyDescent="0.3"/>
    <row r="11153" customFormat="1" x14ac:dyDescent="0.3"/>
    <row r="11154" customFormat="1" x14ac:dyDescent="0.3"/>
    <row r="11155" customFormat="1" x14ac:dyDescent="0.3"/>
    <row r="11156" customFormat="1" x14ac:dyDescent="0.3"/>
    <row r="11157" customFormat="1" x14ac:dyDescent="0.3"/>
    <row r="11158" customFormat="1" x14ac:dyDescent="0.3"/>
    <row r="11159" customFormat="1" x14ac:dyDescent="0.3"/>
    <row r="11160" customFormat="1" x14ac:dyDescent="0.3"/>
    <row r="11161" customFormat="1" x14ac:dyDescent="0.3"/>
    <row r="11162" customFormat="1" x14ac:dyDescent="0.3"/>
    <row r="11163" customFormat="1" x14ac:dyDescent="0.3"/>
    <row r="11164" customFormat="1" x14ac:dyDescent="0.3"/>
    <row r="11165" customFormat="1" x14ac:dyDescent="0.3"/>
    <row r="11166" customFormat="1" x14ac:dyDescent="0.3"/>
    <row r="11167" customFormat="1" x14ac:dyDescent="0.3"/>
    <row r="11168" customFormat="1" x14ac:dyDescent="0.3"/>
    <row r="11169" customFormat="1" x14ac:dyDescent="0.3"/>
    <row r="11170" customFormat="1" x14ac:dyDescent="0.3"/>
    <row r="11171" customFormat="1" x14ac:dyDescent="0.3"/>
    <row r="11172" customFormat="1" x14ac:dyDescent="0.3"/>
    <row r="11173" customFormat="1" x14ac:dyDescent="0.3"/>
    <row r="11174" customFormat="1" x14ac:dyDescent="0.3"/>
    <row r="11175" customFormat="1" x14ac:dyDescent="0.3"/>
    <row r="11176" customFormat="1" x14ac:dyDescent="0.3"/>
    <row r="11177" customFormat="1" x14ac:dyDescent="0.3"/>
    <row r="11178" customFormat="1" x14ac:dyDescent="0.3"/>
    <row r="11179" customFormat="1" x14ac:dyDescent="0.3"/>
    <row r="11180" customFormat="1" x14ac:dyDescent="0.3"/>
    <row r="11181" customFormat="1" x14ac:dyDescent="0.3"/>
    <row r="11182" customFormat="1" x14ac:dyDescent="0.3"/>
    <row r="11183" customFormat="1" x14ac:dyDescent="0.3"/>
    <row r="11184" customFormat="1" x14ac:dyDescent="0.3"/>
    <row r="11185" customFormat="1" x14ac:dyDescent="0.3"/>
    <row r="11186" customFormat="1" x14ac:dyDescent="0.3"/>
    <row r="11187" customFormat="1" x14ac:dyDescent="0.3"/>
    <row r="11188" customFormat="1" x14ac:dyDescent="0.3"/>
    <row r="11189" customFormat="1" x14ac:dyDescent="0.3"/>
    <row r="11190" customFormat="1" x14ac:dyDescent="0.3"/>
    <row r="11191" customFormat="1" x14ac:dyDescent="0.3"/>
    <row r="11192" customFormat="1" x14ac:dyDescent="0.3"/>
    <row r="11193" customFormat="1" x14ac:dyDescent="0.3"/>
    <row r="11194" customFormat="1" x14ac:dyDescent="0.3"/>
    <row r="11195" customFormat="1" x14ac:dyDescent="0.3"/>
    <row r="11196" customFormat="1" x14ac:dyDescent="0.3"/>
    <row r="11197" customFormat="1" x14ac:dyDescent="0.3"/>
    <row r="11198" customFormat="1" x14ac:dyDescent="0.3"/>
    <row r="11199" customFormat="1" x14ac:dyDescent="0.3"/>
    <row r="11200" customFormat="1" x14ac:dyDescent="0.3"/>
    <row r="11201" customFormat="1" x14ac:dyDescent="0.3"/>
    <row r="11202" customFormat="1" x14ac:dyDescent="0.3"/>
    <row r="11203" customFormat="1" x14ac:dyDescent="0.3"/>
    <row r="11204" customFormat="1" x14ac:dyDescent="0.3"/>
    <row r="11205" customFormat="1" x14ac:dyDescent="0.3"/>
    <row r="11206" customFormat="1" x14ac:dyDescent="0.3"/>
    <row r="11207" customFormat="1" x14ac:dyDescent="0.3"/>
    <row r="11208" customFormat="1" x14ac:dyDescent="0.3"/>
    <row r="11209" customFormat="1" x14ac:dyDescent="0.3"/>
    <row r="11210" customFormat="1" x14ac:dyDescent="0.3"/>
    <row r="11211" customFormat="1" x14ac:dyDescent="0.3"/>
    <row r="11212" customFormat="1" x14ac:dyDescent="0.3"/>
    <row r="11213" customFormat="1" x14ac:dyDescent="0.3"/>
    <row r="11214" customFormat="1" x14ac:dyDescent="0.3"/>
    <row r="11215" customFormat="1" x14ac:dyDescent="0.3"/>
    <row r="11216" customFormat="1" x14ac:dyDescent="0.3"/>
    <row r="11217" customFormat="1" x14ac:dyDescent="0.3"/>
    <row r="11218" customFormat="1" x14ac:dyDescent="0.3"/>
    <row r="11219" customFormat="1" x14ac:dyDescent="0.3"/>
    <row r="11220" customFormat="1" x14ac:dyDescent="0.3"/>
    <row r="11221" customFormat="1" x14ac:dyDescent="0.3"/>
    <row r="11222" customFormat="1" x14ac:dyDescent="0.3"/>
    <row r="11223" customFormat="1" x14ac:dyDescent="0.3"/>
    <row r="11224" customFormat="1" x14ac:dyDescent="0.3"/>
    <row r="11225" customFormat="1" x14ac:dyDescent="0.3"/>
    <row r="11226" customFormat="1" x14ac:dyDescent="0.3"/>
    <row r="11227" customFormat="1" x14ac:dyDescent="0.3"/>
    <row r="11228" customFormat="1" x14ac:dyDescent="0.3"/>
    <row r="11229" customFormat="1" x14ac:dyDescent="0.3"/>
    <row r="11230" customFormat="1" x14ac:dyDescent="0.3"/>
    <row r="11231" customFormat="1" x14ac:dyDescent="0.3"/>
    <row r="11232" customFormat="1" x14ac:dyDescent="0.3"/>
    <row r="11233" customFormat="1" x14ac:dyDescent="0.3"/>
    <row r="11234" customFormat="1" x14ac:dyDescent="0.3"/>
    <row r="11235" customFormat="1" x14ac:dyDescent="0.3"/>
    <row r="11236" customFormat="1" x14ac:dyDescent="0.3"/>
    <row r="11237" customFormat="1" x14ac:dyDescent="0.3"/>
    <row r="11238" customFormat="1" x14ac:dyDescent="0.3"/>
    <row r="11239" customFormat="1" x14ac:dyDescent="0.3"/>
    <row r="11240" customFormat="1" x14ac:dyDescent="0.3"/>
    <row r="11241" customFormat="1" x14ac:dyDescent="0.3"/>
    <row r="11242" customFormat="1" x14ac:dyDescent="0.3"/>
    <row r="11243" customFormat="1" x14ac:dyDescent="0.3"/>
    <row r="11244" customFormat="1" x14ac:dyDescent="0.3"/>
    <row r="11245" customFormat="1" x14ac:dyDescent="0.3"/>
    <row r="11246" customFormat="1" x14ac:dyDescent="0.3"/>
    <row r="11247" customFormat="1" x14ac:dyDescent="0.3"/>
    <row r="11248" customFormat="1" x14ac:dyDescent="0.3"/>
    <row r="11249" customFormat="1" x14ac:dyDescent="0.3"/>
    <row r="11250" customFormat="1" x14ac:dyDescent="0.3"/>
    <row r="11251" customFormat="1" x14ac:dyDescent="0.3"/>
    <row r="11252" customFormat="1" x14ac:dyDescent="0.3"/>
    <row r="11253" customFormat="1" x14ac:dyDescent="0.3"/>
    <row r="11254" customFormat="1" x14ac:dyDescent="0.3"/>
    <row r="11255" customFormat="1" x14ac:dyDescent="0.3"/>
    <row r="11256" customFormat="1" x14ac:dyDescent="0.3"/>
    <row r="11257" customFormat="1" x14ac:dyDescent="0.3"/>
    <row r="11258" customFormat="1" x14ac:dyDescent="0.3"/>
    <row r="11259" customFormat="1" x14ac:dyDescent="0.3"/>
    <row r="11260" customFormat="1" x14ac:dyDescent="0.3"/>
    <row r="11261" customFormat="1" x14ac:dyDescent="0.3"/>
    <row r="11262" customFormat="1" x14ac:dyDescent="0.3"/>
    <row r="11263" customFormat="1" x14ac:dyDescent="0.3"/>
    <row r="11264" customFormat="1" x14ac:dyDescent="0.3"/>
    <row r="11265" customFormat="1" x14ac:dyDescent="0.3"/>
    <row r="11266" customFormat="1" x14ac:dyDescent="0.3"/>
    <row r="11267" customFormat="1" x14ac:dyDescent="0.3"/>
    <row r="11268" customFormat="1" x14ac:dyDescent="0.3"/>
    <row r="11269" customFormat="1" x14ac:dyDescent="0.3"/>
    <row r="11270" customFormat="1" x14ac:dyDescent="0.3"/>
    <row r="11271" customFormat="1" x14ac:dyDescent="0.3"/>
    <row r="11272" customFormat="1" x14ac:dyDescent="0.3"/>
    <row r="11273" customFormat="1" x14ac:dyDescent="0.3"/>
    <row r="11274" customFormat="1" x14ac:dyDescent="0.3"/>
    <row r="11275" customFormat="1" x14ac:dyDescent="0.3"/>
    <row r="11276" customFormat="1" x14ac:dyDescent="0.3"/>
    <row r="11277" customFormat="1" x14ac:dyDescent="0.3"/>
    <row r="11278" customFormat="1" x14ac:dyDescent="0.3"/>
    <row r="11279" customFormat="1" x14ac:dyDescent="0.3"/>
    <row r="11280" customFormat="1" x14ac:dyDescent="0.3"/>
    <row r="11281" customFormat="1" x14ac:dyDescent="0.3"/>
    <row r="11282" customFormat="1" x14ac:dyDescent="0.3"/>
    <row r="11283" customFormat="1" x14ac:dyDescent="0.3"/>
    <row r="11284" customFormat="1" x14ac:dyDescent="0.3"/>
    <row r="11285" customFormat="1" x14ac:dyDescent="0.3"/>
    <row r="11286" customFormat="1" x14ac:dyDescent="0.3"/>
    <row r="11287" customFormat="1" x14ac:dyDescent="0.3"/>
    <row r="11288" customFormat="1" x14ac:dyDescent="0.3"/>
    <row r="11289" customFormat="1" x14ac:dyDescent="0.3"/>
    <row r="11290" customFormat="1" x14ac:dyDescent="0.3"/>
    <row r="11291" customFormat="1" x14ac:dyDescent="0.3"/>
    <row r="11292" customFormat="1" x14ac:dyDescent="0.3"/>
    <row r="11293" customFormat="1" x14ac:dyDescent="0.3"/>
    <row r="11294" customFormat="1" x14ac:dyDescent="0.3"/>
    <row r="11295" customFormat="1" x14ac:dyDescent="0.3"/>
    <row r="11296" customFormat="1" x14ac:dyDescent="0.3"/>
    <row r="11297" customFormat="1" x14ac:dyDescent="0.3"/>
    <row r="11298" customFormat="1" x14ac:dyDescent="0.3"/>
    <row r="11299" customFormat="1" x14ac:dyDescent="0.3"/>
    <row r="11300" customFormat="1" x14ac:dyDescent="0.3"/>
    <row r="11301" customFormat="1" x14ac:dyDescent="0.3"/>
    <row r="11302" customFormat="1" x14ac:dyDescent="0.3"/>
    <row r="11303" customFormat="1" x14ac:dyDescent="0.3"/>
    <row r="11304" customFormat="1" x14ac:dyDescent="0.3"/>
    <row r="11305" customFormat="1" x14ac:dyDescent="0.3"/>
    <row r="11306" customFormat="1" x14ac:dyDescent="0.3"/>
    <row r="11307" customFormat="1" x14ac:dyDescent="0.3"/>
    <row r="11308" customFormat="1" x14ac:dyDescent="0.3"/>
    <row r="11309" customFormat="1" x14ac:dyDescent="0.3"/>
    <row r="11310" customFormat="1" x14ac:dyDescent="0.3"/>
    <row r="11311" customFormat="1" x14ac:dyDescent="0.3"/>
    <row r="11312" customFormat="1" x14ac:dyDescent="0.3"/>
    <row r="11313" customFormat="1" x14ac:dyDescent="0.3"/>
    <row r="11314" customFormat="1" x14ac:dyDescent="0.3"/>
    <row r="11315" customFormat="1" x14ac:dyDescent="0.3"/>
    <row r="11316" customFormat="1" x14ac:dyDescent="0.3"/>
    <row r="11317" customFormat="1" x14ac:dyDescent="0.3"/>
    <row r="11318" customFormat="1" x14ac:dyDescent="0.3"/>
    <row r="11319" customFormat="1" x14ac:dyDescent="0.3"/>
    <row r="11320" customFormat="1" x14ac:dyDescent="0.3"/>
    <row r="11321" customFormat="1" x14ac:dyDescent="0.3"/>
    <row r="11322" customFormat="1" x14ac:dyDescent="0.3"/>
    <row r="11323" customFormat="1" x14ac:dyDescent="0.3"/>
    <row r="11324" customFormat="1" x14ac:dyDescent="0.3"/>
    <row r="11325" customFormat="1" x14ac:dyDescent="0.3"/>
    <row r="11326" customFormat="1" x14ac:dyDescent="0.3"/>
    <row r="11327" customFormat="1" x14ac:dyDescent="0.3"/>
    <row r="11328" customFormat="1" x14ac:dyDescent="0.3"/>
    <row r="11329" customFormat="1" x14ac:dyDescent="0.3"/>
    <row r="11330" customFormat="1" x14ac:dyDescent="0.3"/>
    <row r="11331" customFormat="1" x14ac:dyDescent="0.3"/>
    <row r="11332" customFormat="1" x14ac:dyDescent="0.3"/>
    <row r="11333" customFormat="1" x14ac:dyDescent="0.3"/>
    <row r="11334" customFormat="1" x14ac:dyDescent="0.3"/>
    <row r="11335" customFormat="1" x14ac:dyDescent="0.3"/>
    <row r="11336" customFormat="1" x14ac:dyDescent="0.3"/>
    <row r="11337" customFormat="1" x14ac:dyDescent="0.3"/>
    <row r="11338" customFormat="1" x14ac:dyDescent="0.3"/>
    <row r="11339" customFormat="1" x14ac:dyDescent="0.3"/>
    <row r="11340" customFormat="1" x14ac:dyDescent="0.3"/>
    <row r="11341" customFormat="1" x14ac:dyDescent="0.3"/>
    <row r="11342" customFormat="1" x14ac:dyDescent="0.3"/>
    <row r="11343" customFormat="1" x14ac:dyDescent="0.3"/>
    <row r="11344" customFormat="1" x14ac:dyDescent="0.3"/>
    <row r="11345" customFormat="1" x14ac:dyDescent="0.3"/>
    <row r="11346" customFormat="1" x14ac:dyDescent="0.3"/>
    <row r="11347" customFormat="1" x14ac:dyDescent="0.3"/>
    <row r="11348" customFormat="1" x14ac:dyDescent="0.3"/>
    <row r="11349" customFormat="1" x14ac:dyDescent="0.3"/>
    <row r="11350" customFormat="1" x14ac:dyDescent="0.3"/>
    <row r="11351" customFormat="1" x14ac:dyDescent="0.3"/>
    <row r="11352" customFormat="1" x14ac:dyDescent="0.3"/>
    <row r="11353" customFormat="1" x14ac:dyDescent="0.3"/>
    <row r="11354" customFormat="1" x14ac:dyDescent="0.3"/>
    <row r="11355" customFormat="1" x14ac:dyDescent="0.3"/>
    <row r="11356" customFormat="1" x14ac:dyDescent="0.3"/>
    <row r="11357" customFormat="1" x14ac:dyDescent="0.3"/>
    <row r="11358" customFormat="1" x14ac:dyDescent="0.3"/>
    <row r="11359" customFormat="1" x14ac:dyDescent="0.3"/>
    <row r="11360" customFormat="1" x14ac:dyDescent="0.3"/>
    <row r="11361" customFormat="1" x14ac:dyDescent="0.3"/>
    <row r="11362" customFormat="1" x14ac:dyDescent="0.3"/>
    <row r="11363" customFormat="1" x14ac:dyDescent="0.3"/>
    <row r="11364" customFormat="1" x14ac:dyDescent="0.3"/>
    <row r="11365" customFormat="1" x14ac:dyDescent="0.3"/>
    <row r="11366" customFormat="1" x14ac:dyDescent="0.3"/>
    <row r="11367" customFormat="1" x14ac:dyDescent="0.3"/>
    <row r="11368" customFormat="1" x14ac:dyDescent="0.3"/>
    <row r="11369" customFormat="1" x14ac:dyDescent="0.3"/>
    <row r="11370" customFormat="1" x14ac:dyDescent="0.3"/>
    <row r="11371" customFormat="1" x14ac:dyDescent="0.3"/>
    <row r="11372" customFormat="1" x14ac:dyDescent="0.3"/>
    <row r="11373" customFormat="1" x14ac:dyDescent="0.3"/>
    <row r="11374" customFormat="1" x14ac:dyDescent="0.3"/>
    <row r="11375" customFormat="1" x14ac:dyDescent="0.3"/>
    <row r="11376" customFormat="1" x14ac:dyDescent="0.3"/>
    <row r="11377" customFormat="1" x14ac:dyDescent="0.3"/>
    <row r="11378" customFormat="1" x14ac:dyDescent="0.3"/>
    <row r="11379" customFormat="1" x14ac:dyDescent="0.3"/>
    <row r="11380" customFormat="1" x14ac:dyDescent="0.3"/>
    <row r="11381" customFormat="1" x14ac:dyDescent="0.3"/>
    <row r="11382" customFormat="1" x14ac:dyDescent="0.3"/>
    <row r="11383" customFormat="1" x14ac:dyDescent="0.3"/>
    <row r="11384" customFormat="1" x14ac:dyDescent="0.3"/>
    <row r="11385" customFormat="1" x14ac:dyDescent="0.3"/>
    <row r="11386" customFormat="1" x14ac:dyDescent="0.3"/>
    <row r="11387" customFormat="1" x14ac:dyDescent="0.3"/>
    <row r="11388" customFormat="1" x14ac:dyDescent="0.3"/>
    <row r="11389" customFormat="1" x14ac:dyDescent="0.3"/>
    <row r="11390" customFormat="1" x14ac:dyDescent="0.3"/>
    <row r="11391" customFormat="1" x14ac:dyDescent="0.3"/>
    <row r="11392" customFormat="1" x14ac:dyDescent="0.3"/>
    <row r="11393" customFormat="1" x14ac:dyDescent="0.3"/>
    <row r="11394" customFormat="1" x14ac:dyDescent="0.3"/>
    <row r="11395" customFormat="1" x14ac:dyDescent="0.3"/>
    <row r="11396" customFormat="1" x14ac:dyDescent="0.3"/>
    <row r="11397" customFormat="1" x14ac:dyDescent="0.3"/>
    <row r="11398" customFormat="1" x14ac:dyDescent="0.3"/>
    <row r="11399" customFormat="1" x14ac:dyDescent="0.3"/>
    <row r="11400" customFormat="1" x14ac:dyDescent="0.3"/>
    <row r="11401" customFormat="1" x14ac:dyDescent="0.3"/>
    <row r="11402" customFormat="1" x14ac:dyDescent="0.3"/>
    <row r="11403" customFormat="1" x14ac:dyDescent="0.3"/>
    <row r="11404" customFormat="1" x14ac:dyDescent="0.3"/>
    <row r="11405" customFormat="1" x14ac:dyDescent="0.3"/>
    <row r="11406" customFormat="1" x14ac:dyDescent="0.3"/>
    <row r="11407" customFormat="1" x14ac:dyDescent="0.3"/>
    <row r="11408" customFormat="1" x14ac:dyDescent="0.3"/>
    <row r="11409" customFormat="1" x14ac:dyDescent="0.3"/>
    <row r="11410" customFormat="1" x14ac:dyDescent="0.3"/>
    <row r="11411" customFormat="1" x14ac:dyDescent="0.3"/>
    <row r="11412" customFormat="1" x14ac:dyDescent="0.3"/>
    <row r="11413" customFormat="1" x14ac:dyDescent="0.3"/>
    <row r="11414" customFormat="1" x14ac:dyDescent="0.3"/>
    <row r="11415" customFormat="1" x14ac:dyDescent="0.3"/>
    <row r="11416" customFormat="1" x14ac:dyDescent="0.3"/>
    <row r="11417" customFormat="1" x14ac:dyDescent="0.3"/>
    <row r="11418" customFormat="1" x14ac:dyDescent="0.3"/>
    <row r="11419" customFormat="1" x14ac:dyDescent="0.3"/>
    <row r="11420" customFormat="1" x14ac:dyDescent="0.3"/>
    <row r="11421" customFormat="1" x14ac:dyDescent="0.3"/>
    <row r="11422" customFormat="1" x14ac:dyDescent="0.3"/>
    <row r="11423" customFormat="1" x14ac:dyDescent="0.3"/>
    <row r="11424" customFormat="1" x14ac:dyDescent="0.3"/>
    <row r="11425" customFormat="1" x14ac:dyDescent="0.3"/>
    <row r="11426" customFormat="1" x14ac:dyDescent="0.3"/>
    <row r="11427" customFormat="1" x14ac:dyDescent="0.3"/>
    <row r="11428" customFormat="1" x14ac:dyDescent="0.3"/>
    <row r="11429" customFormat="1" x14ac:dyDescent="0.3"/>
    <row r="11430" customFormat="1" x14ac:dyDescent="0.3"/>
    <row r="11431" customFormat="1" x14ac:dyDescent="0.3"/>
    <row r="11432" customFormat="1" x14ac:dyDescent="0.3"/>
    <row r="11433" customFormat="1" x14ac:dyDescent="0.3"/>
    <row r="11434" customFormat="1" x14ac:dyDescent="0.3"/>
    <row r="11435" customFormat="1" x14ac:dyDescent="0.3"/>
    <row r="11436" customFormat="1" x14ac:dyDescent="0.3"/>
    <row r="11437" customFormat="1" x14ac:dyDescent="0.3"/>
    <row r="11438" customFormat="1" x14ac:dyDescent="0.3"/>
    <row r="11439" customFormat="1" x14ac:dyDescent="0.3"/>
    <row r="11440" customFormat="1" x14ac:dyDescent="0.3"/>
    <row r="11441" customFormat="1" x14ac:dyDescent="0.3"/>
    <row r="11442" customFormat="1" x14ac:dyDescent="0.3"/>
    <row r="11443" customFormat="1" x14ac:dyDescent="0.3"/>
    <row r="11444" customFormat="1" x14ac:dyDescent="0.3"/>
    <row r="11445" customFormat="1" x14ac:dyDescent="0.3"/>
    <row r="11446" customFormat="1" x14ac:dyDescent="0.3"/>
    <row r="11447" customFormat="1" x14ac:dyDescent="0.3"/>
    <row r="11448" customFormat="1" x14ac:dyDescent="0.3"/>
    <row r="11449" customFormat="1" x14ac:dyDescent="0.3"/>
    <row r="11450" customFormat="1" x14ac:dyDescent="0.3"/>
    <row r="11451" customFormat="1" x14ac:dyDescent="0.3"/>
    <row r="11452" customFormat="1" x14ac:dyDescent="0.3"/>
    <row r="11453" customFormat="1" x14ac:dyDescent="0.3"/>
    <row r="11454" customFormat="1" x14ac:dyDescent="0.3"/>
    <row r="11455" customFormat="1" x14ac:dyDescent="0.3"/>
    <row r="11456" customFormat="1" x14ac:dyDescent="0.3"/>
    <row r="11457" customFormat="1" x14ac:dyDescent="0.3"/>
    <row r="11458" customFormat="1" x14ac:dyDescent="0.3"/>
    <row r="11459" customFormat="1" x14ac:dyDescent="0.3"/>
    <row r="11460" customFormat="1" x14ac:dyDescent="0.3"/>
    <row r="11461" customFormat="1" x14ac:dyDescent="0.3"/>
    <row r="11462" customFormat="1" x14ac:dyDescent="0.3"/>
    <row r="11463" customFormat="1" x14ac:dyDescent="0.3"/>
    <row r="11464" customFormat="1" x14ac:dyDescent="0.3"/>
    <row r="11465" customFormat="1" x14ac:dyDescent="0.3"/>
    <row r="11466" customFormat="1" x14ac:dyDescent="0.3"/>
    <row r="11467" customFormat="1" x14ac:dyDescent="0.3"/>
    <row r="11468" customFormat="1" x14ac:dyDescent="0.3"/>
    <row r="11469" customFormat="1" x14ac:dyDescent="0.3"/>
    <row r="11470" customFormat="1" x14ac:dyDescent="0.3"/>
    <row r="11471" customFormat="1" x14ac:dyDescent="0.3"/>
    <row r="11472" customFormat="1" x14ac:dyDescent="0.3"/>
    <row r="11473" customFormat="1" x14ac:dyDescent="0.3"/>
    <row r="11474" customFormat="1" x14ac:dyDescent="0.3"/>
    <row r="11475" customFormat="1" x14ac:dyDescent="0.3"/>
    <row r="11476" customFormat="1" x14ac:dyDescent="0.3"/>
    <row r="11477" customFormat="1" x14ac:dyDescent="0.3"/>
    <row r="11478" customFormat="1" x14ac:dyDescent="0.3"/>
    <row r="11479" customFormat="1" x14ac:dyDescent="0.3"/>
    <row r="11480" customFormat="1" x14ac:dyDescent="0.3"/>
    <row r="11481" customFormat="1" x14ac:dyDescent="0.3"/>
    <row r="11482" customFormat="1" x14ac:dyDescent="0.3"/>
    <row r="11483" customFormat="1" x14ac:dyDescent="0.3"/>
    <row r="11484" customFormat="1" x14ac:dyDescent="0.3"/>
    <row r="11485" customFormat="1" x14ac:dyDescent="0.3"/>
    <row r="11486" customFormat="1" x14ac:dyDescent="0.3"/>
    <row r="11487" customFormat="1" x14ac:dyDescent="0.3"/>
    <row r="11488" customFormat="1" x14ac:dyDescent="0.3"/>
    <row r="11489" customFormat="1" x14ac:dyDescent="0.3"/>
    <row r="11490" customFormat="1" x14ac:dyDescent="0.3"/>
    <row r="11491" customFormat="1" x14ac:dyDescent="0.3"/>
    <row r="11492" customFormat="1" x14ac:dyDescent="0.3"/>
    <row r="11493" customFormat="1" x14ac:dyDescent="0.3"/>
    <row r="11494" customFormat="1" x14ac:dyDescent="0.3"/>
    <row r="11495" customFormat="1" x14ac:dyDescent="0.3"/>
    <row r="11496" customFormat="1" x14ac:dyDescent="0.3"/>
    <row r="11497" customFormat="1" x14ac:dyDescent="0.3"/>
    <row r="11498" customFormat="1" x14ac:dyDescent="0.3"/>
    <row r="11499" customFormat="1" x14ac:dyDescent="0.3"/>
    <row r="11500" customFormat="1" x14ac:dyDescent="0.3"/>
    <row r="11501" customFormat="1" x14ac:dyDescent="0.3"/>
    <row r="11502" customFormat="1" x14ac:dyDescent="0.3"/>
    <row r="11503" customFormat="1" x14ac:dyDescent="0.3"/>
    <row r="11504" customFormat="1" x14ac:dyDescent="0.3"/>
    <row r="11505" customFormat="1" x14ac:dyDescent="0.3"/>
    <row r="11506" customFormat="1" x14ac:dyDescent="0.3"/>
    <row r="11507" customFormat="1" x14ac:dyDescent="0.3"/>
    <row r="11508" customFormat="1" x14ac:dyDescent="0.3"/>
    <row r="11509" customFormat="1" x14ac:dyDescent="0.3"/>
    <row r="11510" customFormat="1" x14ac:dyDescent="0.3"/>
    <row r="11511" customFormat="1" x14ac:dyDescent="0.3"/>
    <row r="11512" customFormat="1" x14ac:dyDescent="0.3"/>
    <row r="11513" customFormat="1" x14ac:dyDescent="0.3"/>
    <row r="11514" customFormat="1" x14ac:dyDescent="0.3"/>
    <row r="11515" customFormat="1" x14ac:dyDescent="0.3"/>
    <row r="11516" customFormat="1" x14ac:dyDescent="0.3"/>
    <row r="11517" customFormat="1" x14ac:dyDescent="0.3"/>
    <row r="11518" customFormat="1" x14ac:dyDescent="0.3"/>
    <row r="11519" customFormat="1" x14ac:dyDescent="0.3"/>
    <row r="11520" customFormat="1" x14ac:dyDescent="0.3"/>
    <row r="11521" customFormat="1" x14ac:dyDescent="0.3"/>
    <row r="11522" customFormat="1" x14ac:dyDescent="0.3"/>
    <row r="11523" customFormat="1" x14ac:dyDescent="0.3"/>
    <row r="11524" customFormat="1" x14ac:dyDescent="0.3"/>
    <row r="11525" customFormat="1" x14ac:dyDescent="0.3"/>
    <row r="11526" customFormat="1" x14ac:dyDescent="0.3"/>
    <row r="11527" customFormat="1" x14ac:dyDescent="0.3"/>
    <row r="11528" customFormat="1" x14ac:dyDescent="0.3"/>
    <row r="11529" customFormat="1" x14ac:dyDescent="0.3"/>
    <row r="11530" customFormat="1" x14ac:dyDescent="0.3"/>
    <row r="11531" customFormat="1" x14ac:dyDescent="0.3"/>
    <row r="11532" customFormat="1" x14ac:dyDescent="0.3"/>
    <row r="11533" customFormat="1" x14ac:dyDescent="0.3"/>
    <row r="11534" customFormat="1" x14ac:dyDescent="0.3"/>
    <row r="11535" customFormat="1" x14ac:dyDescent="0.3"/>
    <row r="11536" customFormat="1" x14ac:dyDescent="0.3"/>
    <row r="11537" customFormat="1" x14ac:dyDescent="0.3"/>
    <row r="11538" customFormat="1" x14ac:dyDescent="0.3"/>
    <row r="11539" customFormat="1" x14ac:dyDescent="0.3"/>
    <row r="11540" customFormat="1" x14ac:dyDescent="0.3"/>
    <row r="11541" customFormat="1" x14ac:dyDescent="0.3"/>
    <row r="11542" customFormat="1" x14ac:dyDescent="0.3"/>
    <row r="11543" customFormat="1" x14ac:dyDescent="0.3"/>
    <row r="11544" customFormat="1" x14ac:dyDescent="0.3"/>
    <row r="11545" customFormat="1" x14ac:dyDescent="0.3"/>
    <row r="11546" customFormat="1" x14ac:dyDescent="0.3"/>
    <row r="11547" customFormat="1" x14ac:dyDescent="0.3"/>
    <row r="11548" customFormat="1" x14ac:dyDescent="0.3"/>
    <row r="11549" customFormat="1" x14ac:dyDescent="0.3"/>
    <row r="11550" customFormat="1" x14ac:dyDescent="0.3"/>
    <row r="11551" customFormat="1" x14ac:dyDescent="0.3"/>
    <row r="11552" customFormat="1" x14ac:dyDescent="0.3"/>
    <row r="11553" customFormat="1" x14ac:dyDescent="0.3"/>
    <row r="11554" customFormat="1" x14ac:dyDescent="0.3"/>
    <row r="11555" customFormat="1" x14ac:dyDescent="0.3"/>
    <row r="11556" customFormat="1" x14ac:dyDescent="0.3"/>
    <row r="11557" customFormat="1" x14ac:dyDescent="0.3"/>
    <row r="11558" customFormat="1" x14ac:dyDescent="0.3"/>
    <row r="11559" customFormat="1" x14ac:dyDescent="0.3"/>
    <row r="11560" customFormat="1" x14ac:dyDescent="0.3"/>
    <row r="11561" customFormat="1" x14ac:dyDescent="0.3"/>
    <row r="11562" customFormat="1" x14ac:dyDescent="0.3"/>
    <row r="11563" customFormat="1" x14ac:dyDescent="0.3"/>
    <row r="11564" customFormat="1" x14ac:dyDescent="0.3"/>
    <row r="11565" customFormat="1" x14ac:dyDescent="0.3"/>
    <row r="11566" customFormat="1" x14ac:dyDescent="0.3"/>
    <row r="11567" customFormat="1" x14ac:dyDescent="0.3"/>
    <row r="11568" customFormat="1" x14ac:dyDescent="0.3"/>
    <row r="11569" customFormat="1" x14ac:dyDescent="0.3"/>
    <row r="11570" customFormat="1" x14ac:dyDescent="0.3"/>
    <row r="11571" customFormat="1" x14ac:dyDescent="0.3"/>
    <row r="11572" customFormat="1" x14ac:dyDescent="0.3"/>
    <row r="11573" customFormat="1" x14ac:dyDescent="0.3"/>
    <row r="11574" customFormat="1" x14ac:dyDescent="0.3"/>
    <row r="11575" customFormat="1" x14ac:dyDescent="0.3"/>
    <row r="11576" customFormat="1" x14ac:dyDescent="0.3"/>
    <row r="11577" customFormat="1" x14ac:dyDescent="0.3"/>
    <row r="11578" customFormat="1" x14ac:dyDescent="0.3"/>
    <row r="11579" customFormat="1" x14ac:dyDescent="0.3"/>
    <row r="11580" customFormat="1" x14ac:dyDescent="0.3"/>
    <row r="11581" customFormat="1" x14ac:dyDescent="0.3"/>
    <row r="11582" customFormat="1" x14ac:dyDescent="0.3"/>
    <row r="11583" customFormat="1" x14ac:dyDescent="0.3"/>
    <row r="11584" customFormat="1" x14ac:dyDescent="0.3"/>
    <row r="11585" customFormat="1" x14ac:dyDescent="0.3"/>
    <row r="11586" customFormat="1" x14ac:dyDescent="0.3"/>
    <row r="11587" customFormat="1" x14ac:dyDescent="0.3"/>
    <row r="11588" customFormat="1" x14ac:dyDescent="0.3"/>
    <row r="11589" customFormat="1" x14ac:dyDescent="0.3"/>
    <row r="11590" customFormat="1" x14ac:dyDescent="0.3"/>
    <row r="11591" customFormat="1" x14ac:dyDescent="0.3"/>
    <row r="11592" customFormat="1" x14ac:dyDescent="0.3"/>
    <row r="11593" customFormat="1" x14ac:dyDescent="0.3"/>
    <row r="11594" customFormat="1" x14ac:dyDescent="0.3"/>
    <row r="11595" customFormat="1" x14ac:dyDescent="0.3"/>
    <row r="11596" customFormat="1" x14ac:dyDescent="0.3"/>
    <row r="11597" customFormat="1" x14ac:dyDescent="0.3"/>
    <row r="11598" customFormat="1" x14ac:dyDescent="0.3"/>
    <row r="11599" customFormat="1" x14ac:dyDescent="0.3"/>
    <row r="11600" customFormat="1" x14ac:dyDescent="0.3"/>
    <row r="11601" customFormat="1" x14ac:dyDescent="0.3"/>
    <row r="11602" customFormat="1" x14ac:dyDescent="0.3"/>
    <row r="11603" customFormat="1" x14ac:dyDescent="0.3"/>
    <row r="11604" customFormat="1" x14ac:dyDescent="0.3"/>
    <row r="11605" customFormat="1" x14ac:dyDescent="0.3"/>
    <row r="11606" customFormat="1" x14ac:dyDescent="0.3"/>
    <row r="11607" customFormat="1" x14ac:dyDescent="0.3"/>
    <row r="11608" customFormat="1" x14ac:dyDescent="0.3"/>
    <row r="11609" customFormat="1" x14ac:dyDescent="0.3"/>
    <row r="11610" customFormat="1" x14ac:dyDescent="0.3"/>
    <row r="11611" customFormat="1" x14ac:dyDescent="0.3"/>
    <row r="11612" customFormat="1" x14ac:dyDescent="0.3"/>
    <row r="11613" customFormat="1" x14ac:dyDescent="0.3"/>
    <row r="11614" customFormat="1" x14ac:dyDescent="0.3"/>
    <row r="11615" customFormat="1" x14ac:dyDescent="0.3"/>
    <row r="11616" customFormat="1" x14ac:dyDescent="0.3"/>
    <row r="11617" customFormat="1" x14ac:dyDescent="0.3"/>
    <row r="11618" customFormat="1" x14ac:dyDescent="0.3"/>
    <row r="11619" customFormat="1" x14ac:dyDescent="0.3"/>
    <row r="11620" customFormat="1" x14ac:dyDescent="0.3"/>
    <row r="11621" customFormat="1" x14ac:dyDescent="0.3"/>
    <row r="11622" customFormat="1" x14ac:dyDescent="0.3"/>
    <row r="11623" customFormat="1" x14ac:dyDescent="0.3"/>
    <row r="11624" customFormat="1" x14ac:dyDescent="0.3"/>
    <row r="11625" customFormat="1" x14ac:dyDescent="0.3"/>
    <row r="11626" customFormat="1" x14ac:dyDescent="0.3"/>
    <row r="11627" customFormat="1" x14ac:dyDescent="0.3"/>
    <row r="11628" customFormat="1" x14ac:dyDescent="0.3"/>
    <row r="11629" customFormat="1" x14ac:dyDescent="0.3"/>
    <row r="11630" customFormat="1" x14ac:dyDescent="0.3"/>
    <row r="11631" customFormat="1" x14ac:dyDescent="0.3"/>
    <row r="11632" customFormat="1" x14ac:dyDescent="0.3"/>
    <row r="11633" customFormat="1" x14ac:dyDescent="0.3"/>
    <row r="11634" customFormat="1" x14ac:dyDescent="0.3"/>
    <row r="11635" customFormat="1" x14ac:dyDescent="0.3"/>
    <row r="11636" customFormat="1" x14ac:dyDescent="0.3"/>
    <row r="11637" customFormat="1" x14ac:dyDescent="0.3"/>
    <row r="11638" customFormat="1" x14ac:dyDescent="0.3"/>
    <row r="11639" customFormat="1" x14ac:dyDescent="0.3"/>
    <row r="11640" customFormat="1" x14ac:dyDescent="0.3"/>
    <row r="11641" customFormat="1" x14ac:dyDescent="0.3"/>
    <row r="11642" customFormat="1" x14ac:dyDescent="0.3"/>
    <row r="11643" customFormat="1" x14ac:dyDescent="0.3"/>
    <row r="11644" customFormat="1" x14ac:dyDescent="0.3"/>
    <row r="11645" customFormat="1" x14ac:dyDescent="0.3"/>
    <row r="11646" customFormat="1" x14ac:dyDescent="0.3"/>
    <row r="11647" customFormat="1" x14ac:dyDescent="0.3"/>
    <row r="11648" customFormat="1" x14ac:dyDescent="0.3"/>
    <row r="11649" customFormat="1" x14ac:dyDescent="0.3"/>
    <row r="11650" customFormat="1" x14ac:dyDescent="0.3"/>
    <row r="11651" customFormat="1" x14ac:dyDescent="0.3"/>
    <row r="11652" customFormat="1" x14ac:dyDescent="0.3"/>
    <row r="11653" customFormat="1" x14ac:dyDescent="0.3"/>
    <row r="11654" customFormat="1" x14ac:dyDescent="0.3"/>
    <row r="11655" customFormat="1" x14ac:dyDescent="0.3"/>
    <row r="11656" customFormat="1" x14ac:dyDescent="0.3"/>
    <row r="11657" customFormat="1" x14ac:dyDescent="0.3"/>
    <row r="11658" customFormat="1" x14ac:dyDescent="0.3"/>
    <row r="11659" customFormat="1" x14ac:dyDescent="0.3"/>
    <row r="11660" customFormat="1" x14ac:dyDescent="0.3"/>
    <row r="11661" customFormat="1" x14ac:dyDescent="0.3"/>
    <row r="11662" customFormat="1" x14ac:dyDescent="0.3"/>
    <row r="11663" customFormat="1" x14ac:dyDescent="0.3"/>
    <row r="11664" customFormat="1" x14ac:dyDescent="0.3"/>
    <row r="11665" customFormat="1" x14ac:dyDescent="0.3"/>
    <row r="11666" customFormat="1" x14ac:dyDescent="0.3"/>
    <row r="11667" customFormat="1" x14ac:dyDescent="0.3"/>
    <row r="11668" customFormat="1" x14ac:dyDescent="0.3"/>
    <row r="11669" customFormat="1" x14ac:dyDescent="0.3"/>
    <row r="11670" customFormat="1" x14ac:dyDescent="0.3"/>
    <row r="11671" customFormat="1" x14ac:dyDescent="0.3"/>
    <row r="11672" customFormat="1" x14ac:dyDescent="0.3"/>
    <row r="11673" customFormat="1" x14ac:dyDescent="0.3"/>
    <row r="11674" customFormat="1" x14ac:dyDescent="0.3"/>
    <row r="11675" customFormat="1" x14ac:dyDescent="0.3"/>
    <row r="11676" customFormat="1" x14ac:dyDescent="0.3"/>
    <row r="11677" customFormat="1" x14ac:dyDescent="0.3"/>
    <row r="11678" customFormat="1" x14ac:dyDescent="0.3"/>
    <row r="11679" customFormat="1" x14ac:dyDescent="0.3"/>
    <row r="11680" customFormat="1" x14ac:dyDescent="0.3"/>
    <row r="11681" customFormat="1" x14ac:dyDescent="0.3"/>
    <row r="11682" customFormat="1" x14ac:dyDescent="0.3"/>
    <row r="11683" customFormat="1" x14ac:dyDescent="0.3"/>
    <row r="11684" customFormat="1" x14ac:dyDescent="0.3"/>
    <row r="11685" customFormat="1" x14ac:dyDescent="0.3"/>
    <row r="11686" customFormat="1" x14ac:dyDescent="0.3"/>
    <row r="11687" customFormat="1" x14ac:dyDescent="0.3"/>
    <row r="11688" customFormat="1" x14ac:dyDescent="0.3"/>
    <row r="11689" customFormat="1" x14ac:dyDescent="0.3"/>
    <row r="11690" customFormat="1" x14ac:dyDescent="0.3"/>
    <row r="11691" customFormat="1" x14ac:dyDescent="0.3"/>
    <row r="11692" customFormat="1" x14ac:dyDescent="0.3"/>
    <row r="11693" customFormat="1" x14ac:dyDescent="0.3"/>
    <row r="11694" customFormat="1" x14ac:dyDescent="0.3"/>
    <row r="11695" customFormat="1" x14ac:dyDescent="0.3"/>
    <row r="11696" customFormat="1" x14ac:dyDescent="0.3"/>
    <row r="11697" customFormat="1" x14ac:dyDescent="0.3"/>
    <row r="11698" customFormat="1" x14ac:dyDescent="0.3"/>
    <row r="11699" customFormat="1" x14ac:dyDescent="0.3"/>
    <row r="11700" customFormat="1" x14ac:dyDescent="0.3"/>
    <row r="11701" customFormat="1" x14ac:dyDescent="0.3"/>
    <row r="11702" customFormat="1" x14ac:dyDescent="0.3"/>
    <row r="11703" customFormat="1" x14ac:dyDescent="0.3"/>
    <row r="11704" customFormat="1" x14ac:dyDescent="0.3"/>
    <row r="11705" customFormat="1" x14ac:dyDescent="0.3"/>
    <row r="11706" customFormat="1" x14ac:dyDescent="0.3"/>
    <row r="11707" customFormat="1" x14ac:dyDescent="0.3"/>
    <row r="11708" customFormat="1" x14ac:dyDescent="0.3"/>
    <row r="11709" customFormat="1" x14ac:dyDescent="0.3"/>
    <row r="11710" customFormat="1" x14ac:dyDescent="0.3"/>
    <row r="11711" customFormat="1" x14ac:dyDescent="0.3"/>
    <row r="11712" customFormat="1" x14ac:dyDescent="0.3"/>
    <row r="11713" customFormat="1" x14ac:dyDescent="0.3"/>
    <row r="11714" customFormat="1" x14ac:dyDescent="0.3"/>
    <row r="11715" customFormat="1" x14ac:dyDescent="0.3"/>
    <row r="11716" customFormat="1" x14ac:dyDescent="0.3"/>
    <row r="11717" customFormat="1" x14ac:dyDescent="0.3"/>
    <row r="11718" customFormat="1" x14ac:dyDescent="0.3"/>
    <row r="11719" customFormat="1" x14ac:dyDescent="0.3"/>
    <row r="11720" customFormat="1" x14ac:dyDescent="0.3"/>
    <row r="11721" customFormat="1" x14ac:dyDescent="0.3"/>
    <row r="11722" customFormat="1" x14ac:dyDescent="0.3"/>
    <row r="11723" customFormat="1" x14ac:dyDescent="0.3"/>
    <row r="11724" customFormat="1" x14ac:dyDescent="0.3"/>
    <row r="11725" customFormat="1" x14ac:dyDescent="0.3"/>
    <row r="11726" customFormat="1" x14ac:dyDescent="0.3"/>
    <row r="11727" customFormat="1" x14ac:dyDescent="0.3"/>
    <row r="11728" customFormat="1" x14ac:dyDescent="0.3"/>
    <row r="11729" customFormat="1" x14ac:dyDescent="0.3"/>
    <row r="11730" customFormat="1" x14ac:dyDescent="0.3"/>
    <row r="11731" customFormat="1" x14ac:dyDescent="0.3"/>
    <row r="11732" customFormat="1" x14ac:dyDescent="0.3"/>
    <row r="11733" customFormat="1" x14ac:dyDescent="0.3"/>
    <row r="11734" customFormat="1" x14ac:dyDescent="0.3"/>
    <row r="11735" customFormat="1" x14ac:dyDescent="0.3"/>
    <row r="11736" customFormat="1" x14ac:dyDescent="0.3"/>
    <row r="11737" customFormat="1" x14ac:dyDescent="0.3"/>
    <row r="11738" customFormat="1" x14ac:dyDescent="0.3"/>
    <row r="11739" customFormat="1" x14ac:dyDescent="0.3"/>
    <row r="11740" customFormat="1" x14ac:dyDescent="0.3"/>
    <row r="11741" customFormat="1" x14ac:dyDescent="0.3"/>
    <row r="11742" customFormat="1" x14ac:dyDescent="0.3"/>
    <row r="11743" customFormat="1" x14ac:dyDescent="0.3"/>
    <row r="11744" customFormat="1" x14ac:dyDescent="0.3"/>
    <row r="11745" customFormat="1" x14ac:dyDescent="0.3"/>
    <row r="11746" customFormat="1" x14ac:dyDescent="0.3"/>
    <row r="11747" customFormat="1" x14ac:dyDescent="0.3"/>
    <row r="11748" customFormat="1" x14ac:dyDescent="0.3"/>
    <row r="11749" customFormat="1" x14ac:dyDescent="0.3"/>
    <row r="11750" customFormat="1" x14ac:dyDescent="0.3"/>
    <row r="11751" customFormat="1" x14ac:dyDescent="0.3"/>
    <row r="11752" customFormat="1" x14ac:dyDescent="0.3"/>
    <row r="11753" customFormat="1" x14ac:dyDescent="0.3"/>
    <row r="11754" customFormat="1" x14ac:dyDescent="0.3"/>
    <row r="11755" customFormat="1" x14ac:dyDescent="0.3"/>
    <row r="11756" customFormat="1" x14ac:dyDescent="0.3"/>
    <row r="11757" customFormat="1" x14ac:dyDescent="0.3"/>
    <row r="11758" customFormat="1" x14ac:dyDescent="0.3"/>
    <row r="11759" customFormat="1" x14ac:dyDescent="0.3"/>
    <row r="11760" customFormat="1" x14ac:dyDescent="0.3"/>
    <row r="11761" customFormat="1" x14ac:dyDescent="0.3"/>
    <row r="11762" customFormat="1" x14ac:dyDescent="0.3"/>
    <row r="11763" customFormat="1" x14ac:dyDescent="0.3"/>
    <row r="11764" customFormat="1" x14ac:dyDescent="0.3"/>
    <row r="11765" customFormat="1" x14ac:dyDescent="0.3"/>
    <row r="11766" customFormat="1" x14ac:dyDescent="0.3"/>
    <row r="11767" customFormat="1" x14ac:dyDescent="0.3"/>
    <row r="11768" customFormat="1" x14ac:dyDescent="0.3"/>
    <row r="11769" customFormat="1" x14ac:dyDescent="0.3"/>
    <row r="11770" customFormat="1" x14ac:dyDescent="0.3"/>
    <row r="11771" customFormat="1" x14ac:dyDescent="0.3"/>
    <row r="11772" customFormat="1" x14ac:dyDescent="0.3"/>
    <row r="11773" customFormat="1" x14ac:dyDescent="0.3"/>
    <row r="11774" customFormat="1" x14ac:dyDescent="0.3"/>
    <row r="11775" customFormat="1" x14ac:dyDescent="0.3"/>
    <row r="11776" customFormat="1" x14ac:dyDescent="0.3"/>
    <row r="11777" customFormat="1" x14ac:dyDescent="0.3"/>
    <row r="11778" customFormat="1" x14ac:dyDescent="0.3"/>
    <row r="11779" customFormat="1" x14ac:dyDescent="0.3"/>
    <row r="11780" customFormat="1" x14ac:dyDescent="0.3"/>
    <row r="11781" customFormat="1" x14ac:dyDescent="0.3"/>
    <row r="11782" customFormat="1" x14ac:dyDescent="0.3"/>
    <row r="11783" customFormat="1" x14ac:dyDescent="0.3"/>
    <row r="11784" customFormat="1" x14ac:dyDescent="0.3"/>
    <row r="11785" customFormat="1" x14ac:dyDescent="0.3"/>
    <row r="11786" customFormat="1" x14ac:dyDescent="0.3"/>
    <row r="11787" customFormat="1" x14ac:dyDescent="0.3"/>
    <row r="11788" customFormat="1" x14ac:dyDescent="0.3"/>
    <row r="11789" customFormat="1" x14ac:dyDescent="0.3"/>
    <row r="11790" customFormat="1" x14ac:dyDescent="0.3"/>
    <row r="11791" customFormat="1" x14ac:dyDescent="0.3"/>
    <row r="11792" customFormat="1" x14ac:dyDescent="0.3"/>
    <row r="11793" customFormat="1" x14ac:dyDescent="0.3"/>
    <row r="11794" customFormat="1" x14ac:dyDescent="0.3"/>
    <row r="11795" customFormat="1" x14ac:dyDescent="0.3"/>
    <row r="11796" customFormat="1" x14ac:dyDescent="0.3"/>
    <row r="11797" customFormat="1" x14ac:dyDescent="0.3"/>
    <row r="11798" customFormat="1" x14ac:dyDescent="0.3"/>
    <row r="11799" customFormat="1" x14ac:dyDescent="0.3"/>
    <row r="11800" customFormat="1" x14ac:dyDescent="0.3"/>
    <row r="11801" customFormat="1" x14ac:dyDescent="0.3"/>
    <row r="11802" customFormat="1" x14ac:dyDescent="0.3"/>
    <row r="11803" customFormat="1" x14ac:dyDescent="0.3"/>
    <row r="11804" customFormat="1" x14ac:dyDescent="0.3"/>
    <row r="11805" customFormat="1" x14ac:dyDescent="0.3"/>
    <row r="11806" customFormat="1" x14ac:dyDescent="0.3"/>
    <row r="11807" customFormat="1" x14ac:dyDescent="0.3"/>
    <row r="11808" customFormat="1" x14ac:dyDescent="0.3"/>
    <row r="11809" customFormat="1" x14ac:dyDescent="0.3"/>
    <row r="11810" customFormat="1" x14ac:dyDescent="0.3"/>
    <row r="11811" customFormat="1" x14ac:dyDescent="0.3"/>
    <row r="11812" customFormat="1" x14ac:dyDescent="0.3"/>
    <row r="11813" customFormat="1" x14ac:dyDescent="0.3"/>
    <row r="11814" customFormat="1" x14ac:dyDescent="0.3"/>
    <row r="11815" customFormat="1" x14ac:dyDescent="0.3"/>
    <row r="11816" customFormat="1" x14ac:dyDescent="0.3"/>
    <row r="11817" customFormat="1" x14ac:dyDescent="0.3"/>
    <row r="11818" customFormat="1" x14ac:dyDescent="0.3"/>
    <row r="11819" customFormat="1" x14ac:dyDescent="0.3"/>
    <row r="11820" customFormat="1" x14ac:dyDescent="0.3"/>
    <row r="11821" customFormat="1" x14ac:dyDescent="0.3"/>
    <row r="11822" customFormat="1" x14ac:dyDescent="0.3"/>
    <row r="11823" customFormat="1" x14ac:dyDescent="0.3"/>
    <row r="11824" customFormat="1" x14ac:dyDescent="0.3"/>
    <row r="11825" customFormat="1" x14ac:dyDescent="0.3"/>
    <row r="11826" customFormat="1" x14ac:dyDescent="0.3"/>
    <row r="11827" customFormat="1" x14ac:dyDescent="0.3"/>
    <row r="11828" customFormat="1" x14ac:dyDescent="0.3"/>
    <row r="11829" customFormat="1" x14ac:dyDescent="0.3"/>
    <row r="11830" customFormat="1" x14ac:dyDescent="0.3"/>
    <row r="11831" customFormat="1" x14ac:dyDescent="0.3"/>
    <row r="11832" customFormat="1" x14ac:dyDescent="0.3"/>
    <row r="11833" customFormat="1" x14ac:dyDescent="0.3"/>
    <row r="11834" customFormat="1" x14ac:dyDescent="0.3"/>
    <row r="11835" customFormat="1" x14ac:dyDescent="0.3"/>
    <row r="11836" customFormat="1" x14ac:dyDescent="0.3"/>
    <row r="11837" customFormat="1" x14ac:dyDescent="0.3"/>
    <row r="11838" customFormat="1" x14ac:dyDescent="0.3"/>
    <row r="11839" customFormat="1" x14ac:dyDescent="0.3"/>
    <row r="11840" customFormat="1" x14ac:dyDescent="0.3"/>
    <row r="11841" customFormat="1" x14ac:dyDescent="0.3"/>
    <row r="11842" customFormat="1" x14ac:dyDescent="0.3"/>
    <row r="11843" customFormat="1" x14ac:dyDescent="0.3"/>
    <row r="11844" customFormat="1" x14ac:dyDescent="0.3"/>
    <row r="11845" customFormat="1" x14ac:dyDescent="0.3"/>
    <row r="11846" customFormat="1" x14ac:dyDescent="0.3"/>
    <row r="11847" customFormat="1" x14ac:dyDescent="0.3"/>
    <row r="11848" customFormat="1" x14ac:dyDescent="0.3"/>
    <row r="11849" customFormat="1" x14ac:dyDescent="0.3"/>
    <row r="11850" customFormat="1" x14ac:dyDescent="0.3"/>
    <row r="11851" customFormat="1" x14ac:dyDescent="0.3"/>
    <row r="11852" customFormat="1" x14ac:dyDescent="0.3"/>
    <row r="11853" customFormat="1" x14ac:dyDescent="0.3"/>
    <row r="11854" customFormat="1" x14ac:dyDescent="0.3"/>
    <row r="11855" customFormat="1" x14ac:dyDescent="0.3"/>
    <row r="11856" customFormat="1" x14ac:dyDescent="0.3"/>
    <row r="11857" customFormat="1" x14ac:dyDescent="0.3"/>
    <row r="11858" customFormat="1" x14ac:dyDescent="0.3"/>
    <row r="11859" customFormat="1" x14ac:dyDescent="0.3"/>
    <row r="11860" customFormat="1" x14ac:dyDescent="0.3"/>
    <row r="11861" customFormat="1" x14ac:dyDescent="0.3"/>
    <row r="11862" customFormat="1" x14ac:dyDescent="0.3"/>
    <row r="11863" customFormat="1" x14ac:dyDescent="0.3"/>
    <row r="11864" customFormat="1" x14ac:dyDescent="0.3"/>
    <row r="11865" customFormat="1" x14ac:dyDescent="0.3"/>
    <row r="11866" customFormat="1" x14ac:dyDescent="0.3"/>
    <row r="11867" customFormat="1" x14ac:dyDescent="0.3"/>
    <row r="11868" customFormat="1" x14ac:dyDescent="0.3"/>
    <row r="11869" customFormat="1" x14ac:dyDescent="0.3"/>
    <row r="11870" customFormat="1" x14ac:dyDescent="0.3"/>
    <row r="11871" customFormat="1" x14ac:dyDescent="0.3"/>
    <row r="11872" customFormat="1" x14ac:dyDescent="0.3"/>
    <row r="11873" customFormat="1" x14ac:dyDescent="0.3"/>
    <row r="11874" customFormat="1" x14ac:dyDescent="0.3"/>
    <row r="11875" customFormat="1" x14ac:dyDescent="0.3"/>
    <row r="11876" customFormat="1" x14ac:dyDescent="0.3"/>
    <row r="11877" customFormat="1" x14ac:dyDescent="0.3"/>
    <row r="11878" customFormat="1" x14ac:dyDescent="0.3"/>
    <row r="11879" customFormat="1" x14ac:dyDescent="0.3"/>
    <row r="11880" customFormat="1" x14ac:dyDescent="0.3"/>
    <row r="11881" customFormat="1" x14ac:dyDescent="0.3"/>
    <row r="11882" customFormat="1" x14ac:dyDescent="0.3"/>
    <row r="11883" customFormat="1" x14ac:dyDescent="0.3"/>
    <row r="11884" customFormat="1" x14ac:dyDescent="0.3"/>
    <row r="11885" customFormat="1" x14ac:dyDescent="0.3"/>
    <row r="11886" customFormat="1" x14ac:dyDescent="0.3"/>
    <row r="11887" customFormat="1" x14ac:dyDescent="0.3"/>
    <row r="11888" customFormat="1" x14ac:dyDescent="0.3"/>
    <row r="11889" customFormat="1" x14ac:dyDescent="0.3"/>
    <row r="11890" customFormat="1" x14ac:dyDescent="0.3"/>
    <row r="11891" customFormat="1" x14ac:dyDescent="0.3"/>
    <row r="11892" customFormat="1" x14ac:dyDescent="0.3"/>
    <row r="11893" customFormat="1" x14ac:dyDescent="0.3"/>
    <row r="11894" customFormat="1" x14ac:dyDescent="0.3"/>
    <row r="11895" customFormat="1" x14ac:dyDescent="0.3"/>
    <row r="11896" customFormat="1" x14ac:dyDescent="0.3"/>
    <row r="11897" customFormat="1" x14ac:dyDescent="0.3"/>
    <row r="11898" customFormat="1" x14ac:dyDescent="0.3"/>
    <row r="11899" customFormat="1" x14ac:dyDescent="0.3"/>
    <row r="11900" customFormat="1" x14ac:dyDescent="0.3"/>
    <row r="11901" customFormat="1" x14ac:dyDescent="0.3"/>
    <row r="11902" customFormat="1" x14ac:dyDescent="0.3"/>
    <row r="11903" customFormat="1" x14ac:dyDescent="0.3"/>
    <row r="11904" customFormat="1" x14ac:dyDescent="0.3"/>
    <row r="11905" customFormat="1" x14ac:dyDescent="0.3"/>
    <row r="11906" customFormat="1" x14ac:dyDescent="0.3"/>
    <row r="11907" customFormat="1" x14ac:dyDescent="0.3"/>
    <row r="11908" customFormat="1" x14ac:dyDescent="0.3"/>
    <row r="11909" customFormat="1" x14ac:dyDescent="0.3"/>
    <row r="11910" customFormat="1" x14ac:dyDescent="0.3"/>
    <row r="11911" customFormat="1" x14ac:dyDescent="0.3"/>
    <row r="11912" customFormat="1" x14ac:dyDescent="0.3"/>
    <row r="11913" customFormat="1" x14ac:dyDescent="0.3"/>
    <row r="11914" customFormat="1" x14ac:dyDescent="0.3"/>
    <row r="11915" customFormat="1" x14ac:dyDescent="0.3"/>
    <row r="11916" customFormat="1" x14ac:dyDescent="0.3"/>
    <row r="11917" customFormat="1" x14ac:dyDescent="0.3"/>
    <row r="11918" customFormat="1" x14ac:dyDescent="0.3"/>
    <row r="11919" customFormat="1" x14ac:dyDescent="0.3"/>
    <row r="11920" customFormat="1" x14ac:dyDescent="0.3"/>
    <row r="11921" customFormat="1" x14ac:dyDescent="0.3"/>
    <row r="11922" customFormat="1" x14ac:dyDescent="0.3"/>
    <row r="11923" customFormat="1" x14ac:dyDescent="0.3"/>
    <row r="11924" customFormat="1" x14ac:dyDescent="0.3"/>
    <row r="11925" customFormat="1" x14ac:dyDescent="0.3"/>
    <row r="11926" customFormat="1" x14ac:dyDescent="0.3"/>
    <row r="11927" customFormat="1" x14ac:dyDescent="0.3"/>
    <row r="11928" customFormat="1" x14ac:dyDescent="0.3"/>
    <row r="11929" customFormat="1" x14ac:dyDescent="0.3"/>
    <row r="11930" customFormat="1" x14ac:dyDescent="0.3"/>
    <row r="11931" customFormat="1" x14ac:dyDescent="0.3"/>
    <row r="11932" customFormat="1" x14ac:dyDescent="0.3"/>
    <row r="11933" customFormat="1" x14ac:dyDescent="0.3"/>
    <row r="11934" customFormat="1" x14ac:dyDescent="0.3"/>
    <row r="11935" customFormat="1" x14ac:dyDescent="0.3"/>
    <row r="11936" customFormat="1" x14ac:dyDescent="0.3"/>
    <row r="11937" customFormat="1" x14ac:dyDescent="0.3"/>
    <row r="11938" customFormat="1" x14ac:dyDescent="0.3"/>
    <row r="11939" customFormat="1" x14ac:dyDescent="0.3"/>
    <row r="11940" customFormat="1" x14ac:dyDescent="0.3"/>
    <row r="11941" customFormat="1" x14ac:dyDescent="0.3"/>
    <row r="11942" customFormat="1" x14ac:dyDescent="0.3"/>
    <row r="11943" customFormat="1" x14ac:dyDescent="0.3"/>
    <row r="11944" customFormat="1" x14ac:dyDescent="0.3"/>
    <row r="11945" customFormat="1" x14ac:dyDescent="0.3"/>
    <row r="11946" customFormat="1" x14ac:dyDescent="0.3"/>
    <row r="11947" customFormat="1" x14ac:dyDescent="0.3"/>
    <row r="11948" customFormat="1" x14ac:dyDescent="0.3"/>
    <row r="11949" customFormat="1" x14ac:dyDescent="0.3"/>
    <row r="11950" customFormat="1" x14ac:dyDescent="0.3"/>
    <row r="11951" customFormat="1" x14ac:dyDescent="0.3"/>
    <row r="11952" customFormat="1" x14ac:dyDescent="0.3"/>
    <row r="11953" customFormat="1" x14ac:dyDescent="0.3"/>
    <row r="11954" customFormat="1" x14ac:dyDescent="0.3"/>
    <row r="11955" customFormat="1" x14ac:dyDescent="0.3"/>
    <row r="11956" customFormat="1" x14ac:dyDescent="0.3"/>
    <row r="11957" customFormat="1" x14ac:dyDescent="0.3"/>
    <row r="11958" customFormat="1" x14ac:dyDescent="0.3"/>
    <row r="11959" customFormat="1" x14ac:dyDescent="0.3"/>
    <row r="11960" customFormat="1" x14ac:dyDescent="0.3"/>
    <row r="11961" customFormat="1" x14ac:dyDescent="0.3"/>
    <row r="11962" customFormat="1" x14ac:dyDescent="0.3"/>
    <row r="11963" customFormat="1" x14ac:dyDescent="0.3"/>
    <row r="11964" customFormat="1" x14ac:dyDescent="0.3"/>
    <row r="11965" customFormat="1" x14ac:dyDescent="0.3"/>
    <row r="11966" customFormat="1" x14ac:dyDescent="0.3"/>
    <row r="11967" customFormat="1" x14ac:dyDescent="0.3"/>
    <row r="11968" customFormat="1" x14ac:dyDescent="0.3"/>
    <row r="11969" customFormat="1" x14ac:dyDescent="0.3"/>
    <row r="11970" customFormat="1" x14ac:dyDescent="0.3"/>
    <row r="11971" customFormat="1" x14ac:dyDescent="0.3"/>
    <row r="11972" customFormat="1" x14ac:dyDescent="0.3"/>
    <row r="11973" customFormat="1" x14ac:dyDescent="0.3"/>
    <row r="11974" customFormat="1" x14ac:dyDescent="0.3"/>
    <row r="11975" customFormat="1" x14ac:dyDescent="0.3"/>
    <row r="11976" customFormat="1" x14ac:dyDescent="0.3"/>
    <row r="11977" customFormat="1" x14ac:dyDescent="0.3"/>
    <row r="11978" customFormat="1" x14ac:dyDescent="0.3"/>
    <row r="11979" customFormat="1" x14ac:dyDescent="0.3"/>
    <row r="11980" customFormat="1" x14ac:dyDescent="0.3"/>
    <row r="11981" customFormat="1" x14ac:dyDescent="0.3"/>
    <row r="11982" customFormat="1" x14ac:dyDescent="0.3"/>
    <row r="11983" customFormat="1" x14ac:dyDescent="0.3"/>
    <row r="11984" customFormat="1" x14ac:dyDescent="0.3"/>
    <row r="11985" customFormat="1" x14ac:dyDescent="0.3"/>
    <row r="11986" customFormat="1" x14ac:dyDescent="0.3"/>
    <row r="11987" customFormat="1" x14ac:dyDescent="0.3"/>
    <row r="11988" customFormat="1" x14ac:dyDescent="0.3"/>
    <row r="11989" customFormat="1" x14ac:dyDescent="0.3"/>
    <row r="11990" customFormat="1" x14ac:dyDescent="0.3"/>
    <row r="11991" customFormat="1" x14ac:dyDescent="0.3"/>
    <row r="11992" customFormat="1" x14ac:dyDescent="0.3"/>
    <row r="11993" customFormat="1" x14ac:dyDescent="0.3"/>
    <row r="11994" customFormat="1" x14ac:dyDescent="0.3"/>
    <row r="11995" customFormat="1" x14ac:dyDescent="0.3"/>
    <row r="11996" customFormat="1" x14ac:dyDescent="0.3"/>
    <row r="11997" customFormat="1" x14ac:dyDescent="0.3"/>
    <row r="11998" customFormat="1" x14ac:dyDescent="0.3"/>
    <row r="11999" customFormat="1" x14ac:dyDescent="0.3"/>
    <row r="12000" customFormat="1" x14ac:dyDescent="0.3"/>
    <row r="12001" customFormat="1" x14ac:dyDescent="0.3"/>
    <row r="12002" customFormat="1" x14ac:dyDescent="0.3"/>
    <row r="12003" customFormat="1" x14ac:dyDescent="0.3"/>
    <row r="12004" customFormat="1" x14ac:dyDescent="0.3"/>
    <row r="12005" customFormat="1" x14ac:dyDescent="0.3"/>
    <row r="12006" customFormat="1" x14ac:dyDescent="0.3"/>
    <row r="12007" customFormat="1" x14ac:dyDescent="0.3"/>
    <row r="12008" customFormat="1" x14ac:dyDescent="0.3"/>
    <row r="12009" customFormat="1" x14ac:dyDescent="0.3"/>
    <row r="12010" customFormat="1" x14ac:dyDescent="0.3"/>
    <row r="12011" customFormat="1" x14ac:dyDescent="0.3"/>
    <row r="12012" customFormat="1" x14ac:dyDescent="0.3"/>
    <row r="12013" customFormat="1" x14ac:dyDescent="0.3"/>
    <row r="12014" customFormat="1" x14ac:dyDescent="0.3"/>
    <row r="12015" customFormat="1" x14ac:dyDescent="0.3"/>
    <row r="12016" customFormat="1" x14ac:dyDescent="0.3"/>
    <row r="12017" customFormat="1" x14ac:dyDescent="0.3"/>
    <row r="12018" customFormat="1" x14ac:dyDescent="0.3"/>
    <row r="12019" customFormat="1" x14ac:dyDescent="0.3"/>
    <row r="12020" customFormat="1" x14ac:dyDescent="0.3"/>
    <row r="12021" customFormat="1" x14ac:dyDescent="0.3"/>
    <row r="12022" customFormat="1" x14ac:dyDescent="0.3"/>
    <row r="12023" customFormat="1" x14ac:dyDescent="0.3"/>
    <row r="12024" customFormat="1" x14ac:dyDescent="0.3"/>
    <row r="12025" customFormat="1" x14ac:dyDescent="0.3"/>
    <row r="12026" customFormat="1" x14ac:dyDescent="0.3"/>
    <row r="12027" customFormat="1" x14ac:dyDescent="0.3"/>
    <row r="12028" customFormat="1" x14ac:dyDescent="0.3"/>
    <row r="12029" customFormat="1" x14ac:dyDescent="0.3"/>
    <row r="12030" customFormat="1" x14ac:dyDescent="0.3"/>
    <row r="12031" customFormat="1" x14ac:dyDescent="0.3"/>
    <row r="12032" customFormat="1" x14ac:dyDescent="0.3"/>
    <row r="12033" customFormat="1" x14ac:dyDescent="0.3"/>
    <row r="12034" customFormat="1" x14ac:dyDescent="0.3"/>
    <row r="12035" customFormat="1" x14ac:dyDescent="0.3"/>
    <row r="12036" customFormat="1" x14ac:dyDescent="0.3"/>
    <row r="12037" customFormat="1" x14ac:dyDescent="0.3"/>
    <row r="12038" customFormat="1" x14ac:dyDescent="0.3"/>
    <row r="12039" customFormat="1" x14ac:dyDescent="0.3"/>
    <row r="12040" customFormat="1" x14ac:dyDescent="0.3"/>
    <row r="12041" customFormat="1" x14ac:dyDescent="0.3"/>
    <row r="12042" customFormat="1" x14ac:dyDescent="0.3"/>
    <row r="12043" customFormat="1" x14ac:dyDescent="0.3"/>
    <row r="12044" customFormat="1" x14ac:dyDescent="0.3"/>
    <row r="12045" customFormat="1" x14ac:dyDescent="0.3"/>
    <row r="12046" customFormat="1" x14ac:dyDescent="0.3"/>
    <row r="12047" customFormat="1" x14ac:dyDescent="0.3"/>
    <row r="12048" customFormat="1" x14ac:dyDescent="0.3"/>
    <row r="12049" customFormat="1" x14ac:dyDescent="0.3"/>
    <row r="12050" customFormat="1" x14ac:dyDescent="0.3"/>
    <row r="12051" customFormat="1" x14ac:dyDescent="0.3"/>
    <row r="12052" customFormat="1" x14ac:dyDescent="0.3"/>
    <row r="12053" customFormat="1" x14ac:dyDescent="0.3"/>
    <row r="12054" customFormat="1" x14ac:dyDescent="0.3"/>
    <row r="12055" customFormat="1" x14ac:dyDescent="0.3"/>
    <row r="12056" customFormat="1" x14ac:dyDescent="0.3"/>
    <row r="12057" customFormat="1" x14ac:dyDescent="0.3"/>
    <row r="12058" customFormat="1" x14ac:dyDescent="0.3"/>
    <row r="12059" customFormat="1" x14ac:dyDescent="0.3"/>
    <row r="12060" customFormat="1" x14ac:dyDescent="0.3"/>
    <row r="12061" customFormat="1" x14ac:dyDescent="0.3"/>
    <row r="12062" customFormat="1" x14ac:dyDescent="0.3"/>
    <row r="12063" customFormat="1" x14ac:dyDescent="0.3"/>
    <row r="12064" customFormat="1" x14ac:dyDescent="0.3"/>
    <row r="12065" customFormat="1" x14ac:dyDescent="0.3"/>
    <row r="12066" customFormat="1" x14ac:dyDescent="0.3"/>
    <row r="12067" customFormat="1" x14ac:dyDescent="0.3"/>
    <row r="12068" customFormat="1" x14ac:dyDescent="0.3"/>
    <row r="12069" customFormat="1" x14ac:dyDescent="0.3"/>
    <row r="12070" customFormat="1" x14ac:dyDescent="0.3"/>
    <row r="12071" customFormat="1" x14ac:dyDescent="0.3"/>
    <row r="12072" customFormat="1" x14ac:dyDescent="0.3"/>
    <row r="12073" customFormat="1" x14ac:dyDescent="0.3"/>
    <row r="12074" customFormat="1" x14ac:dyDescent="0.3"/>
    <row r="12075" customFormat="1" x14ac:dyDescent="0.3"/>
    <row r="12076" customFormat="1" x14ac:dyDescent="0.3"/>
    <row r="12077" customFormat="1" x14ac:dyDescent="0.3"/>
    <row r="12078" customFormat="1" x14ac:dyDescent="0.3"/>
    <row r="12079" customFormat="1" x14ac:dyDescent="0.3"/>
    <row r="12080" customFormat="1" x14ac:dyDescent="0.3"/>
    <row r="12081" customFormat="1" x14ac:dyDescent="0.3"/>
    <row r="12082" customFormat="1" x14ac:dyDescent="0.3"/>
    <row r="12083" customFormat="1" x14ac:dyDescent="0.3"/>
    <row r="12084" customFormat="1" x14ac:dyDescent="0.3"/>
    <row r="12085" customFormat="1" x14ac:dyDescent="0.3"/>
    <row r="12086" customFormat="1" x14ac:dyDescent="0.3"/>
    <row r="12087" customFormat="1" x14ac:dyDescent="0.3"/>
    <row r="12088" customFormat="1" x14ac:dyDescent="0.3"/>
    <row r="12089" customFormat="1" x14ac:dyDescent="0.3"/>
    <row r="12090" customFormat="1" x14ac:dyDescent="0.3"/>
    <row r="12091" customFormat="1" x14ac:dyDescent="0.3"/>
    <row r="12092" customFormat="1" x14ac:dyDescent="0.3"/>
    <row r="12093" customFormat="1" x14ac:dyDescent="0.3"/>
    <row r="12094" customFormat="1" x14ac:dyDescent="0.3"/>
    <row r="12095" customFormat="1" x14ac:dyDescent="0.3"/>
    <row r="12096" customFormat="1" x14ac:dyDescent="0.3"/>
    <row r="12097" customFormat="1" x14ac:dyDescent="0.3"/>
    <row r="12098" customFormat="1" x14ac:dyDescent="0.3"/>
    <row r="12099" customFormat="1" x14ac:dyDescent="0.3"/>
    <row r="12100" customFormat="1" x14ac:dyDescent="0.3"/>
    <row r="12101" customFormat="1" x14ac:dyDescent="0.3"/>
    <row r="12102" customFormat="1" x14ac:dyDescent="0.3"/>
    <row r="12103" customFormat="1" x14ac:dyDescent="0.3"/>
    <row r="12104" customFormat="1" x14ac:dyDescent="0.3"/>
    <row r="12105" customFormat="1" x14ac:dyDescent="0.3"/>
    <row r="12106" customFormat="1" x14ac:dyDescent="0.3"/>
    <row r="12107" customFormat="1" x14ac:dyDescent="0.3"/>
    <row r="12108" customFormat="1" x14ac:dyDescent="0.3"/>
    <row r="12109" customFormat="1" x14ac:dyDescent="0.3"/>
    <row r="12110" customFormat="1" x14ac:dyDescent="0.3"/>
    <row r="12111" customFormat="1" x14ac:dyDescent="0.3"/>
    <row r="12112" customFormat="1" x14ac:dyDescent="0.3"/>
    <row r="12113" customFormat="1" x14ac:dyDescent="0.3"/>
    <row r="12114" customFormat="1" x14ac:dyDescent="0.3"/>
    <row r="12115" customFormat="1" x14ac:dyDescent="0.3"/>
    <row r="12116" customFormat="1" x14ac:dyDescent="0.3"/>
    <row r="12117" customFormat="1" x14ac:dyDescent="0.3"/>
    <row r="12118" customFormat="1" x14ac:dyDescent="0.3"/>
    <row r="12119" customFormat="1" x14ac:dyDescent="0.3"/>
    <row r="12120" customFormat="1" x14ac:dyDescent="0.3"/>
    <row r="12121" customFormat="1" x14ac:dyDescent="0.3"/>
    <row r="12122" customFormat="1" x14ac:dyDescent="0.3"/>
    <row r="12123" customFormat="1" x14ac:dyDescent="0.3"/>
    <row r="12124" customFormat="1" x14ac:dyDescent="0.3"/>
    <row r="12125" customFormat="1" x14ac:dyDescent="0.3"/>
    <row r="12126" customFormat="1" x14ac:dyDescent="0.3"/>
    <row r="12127" customFormat="1" x14ac:dyDescent="0.3"/>
    <row r="12128" customFormat="1" x14ac:dyDescent="0.3"/>
    <row r="12129" customFormat="1" x14ac:dyDescent="0.3"/>
    <row r="12130" customFormat="1" x14ac:dyDescent="0.3"/>
    <row r="12131" customFormat="1" x14ac:dyDescent="0.3"/>
    <row r="12132" customFormat="1" x14ac:dyDescent="0.3"/>
    <row r="12133" customFormat="1" x14ac:dyDescent="0.3"/>
    <row r="12134" customFormat="1" x14ac:dyDescent="0.3"/>
    <row r="12135" customFormat="1" x14ac:dyDescent="0.3"/>
    <row r="12136" customFormat="1" x14ac:dyDescent="0.3"/>
    <row r="12137" customFormat="1" x14ac:dyDescent="0.3"/>
    <row r="12138" customFormat="1" x14ac:dyDescent="0.3"/>
    <row r="12139" customFormat="1" x14ac:dyDescent="0.3"/>
    <row r="12140" customFormat="1" x14ac:dyDescent="0.3"/>
    <row r="12141" customFormat="1" x14ac:dyDescent="0.3"/>
    <row r="12142" customFormat="1" x14ac:dyDescent="0.3"/>
    <row r="12143" customFormat="1" x14ac:dyDescent="0.3"/>
    <row r="12144" customFormat="1" x14ac:dyDescent="0.3"/>
    <row r="12145" customFormat="1" x14ac:dyDescent="0.3"/>
    <row r="12146" customFormat="1" x14ac:dyDescent="0.3"/>
    <row r="12147" customFormat="1" x14ac:dyDescent="0.3"/>
    <row r="12148" customFormat="1" x14ac:dyDescent="0.3"/>
    <row r="12149" customFormat="1" x14ac:dyDescent="0.3"/>
    <row r="12150" customFormat="1" x14ac:dyDescent="0.3"/>
    <row r="12151" customFormat="1" x14ac:dyDescent="0.3"/>
    <row r="12152" customFormat="1" x14ac:dyDescent="0.3"/>
    <row r="12153" customFormat="1" x14ac:dyDescent="0.3"/>
    <row r="12154" customFormat="1" x14ac:dyDescent="0.3"/>
    <row r="12155" customFormat="1" x14ac:dyDescent="0.3"/>
    <row r="12156" customFormat="1" x14ac:dyDescent="0.3"/>
    <row r="12157" customFormat="1" x14ac:dyDescent="0.3"/>
    <row r="12158" customFormat="1" x14ac:dyDescent="0.3"/>
    <row r="12159" customFormat="1" x14ac:dyDescent="0.3"/>
    <row r="12160" customFormat="1" x14ac:dyDescent="0.3"/>
    <row r="12161" customFormat="1" x14ac:dyDescent="0.3"/>
    <row r="12162" customFormat="1" x14ac:dyDescent="0.3"/>
    <row r="12163" customFormat="1" x14ac:dyDescent="0.3"/>
    <row r="12164" customFormat="1" x14ac:dyDescent="0.3"/>
    <row r="12165" customFormat="1" x14ac:dyDescent="0.3"/>
    <row r="12166" customFormat="1" x14ac:dyDescent="0.3"/>
    <row r="12167" customFormat="1" x14ac:dyDescent="0.3"/>
    <row r="12168" customFormat="1" x14ac:dyDescent="0.3"/>
    <row r="12169" customFormat="1" x14ac:dyDescent="0.3"/>
    <row r="12170" customFormat="1" x14ac:dyDescent="0.3"/>
    <row r="12171" customFormat="1" x14ac:dyDescent="0.3"/>
    <row r="12172" customFormat="1" x14ac:dyDescent="0.3"/>
    <row r="12173" customFormat="1" x14ac:dyDescent="0.3"/>
    <row r="12174" customFormat="1" x14ac:dyDescent="0.3"/>
    <row r="12175" customFormat="1" x14ac:dyDescent="0.3"/>
    <row r="12176" customFormat="1" x14ac:dyDescent="0.3"/>
    <row r="12177" customFormat="1" x14ac:dyDescent="0.3"/>
    <row r="12178" customFormat="1" x14ac:dyDescent="0.3"/>
    <row r="12179" customFormat="1" x14ac:dyDescent="0.3"/>
    <row r="12180" customFormat="1" x14ac:dyDescent="0.3"/>
    <row r="12181" customFormat="1" x14ac:dyDescent="0.3"/>
    <row r="12182" customFormat="1" x14ac:dyDescent="0.3"/>
    <row r="12183" customFormat="1" x14ac:dyDescent="0.3"/>
    <row r="12184" customFormat="1" x14ac:dyDescent="0.3"/>
    <row r="12185" customFormat="1" x14ac:dyDescent="0.3"/>
    <row r="12186" customFormat="1" x14ac:dyDescent="0.3"/>
    <row r="12187" customFormat="1" x14ac:dyDescent="0.3"/>
    <row r="12188" customFormat="1" x14ac:dyDescent="0.3"/>
    <row r="12189" customFormat="1" x14ac:dyDescent="0.3"/>
    <row r="12190" customFormat="1" x14ac:dyDescent="0.3"/>
    <row r="12191" customFormat="1" x14ac:dyDescent="0.3"/>
    <row r="12192" customFormat="1" x14ac:dyDescent="0.3"/>
    <row r="12193" customFormat="1" x14ac:dyDescent="0.3"/>
    <row r="12194" customFormat="1" x14ac:dyDescent="0.3"/>
    <row r="12195" customFormat="1" x14ac:dyDescent="0.3"/>
    <row r="12196" customFormat="1" x14ac:dyDescent="0.3"/>
    <row r="12197" customFormat="1" x14ac:dyDescent="0.3"/>
    <row r="12198" customFormat="1" x14ac:dyDescent="0.3"/>
    <row r="12199" customFormat="1" x14ac:dyDescent="0.3"/>
    <row r="12200" customFormat="1" x14ac:dyDescent="0.3"/>
    <row r="12201" customFormat="1" x14ac:dyDescent="0.3"/>
    <row r="12202" customFormat="1" x14ac:dyDescent="0.3"/>
    <row r="12203" customFormat="1" x14ac:dyDescent="0.3"/>
    <row r="12204" customFormat="1" x14ac:dyDescent="0.3"/>
    <row r="12205" customFormat="1" x14ac:dyDescent="0.3"/>
    <row r="12206" customFormat="1" x14ac:dyDescent="0.3"/>
    <row r="12207" customFormat="1" x14ac:dyDescent="0.3"/>
    <row r="12208" customFormat="1" x14ac:dyDescent="0.3"/>
    <row r="12209" customFormat="1" x14ac:dyDescent="0.3"/>
    <row r="12210" customFormat="1" x14ac:dyDescent="0.3"/>
    <row r="12211" customFormat="1" x14ac:dyDescent="0.3"/>
    <row r="12212" customFormat="1" x14ac:dyDescent="0.3"/>
    <row r="12213" customFormat="1" x14ac:dyDescent="0.3"/>
    <row r="12214" customFormat="1" x14ac:dyDescent="0.3"/>
    <row r="12215" customFormat="1" x14ac:dyDescent="0.3"/>
    <row r="12216" customFormat="1" x14ac:dyDescent="0.3"/>
    <row r="12217" customFormat="1" x14ac:dyDescent="0.3"/>
    <row r="12218" customFormat="1" x14ac:dyDescent="0.3"/>
    <row r="12219" customFormat="1" x14ac:dyDescent="0.3"/>
    <row r="12220" customFormat="1" x14ac:dyDescent="0.3"/>
    <row r="12221" customFormat="1" x14ac:dyDescent="0.3"/>
    <row r="12222" customFormat="1" x14ac:dyDescent="0.3"/>
    <row r="12223" customFormat="1" x14ac:dyDescent="0.3"/>
    <row r="12224" customFormat="1" x14ac:dyDescent="0.3"/>
    <row r="12225" customFormat="1" x14ac:dyDescent="0.3"/>
    <row r="12226" customFormat="1" x14ac:dyDescent="0.3"/>
    <row r="12227" customFormat="1" x14ac:dyDescent="0.3"/>
    <row r="12228" customFormat="1" x14ac:dyDescent="0.3"/>
    <row r="12229" customFormat="1" x14ac:dyDescent="0.3"/>
    <row r="12230" customFormat="1" x14ac:dyDescent="0.3"/>
    <row r="12231" customFormat="1" x14ac:dyDescent="0.3"/>
    <row r="12232" customFormat="1" x14ac:dyDescent="0.3"/>
    <row r="12233" customFormat="1" x14ac:dyDescent="0.3"/>
    <row r="12234" customFormat="1" x14ac:dyDescent="0.3"/>
    <row r="12235" customFormat="1" x14ac:dyDescent="0.3"/>
    <row r="12236" customFormat="1" x14ac:dyDescent="0.3"/>
    <row r="12237" customFormat="1" x14ac:dyDescent="0.3"/>
    <row r="12238" customFormat="1" x14ac:dyDescent="0.3"/>
    <row r="12239" customFormat="1" x14ac:dyDescent="0.3"/>
    <row r="12240" customFormat="1" x14ac:dyDescent="0.3"/>
    <row r="12241" customFormat="1" x14ac:dyDescent="0.3"/>
    <row r="12242" customFormat="1" x14ac:dyDescent="0.3"/>
    <row r="12243" customFormat="1" x14ac:dyDescent="0.3"/>
    <row r="12244" customFormat="1" x14ac:dyDescent="0.3"/>
    <row r="12245" customFormat="1" x14ac:dyDescent="0.3"/>
    <row r="12246" customFormat="1" x14ac:dyDescent="0.3"/>
    <row r="12247" customFormat="1" x14ac:dyDescent="0.3"/>
    <row r="12248" customFormat="1" x14ac:dyDescent="0.3"/>
    <row r="12249" customFormat="1" x14ac:dyDescent="0.3"/>
    <row r="12250" customFormat="1" x14ac:dyDescent="0.3"/>
    <row r="12251" customFormat="1" x14ac:dyDescent="0.3"/>
    <row r="12252" customFormat="1" x14ac:dyDescent="0.3"/>
    <row r="12253" customFormat="1" x14ac:dyDescent="0.3"/>
    <row r="12254" customFormat="1" x14ac:dyDescent="0.3"/>
    <row r="12255" customFormat="1" x14ac:dyDescent="0.3"/>
    <row r="12256" customFormat="1" x14ac:dyDescent="0.3"/>
    <row r="12257" customFormat="1" x14ac:dyDescent="0.3"/>
    <row r="12258" customFormat="1" x14ac:dyDescent="0.3"/>
    <row r="12259" customFormat="1" x14ac:dyDescent="0.3"/>
    <row r="12260" customFormat="1" x14ac:dyDescent="0.3"/>
    <row r="12261" customFormat="1" x14ac:dyDescent="0.3"/>
    <row r="12262" customFormat="1" x14ac:dyDescent="0.3"/>
    <row r="12263" customFormat="1" x14ac:dyDescent="0.3"/>
    <row r="12264" customFormat="1" x14ac:dyDescent="0.3"/>
    <row r="12265" customFormat="1" x14ac:dyDescent="0.3"/>
    <row r="12266" customFormat="1" x14ac:dyDescent="0.3"/>
    <row r="12267" customFormat="1" x14ac:dyDescent="0.3"/>
    <row r="12268" customFormat="1" x14ac:dyDescent="0.3"/>
    <row r="12269" customFormat="1" x14ac:dyDescent="0.3"/>
    <row r="12270" customFormat="1" x14ac:dyDescent="0.3"/>
    <row r="12271" customFormat="1" x14ac:dyDescent="0.3"/>
    <row r="12272" customFormat="1" x14ac:dyDescent="0.3"/>
    <row r="12273" customFormat="1" x14ac:dyDescent="0.3"/>
    <row r="12274" customFormat="1" x14ac:dyDescent="0.3"/>
    <row r="12275" customFormat="1" x14ac:dyDescent="0.3"/>
    <row r="12276" customFormat="1" x14ac:dyDescent="0.3"/>
    <row r="12277" customFormat="1" x14ac:dyDescent="0.3"/>
    <row r="12278" customFormat="1" x14ac:dyDescent="0.3"/>
    <row r="12279" customFormat="1" x14ac:dyDescent="0.3"/>
    <row r="12280" customFormat="1" x14ac:dyDescent="0.3"/>
    <row r="12281" customFormat="1" x14ac:dyDescent="0.3"/>
    <row r="12282" customFormat="1" x14ac:dyDescent="0.3"/>
    <row r="12283" customFormat="1" x14ac:dyDescent="0.3"/>
    <row r="12284" customFormat="1" x14ac:dyDescent="0.3"/>
    <row r="12285" customFormat="1" x14ac:dyDescent="0.3"/>
    <row r="12286" customFormat="1" x14ac:dyDescent="0.3"/>
    <row r="12287" customFormat="1" x14ac:dyDescent="0.3"/>
    <row r="12288" customFormat="1" x14ac:dyDescent="0.3"/>
    <row r="12289" customFormat="1" x14ac:dyDescent="0.3"/>
    <row r="12290" customFormat="1" x14ac:dyDescent="0.3"/>
    <row r="12291" customFormat="1" x14ac:dyDescent="0.3"/>
    <row r="12292" customFormat="1" x14ac:dyDescent="0.3"/>
    <row r="12293" customFormat="1" x14ac:dyDescent="0.3"/>
    <row r="12294" customFormat="1" x14ac:dyDescent="0.3"/>
    <row r="12295" customFormat="1" x14ac:dyDescent="0.3"/>
    <row r="12296" customFormat="1" x14ac:dyDescent="0.3"/>
    <row r="12297" customFormat="1" x14ac:dyDescent="0.3"/>
    <row r="12298" customFormat="1" x14ac:dyDescent="0.3"/>
    <row r="12299" customFormat="1" x14ac:dyDescent="0.3"/>
    <row r="12300" customFormat="1" x14ac:dyDescent="0.3"/>
    <row r="12301" customFormat="1" x14ac:dyDescent="0.3"/>
    <row r="12302" customFormat="1" x14ac:dyDescent="0.3"/>
    <row r="12303" customFormat="1" x14ac:dyDescent="0.3"/>
    <row r="12304" customFormat="1" x14ac:dyDescent="0.3"/>
    <row r="12305" customFormat="1" x14ac:dyDescent="0.3"/>
    <row r="12306" customFormat="1" x14ac:dyDescent="0.3"/>
    <row r="12307" customFormat="1" x14ac:dyDescent="0.3"/>
    <row r="12308" customFormat="1" x14ac:dyDescent="0.3"/>
    <row r="12309" customFormat="1" x14ac:dyDescent="0.3"/>
    <row r="12310" customFormat="1" x14ac:dyDescent="0.3"/>
    <row r="12311" customFormat="1" x14ac:dyDescent="0.3"/>
    <row r="12312" customFormat="1" x14ac:dyDescent="0.3"/>
    <row r="12313" customFormat="1" x14ac:dyDescent="0.3"/>
    <row r="12314" customFormat="1" x14ac:dyDescent="0.3"/>
    <row r="12315" customFormat="1" x14ac:dyDescent="0.3"/>
    <row r="12316" customFormat="1" x14ac:dyDescent="0.3"/>
    <row r="12317" customFormat="1" x14ac:dyDescent="0.3"/>
    <row r="12318" customFormat="1" x14ac:dyDescent="0.3"/>
    <row r="12319" customFormat="1" x14ac:dyDescent="0.3"/>
    <row r="12320" customFormat="1" x14ac:dyDescent="0.3"/>
    <row r="12321" customFormat="1" x14ac:dyDescent="0.3"/>
    <row r="12322" customFormat="1" x14ac:dyDescent="0.3"/>
    <row r="12323" customFormat="1" x14ac:dyDescent="0.3"/>
    <row r="12324" customFormat="1" x14ac:dyDescent="0.3"/>
    <row r="12325" customFormat="1" x14ac:dyDescent="0.3"/>
    <row r="12326" customFormat="1" x14ac:dyDescent="0.3"/>
    <row r="12327" customFormat="1" x14ac:dyDescent="0.3"/>
    <row r="12328" customFormat="1" x14ac:dyDescent="0.3"/>
    <row r="12329" customFormat="1" x14ac:dyDescent="0.3"/>
    <row r="12330" customFormat="1" x14ac:dyDescent="0.3"/>
    <row r="12331" customFormat="1" x14ac:dyDescent="0.3"/>
    <row r="12332" customFormat="1" x14ac:dyDescent="0.3"/>
    <row r="12333" customFormat="1" x14ac:dyDescent="0.3"/>
    <row r="12334" customFormat="1" x14ac:dyDescent="0.3"/>
    <row r="12335" customFormat="1" x14ac:dyDescent="0.3"/>
    <row r="12336" customFormat="1" x14ac:dyDescent="0.3"/>
    <row r="12337" customFormat="1" x14ac:dyDescent="0.3"/>
    <row r="12338" customFormat="1" x14ac:dyDescent="0.3"/>
    <row r="12339" customFormat="1" x14ac:dyDescent="0.3"/>
    <row r="12340" customFormat="1" x14ac:dyDescent="0.3"/>
    <row r="12341" customFormat="1" x14ac:dyDescent="0.3"/>
    <row r="12342" customFormat="1" x14ac:dyDescent="0.3"/>
    <row r="12343" customFormat="1" x14ac:dyDescent="0.3"/>
    <row r="12344" customFormat="1" x14ac:dyDescent="0.3"/>
    <row r="12345" customFormat="1" x14ac:dyDescent="0.3"/>
    <row r="12346" customFormat="1" x14ac:dyDescent="0.3"/>
    <row r="12347" customFormat="1" x14ac:dyDescent="0.3"/>
    <row r="12348" customFormat="1" x14ac:dyDescent="0.3"/>
    <row r="12349" customFormat="1" x14ac:dyDescent="0.3"/>
    <row r="12350" customFormat="1" x14ac:dyDescent="0.3"/>
    <row r="12351" customFormat="1" x14ac:dyDescent="0.3"/>
    <row r="12352" customFormat="1" x14ac:dyDescent="0.3"/>
    <row r="12353" customFormat="1" x14ac:dyDescent="0.3"/>
    <row r="12354" customFormat="1" x14ac:dyDescent="0.3"/>
    <row r="12355" customFormat="1" x14ac:dyDescent="0.3"/>
    <row r="12356" customFormat="1" x14ac:dyDescent="0.3"/>
    <row r="12357" customFormat="1" x14ac:dyDescent="0.3"/>
    <row r="12358" customFormat="1" x14ac:dyDescent="0.3"/>
    <row r="12359" customFormat="1" x14ac:dyDescent="0.3"/>
    <row r="12360" customFormat="1" x14ac:dyDescent="0.3"/>
    <row r="12361" customFormat="1" x14ac:dyDescent="0.3"/>
    <row r="12362" customFormat="1" x14ac:dyDescent="0.3"/>
    <row r="12363" customFormat="1" x14ac:dyDescent="0.3"/>
    <row r="12364" customFormat="1" x14ac:dyDescent="0.3"/>
    <row r="12365" customFormat="1" x14ac:dyDescent="0.3"/>
    <row r="12366" customFormat="1" x14ac:dyDescent="0.3"/>
    <row r="12367" customFormat="1" x14ac:dyDescent="0.3"/>
    <row r="12368" customFormat="1" x14ac:dyDescent="0.3"/>
    <row r="12369" customFormat="1" x14ac:dyDescent="0.3"/>
    <row r="12370" customFormat="1" x14ac:dyDescent="0.3"/>
    <row r="12371" customFormat="1" x14ac:dyDescent="0.3"/>
    <row r="12372" customFormat="1" x14ac:dyDescent="0.3"/>
    <row r="12373" customFormat="1" x14ac:dyDescent="0.3"/>
    <row r="12374" customFormat="1" x14ac:dyDescent="0.3"/>
    <row r="12375" customFormat="1" x14ac:dyDescent="0.3"/>
    <row r="12376" customFormat="1" x14ac:dyDescent="0.3"/>
    <row r="12377" customFormat="1" x14ac:dyDescent="0.3"/>
    <row r="12378" customFormat="1" x14ac:dyDescent="0.3"/>
    <row r="12379" customFormat="1" x14ac:dyDescent="0.3"/>
    <row r="12380" customFormat="1" x14ac:dyDescent="0.3"/>
    <row r="12381" customFormat="1" x14ac:dyDescent="0.3"/>
    <row r="12382" customFormat="1" x14ac:dyDescent="0.3"/>
    <row r="12383" customFormat="1" x14ac:dyDescent="0.3"/>
    <row r="12384" customFormat="1" x14ac:dyDescent="0.3"/>
    <row r="12385" customFormat="1" x14ac:dyDescent="0.3"/>
    <row r="12386" customFormat="1" x14ac:dyDescent="0.3"/>
    <row r="12387" customFormat="1" x14ac:dyDescent="0.3"/>
    <row r="12388" customFormat="1" x14ac:dyDescent="0.3"/>
    <row r="12389" customFormat="1" x14ac:dyDescent="0.3"/>
    <row r="12390" customFormat="1" x14ac:dyDescent="0.3"/>
    <row r="12391" customFormat="1" x14ac:dyDescent="0.3"/>
    <row r="12392" customFormat="1" x14ac:dyDescent="0.3"/>
    <row r="12393" customFormat="1" x14ac:dyDescent="0.3"/>
    <row r="12394" customFormat="1" x14ac:dyDescent="0.3"/>
    <row r="12395" customFormat="1" x14ac:dyDescent="0.3"/>
    <row r="12396" customFormat="1" x14ac:dyDescent="0.3"/>
    <row r="12397" customFormat="1" x14ac:dyDescent="0.3"/>
    <row r="12398" customFormat="1" x14ac:dyDescent="0.3"/>
    <row r="12399" customFormat="1" x14ac:dyDescent="0.3"/>
    <row r="12400" customFormat="1" x14ac:dyDescent="0.3"/>
    <row r="12401" customFormat="1" x14ac:dyDescent="0.3"/>
    <row r="12402" customFormat="1" x14ac:dyDescent="0.3"/>
    <row r="12403" customFormat="1" x14ac:dyDescent="0.3"/>
    <row r="12404" customFormat="1" x14ac:dyDescent="0.3"/>
    <row r="12405" customFormat="1" x14ac:dyDescent="0.3"/>
    <row r="12406" customFormat="1" x14ac:dyDescent="0.3"/>
    <row r="12407" customFormat="1" x14ac:dyDescent="0.3"/>
    <row r="12408" customFormat="1" x14ac:dyDescent="0.3"/>
    <row r="12409" customFormat="1" x14ac:dyDescent="0.3"/>
    <row r="12410" customFormat="1" x14ac:dyDescent="0.3"/>
    <row r="12411" customFormat="1" x14ac:dyDescent="0.3"/>
    <row r="12412" customFormat="1" x14ac:dyDescent="0.3"/>
    <row r="12413" customFormat="1" x14ac:dyDescent="0.3"/>
    <row r="12414" customFormat="1" x14ac:dyDescent="0.3"/>
    <row r="12415" customFormat="1" x14ac:dyDescent="0.3"/>
    <row r="12416" customFormat="1" x14ac:dyDescent="0.3"/>
    <row r="12417" customFormat="1" x14ac:dyDescent="0.3"/>
    <row r="12418" customFormat="1" x14ac:dyDescent="0.3"/>
    <row r="12419" customFormat="1" x14ac:dyDescent="0.3"/>
    <row r="12420" customFormat="1" x14ac:dyDescent="0.3"/>
    <row r="12421" customFormat="1" x14ac:dyDescent="0.3"/>
    <row r="12422" customFormat="1" x14ac:dyDescent="0.3"/>
    <row r="12423" customFormat="1" x14ac:dyDescent="0.3"/>
    <row r="12424" customFormat="1" x14ac:dyDescent="0.3"/>
    <row r="12425" customFormat="1" x14ac:dyDescent="0.3"/>
    <row r="12426" customFormat="1" x14ac:dyDescent="0.3"/>
    <row r="12427" customFormat="1" x14ac:dyDescent="0.3"/>
    <row r="12428" customFormat="1" x14ac:dyDescent="0.3"/>
    <row r="12429" customFormat="1" x14ac:dyDescent="0.3"/>
    <row r="12430" customFormat="1" x14ac:dyDescent="0.3"/>
    <row r="12431" customFormat="1" x14ac:dyDescent="0.3"/>
    <row r="12432" customFormat="1" x14ac:dyDescent="0.3"/>
    <row r="12433" customFormat="1" x14ac:dyDescent="0.3"/>
    <row r="12434" customFormat="1" x14ac:dyDescent="0.3"/>
    <row r="12435" customFormat="1" x14ac:dyDescent="0.3"/>
    <row r="12436" customFormat="1" x14ac:dyDescent="0.3"/>
    <row r="12437" customFormat="1" x14ac:dyDescent="0.3"/>
    <row r="12438" customFormat="1" x14ac:dyDescent="0.3"/>
    <row r="12439" customFormat="1" x14ac:dyDescent="0.3"/>
    <row r="12440" customFormat="1" x14ac:dyDescent="0.3"/>
    <row r="12441" customFormat="1" x14ac:dyDescent="0.3"/>
    <row r="12442" customFormat="1" x14ac:dyDescent="0.3"/>
    <row r="12443" customFormat="1" x14ac:dyDescent="0.3"/>
    <row r="12444" customFormat="1" x14ac:dyDescent="0.3"/>
    <row r="12445" customFormat="1" x14ac:dyDescent="0.3"/>
    <row r="12446" customFormat="1" x14ac:dyDescent="0.3"/>
    <row r="12447" customFormat="1" x14ac:dyDescent="0.3"/>
    <row r="12448" customFormat="1" x14ac:dyDescent="0.3"/>
    <row r="12449" customFormat="1" x14ac:dyDescent="0.3"/>
    <row r="12450" customFormat="1" x14ac:dyDescent="0.3"/>
    <row r="12451" customFormat="1" x14ac:dyDescent="0.3"/>
    <row r="12452" customFormat="1" x14ac:dyDescent="0.3"/>
    <row r="12453" customFormat="1" x14ac:dyDescent="0.3"/>
    <row r="12454" customFormat="1" x14ac:dyDescent="0.3"/>
    <row r="12455" customFormat="1" x14ac:dyDescent="0.3"/>
    <row r="12456" customFormat="1" x14ac:dyDescent="0.3"/>
    <row r="12457" customFormat="1" x14ac:dyDescent="0.3"/>
    <row r="12458" customFormat="1" x14ac:dyDescent="0.3"/>
    <row r="12459" customFormat="1" x14ac:dyDescent="0.3"/>
    <row r="12460" customFormat="1" x14ac:dyDescent="0.3"/>
    <row r="12461" customFormat="1" x14ac:dyDescent="0.3"/>
    <row r="12462" customFormat="1" x14ac:dyDescent="0.3"/>
    <row r="12463" customFormat="1" x14ac:dyDescent="0.3"/>
    <row r="12464" customFormat="1" x14ac:dyDescent="0.3"/>
    <row r="12465" customFormat="1" x14ac:dyDescent="0.3"/>
    <row r="12466" customFormat="1" x14ac:dyDescent="0.3"/>
    <row r="12467" customFormat="1" x14ac:dyDescent="0.3"/>
    <row r="12468" customFormat="1" x14ac:dyDescent="0.3"/>
    <row r="12469" customFormat="1" x14ac:dyDescent="0.3"/>
    <row r="12470" customFormat="1" x14ac:dyDescent="0.3"/>
    <row r="12471" customFormat="1" x14ac:dyDescent="0.3"/>
    <row r="12472" customFormat="1" x14ac:dyDescent="0.3"/>
    <row r="12473" customFormat="1" x14ac:dyDescent="0.3"/>
    <row r="12474" customFormat="1" x14ac:dyDescent="0.3"/>
    <row r="12475" customFormat="1" x14ac:dyDescent="0.3"/>
    <row r="12476" customFormat="1" x14ac:dyDescent="0.3"/>
    <row r="12477" customFormat="1" x14ac:dyDescent="0.3"/>
    <row r="12478" customFormat="1" x14ac:dyDescent="0.3"/>
    <row r="12479" customFormat="1" x14ac:dyDescent="0.3"/>
    <row r="12480" customFormat="1" x14ac:dyDescent="0.3"/>
    <row r="12481" customFormat="1" x14ac:dyDescent="0.3"/>
    <row r="12482" customFormat="1" x14ac:dyDescent="0.3"/>
    <row r="12483" customFormat="1" x14ac:dyDescent="0.3"/>
    <row r="12484" customFormat="1" x14ac:dyDescent="0.3"/>
    <row r="12485" customFormat="1" x14ac:dyDescent="0.3"/>
    <row r="12486" customFormat="1" x14ac:dyDescent="0.3"/>
    <row r="12487" customFormat="1" x14ac:dyDescent="0.3"/>
    <row r="12488" customFormat="1" x14ac:dyDescent="0.3"/>
    <row r="12489" customFormat="1" x14ac:dyDescent="0.3"/>
    <row r="12490" customFormat="1" x14ac:dyDescent="0.3"/>
    <row r="12491" customFormat="1" x14ac:dyDescent="0.3"/>
    <row r="12492" customFormat="1" x14ac:dyDescent="0.3"/>
    <row r="12493" customFormat="1" x14ac:dyDescent="0.3"/>
    <row r="12494" customFormat="1" x14ac:dyDescent="0.3"/>
    <row r="12495" customFormat="1" x14ac:dyDescent="0.3"/>
    <row r="12496" customFormat="1" x14ac:dyDescent="0.3"/>
    <row r="12497" customFormat="1" x14ac:dyDescent="0.3"/>
    <row r="12498" customFormat="1" x14ac:dyDescent="0.3"/>
    <row r="12499" customFormat="1" x14ac:dyDescent="0.3"/>
    <row r="12500" customFormat="1" x14ac:dyDescent="0.3"/>
    <row r="12501" customFormat="1" x14ac:dyDescent="0.3"/>
    <row r="12502" customFormat="1" x14ac:dyDescent="0.3"/>
    <row r="12503" customFormat="1" x14ac:dyDescent="0.3"/>
    <row r="12504" customFormat="1" x14ac:dyDescent="0.3"/>
    <row r="12505" customFormat="1" x14ac:dyDescent="0.3"/>
    <row r="12506" customFormat="1" x14ac:dyDescent="0.3"/>
    <row r="12507" customFormat="1" x14ac:dyDescent="0.3"/>
    <row r="12508" customFormat="1" x14ac:dyDescent="0.3"/>
    <row r="12509" customFormat="1" x14ac:dyDescent="0.3"/>
    <row r="12510" customFormat="1" x14ac:dyDescent="0.3"/>
    <row r="12511" customFormat="1" x14ac:dyDescent="0.3"/>
    <row r="12512" customFormat="1" x14ac:dyDescent="0.3"/>
    <row r="12513" customFormat="1" x14ac:dyDescent="0.3"/>
    <row r="12514" customFormat="1" x14ac:dyDescent="0.3"/>
    <row r="12515" customFormat="1" x14ac:dyDescent="0.3"/>
    <row r="12516" customFormat="1" x14ac:dyDescent="0.3"/>
    <row r="12517" customFormat="1" x14ac:dyDescent="0.3"/>
    <row r="12518" customFormat="1" x14ac:dyDescent="0.3"/>
    <row r="12519" customFormat="1" x14ac:dyDescent="0.3"/>
    <row r="12520" customFormat="1" x14ac:dyDescent="0.3"/>
    <row r="12521" customFormat="1" x14ac:dyDescent="0.3"/>
    <row r="12522" customFormat="1" x14ac:dyDescent="0.3"/>
    <row r="12523" customFormat="1" x14ac:dyDescent="0.3"/>
    <row r="12524" customFormat="1" x14ac:dyDescent="0.3"/>
    <row r="12525" customFormat="1" x14ac:dyDescent="0.3"/>
    <row r="12526" customFormat="1" x14ac:dyDescent="0.3"/>
    <row r="12527" customFormat="1" x14ac:dyDescent="0.3"/>
    <row r="12528" customFormat="1" x14ac:dyDescent="0.3"/>
    <row r="12529" customFormat="1" x14ac:dyDescent="0.3"/>
    <row r="12530" customFormat="1" x14ac:dyDescent="0.3"/>
    <row r="12531" customFormat="1" x14ac:dyDescent="0.3"/>
    <row r="12532" customFormat="1" x14ac:dyDescent="0.3"/>
    <row r="12533" customFormat="1" x14ac:dyDescent="0.3"/>
    <row r="12534" customFormat="1" x14ac:dyDescent="0.3"/>
    <row r="12535" customFormat="1" x14ac:dyDescent="0.3"/>
    <row r="12536" customFormat="1" x14ac:dyDescent="0.3"/>
    <row r="12537" customFormat="1" x14ac:dyDescent="0.3"/>
    <row r="12538" customFormat="1" x14ac:dyDescent="0.3"/>
    <row r="12539" customFormat="1" x14ac:dyDescent="0.3"/>
    <row r="12540" customFormat="1" x14ac:dyDescent="0.3"/>
    <row r="12541" customFormat="1" x14ac:dyDescent="0.3"/>
    <row r="12542" customFormat="1" x14ac:dyDescent="0.3"/>
    <row r="12543" customFormat="1" x14ac:dyDescent="0.3"/>
    <row r="12544" customFormat="1" x14ac:dyDescent="0.3"/>
    <row r="12545" customFormat="1" x14ac:dyDescent="0.3"/>
    <row r="12546" customFormat="1" x14ac:dyDescent="0.3"/>
    <row r="12547" customFormat="1" x14ac:dyDescent="0.3"/>
    <row r="12548" customFormat="1" x14ac:dyDescent="0.3"/>
    <row r="12549" customFormat="1" x14ac:dyDescent="0.3"/>
    <row r="12550" customFormat="1" x14ac:dyDescent="0.3"/>
    <row r="12551" customFormat="1" x14ac:dyDescent="0.3"/>
    <row r="12552" customFormat="1" x14ac:dyDescent="0.3"/>
    <row r="12553" customFormat="1" x14ac:dyDescent="0.3"/>
    <row r="12554" customFormat="1" x14ac:dyDescent="0.3"/>
    <row r="12555" customFormat="1" x14ac:dyDescent="0.3"/>
    <row r="12556" customFormat="1" x14ac:dyDescent="0.3"/>
    <row r="12557" customFormat="1" x14ac:dyDescent="0.3"/>
    <row r="12558" customFormat="1" x14ac:dyDescent="0.3"/>
    <row r="12559" customFormat="1" x14ac:dyDescent="0.3"/>
    <row r="12560" customFormat="1" x14ac:dyDescent="0.3"/>
    <row r="12561" customFormat="1" x14ac:dyDescent="0.3"/>
    <row r="12562" customFormat="1" x14ac:dyDescent="0.3"/>
    <row r="12563" customFormat="1" x14ac:dyDescent="0.3"/>
    <row r="12564" customFormat="1" x14ac:dyDescent="0.3"/>
    <row r="12565" customFormat="1" x14ac:dyDescent="0.3"/>
    <row r="12566" customFormat="1" x14ac:dyDescent="0.3"/>
    <row r="12567" customFormat="1" x14ac:dyDescent="0.3"/>
    <row r="12568" customFormat="1" x14ac:dyDescent="0.3"/>
    <row r="12569" customFormat="1" x14ac:dyDescent="0.3"/>
    <row r="12570" customFormat="1" x14ac:dyDescent="0.3"/>
    <row r="12571" customFormat="1" x14ac:dyDescent="0.3"/>
    <row r="12572" customFormat="1" x14ac:dyDescent="0.3"/>
    <row r="12573" customFormat="1" x14ac:dyDescent="0.3"/>
    <row r="12574" customFormat="1" x14ac:dyDescent="0.3"/>
    <row r="12575" customFormat="1" x14ac:dyDescent="0.3"/>
    <row r="12576" customFormat="1" x14ac:dyDescent="0.3"/>
    <row r="12577" customFormat="1" x14ac:dyDescent="0.3"/>
    <row r="12578" customFormat="1" x14ac:dyDescent="0.3"/>
    <row r="12579" customFormat="1" x14ac:dyDescent="0.3"/>
    <row r="12580" customFormat="1" x14ac:dyDescent="0.3"/>
    <row r="12581" customFormat="1" x14ac:dyDescent="0.3"/>
    <row r="12582" customFormat="1" x14ac:dyDescent="0.3"/>
    <row r="12583" customFormat="1" x14ac:dyDescent="0.3"/>
    <row r="12584" customFormat="1" x14ac:dyDescent="0.3"/>
    <row r="12585" customFormat="1" x14ac:dyDescent="0.3"/>
    <row r="12586" customFormat="1" x14ac:dyDescent="0.3"/>
    <row r="12587" customFormat="1" x14ac:dyDescent="0.3"/>
    <row r="12588" customFormat="1" x14ac:dyDescent="0.3"/>
    <row r="12589" customFormat="1" x14ac:dyDescent="0.3"/>
    <row r="12590" customFormat="1" x14ac:dyDescent="0.3"/>
    <row r="12591" customFormat="1" x14ac:dyDescent="0.3"/>
    <row r="12592" customFormat="1" x14ac:dyDescent="0.3"/>
    <row r="12593" customFormat="1" x14ac:dyDescent="0.3"/>
    <row r="12594" customFormat="1" x14ac:dyDescent="0.3"/>
    <row r="12595" customFormat="1" x14ac:dyDescent="0.3"/>
    <row r="12596" customFormat="1" x14ac:dyDescent="0.3"/>
    <row r="12597" customFormat="1" x14ac:dyDescent="0.3"/>
    <row r="12598" customFormat="1" x14ac:dyDescent="0.3"/>
    <row r="12599" customFormat="1" x14ac:dyDescent="0.3"/>
    <row r="12600" customFormat="1" x14ac:dyDescent="0.3"/>
    <row r="12601" customFormat="1" x14ac:dyDescent="0.3"/>
    <row r="12602" customFormat="1" x14ac:dyDescent="0.3"/>
    <row r="12603" customFormat="1" x14ac:dyDescent="0.3"/>
    <row r="12604" customFormat="1" x14ac:dyDescent="0.3"/>
    <row r="12605" customFormat="1" x14ac:dyDescent="0.3"/>
    <row r="12606" customFormat="1" x14ac:dyDescent="0.3"/>
    <row r="12607" customFormat="1" x14ac:dyDescent="0.3"/>
    <row r="12608" customFormat="1" x14ac:dyDescent="0.3"/>
    <row r="12609" customFormat="1" x14ac:dyDescent="0.3"/>
    <row r="12610" customFormat="1" x14ac:dyDescent="0.3"/>
    <row r="12611" customFormat="1" x14ac:dyDescent="0.3"/>
    <row r="12612" customFormat="1" x14ac:dyDescent="0.3"/>
    <row r="12613" customFormat="1" x14ac:dyDescent="0.3"/>
    <row r="12614" customFormat="1" x14ac:dyDescent="0.3"/>
    <row r="12615" customFormat="1" x14ac:dyDescent="0.3"/>
    <row r="12616" customFormat="1" x14ac:dyDescent="0.3"/>
    <row r="12617" customFormat="1" x14ac:dyDescent="0.3"/>
    <row r="12618" customFormat="1" x14ac:dyDescent="0.3"/>
    <row r="12619" customFormat="1" x14ac:dyDescent="0.3"/>
    <row r="12620" customFormat="1" x14ac:dyDescent="0.3"/>
    <row r="12621" customFormat="1" x14ac:dyDescent="0.3"/>
    <row r="12622" customFormat="1" x14ac:dyDescent="0.3"/>
    <row r="12623" customFormat="1" x14ac:dyDescent="0.3"/>
    <row r="12624" customFormat="1" x14ac:dyDescent="0.3"/>
    <row r="12625" customFormat="1" x14ac:dyDescent="0.3"/>
    <row r="12626" customFormat="1" x14ac:dyDescent="0.3"/>
    <row r="12627" customFormat="1" x14ac:dyDescent="0.3"/>
    <row r="12628" customFormat="1" x14ac:dyDescent="0.3"/>
    <row r="12629" customFormat="1" x14ac:dyDescent="0.3"/>
    <row r="12630" customFormat="1" x14ac:dyDescent="0.3"/>
    <row r="12631" customFormat="1" x14ac:dyDescent="0.3"/>
    <row r="12632" customFormat="1" x14ac:dyDescent="0.3"/>
    <row r="12633" customFormat="1" x14ac:dyDescent="0.3"/>
    <row r="12634" customFormat="1" x14ac:dyDescent="0.3"/>
    <row r="12635" customFormat="1" x14ac:dyDescent="0.3"/>
    <row r="12636" customFormat="1" x14ac:dyDescent="0.3"/>
    <row r="12637" customFormat="1" x14ac:dyDescent="0.3"/>
    <row r="12638" customFormat="1" x14ac:dyDescent="0.3"/>
    <row r="12639" customFormat="1" x14ac:dyDescent="0.3"/>
    <row r="12640" customFormat="1" x14ac:dyDescent="0.3"/>
    <row r="12641" customFormat="1" x14ac:dyDescent="0.3"/>
    <row r="12642" customFormat="1" x14ac:dyDescent="0.3"/>
    <row r="12643" customFormat="1" x14ac:dyDescent="0.3"/>
    <row r="12644" customFormat="1" x14ac:dyDescent="0.3"/>
    <row r="12645" customFormat="1" x14ac:dyDescent="0.3"/>
    <row r="12646" customFormat="1" x14ac:dyDescent="0.3"/>
    <row r="12647" customFormat="1" x14ac:dyDescent="0.3"/>
    <row r="12648" customFormat="1" x14ac:dyDescent="0.3"/>
    <row r="12649" customFormat="1" x14ac:dyDescent="0.3"/>
    <row r="12650" customFormat="1" x14ac:dyDescent="0.3"/>
    <row r="12651" customFormat="1" x14ac:dyDescent="0.3"/>
    <row r="12652" customFormat="1" x14ac:dyDescent="0.3"/>
    <row r="12653" customFormat="1" x14ac:dyDescent="0.3"/>
    <row r="12654" customFormat="1" x14ac:dyDescent="0.3"/>
    <row r="12655" customFormat="1" x14ac:dyDescent="0.3"/>
    <row r="12656" customFormat="1" x14ac:dyDescent="0.3"/>
    <row r="12657" customFormat="1" x14ac:dyDescent="0.3"/>
    <row r="12658" customFormat="1" x14ac:dyDescent="0.3"/>
    <row r="12659" customFormat="1" x14ac:dyDescent="0.3"/>
    <row r="12660" customFormat="1" x14ac:dyDescent="0.3"/>
    <row r="12661" customFormat="1" x14ac:dyDescent="0.3"/>
    <row r="12662" customFormat="1" x14ac:dyDescent="0.3"/>
    <row r="12663" customFormat="1" x14ac:dyDescent="0.3"/>
    <row r="12664" customFormat="1" x14ac:dyDescent="0.3"/>
    <row r="12665" customFormat="1" x14ac:dyDescent="0.3"/>
    <row r="12666" customFormat="1" x14ac:dyDescent="0.3"/>
    <row r="12667" customFormat="1" x14ac:dyDescent="0.3"/>
    <row r="12668" customFormat="1" x14ac:dyDescent="0.3"/>
    <row r="12669" customFormat="1" x14ac:dyDescent="0.3"/>
    <row r="12670" customFormat="1" x14ac:dyDescent="0.3"/>
    <row r="12671" customFormat="1" x14ac:dyDescent="0.3"/>
    <row r="12672" customFormat="1" x14ac:dyDescent="0.3"/>
    <row r="12673" customFormat="1" x14ac:dyDescent="0.3"/>
    <row r="12674" customFormat="1" x14ac:dyDescent="0.3"/>
    <row r="12675" customFormat="1" x14ac:dyDescent="0.3"/>
    <row r="12676" customFormat="1" x14ac:dyDescent="0.3"/>
    <row r="12677" customFormat="1" x14ac:dyDescent="0.3"/>
    <row r="12678" customFormat="1" x14ac:dyDescent="0.3"/>
    <row r="12679" customFormat="1" x14ac:dyDescent="0.3"/>
    <row r="12680" customFormat="1" x14ac:dyDescent="0.3"/>
    <row r="12681" customFormat="1" x14ac:dyDescent="0.3"/>
    <row r="12682" customFormat="1" x14ac:dyDescent="0.3"/>
    <row r="12683" customFormat="1" x14ac:dyDescent="0.3"/>
    <row r="12684" customFormat="1" x14ac:dyDescent="0.3"/>
    <row r="12685" customFormat="1" x14ac:dyDescent="0.3"/>
    <row r="12686" customFormat="1" x14ac:dyDescent="0.3"/>
    <row r="12687" customFormat="1" x14ac:dyDescent="0.3"/>
    <row r="12688" customFormat="1" x14ac:dyDescent="0.3"/>
    <row r="12689" customFormat="1" x14ac:dyDescent="0.3"/>
    <row r="12690" customFormat="1" x14ac:dyDescent="0.3"/>
    <row r="12691" customFormat="1" x14ac:dyDescent="0.3"/>
    <row r="12692" customFormat="1" x14ac:dyDescent="0.3"/>
    <row r="12693" customFormat="1" x14ac:dyDescent="0.3"/>
    <row r="12694" customFormat="1" x14ac:dyDescent="0.3"/>
    <row r="12695" customFormat="1" x14ac:dyDescent="0.3"/>
    <row r="12696" customFormat="1" x14ac:dyDescent="0.3"/>
    <row r="12697" customFormat="1" x14ac:dyDescent="0.3"/>
    <row r="12698" customFormat="1" x14ac:dyDescent="0.3"/>
    <row r="12699" customFormat="1" x14ac:dyDescent="0.3"/>
    <row r="12700" customFormat="1" x14ac:dyDescent="0.3"/>
    <row r="12701" customFormat="1" x14ac:dyDescent="0.3"/>
    <row r="12702" customFormat="1" x14ac:dyDescent="0.3"/>
    <row r="12703" customFormat="1" x14ac:dyDescent="0.3"/>
    <row r="12704" customFormat="1" x14ac:dyDescent="0.3"/>
    <row r="12705" customFormat="1" x14ac:dyDescent="0.3"/>
    <row r="12706" customFormat="1" x14ac:dyDescent="0.3"/>
    <row r="12707" customFormat="1" x14ac:dyDescent="0.3"/>
    <row r="12708" customFormat="1" x14ac:dyDescent="0.3"/>
    <row r="12709" customFormat="1" x14ac:dyDescent="0.3"/>
    <row r="12710" customFormat="1" x14ac:dyDescent="0.3"/>
    <row r="12711" customFormat="1" x14ac:dyDescent="0.3"/>
    <row r="12712" customFormat="1" x14ac:dyDescent="0.3"/>
    <row r="12713" customFormat="1" x14ac:dyDescent="0.3"/>
    <row r="12714" customFormat="1" x14ac:dyDescent="0.3"/>
    <row r="12715" customFormat="1" x14ac:dyDescent="0.3"/>
    <row r="12716" customFormat="1" x14ac:dyDescent="0.3"/>
    <row r="12717" customFormat="1" x14ac:dyDescent="0.3"/>
    <row r="12718" customFormat="1" x14ac:dyDescent="0.3"/>
    <row r="12719" customFormat="1" x14ac:dyDescent="0.3"/>
    <row r="12720" customFormat="1" x14ac:dyDescent="0.3"/>
    <row r="12721" customFormat="1" x14ac:dyDescent="0.3"/>
    <row r="12722" customFormat="1" x14ac:dyDescent="0.3"/>
    <row r="12723" customFormat="1" x14ac:dyDescent="0.3"/>
    <row r="12724" customFormat="1" x14ac:dyDescent="0.3"/>
    <row r="12725" customFormat="1" x14ac:dyDescent="0.3"/>
    <row r="12726" customFormat="1" x14ac:dyDescent="0.3"/>
    <row r="12727" customFormat="1" x14ac:dyDescent="0.3"/>
    <row r="12728" customFormat="1" x14ac:dyDescent="0.3"/>
    <row r="12729" customFormat="1" x14ac:dyDescent="0.3"/>
    <row r="12730" customFormat="1" x14ac:dyDescent="0.3"/>
    <row r="12731" customFormat="1" x14ac:dyDescent="0.3"/>
    <row r="12732" customFormat="1" x14ac:dyDescent="0.3"/>
    <row r="12733" customFormat="1" x14ac:dyDescent="0.3"/>
    <row r="12734" customFormat="1" x14ac:dyDescent="0.3"/>
    <row r="12735" customFormat="1" x14ac:dyDescent="0.3"/>
    <row r="12736" customFormat="1" x14ac:dyDescent="0.3"/>
    <row r="12737" customFormat="1" x14ac:dyDescent="0.3"/>
    <row r="12738" customFormat="1" x14ac:dyDescent="0.3"/>
    <row r="12739" customFormat="1" x14ac:dyDescent="0.3"/>
    <row r="12740" customFormat="1" x14ac:dyDescent="0.3"/>
    <row r="12741" customFormat="1" x14ac:dyDescent="0.3"/>
    <row r="12742" customFormat="1" x14ac:dyDescent="0.3"/>
    <row r="12743" customFormat="1" x14ac:dyDescent="0.3"/>
    <row r="12744" customFormat="1" x14ac:dyDescent="0.3"/>
    <row r="12745" customFormat="1" x14ac:dyDescent="0.3"/>
    <row r="12746" customFormat="1" x14ac:dyDescent="0.3"/>
    <row r="12747" customFormat="1" x14ac:dyDescent="0.3"/>
    <row r="12748" customFormat="1" x14ac:dyDescent="0.3"/>
    <row r="12749" customFormat="1" x14ac:dyDescent="0.3"/>
    <row r="12750" customFormat="1" x14ac:dyDescent="0.3"/>
    <row r="12751" customFormat="1" x14ac:dyDescent="0.3"/>
    <row r="12752" customFormat="1" x14ac:dyDescent="0.3"/>
    <row r="12753" customFormat="1" x14ac:dyDescent="0.3"/>
    <row r="12754" customFormat="1" x14ac:dyDescent="0.3"/>
    <row r="12755" customFormat="1" x14ac:dyDescent="0.3"/>
    <row r="12756" customFormat="1" x14ac:dyDescent="0.3"/>
    <row r="12757" customFormat="1" x14ac:dyDescent="0.3"/>
    <row r="12758" customFormat="1" x14ac:dyDescent="0.3"/>
    <row r="12759" customFormat="1" x14ac:dyDescent="0.3"/>
    <row r="12760" customFormat="1" x14ac:dyDescent="0.3"/>
    <row r="12761" customFormat="1" x14ac:dyDescent="0.3"/>
    <row r="12762" customFormat="1" x14ac:dyDescent="0.3"/>
    <row r="12763" customFormat="1" x14ac:dyDescent="0.3"/>
    <row r="12764" customFormat="1" x14ac:dyDescent="0.3"/>
    <row r="12765" customFormat="1" x14ac:dyDescent="0.3"/>
    <row r="12766" customFormat="1" x14ac:dyDescent="0.3"/>
    <row r="12767" customFormat="1" x14ac:dyDescent="0.3"/>
    <row r="12768" customFormat="1" x14ac:dyDescent="0.3"/>
    <row r="12769" customFormat="1" x14ac:dyDescent="0.3"/>
    <row r="12770" customFormat="1" x14ac:dyDescent="0.3"/>
    <row r="12771" customFormat="1" x14ac:dyDescent="0.3"/>
    <row r="12772" customFormat="1" x14ac:dyDescent="0.3"/>
    <row r="12773" customFormat="1" x14ac:dyDescent="0.3"/>
    <row r="12774" customFormat="1" x14ac:dyDescent="0.3"/>
    <row r="12775" customFormat="1" x14ac:dyDescent="0.3"/>
    <row r="12776" customFormat="1" x14ac:dyDescent="0.3"/>
    <row r="12777" customFormat="1" x14ac:dyDescent="0.3"/>
    <row r="12778" customFormat="1" x14ac:dyDescent="0.3"/>
    <row r="12779" customFormat="1" x14ac:dyDescent="0.3"/>
    <row r="12780" customFormat="1" x14ac:dyDescent="0.3"/>
    <row r="12781" customFormat="1" x14ac:dyDescent="0.3"/>
    <row r="12782" customFormat="1" x14ac:dyDescent="0.3"/>
    <row r="12783" customFormat="1" x14ac:dyDescent="0.3"/>
    <row r="12784" customFormat="1" x14ac:dyDescent="0.3"/>
    <row r="12785" customFormat="1" x14ac:dyDescent="0.3"/>
    <row r="12786" customFormat="1" x14ac:dyDescent="0.3"/>
    <row r="12787" customFormat="1" x14ac:dyDescent="0.3"/>
    <row r="12788" customFormat="1" x14ac:dyDescent="0.3"/>
    <row r="12789" customFormat="1" x14ac:dyDescent="0.3"/>
    <row r="12790" customFormat="1" x14ac:dyDescent="0.3"/>
    <row r="12791" customFormat="1" x14ac:dyDescent="0.3"/>
    <row r="12792" customFormat="1" x14ac:dyDescent="0.3"/>
    <row r="12793" customFormat="1" x14ac:dyDescent="0.3"/>
    <row r="12794" customFormat="1" x14ac:dyDescent="0.3"/>
    <row r="12795" customFormat="1" x14ac:dyDescent="0.3"/>
    <row r="12796" customFormat="1" x14ac:dyDescent="0.3"/>
    <row r="12797" customFormat="1" x14ac:dyDescent="0.3"/>
    <row r="12798" customFormat="1" x14ac:dyDescent="0.3"/>
    <row r="12799" customFormat="1" x14ac:dyDescent="0.3"/>
    <row r="12800" customFormat="1" x14ac:dyDescent="0.3"/>
    <row r="12801" customFormat="1" x14ac:dyDescent="0.3"/>
    <row r="12802" customFormat="1" x14ac:dyDescent="0.3"/>
    <row r="12803" customFormat="1" x14ac:dyDescent="0.3"/>
    <row r="12804" customFormat="1" x14ac:dyDescent="0.3"/>
    <row r="12805" customFormat="1" x14ac:dyDescent="0.3"/>
    <row r="12806" customFormat="1" x14ac:dyDescent="0.3"/>
    <row r="12807" customFormat="1" x14ac:dyDescent="0.3"/>
    <row r="12808" customFormat="1" x14ac:dyDescent="0.3"/>
    <row r="12809" customFormat="1" x14ac:dyDescent="0.3"/>
    <row r="12810" customFormat="1" x14ac:dyDescent="0.3"/>
    <row r="12811" customFormat="1" x14ac:dyDescent="0.3"/>
    <row r="12812" customFormat="1" x14ac:dyDescent="0.3"/>
    <row r="12813" customFormat="1" x14ac:dyDescent="0.3"/>
    <row r="12814" customFormat="1" x14ac:dyDescent="0.3"/>
    <row r="12815" customFormat="1" x14ac:dyDescent="0.3"/>
    <row r="12816" customFormat="1" x14ac:dyDescent="0.3"/>
    <row r="12817" customFormat="1" x14ac:dyDescent="0.3"/>
    <row r="12818" customFormat="1" x14ac:dyDescent="0.3"/>
    <row r="12819" customFormat="1" x14ac:dyDescent="0.3"/>
    <row r="12820" customFormat="1" x14ac:dyDescent="0.3"/>
    <row r="12821" customFormat="1" x14ac:dyDescent="0.3"/>
    <row r="12822" customFormat="1" x14ac:dyDescent="0.3"/>
    <row r="12823" customFormat="1" x14ac:dyDescent="0.3"/>
    <row r="12824" customFormat="1" x14ac:dyDescent="0.3"/>
    <row r="12825" customFormat="1" x14ac:dyDescent="0.3"/>
    <row r="12826" customFormat="1" x14ac:dyDescent="0.3"/>
    <row r="12827" customFormat="1" x14ac:dyDescent="0.3"/>
    <row r="12828" customFormat="1" x14ac:dyDescent="0.3"/>
    <row r="12829" customFormat="1" x14ac:dyDescent="0.3"/>
    <row r="12830" customFormat="1" x14ac:dyDescent="0.3"/>
    <row r="12831" customFormat="1" x14ac:dyDescent="0.3"/>
    <row r="12832" customFormat="1" x14ac:dyDescent="0.3"/>
    <row r="12833" customFormat="1" x14ac:dyDescent="0.3"/>
    <row r="12834" customFormat="1" x14ac:dyDescent="0.3"/>
    <row r="12835" customFormat="1" x14ac:dyDescent="0.3"/>
    <row r="12836" customFormat="1" x14ac:dyDescent="0.3"/>
    <row r="12837" customFormat="1" x14ac:dyDescent="0.3"/>
    <row r="12838" customFormat="1" x14ac:dyDescent="0.3"/>
    <row r="12839" customFormat="1" x14ac:dyDescent="0.3"/>
    <row r="12840" customFormat="1" x14ac:dyDescent="0.3"/>
    <row r="12841" customFormat="1" x14ac:dyDescent="0.3"/>
    <row r="12842" customFormat="1" x14ac:dyDescent="0.3"/>
    <row r="12843" customFormat="1" x14ac:dyDescent="0.3"/>
    <row r="12844" customFormat="1" x14ac:dyDescent="0.3"/>
    <row r="12845" customFormat="1" x14ac:dyDescent="0.3"/>
    <row r="12846" customFormat="1" x14ac:dyDescent="0.3"/>
    <row r="12847" customFormat="1" x14ac:dyDescent="0.3"/>
    <row r="12848" customFormat="1" x14ac:dyDescent="0.3"/>
    <row r="12849" customFormat="1" x14ac:dyDescent="0.3"/>
    <row r="12850" customFormat="1" x14ac:dyDescent="0.3"/>
    <row r="12851" customFormat="1" x14ac:dyDescent="0.3"/>
    <row r="12852" customFormat="1" x14ac:dyDescent="0.3"/>
    <row r="12853" customFormat="1" x14ac:dyDescent="0.3"/>
    <row r="12854" customFormat="1" x14ac:dyDescent="0.3"/>
    <row r="12855" customFormat="1" x14ac:dyDescent="0.3"/>
    <row r="12856" customFormat="1" x14ac:dyDescent="0.3"/>
    <row r="12857" customFormat="1" x14ac:dyDescent="0.3"/>
    <row r="12858" customFormat="1" x14ac:dyDescent="0.3"/>
    <row r="12859" customFormat="1" x14ac:dyDescent="0.3"/>
    <row r="12860" customFormat="1" x14ac:dyDescent="0.3"/>
    <row r="12861" customFormat="1" x14ac:dyDescent="0.3"/>
    <row r="12862" customFormat="1" x14ac:dyDescent="0.3"/>
    <row r="12863" customFormat="1" x14ac:dyDescent="0.3"/>
    <row r="12864" customFormat="1" x14ac:dyDescent="0.3"/>
    <row r="12865" customFormat="1" x14ac:dyDescent="0.3"/>
    <row r="12866" customFormat="1" x14ac:dyDescent="0.3"/>
    <row r="12867" customFormat="1" x14ac:dyDescent="0.3"/>
    <row r="12868" customFormat="1" x14ac:dyDescent="0.3"/>
    <row r="12869" customFormat="1" x14ac:dyDescent="0.3"/>
    <row r="12870" customFormat="1" x14ac:dyDescent="0.3"/>
    <row r="12871" customFormat="1" x14ac:dyDescent="0.3"/>
    <row r="12872" customFormat="1" x14ac:dyDescent="0.3"/>
    <row r="12873" customFormat="1" x14ac:dyDescent="0.3"/>
    <row r="12874" customFormat="1" x14ac:dyDescent="0.3"/>
    <row r="12875" customFormat="1" x14ac:dyDescent="0.3"/>
    <row r="12876" customFormat="1" x14ac:dyDescent="0.3"/>
    <row r="12877" customFormat="1" x14ac:dyDescent="0.3"/>
    <row r="12878" customFormat="1" x14ac:dyDescent="0.3"/>
    <row r="12879" customFormat="1" x14ac:dyDescent="0.3"/>
    <row r="12880" customFormat="1" x14ac:dyDescent="0.3"/>
    <row r="12881" customFormat="1" x14ac:dyDescent="0.3"/>
    <row r="12882" customFormat="1" x14ac:dyDescent="0.3"/>
    <row r="12883" customFormat="1" x14ac:dyDescent="0.3"/>
    <row r="12884" customFormat="1" x14ac:dyDescent="0.3"/>
    <row r="12885" customFormat="1" x14ac:dyDescent="0.3"/>
    <row r="12886" customFormat="1" x14ac:dyDescent="0.3"/>
    <row r="12887" customFormat="1" x14ac:dyDescent="0.3"/>
    <row r="12888" customFormat="1" x14ac:dyDescent="0.3"/>
    <row r="12889" customFormat="1" x14ac:dyDescent="0.3"/>
    <row r="12890" customFormat="1" x14ac:dyDescent="0.3"/>
    <row r="12891" customFormat="1" x14ac:dyDescent="0.3"/>
    <row r="12892" customFormat="1" x14ac:dyDescent="0.3"/>
    <row r="12893" customFormat="1" x14ac:dyDescent="0.3"/>
    <row r="12894" customFormat="1" x14ac:dyDescent="0.3"/>
    <row r="12895" customFormat="1" x14ac:dyDescent="0.3"/>
    <row r="12896" customFormat="1" x14ac:dyDescent="0.3"/>
    <row r="12897" customFormat="1" x14ac:dyDescent="0.3"/>
    <row r="12898" customFormat="1" x14ac:dyDescent="0.3"/>
    <row r="12899" customFormat="1" x14ac:dyDescent="0.3"/>
    <row r="12900" customFormat="1" x14ac:dyDescent="0.3"/>
    <row r="12901" customFormat="1" x14ac:dyDescent="0.3"/>
    <row r="12902" customFormat="1" x14ac:dyDescent="0.3"/>
    <row r="12903" customFormat="1" x14ac:dyDescent="0.3"/>
    <row r="12904" customFormat="1" x14ac:dyDescent="0.3"/>
    <row r="12905" customFormat="1" x14ac:dyDescent="0.3"/>
    <row r="12906" customFormat="1" x14ac:dyDescent="0.3"/>
    <row r="12907" customFormat="1" x14ac:dyDescent="0.3"/>
    <row r="12908" customFormat="1" x14ac:dyDescent="0.3"/>
    <row r="12909" customFormat="1" x14ac:dyDescent="0.3"/>
    <row r="12910" customFormat="1" x14ac:dyDescent="0.3"/>
    <row r="12911" customFormat="1" x14ac:dyDescent="0.3"/>
    <row r="12912" customFormat="1" x14ac:dyDescent="0.3"/>
    <row r="12913" customFormat="1" x14ac:dyDescent="0.3"/>
    <row r="12914" customFormat="1" x14ac:dyDescent="0.3"/>
    <row r="12915" customFormat="1" x14ac:dyDescent="0.3"/>
    <row r="12916" customFormat="1" x14ac:dyDescent="0.3"/>
    <row r="12917" customFormat="1" x14ac:dyDescent="0.3"/>
    <row r="12918" customFormat="1" x14ac:dyDescent="0.3"/>
    <row r="12919" customFormat="1" x14ac:dyDescent="0.3"/>
    <row r="12920" customFormat="1" x14ac:dyDescent="0.3"/>
    <row r="12921" customFormat="1" x14ac:dyDescent="0.3"/>
    <row r="12922" customFormat="1" x14ac:dyDescent="0.3"/>
    <row r="12923" customFormat="1" x14ac:dyDescent="0.3"/>
    <row r="12924" customFormat="1" x14ac:dyDescent="0.3"/>
    <row r="12925" customFormat="1" x14ac:dyDescent="0.3"/>
    <row r="12926" customFormat="1" x14ac:dyDescent="0.3"/>
    <row r="12927" customFormat="1" x14ac:dyDescent="0.3"/>
    <row r="12928" customFormat="1" x14ac:dyDescent="0.3"/>
    <row r="12929" customFormat="1" x14ac:dyDescent="0.3"/>
    <row r="12930" customFormat="1" x14ac:dyDescent="0.3"/>
    <row r="12931" customFormat="1" x14ac:dyDescent="0.3"/>
    <row r="12932" customFormat="1" x14ac:dyDescent="0.3"/>
    <row r="12933" customFormat="1" x14ac:dyDescent="0.3"/>
    <row r="12934" customFormat="1" x14ac:dyDescent="0.3"/>
    <row r="12935" customFormat="1" x14ac:dyDescent="0.3"/>
    <row r="12936" customFormat="1" x14ac:dyDescent="0.3"/>
    <row r="12937" customFormat="1" x14ac:dyDescent="0.3"/>
    <row r="12938" customFormat="1" x14ac:dyDescent="0.3"/>
    <row r="12939" customFormat="1" x14ac:dyDescent="0.3"/>
    <row r="12940" customFormat="1" x14ac:dyDescent="0.3"/>
    <row r="12941" customFormat="1" x14ac:dyDescent="0.3"/>
    <row r="12942" customFormat="1" x14ac:dyDescent="0.3"/>
    <row r="12943" customFormat="1" x14ac:dyDescent="0.3"/>
    <row r="12944" customFormat="1" x14ac:dyDescent="0.3"/>
    <row r="12945" customFormat="1" x14ac:dyDescent="0.3"/>
    <row r="12946" customFormat="1" x14ac:dyDescent="0.3"/>
    <row r="12947" customFormat="1" x14ac:dyDescent="0.3"/>
    <row r="12948" customFormat="1" x14ac:dyDescent="0.3"/>
    <row r="12949" customFormat="1" x14ac:dyDescent="0.3"/>
    <row r="12950" customFormat="1" x14ac:dyDescent="0.3"/>
    <row r="12951" customFormat="1" x14ac:dyDescent="0.3"/>
    <row r="12952" customFormat="1" x14ac:dyDescent="0.3"/>
    <row r="12953" customFormat="1" x14ac:dyDescent="0.3"/>
    <row r="12954" customFormat="1" x14ac:dyDescent="0.3"/>
    <row r="12955" customFormat="1" x14ac:dyDescent="0.3"/>
    <row r="12956" customFormat="1" x14ac:dyDescent="0.3"/>
    <row r="12957" customFormat="1" x14ac:dyDescent="0.3"/>
    <row r="12958" customFormat="1" x14ac:dyDescent="0.3"/>
    <row r="12959" customFormat="1" x14ac:dyDescent="0.3"/>
    <row r="12960" customFormat="1" x14ac:dyDescent="0.3"/>
    <row r="12961" customFormat="1" x14ac:dyDescent="0.3"/>
    <row r="12962" customFormat="1" x14ac:dyDescent="0.3"/>
    <row r="12963" customFormat="1" x14ac:dyDescent="0.3"/>
    <row r="12964" customFormat="1" x14ac:dyDescent="0.3"/>
    <row r="12965" customFormat="1" x14ac:dyDescent="0.3"/>
    <row r="12966" customFormat="1" x14ac:dyDescent="0.3"/>
    <row r="12967" customFormat="1" x14ac:dyDescent="0.3"/>
    <row r="12968" customFormat="1" x14ac:dyDescent="0.3"/>
    <row r="12969" customFormat="1" x14ac:dyDescent="0.3"/>
    <row r="12970" customFormat="1" x14ac:dyDescent="0.3"/>
    <row r="12971" customFormat="1" x14ac:dyDescent="0.3"/>
    <row r="12972" customFormat="1" x14ac:dyDescent="0.3"/>
    <row r="12973" customFormat="1" x14ac:dyDescent="0.3"/>
    <row r="12974" customFormat="1" x14ac:dyDescent="0.3"/>
    <row r="12975" customFormat="1" x14ac:dyDescent="0.3"/>
    <row r="12976" customFormat="1" x14ac:dyDescent="0.3"/>
    <row r="12977" customFormat="1" x14ac:dyDescent="0.3"/>
    <row r="12978" customFormat="1" x14ac:dyDescent="0.3"/>
    <row r="12979" customFormat="1" x14ac:dyDescent="0.3"/>
    <row r="12980" customFormat="1" x14ac:dyDescent="0.3"/>
    <row r="12981" customFormat="1" x14ac:dyDescent="0.3"/>
    <row r="12982" customFormat="1" x14ac:dyDescent="0.3"/>
    <row r="12983" customFormat="1" x14ac:dyDescent="0.3"/>
    <row r="12984" customFormat="1" x14ac:dyDescent="0.3"/>
    <row r="12985" customFormat="1" x14ac:dyDescent="0.3"/>
    <row r="12986" customFormat="1" x14ac:dyDescent="0.3"/>
    <row r="12987" customFormat="1" x14ac:dyDescent="0.3"/>
    <row r="12988" customFormat="1" x14ac:dyDescent="0.3"/>
    <row r="12989" customFormat="1" x14ac:dyDescent="0.3"/>
    <row r="12990" customFormat="1" x14ac:dyDescent="0.3"/>
    <row r="12991" customFormat="1" x14ac:dyDescent="0.3"/>
    <row r="12992" customFormat="1" x14ac:dyDescent="0.3"/>
    <row r="12993" customFormat="1" x14ac:dyDescent="0.3"/>
    <row r="12994" customFormat="1" x14ac:dyDescent="0.3"/>
    <row r="12995" customFormat="1" x14ac:dyDescent="0.3"/>
    <row r="12996" customFormat="1" x14ac:dyDescent="0.3"/>
    <row r="12997" customFormat="1" x14ac:dyDescent="0.3"/>
    <row r="12998" customFormat="1" x14ac:dyDescent="0.3"/>
    <row r="12999" customFormat="1" x14ac:dyDescent="0.3"/>
    <row r="13000" customFormat="1" x14ac:dyDescent="0.3"/>
    <row r="13001" customFormat="1" x14ac:dyDescent="0.3"/>
    <row r="13002" customFormat="1" x14ac:dyDescent="0.3"/>
    <row r="13003" customFormat="1" x14ac:dyDescent="0.3"/>
    <row r="13004" customFormat="1" x14ac:dyDescent="0.3"/>
    <row r="13005" customFormat="1" x14ac:dyDescent="0.3"/>
    <row r="13006" customFormat="1" x14ac:dyDescent="0.3"/>
    <row r="13007" customFormat="1" x14ac:dyDescent="0.3"/>
    <row r="13008" customFormat="1" x14ac:dyDescent="0.3"/>
    <row r="13009" customFormat="1" x14ac:dyDescent="0.3"/>
    <row r="13010" customFormat="1" x14ac:dyDescent="0.3"/>
    <row r="13011" customFormat="1" x14ac:dyDescent="0.3"/>
    <row r="13012" customFormat="1" x14ac:dyDescent="0.3"/>
    <row r="13013" customFormat="1" x14ac:dyDescent="0.3"/>
    <row r="13014" customFormat="1" x14ac:dyDescent="0.3"/>
    <row r="13015" customFormat="1" x14ac:dyDescent="0.3"/>
    <row r="13016" customFormat="1" x14ac:dyDescent="0.3"/>
    <row r="13017" customFormat="1" x14ac:dyDescent="0.3"/>
    <row r="13018" customFormat="1" x14ac:dyDescent="0.3"/>
    <row r="13019" customFormat="1" x14ac:dyDescent="0.3"/>
    <row r="13020" customFormat="1" x14ac:dyDescent="0.3"/>
    <row r="13021" customFormat="1" x14ac:dyDescent="0.3"/>
    <row r="13022" customFormat="1" x14ac:dyDescent="0.3"/>
    <row r="13023" customFormat="1" x14ac:dyDescent="0.3"/>
    <row r="13024" customFormat="1" x14ac:dyDescent="0.3"/>
    <row r="13025" customFormat="1" x14ac:dyDescent="0.3"/>
    <row r="13026" customFormat="1" x14ac:dyDescent="0.3"/>
    <row r="13027" customFormat="1" x14ac:dyDescent="0.3"/>
    <row r="13028" customFormat="1" x14ac:dyDescent="0.3"/>
    <row r="13029" customFormat="1" x14ac:dyDescent="0.3"/>
    <row r="13030" customFormat="1" x14ac:dyDescent="0.3"/>
    <row r="13031" customFormat="1" x14ac:dyDescent="0.3"/>
    <row r="13032" customFormat="1" x14ac:dyDescent="0.3"/>
    <row r="13033" customFormat="1" x14ac:dyDescent="0.3"/>
    <row r="13034" customFormat="1" x14ac:dyDescent="0.3"/>
    <row r="13035" customFormat="1" x14ac:dyDescent="0.3"/>
    <row r="13036" customFormat="1" x14ac:dyDescent="0.3"/>
    <row r="13037" customFormat="1" x14ac:dyDescent="0.3"/>
    <row r="13038" customFormat="1" x14ac:dyDescent="0.3"/>
    <row r="13039" customFormat="1" x14ac:dyDescent="0.3"/>
    <row r="13040" customFormat="1" x14ac:dyDescent="0.3"/>
    <row r="13041" customFormat="1" x14ac:dyDescent="0.3"/>
    <row r="13042" customFormat="1" x14ac:dyDescent="0.3"/>
    <row r="13043" customFormat="1" x14ac:dyDescent="0.3"/>
    <row r="13044" customFormat="1" x14ac:dyDescent="0.3"/>
    <row r="13045" customFormat="1" x14ac:dyDescent="0.3"/>
    <row r="13046" customFormat="1" x14ac:dyDescent="0.3"/>
    <row r="13047" customFormat="1" x14ac:dyDescent="0.3"/>
    <row r="13048" customFormat="1" x14ac:dyDescent="0.3"/>
    <row r="13049" customFormat="1" x14ac:dyDescent="0.3"/>
    <row r="13050" customFormat="1" x14ac:dyDescent="0.3"/>
    <row r="13051" customFormat="1" x14ac:dyDescent="0.3"/>
    <row r="13052" customFormat="1" x14ac:dyDescent="0.3"/>
    <row r="13053" customFormat="1" x14ac:dyDescent="0.3"/>
    <row r="13054" customFormat="1" x14ac:dyDescent="0.3"/>
    <row r="13055" customFormat="1" x14ac:dyDescent="0.3"/>
    <row r="13056" customFormat="1" x14ac:dyDescent="0.3"/>
    <row r="13057" customFormat="1" x14ac:dyDescent="0.3"/>
    <row r="13058" customFormat="1" x14ac:dyDescent="0.3"/>
    <row r="13059" customFormat="1" x14ac:dyDescent="0.3"/>
    <row r="13060" customFormat="1" x14ac:dyDescent="0.3"/>
    <row r="13061" customFormat="1" x14ac:dyDescent="0.3"/>
    <row r="13062" customFormat="1" x14ac:dyDescent="0.3"/>
    <row r="13063" customFormat="1" x14ac:dyDescent="0.3"/>
    <row r="13064" customFormat="1" x14ac:dyDescent="0.3"/>
    <row r="13065" customFormat="1" x14ac:dyDescent="0.3"/>
    <row r="13066" customFormat="1" x14ac:dyDescent="0.3"/>
    <row r="13067" customFormat="1" x14ac:dyDescent="0.3"/>
    <row r="13068" customFormat="1" x14ac:dyDescent="0.3"/>
    <row r="13069" customFormat="1" x14ac:dyDescent="0.3"/>
    <row r="13070" customFormat="1" x14ac:dyDescent="0.3"/>
    <row r="13071" customFormat="1" x14ac:dyDescent="0.3"/>
    <row r="13072" customFormat="1" x14ac:dyDescent="0.3"/>
    <row r="13073" customFormat="1" x14ac:dyDescent="0.3"/>
    <row r="13074" customFormat="1" x14ac:dyDescent="0.3"/>
    <row r="13075" customFormat="1" x14ac:dyDescent="0.3"/>
    <row r="13076" customFormat="1" x14ac:dyDescent="0.3"/>
    <row r="13077" customFormat="1" x14ac:dyDescent="0.3"/>
    <row r="13078" customFormat="1" x14ac:dyDescent="0.3"/>
    <row r="13079" customFormat="1" x14ac:dyDescent="0.3"/>
    <row r="13080" customFormat="1" x14ac:dyDescent="0.3"/>
    <row r="13081" customFormat="1" x14ac:dyDescent="0.3"/>
    <row r="13082" customFormat="1" x14ac:dyDescent="0.3"/>
    <row r="13083" customFormat="1" x14ac:dyDescent="0.3"/>
    <row r="13084" customFormat="1" x14ac:dyDescent="0.3"/>
    <row r="13085" customFormat="1" x14ac:dyDescent="0.3"/>
    <row r="13086" customFormat="1" x14ac:dyDescent="0.3"/>
    <row r="13087" customFormat="1" x14ac:dyDescent="0.3"/>
    <row r="13088" customFormat="1" x14ac:dyDescent="0.3"/>
    <row r="13089" customFormat="1" x14ac:dyDescent="0.3"/>
    <row r="13090" customFormat="1" x14ac:dyDescent="0.3"/>
    <row r="13091" customFormat="1" x14ac:dyDescent="0.3"/>
    <row r="13092" customFormat="1" x14ac:dyDescent="0.3"/>
    <row r="13093" customFormat="1" x14ac:dyDescent="0.3"/>
    <row r="13094" customFormat="1" x14ac:dyDescent="0.3"/>
    <row r="13095" customFormat="1" x14ac:dyDescent="0.3"/>
    <row r="13096" customFormat="1" x14ac:dyDescent="0.3"/>
    <row r="13097" customFormat="1" x14ac:dyDescent="0.3"/>
    <row r="13098" customFormat="1" x14ac:dyDescent="0.3"/>
    <row r="13099" customFormat="1" x14ac:dyDescent="0.3"/>
    <row r="13100" customFormat="1" x14ac:dyDescent="0.3"/>
    <row r="13101" customFormat="1" x14ac:dyDescent="0.3"/>
    <row r="13102" customFormat="1" x14ac:dyDescent="0.3"/>
    <row r="13103" customFormat="1" x14ac:dyDescent="0.3"/>
    <row r="13104" customFormat="1" x14ac:dyDescent="0.3"/>
    <row r="13105" customFormat="1" x14ac:dyDescent="0.3"/>
    <row r="13106" customFormat="1" x14ac:dyDescent="0.3"/>
    <row r="13107" customFormat="1" x14ac:dyDescent="0.3"/>
    <row r="13108" customFormat="1" x14ac:dyDescent="0.3"/>
    <row r="13109" customFormat="1" x14ac:dyDescent="0.3"/>
    <row r="13110" customFormat="1" x14ac:dyDescent="0.3"/>
    <row r="13111" customFormat="1" x14ac:dyDescent="0.3"/>
    <row r="13112" customFormat="1" x14ac:dyDescent="0.3"/>
    <row r="13113" customFormat="1" x14ac:dyDescent="0.3"/>
    <row r="13114" customFormat="1" x14ac:dyDescent="0.3"/>
    <row r="13115" customFormat="1" x14ac:dyDescent="0.3"/>
    <row r="13116" customFormat="1" x14ac:dyDescent="0.3"/>
    <row r="13117" customFormat="1" x14ac:dyDescent="0.3"/>
    <row r="13118" customFormat="1" x14ac:dyDescent="0.3"/>
    <row r="13119" customFormat="1" x14ac:dyDescent="0.3"/>
    <row r="13120" customFormat="1" x14ac:dyDescent="0.3"/>
    <row r="13121" customFormat="1" x14ac:dyDescent="0.3"/>
    <row r="13122" customFormat="1" x14ac:dyDescent="0.3"/>
    <row r="13123" customFormat="1" x14ac:dyDescent="0.3"/>
    <row r="13124" customFormat="1" x14ac:dyDescent="0.3"/>
    <row r="13125" customFormat="1" x14ac:dyDescent="0.3"/>
    <row r="13126" customFormat="1" x14ac:dyDescent="0.3"/>
    <row r="13127" customFormat="1" x14ac:dyDescent="0.3"/>
    <row r="13128" customFormat="1" x14ac:dyDescent="0.3"/>
    <row r="13129" customFormat="1" x14ac:dyDescent="0.3"/>
    <row r="13130" customFormat="1" x14ac:dyDescent="0.3"/>
    <row r="13131" customFormat="1" x14ac:dyDescent="0.3"/>
    <row r="13132" customFormat="1" x14ac:dyDescent="0.3"/>
    <row r="13133" customFormat="1" x14ac:dyDescent="0.3"/>
    <row r="13134" customFormat="1" x14ac:dyDescent="0.3"/>
    <row r="13135" customFormat="1" x14ac:dyDescent="0.3"/>
    <row r="13136" customFormat="1" x14ac:dyDescent="0.3"/>
    <row r="13137" customFormat="1" x14ac:dyDescent="0.3"/>
    <row r="13138" customFormat="1" x14ac:dyDescent="0.3"/>
    <row r="13139" customFormat="1" x14ac:dyDescent="0.3"/>
    <row r="13140" customFormat="1" x14ac:dyDescent="0.3"/>
    <row r="13141" customFormat="1" x14ac:dyDescent="0.3"/>
    <row r="13142" customFormat="1" x14ac:dyDescent="0.3"/>
    <row r="13143" customFormat="1" x14ac:dyDescent="0.3"/>
    <row r="13144" customFormat="1" x14ac:dyDescent="0.3"/>
    <row r="13145" customFormat="1" x14ac:dyDescent="0.3"/>
    <row r="13146" customFormat="1" x14ac:dyDescent="0.3"/>
    <row r="13147" customFormat="1" x14ac:dyDescent="0.3"/>
    <row r="13148" customFormat="1" x14ac:dyDescent="0.3"/>
    <row r="13149" customFormat="1" x14ac:dyDescent="0.3"/>
    <row r="13150" customFormat="1" x14ac:dyDescent="0.3"/>
    <row r="13151" customFormat="1" x14ac:dyDescent="0.3"/>
    <row r="13152" customFormat="1" x14ac:dyDescent="0.3"/>
    <row r="13153" customFormat="1" x14ac:dyDescent="0.3"/>
    <row r="13154" customFormat="1" x14ac:dyDescent="0.3"/>
    <row r="13155" customFormat="1" x14ac:dyDescent="0.3"/>
    <row r="13156" customFormat="1" x14ac:dyDescent="0.3"/>
    <row r="13157" customFormat="1" x14ac:dyDescent="0.3"/>
    <row r="13158" customFormat="1" x14ac:dyDescent="0.3"/>
    <row r="13159" customFormat="1" x14ac:dyDescent="0.3"/>
    <row r="13160" customFormat="1" x14ac:dyDescent="0.3"/>
    <row r="13161" customFormat="1" x14ac:dyDescent="0.3"/>
    <row r="13162" customFormat="1" x14ac:dyDescent="0.3"/>
    <row r="13163" customFormat="1" x14ac:dyDescent="0.3"/>
    <row r="13164" customFormat="1" x14ac:dyDescent="0.3"/>
    <row r="13165" customFormat="1" x14ac:dyDescent="0.3"/>
    <row r="13166" customFormat="1" x14ac:dyDescent="0.3"/>
    <row r="13167" customFormat="1" x14ac:dyDescent="0.3"/>
    <row r="13168" customFormat="1" x14ac:dyDescent="0.3"/>
    <row r="13169" customFormat="1" x14ac:dyDescent="0.3"/>
    <row r="13170" customFormat="1" x14ac:dyDescent="0.3"/>
    <row r="13171" customFormat="1" x14ac:dyDescent="0.3"/>
    <row r="13172" customFormat="1" x14ac:dyDescent="0.3"/>
    <row r="13173" customFormat="1" x14ac:dyDescent="0.3"/>
    <row r="13174" customFormat="1" x14ac:dyDescent="0.3"/>
    <row r="13175" customFormat="1" x14ac:dyDescent="0.3"/>
    <row r="13176" customFormat="1" x14ac:dyDescent="0.3"/>
    <row r="13177" customFormat="1" x14ac:dyDescent="0.3"/>
    <row r="13178" customFormat="1" x14ac:dyDescent="0.3"/>
    <row r="13179" customFormat="1" x14ac:dyDescent="0.3"/>
    <row r="13180" customFormat="1" x14ac:dyDescent="0.3"/>
    <row r="13181" customFormat="1" x14ac:dyDescent="0.3"/>
    <row r="13182" customFormat="1" x14ac:dyDescent="0.3"/>
    <row r="13183" customFormat="1" x14ac:dyDescent="0.3"/>
    <row r="13184" customFormat="1" x14ac:dyDescent="0.3"/>
    <row r="13185" customFormat="1" x14ac:dyDescent="0.3"/>
    <row r="13186" customFormat="1" x14ac:dyDescent="0.3"/>
    <row r="13187" customFormat="1" x14ac:dyDescent="0.3"/>
    <row r="13188" customFormat="1" x14ac:dyDescent="0.3"/>
    <row r="13189" customFormat="1" x14ac:dyDescent="0.3"/>
    <row r="13190" customFormat="1" x14ac:dyDescent="0.3"/>
    <row r="13191" customFormat="1" x14ac:dyDescent="0.3"/>
    <row r="13192" customFormat="1" x14ac:dyDescent="0.3"/>
    <row r="13193" customFormat="1" x14ac:dyDescent="0.3"/>
    <row r="13194" customFormat="1" x14ac:dyDescent="0.3"/>
    <row r="13195" customFormat="1" x14ac:dyDescent="0.3"/>
    <row r="13196" customFormat="1" x14ac:dyDescent="0.3"/>
    <row r="13197" customFormat="1" x14ac:dyDescent="0.3"/>
    <row r="13198" customFormat="1" x14ac:dyDescent="0.3"/>
    <row r="13199" customFormat="1" x14ac:dyDescent="0.3"/>
    <row r="13200" customFormat="1" x14ac:dyDescent="0.3"/>
    <row r="13201" customFormat="1" x14ac:dyDescent="0.3"/>
    <row r="13202" customFormat="1" x14ac:dyDescent="0.3"/>
    <row r="13203" customFormat="1" x14ac:dyDescent="0.3"/>
    <row r="13204" customFormat="1" x14ac:dyDescent="0.3"/>
    <row r="13205" customFormat="1" x14ac:dyDescent="0.3"/>
    <row r="13206" customFormat="1" x14ac:dyDescent="0.3"/>
    <row r="13207" customFormat="1" x14ac:dyDescent="0.3"/>
    <row r="13208" customFormat="1" x14ac:dyDescent="0.3"/>
    <row r="13209" customFormat="1" x14ac:dyDescent="0.3"/>
    <row r="13210" customFormat="1" x14ac:dyDescent="0.3"/>
    <row r="13211" customFormat="1" x14ac:dyDescent="0.3"/>
    <row r="13212" customFormat="1" x14ac:dyDescent="0.3"/>
    <row r="13213" customFormat="1" x14ac:dyDescent="0.3"/>
    <row r="13214" customFormat="1" x14ac:dyDescent="0.3"/>
    <row r="13215" customFormat="1" x14ac:dyDescent="0.3"/>
    <row r="13216" customFormat="1" x14ac:dyDescent="0.3"/>
    <row r="13217" customFormat="1" x14ac:dyDescent="0.3"/>
    <row r="13218" customFormat="1" x14ac:dyDescent="0.3"/>
    <row r="13219" customFormat="1" x14ac:dyDescent="0.3"/>
    <row r="13220" customFormat="1" x14ac:dyDescent="0.3"/>
    <row r="13221" customFormat="1" x14ac:dyDescent="0.3"/>
    <row r="13222" customFormat="1" x14ac:dyDescent="0.3"/>
    <row r="13223" customFormat="1" x14ac:dyDescent="0.3"/>
    <row r="13224" customFormat="1" x14ac:dyDescent="0.3"/>
    <row r="13225" customFormat="1" x14ac:dyDescent="0.3"/>
    <row r="13226" customFormat="1" x14ac:dyDescent="0.3"/>
    <row r="13227" customFormat="1" x14ac:dyDescent="0.3"/>
    <row r="13228" customFormat="1" x14ac:dyDescent="0.3"/>
    <row r="13229" customFormat="1" x14ac:dyDescent="0.3"/>
    <row r="13230" customFormat="1" x14ac:dyDescent="0.3"/>
    <row r="13231" customFormat="1" x14ac:dyDescent="0.3"/>
    <row r="13232" customFormat="1" x14ac:dyDescent="0.3"/>
    <row r="13233" customFormat="1" x14ac:dyDescent="0.3"/>
    <row r="13234" customFormat="1" x14ac:dyDescent="0.3"/>
    <row r="13235" customFormat="1" x14ac:dyDescent="0.3"/>
    <row r="13236" customFormat="1" x14ac:dyDescent="0.3"/>
    <row r="13237" customFormat="1" x14ac:dyDescent="0.3"/>
    <row r="13238" customFormat="1" x14ac:dyDescent="0.3"/>
    <row r="13239" customFormat="1" x14ac:dyDescent="0.3"/>
    <row r="13240" customFormat="1" x14ac:dyDescent="0.3"/>
    <row r="13241" customFormat="1" x14ac:dyDescent="0.3"/>
    <row r="13242" customFormat="1" x14ac:dyDescent="0.3"/>
    <row r="13243" customFormat="1" x14ac:dyDescent="0.3"/>
    <row r="13244" customFormat="1" x14ac:dyDescent="0.3"/>
    <row r="13245" customFormat="1" x14ac:dyDescent="0.3"/>
    <row r="13246" customFormat="1" x14ac:dyDescent="0.3"/>
    <row r="13247" customFormat="1" x14ac:dyDescent="0.3"/>
    <row r="13248" customFormat="1" x14ac:dyDescent="0.3"/>
    <row r="13249" customFormat="1" x14ac:dyDescent="0.3"/>
    <row r="13250" customFormat="1" x14ac:dyDescent="0.3"/>
    <row r="13251" customFormat="1" x14ac:dyDescent="0.3"/>
    <row r="13252" customFormat="1" x14ac:dyDescent="0.3"/>
    <row r="13253" customFormat="1" x14ac:dyDescent="0.3"/>
    <row r="13254" customFormat="1" x14ac:dyDescent="0.3"/>
    <row r="13255" customFormat="1" x14ac:dyDescent="0.3"/>
    <row r="13256" customFormat="1" x14ac:dyDescent="0.3"/>
    <row r="13257" customFormat="1" x14ac:dyDescent="0.3"/>
    <row r="13258" customFormat="1" x14ac:dyDescent="0.3"/>
    <row r="13259" customFormat="1" x14ac:dyDescent="0.3"/>
    <row r="13260" customFormat="1" x14ac:dyDescent="0.3"/>
    <row r="13261" customFormat="1" x14ac:dyDescent="0.3"/>
    <row r="13262" customFormat="1" x14ac:dyDescent="0.3"/>
    <row r="13263" customFormat="1" x14ac:dyDescent="0.3"/>
    <row r="13264" customFormat="1" x14ac:dyDescent="0.3"/>
    <row r="13265" customFormat="1" x14ac:dyDescent="0.3"/>
    <row r="13266" customFormat="1" x14ac:dyDescent="0.3"/>
    <row r="13267" customFormat="1" x14ac:dyDescent="0.3"/>
    <row r="13268" customFormat="1" x14ac:dyDescent="0.3"/>
    <row r="13269" customFormat="1" x14ac:dyDescent="0.3"/>
    <row r="13270" customFormat="1" x14ac:dyDescent="0.3"/>
    <row r="13271" customFormat="1" x14ac:dyDescent="0.3"/>
    <row r="13272" customFormat="1" x14ac:dyDescent="0.3"/>
    <row r="13273" customFormat="1" x14ac:dyDescent="0.3"/>
    <row r="13274" customFormat="1" x14ac:dyDescent="0.3"/>
    <row r="13275" customFormat="1" x14ac:dyDescent="0.3"/>
    <row r="13276" customFormat="1" x14ac:dyDescent="0.3"/>
    <row r="13277" customFormat="1" x14ac:dyDescent="0.3"/>
    <row r="13278" customFormat="1" x14ac:dyDescent="0.3"/>
    <row r="13279" customFormat="1" x14ac:dyDescent="0.3"/>
    <row r="13280" customFormat="1" x14ac:dyDescent="0.3"/>
    <row r="13281" customFormat="1" x14ac:dyDescent="0.3"/>
    <row r="13282" customFormat="1" x14ac:dyDescent="0.3"/>
    <row r="13283" customFormat="1" x14ac:dyDescent="0.3"/>
    <row r="13284" customFormat="1" x14ac:dyDescent="0.3"/>
    <row r="13285" customFormat="1" x14ac:dyDescent="0.3"/>
    <row r="13286" customFormat="1" x14ac:dyDescent="0.3"/>
    <row r="13287" customFormat="1" x14ac:dyDescent="0.3"/>
    <row r="13288" customFormat="1" x14ac:dyDescent="0.3"/>
    <row r="13289" customFormat="1" x14ac:dyDescent="0.3"/>
    <row r="13290" customFormat="1" x14ac:dyDescent="0.3"/>
    <row r="13291" customFormat="1" x14ac:dyDescent="0.3"/>
    <row r="13292" customFormat="1" x14ac:dyDescent="0.3"/>
    <row r="13293" customFormat="1" x14ac:dyDescent="0.3"/>
    <row r="13294" customFormat="1" x14ac:dyDescent="0.3"/>
    <row r="13295" customFormat="1" x14ac:dyDescent="0.3"/>
    <row r="13296" customFormat="1" x14ac:dyDescent="0.3"/>
    <row r="13297" customFormat="1" x14ac:dyDescent="0.3"/>
    <row r="13298" customFormat="1" x14ac:dyDescent="0.3"/>
    <row r="13299" customFormat="1" x14ac:dyDescent="0.3"/>
    <row r="13300" customFormat="1" x14ac:dyDescent="0.3"/>
    <row r="13301" customFormat="1" x14ac:dyDescent="0.3"/>
    <row r="13302" customFormat="1" x14ac:dyDescent="0.3"/>
    <row r="13303" customFormat="1" x14ac:dyDescent="0.3"/>
    <row r="13304" customFormat="1" x14ac:dyDescent="0.3"/>
    <row r="13305" customFormat="1" x14ac:dyDescent="0.3"/>
    <row r="13306" customFormat="1" x14ac:dyDescent="0.3"/>
    <row r="13307" customFormat="1" x14ac:dyDescent="0.3"/>
    <row r="13308" customFormat="1" x14ac:dyDescent="0.3"/>
    <row r="13309" customFormat="1" x14ac:dyDescent="0.3"/>
    <row r="13310" customFormat="1" x14ac:dyDescent="0.3"/>
    <row r="13311" customFormat="1" x14ac:dyDescent="0.3"/>
    <row r="13312" customFormat="1" x14ac:dyDescent="0.3"/>
    <row r="13313" customFormat="1" x14ac:dyDescent="0.3"/>
    <row r="13314" customFormat="1" x14ac:dyDescent="0.3"/>
    <row r="13315" customFormat="1" x14ac:dyDescent="0.3"/>
    <row r="13316" customFormat="1" x14ac:dyDescent="0.3"/>
    <row r="13317" customFormat="1" x14ac:dyDescent="0.3"/>
    <row r="13318" customFormat="1" x14ac:dyDescent="0.3"/>
    <row r="13319" customFormat="1" x14ac:dyDescent="0.3"/>
    <row r="13320" customFormat="1" x14ac:dyDescent="0.3"/>
    <row r="13321" customFormat="1" x14ac:dyDescent="0.3"/>
    <row r="13322" customFormat="1" x14ac:dyDescent="0.3"/>
    <row r="13323" customFormat="1" x14ac:dyDescent="0.3"/>
    <row r="13324" customFormat="1" x14ac:dyDescent="0.3"/>
    <row r="13325" customFormat="1" x14ac:dyDescent="0.3"/>
    <row r="13326" customFormat="1" x14ac:dyDescent="0.3"/>
    <row r="13327" customFormat="1" x14ac:dyDescent="0.3"/>
    <row r="13328" customFormat="1" x14ac:dyDescent="0.3"/>
    <row r="13329" customFormat="1" x14ac:dyDescent="0.3"/>
    <row r="13330" customFormat="1" x14ac:dyDescent="0.3"/>
    <row r="13331" customFormat="1" x14ac:dyDescent="0.3"/>
    <row r="13332" customFormat="1" x14ac:dyDescent="0.3"/>
    <row r="13333" customFormat="1" x14ac:dyDescent="0.3"/>
    <row r="13334" customFormat="1" x14ac:dyDescent="0.3"/>
    <row r="13335" customFormat="1" x14ac:dyDescent="0.3"/>
    <row r="13336" customFormat="1" x14ac:dyDescent="0.3"/>
    <row r="13337" customFormat="1" x14ac:dyDescent="0.3"/>
    <row r="13338" customFormat="1" x14ac:dyDescent="0.3"/>
    <row r="13339" customFormat="1" x14ac:dyDescent="0.3"/>
    <row r="13340" customFormat="1" x14ac:dyDescent="0.3"/>
    <row r="13341" customFormat="1" x14ac:dyDescent="0.3"/>
    <row r="13342" customFormat="1" x14ac:dyDescent="0.3"/>
    <row r="13343" customFormat="1" x14ac:dyDescent="0.3"/>
    <row r="13344" customFormat="1" x14ac:dyDescent="0.3"/>
    <row r="13345" customFormat="1" x14ac:dyDescent="0.3"/>
    <row r="13346" customFormat="1" x14ac:dyDescent="0.3"/>
    <row r="13347" customFormat="1" x14ac:dyDescent="0.3"/>
    <row r="13348" customFormat="1" x14ac:dyDescent="0.3"/>
    <row r="13349" customFormat="1" x14ac:dyDescent="0.3"/>
    <row r="13350" customFormat="1" x14ac:dyDescent="0.3"/>
    <row r="13351" customFormat="1" x14ac:dyDescent="0.3"/>
    <row r="13352" customFormat="1" x14ac:dyDescent="0.3"/>
    <row r="13353" customFormat="1" x14ac:dyDescent="0.3"/>
    <row r="13354" customFormat="1" x14ac:dyDescent="0.3"/>
    <row r="13355" customFormat="1" x14ac:dyDescent="0.3"/>
    <row r="13356" customFormat="1" x14ac:dyDescent="0.3"/>
    <row r="13357" customFormat="1" x14ac:dyDescent="0.3"/>
    <row r="13358" customFormat="1" x14ac:dyDescent="0.3"/>
    <row r="13359" customFormat="1" x14ac:dyDescent="0.3"/>
    <row r="13360" customFormat="1" x14ac:dyDescent="0.3"/>
    <row r="13361" customFormat="1" x14ac:dyDescent="0.3"/>
    <row r="13362" customFormat="1" x14ac:dyDescent="0.3"/>
    <row r="13363" customFormat="1" x14ac:dyDescent="0.3"/>
    <row r="13364" customFormat="1" x14ac:dyDescent="0.3"/>
    <row r="13365" customFormat="1" x14ac:dyDescent="0.3"/>
    <row r="13366" customFormat="1" x14ac:dyDescent="0.3"/>
    <row r="13367" customFormat="1" x14ac:dyDescent="0.3"/>
    <row r="13368" customFormat="1" x14ac:dyDescent="0.3"/>
    <row r="13369" customFormat="1" x14ac:dyDescent="0.3"/>
    <row r="13370" customFormat="1" x14ac:dyDescent="0.3"/>
    <row r="13371" customFormat="1" x14ac:dyDescent="0.3"/>
    <row r="13372" customFormat="1" x14ac:dyDescent="0.3"/>
    <row r="13373" customFormat="1" x14ac:dyDescent="0.3"/>
    <row r="13374" customFormat="1" x14ac:dyDescent="0.3"/>
    <row r="13375" customFormat="1" x14ac:dyDescent="0.3"/>
    <row r="13376" customFormat="1" x14ac:dyDescent="0.3"/>
    <row r="13377" customFormat="1" x14ac:dyDescent="0.3"/>
    <row r="13378" customFormat="1" x14ac:dyDescent="0.3"/>
    <row r="13379" customFormat="1" x14ac:dyDescent="0.3"/>
    <row r="13380" customFormat="1" x14ac:dyDescent="0.3"/>
    <row r="13381" customFormat="1" x14ac:dyDescent="0.3"/>
    <row r="13382" customFormat="1" x14ac:dyDescent="0.3"/>
    <row r="13383" customFormat="1" x14ac:dyDescent="0.3"/>
    <row r="13384" customFormat="1" x14ac:dyDescent="0.3"/>
    <row r="13385" customFormat="1" x14ac:dyDescent="0.3"/>
    <row r="13386" customFormat="1" x14ac:dyDescent="0.3"/>
    <row r="13387" customFormat="1" x14ac:dyDescent="0.3"/>
    <row r="13388" customFormat="1" x14ac:dyDescent="0.3"/>
    <row r="13389" customFormat="1" x14ac:dyDescent="0.3"/>
    <row r="13390" customFormat="1" x14ac:dyDescent="0.3"/>
    <row r="13391" customFormat="1" x14ac:dyDescent="0.3"/>
    <row r="13392" customFormat="1" x14ac:dyDescent="0.3"/>
    <row r="13393" customFormat="1" x14ac:dyDescent="0.3"/>
    <row r="13394" customFormat="1" x14ac:dyDescent="0.3"/>
    <row r="13395" customFormat="1" x14ac:dyDescent="0.3"/>
    <row r="13396" customFormat="1" x14ac:dyDescent="0.3"/>
    <row r="13397" customFormat="1" x14ac:dyDescent="0.3"/>
    <row r="13398" customFormat="1" x14ac:dyDescent="0.3"/>
    <row r="13399" customFormat="1" x14ac:dyDescent="0.3"/>
    <row r="13400" customFormat="1" x14ac:dyDescent="0.3"/>
    <row r="13401" customFormat="1" x14ac:dyDescent="0.3"/>
    <row r="13402" customFormat="1" x14ac:dyDescent="0.3"/>
    <row r="13403" customFormat="1" x14ac:dyDescent="0.3"/>
    <row r="13404" customFormat="1" x14ac:dyDescent="0.3"/>
    <row r="13405" customFormat="1" x14ac:dyDescent="0.3"/>
    <row r="13406" customFormat="1" x14ac:dyDescent="0.3"/>
    <row r="13407" customFormat="1" x14ac:dyDescent="0.3"/>
    <row r="13408" customFormat="1" x14ac:dyDescent="0.3"/>
    <row r="13409" customFormat="1" x14ac:dyDescent="0.3"/>
    <row r="13410" customFormat="1" x14ac:dyDescent="0.3"/>
    <row r="13411" customFormat="1" x14ac:dyDescent="0.3"/>
    <row r="13412" customFormat="1" x14ac:dyDescent="0.3"/>
    <row r="13413" customFormat="1" x14ac:dyDescent="0.3"/>
    <row r="13414" customFormat="1" x14ac:dyDescent="0.3"/>
    <row r="13415" customFormat="1" x14ac:dyDescent="0.3"/>
    <row r="13416" customFormat="1" x14ac:dyDescent="0.3"/>
    <row r="13417" customFormat="1" x14ac:dyDescent="0.3"/>
    <row r="13418" customFormat="1" x14ac:dyDescent="0.3"/>
    <row r="13419" customFormat="1" x14ac:dyDescent="0.3"/>
    <row r="13420" customFormat="1" x14ac:dyDescent="0.3"/>
    <row r="13421" customFormat="1" x14ac:dyDescent="0.3"/>
    <row r="13422" customFormat="1" x14ac:dyDescent="0.3"/>
    <row r="13423" customFormat="1" x14ac:dyDescent="0.3"/>
    <row r="13424" customFormat="1" x14ac:dyDescent="0.3"/>
    <row r="13425" customFormat="1" x14ac:dyDescent="0.3"/>
    <row r="13426" customFormat="1" x14ac:dyDescent="0.3"/>
    <row r="13427" customFormat="1" x14ac:dyDescent="0.3"/>
    <row r="13428" customFormat="1" x14ac:dyDescent="0.3"/>
    <row r="13429" customFormat="1" x14ac:dyDescent="0.3"/>
    <row r="13430" customFormat="1" x14ac:dyDescent="0.3"/>
    <row r="13431" customFormat="1" x14ac:dyDescent="0.3"/>
    <row r="13432" customFormat="1" x14ac:dyDescent="0.3"/>
    <row r="13433" customFormat="1" x14ac:dyDescent="0.3"/>
    <row r="13434" customFormat="1" x14ac:dyDescent="0.3"/>
    <row r="13435" customFormat="1" x14ac:dyDescent="0.3"/>
    <row r="13436" customFormat="1" x14ac:dyDescent="0.3"/>
    <row r="13437" customFormat="1" x14ac:dyDescent="0.3"/>
    <row r="13438" customFormat="1" x14ac:dyDescent="0.3"/>
    <row r="13439" customFormat="1" x14ac:dyDescent="0.3"/>
    <row r="13440" customFormat="1" x14ac:dyDescent="0.3"/>
    <row r="13441" customFormat="1" x14ac:dyDescent="0.3"/>
    <row r="13442" customFormat="1" x14ac:dyDescent="0.3"/>
    <row r="13443" customFormat="1" x14ac:dyDescent="0.3"/>
    <row r="13444" customFormat="1" x14ac:dyDescent="0.3"/>
    <row r="13445" customFormat="1" x14ac:dyDescent="0.3"/>
    <row r="13446" customFormat="1" x14ac:dyDescent="0.3"/>
    <row r="13447" customFormat="1" x14ac:dyDescent="0.3"/>
    <row r="13448" customFormat="1" x14ac:dyDescent="0.3"/>
    <row r="13449" customFormat="1" x14ac:dyDescent="0.3"/>
    <row r="13450" customFormat="1" x14ac:dyDescent="0.3"/>
    <row r="13451" customFormat="1" x14ac:dyDescent="0.3"/>
    <row r="13452" customFormat="1" x14ac:dyDescent="0.3"/>
    <row r="13453" customFormat="1" x14ac:dyDescent="0.3"/>
    <row r="13454" customFormat="1" x14ac:dyDescent="0.3"/>
    <row r="13455" customFormat="1" x14ac:dyDescent="0.3"/>
    <row r="13456" customFormat="1" x14ac:dyDescent="0.3"/>
    <row r="13457" customFormat="1" x14ac:dyDescent="0.3"/>
    <row r="13458" customFormat="1" x14ac:dyDescent="0.3"/>
    <row r="13459" customFormat="1" x14ac:dyDescent="0.3"/>
    <row r="13460" customFormat="1" x14ac:dyDescent="0.3"/>
    <row r="13461" customFormat="1" x14ac:dyDescent="0.3"/>
    <row r="13462" customFormat="1" x14ac:dyDescent="0.3"/>
    <row r="13463" customFormat="1" x14ac:dyDescent="0.3"/>
    <row r="13464" customFormat="1" x14ac:dyDescent="0.3"/>
    <row r="13465" customFormat="1" x14ac:dyDescent="0.3"/>
    <row r="13466" customFormat="1" x14ac:dyDescent="0.3"/>
    <row r="13467" customFormat="1" x14ac:dyDescent="0.3"/>
    <row r="13468" customFormat="1" x14ac:dyDescent="0.3"/>
    <row r="13469" customFormat="1" x14ac:dyDescent="0.3"/>
    <row r="13470" customFormat="1" x14ac:dyDescent="0.3"/>
    <row r="13471" customFormat="1" x14ac:dyDescent="0.3"/>
    <row r="13472" customFormat="1" x14ac:dyDescent="0.3"/>
    <row r="13473" customFormat="1" x14ac:dyDescent="0.3"/>
    <row r="13474" customFormat="1" x14ac:dyDescent="0.3"/>
    <row r="13475" customFormat="1" x14ac:dyDescent="0.3"/>
    <row r="13476" customFormat="1" x14ac:dyDescent="0.3"/>
    <row r="13477" customFormat="1" x14ac:dyDescent="0.3"/>
    <row r="13478" customFormat="1" x14ac:dyDescent="0.3"/>
    <row r="13479" customFormat="1" x14ac:dyDescent="0.3"/>
    <row r="13480" customFormat="1" x14ac:dyDescent="0.3"/>
    <row r="13481" customFormat="1" x14ac:dyDescent="0.3"/>
    <row r="13482" customFormat="1" x14ac:dyDescent="0.3"/>
    <row r="13483" customFormat="1" x14ac:dyDescent="0.3"/>
    <row r="13484" customFormat="1" x14ac:dyDescent="0.3"/>
    <row r="13485" customFormat="1" x14ac:dyDescent="0.3"/>
    <row r="13486" customFormat="1" x14ac:dyDescent="0.3"/>
    <row r="13487" customFormat="1" x14ac:dyDescent="0.3"/>
    <row r="13488" customFormat="1" x14ac:dyDescent="0.3"/>
    <row r="13489" customFormat="1" x14ac:dyDescent="0.3"/>
    <row r="13490" customFormat="1" x14ac:dyDescent="0.3"/>
    <row r="13491" customFormat="1" x14ac:dyDescent="0.3"/>
    <row r="13492" customFormat="1" x14ac:dyDescent="0.3"/>
    <row r="13493" customFormat="1" x14ac:dyDescent="0.3"/>
    <row r="13494" customFormat="1" x14ac:dyDescent="0.3"/>
    <row r="13495" customFormat="1" x14ac:dyDescent="0.3"/>
    <row r="13496" customFormat="1" x14ac:dyDescent="0.3"/>
    <row r="13497" customFormat="1" x14ac:dyDescent="0.3"/>
    <row r="13498" customFormat="1" x14ac:dyDescent="0.3"/>
    <row r="13499" customFormat="1" x14ac:dyDescent="0.3"/>
    <row r="13500" customFormat="1" x14ac:dyDescent="0.3"/>
    <row r="13501" customFormat="1" x14ac:dyDescent="0.3"/>
    <row r="13502" customFormat="1" x14ac:dyDescent="0.3"/>
    <row r="13503" customFormat="1" x14ac:dyDescent="0.3"/>
    <row r="13504" customFormat="1" x14ac:dyDescent="0.3"/>
    <row r="13505" customFormat="1" x14ac:dyDescent="0.3"/>
    <row r="13506" customFormat="1" x14ac:dyDescent="0.3"/>
    <row r="13507" customFormat="1" x14ac:dyDescent="0.3"/>
    <row r="13508" customFormat="1" x14ac:dyDescent="0.3"/>
    <row r="13509" customFormat="1" x14ac:dyDescent="0.3"/>
    <row r="13510" customFormat="1" x14ac:dyDescent="0.3"/>
    <row r="13511" customFormat="1" x14ac:dyDescent="0.3"/>
    <row r="13512" customFormat="1" x14ac:dyDescent="0.3"/>
    <row r="13513" customFormat="1" x14ac:dyDescent="0.3"/>
    <row r="13514" customFormat="1" x14ac:dyDescent="0.3"/>
    <row r="13515" customFormat="1" x14ac:dyDescent="0.3"/>
    <row r="13516" customFormat="1" x14ac:dyDescent="0.3"/>
    <row r="13517" customFormat="1" x14ac:dyDescent="0.3"/>
    <row r="13518" customFormat="1" x14ac:dyDescent="0.3"/>
    <row r="13519" customFormat="1" x14ac:dyDescent="0.3"/>
    <row r="13520" customFormat="1" x14ac:dyDescent="0.3"/>
    <row r="13521" customFormat="1" x14ac:dyDescent="0.3"/>
    <row r="13522" customFormat="1" x14ac:dyDescent="0.3"/>
    <row r="13523" customFormat="1" x14ac:dyDescent="0.3"/>
    <row r="13524" customFormat="1" x14ac:dyDescent="0.3"/>
    <row r="13525" customFormat="1" x14ac:dyDescent="0.3"/>
    <row r="13526" customFormat="1" x14ac:dyDescent="0.3"/>
    <row r="13527" customFormat="1" x14ac:dyDescent="0.3"/>
    <row r="13528" customFormat="1" x14ac:dyDescent="0.3"/>
    <row r="13529" customFormat="1" x14ac:dyDescent="0.3"/>
    <row r="13530" customFormat="1" x14ac:dyDescent="0.3"/>
    <row r="13531" customFormat="1" x14ac:dyDescent="0.3"/>
    <row r="13532" customFormat="1" x14ac:dyDescent="0.3"/>
    <row r="13533" customFormat="1" x14ac:dyDescent="0.3"/>
    <row r="13534" customFormat="1" x14ac:dyDescent="0.3"/>
    <row r="13535" customFormat="1" x14ac:dyDescent="0.3"/>
    <row r="13536" customFormat="1" x14ac:dyDescent="0.3"/>
    <row r="13537" customFormat="1" x14ac:dyDescent="0.3"/>
    <row r="13538" customFormat="1" x14ac:dyDescent="0.3"/>
    <row r="13539" customFormat="1" x14ac:dyDescent="0.3"/>
    <row r="13540" customFormat="1" x14ac:dyDescent="0.3"/>
    <row r="13541" customFormat="1" x14ac:dyDescent="0.3"/>
    <row r="13542" customFormat="1" x14ac:dyDescent="0.3"/>
    <row r="13543" customFormat="1" x14ac:dyDescent="0.3"/>
    <row r="13544" customFormat="1" x14ac:dyDescent="0.3"/>
    <row r="13545" customFormat="1" x14ac:dyDescent="0.3"/>
    <row r="13546" customFormat="1" x14ac:dyDescent="0.3"/>
    <row r="13547" customFormat="1" x14ac:dyDescent="0.3"/>
    <row r="13548" customFormat="1" x14ac:dyDescent="0.3"/>
    <row r="13549" customFormat="1" x14ac:dyDescent="0.3"/>
    <row r="13550" customFormat="1" x14ac:dyDescent="0.3"/>
    <row r="13551" customFormat="1" x14ac:dyDescent="0.3"/>
    <row r="13552" customFormat="1" x14ac:dyDescent="0.3"/>
    <row r="13553" customFormat="1" x14ac:dyDescent="0.3"/>
    <row r="13554" customFormat="1" x14ac:dyDescent="0.3"/>
    <row r="13555" customFormat="1" x14ac:dyDescent="0.3"/>
    <row r="13556" customFormat="1" x14ac:dyDescent="0.3"/>
    <row r="13557" customFormat="1" x14ac:dyDescent="0.3"/>
    <row r="13558" customFormat="1" x14ac:dyDescent="0.3"/>
    <row r="13559" customFormat="1" x14ac:dyDescent="0.3"/>
    <row r="13560" customFormat="1" x14ac:dyDescent="0.3"/>
    <row r="13561" customFormat="1" x14ac:dyDescent="0.3"/>
    <row r="13562" customFormat="1" x14ac:dyDescent="0.3"/>
    <row r="13563" customFormat="1" x14ac:dyDescent="0.3"/>
    <row r="13564" customFormat="1" x14ac:dyDescent="0.3"/>
    <row r="13565" customFormat="1" x14ac:dyDescent="0.3"/>
    <row r="13566" customFormat="1" x14ac:dyDescent="0.3"/>
    <row r="13567" customFormat="1" x14ac:dyDescent="0.3"/>
    <row r="13568" customFormat="1" x14ac:dyDescent="0.3"/>
    <row r="13569" customFormat="1" x14ac:dyDescent="0.3"/>
    <row r="13570" customFormat="1" x14ac:dyDescent="0.3"/>
    <row r="13571" customFormat="1" x14ac:dyDescent="0.3"/>
    <row r="13572" customFormat="1" x14ac:dyDescent="0.3"/>
    <row r="13573" customFormat="1" x14ac:dyDescent="0.3"/>
    <row r="13574" customFormat="1" x14ac:dyDescent="0.3"/>
    <row r="13575" customFormat="1" x14ac:dyDescent="0.3"/>
    <row r="13576" customFormat="1" x14ac:dyDescent="0.3"/>
    <row r="13577" customFormat="1" x14ac:dyDescent="0.3"/>
    <row r="13578" customFormat="1" x14ac:dyDescent="0.3"/>
    <row r="13579" customFormat="1" x14ac:dyDescent="0.3"/>
    <row r="13580" customFormat="1" x14ac:dyDescent="0.3"/>
    <row r="13581" customFormat="1" x14ac:dyDescent="0.3"/>
    <row r="13582" customFormat="1" x14ac:dyDescent="0.3"/>
    <row r="13583" customFormat="1" x14ac:dyDescent="0.3"/>
    <row r="13584" customFormat="1" x14ac:dyDescent="0.3"/>
    <row r="13585" customFormat="1" x14ac:dyDescent="0.3"/>
    <row r="13586" customFormat="1" x14ac:dyDescent="0.3"/>
    <row r="13587" customFormat="1" x14ac:dyDescent="0.3"/>
    <row r="13588" customFormat="1" x14ac:dyDescent="0.3"/>
    <row r="13589" customFormat="1" x14ac:dyDescent="0.3"/>
    <row r="13590" customFormat="1" x14ac:dyDescent="0.3"/>
    <row r="13591" customFormat="1" x14ac:dyDescent="0.3"/>
    <row r="13592" customFormat="1" x14ac:dyDescent="0.3"/>
    <row r="13593" customFormat="1" x14ac:dyDescent="0.3"/>
    <row r="13594" customFormat="1" x14ac:dyDescent="0.3"/>
    <row r="13595" customFormat="1" x14ac:dyDescent="0.3"/>
    <row r="13596" customFormat="1" x14ac:dyDescent="0.3"/>
    <row r="13597" customFormat="1" x14ac:dyDescent="0.3"/>
    <row r="13598" customFormat="1" x14ac:dyDescent="0.3"/>
    <row r="13599" customFormat="1" x14ac:dyDescent="0.3"/>
    <row r="13600" customFormat="1" x14ac:dyDescent="0.3"/>
    <row r="13601" customFormat="1" x14ac:dyDescent="0.3"/>
    <row r="13602" customFormat="1" x14ac:dyDescent="0.3"/>
    <row r="13603" customFormat="1" x14ac:dyDescent="0.3"/>
    <row r="13604" customFormat="1" x14ac:dyDescent="0.3"/>
    <row r="13605" customFormat="1" x14ac:dyDescent="0.3"/>
    <row r="13606" customFormat="1" x14ac:dyDescent="0.3"/>
    <row r="13607" customFormat="1" x14ac:dyDescent="0.3"/>
    <row r="13608" customFormat="1" x14ac:dyDescent="0.3"/>
    <row r="13609" customFormat="1" x14ac:dyDescent="0.3"/>
    <row r="13610" customFormat="1" x14ac:dyDescent="0.3"/>
    <row r="13611" customFormat="1" x14ac:dyDescent="0.3"/>
    <row r="13612" customFormat="1" x14ac:dyDescent="0.3"/>
    <row r="13613" customFormat="1" x14ac:dyDescent="0.3"/>
    <row r="13614" customFormat="1" x14ac:dyDescent="0.3"/>
    <row r="13615" customFormat="1" x14ac:dyDescent="0.3"/>
    <row r="13616" customFormat="1" x14ac:dyDescent="0.3"/>
    <row r="13617" customFormat="1" x14ac:dyDescent="0.3"/>
    <row r="13618" customFormat="1" x14ac:dyDescent="0.3"/>
    <row r="13619" customFormat="1" x14ac:dyDescent="0.3"/>
    <row r="13620" customFormat="1" x14ac:dyDescent="0.3"/>
    <row r="13621" customFormat="1" x14ac:dyDescent="0.3"/>
    <row r="13622" customFormat="1" x14ac:dyDescent="0.3"/>
    <row r="13623" customFormat="1" x14ac:dyDescent="0.3"/>
    <row r="13624" customFormat="1" x14ac:dyDescent="0.3"/>
    <row r="13625" customFormat="1" x14ac:dyDescent="0.3"/>
    <row r="13626" customFormat="1" x14ac:dyDescent="0.3"/>
    <row r="13627" customFormat="1" x14ac:dyDescent="0.3"/>
    <row r="13628" customFormat="1" x14ac:dyDescent="0.3"/>
    <row r="13629" customFormat="1" x14ac:dyDescent="0.3"/>
    <row r="13630" customFormat="1" x14ac:dyDescent="0.3"/>
    <row r="13631" customFormat="1" x14ac:dyDescent="0.3"/>
    <row r="13632" customFormat="1" x14ac:dyDescent="0.3"/>
    <row r="13633" customFormat="1" x14ac:dyDescent="0.3"/>
    <row r="13634" customFormat="1" x14ac:dyDescent="0.3"/>
    <row r="13635" customFormat="1" x14ac:dyDescent="0.3"/>
    <row r="13636" customFormat="1" x14ac:dyDescent="0.3"/>
    <row r="13637" customFormat="1" x14ac:dyDescent="0.3"/>
    <row r="13638" customFormat="1" x14ac:dyDescent="0.3"/>
    <row r="13639" customFormat="1" x14ac:dyDescent="0.3"/>
    <row r="13640" customFormat="1" x14ac:dyDescent="0.3"/>
    <row r="13641" customFormat="1" x14ac:dyDescent="0.3"/>
    <row r="13642" customFormat="1" x14ac:dyDescent="0.3"/>
    <row r="13643" customFormat="1" x14ac:dyDescent="0.3"/>
    <row r="13644" customFormat="1" x14ac:dyDescent="0.3"/>
    <row r="13645" customFormat="1" x14ac:dyDescent="0.3"/>
    <row r="13646" customFormat="1" x14ac:dyDescent="0.3"/>
    <row r="13647" customFormat="1" x14ac:dyDescent="0.3"/>
    <row r="13648" customFormat="1" x14ac:dyDescent="0.3"/>
    <row r="13649" customFormat="1" x14ac:dyDescent="0.3"/>
    <row r="13650" customFormat="1" x14ac:dyDescent="0.3"/>
    <row r="13651" customFormat="1" x14ac:dyDescent="0.3"/>
    <row r="13652" customFormat="1" x14ac:dyDescent="0.3"/>
    <row r="13653" customFormat="1" x14ac:dyDescent="0.3"/>
    <row r="13654" customFormat="1" x14ac:dyDescent="0.3"/>
    <row r="13655" customFormat="1" x14ac:dyDescent="0.3"/>
    <row r="13656" customFormat="1" x14ac:dyDescent="0.3"/>
    <row r="13657" customFormat="1" x14ac:dyDescent="0.3"/>
    <row r="13658" customFormat="1" x14ac:dyDescent="0.3"/>
    <row r="13659" customFormat="1" x14ac:dyDescent="0.3"/>
    <row r="13660" customFormat="1" x14ac:dyDescent="0.3"/>
    <row r="13661" customFormat="1" x14ac:dyDescent="0.3"/>
    <row r="13662" customFormat="1" x14ac:dyDescent="0.3"/>
    <row r="13663" customFormat="1" x14ac:dyDescent="0.3"/>
    <row r="13664" customFormat="1" x14ac:dyDescent="0.3"/>
    <row r="13665" customFormat="1" x14ac:dyDescent="0.3"/>
    <row r="13666" customFormat="1" x14ac:dyDescent="0.3"/>
    <row r="13667" customFormat="1" x14ac:dyDescent="0.3"/>
    <row r="13668" customFormat="1" x14ac:dyDescent="0.3"/>
    <row r="13669" customFormat="1" x14ac:dyDescent="0.3"/>
    <row r="13670" customFormat="1" x14ac:dyDescent="0.3"/>
    <row r="13671" customFormat="1" x14ac:dyDescent="0.3"/>
    <row r="13672" customFormat="1" x14ac:dyDescent="0.3"/>
    <row r="13673" customFormat="1" x14ac:dyDescent="0.3"/>
    <row r="13674" customFormat="1" x14ac:dyDescent="0.3"/>
    <row r="13675" customFormat="1" x14ac:dyDescent="0.3"/>
    <row r="13676" customFormat="1" x14ac:dyDescent="0.3"/>
    <row r="13677" customFormat="1" x14ac:dyDescent="0.3"/>
    <row r="13678" customFormat="1" x14ac:dyDescent="0.3"/>
    <row r="13679" customFormat="1" x14ac:dyDescent="0.3"/>
    <row r="13680" customFormat="1" x14ac:dyDescent="0.3"/>
    <row r="13681" customFormat="1" x14ac:dyDescent="0.3"/>
    <row r="13682" customFormat="1" x14ac:dyDescent="0.3"/>
    <row r="13683" customFormat="1" x14ac:dyDescent="0.3"/>
    <row r="13684" customFormat="1" x14ac:dyDescent="0.3"/>
    <row r="13685" customFormat="1" x14ac:dyDescent="0.3"/>
    <row r="13686" customFormat="1" x14ac:dyDescent="0.3"/>
    <row r="13687" customFormat="1" x14ac:dyDescent="0.3"/>
    <row r="13688" customFormat="1" x14ac:dyDescent="0.3"/>
    <row r="13689" customFormat="1" x14ac:dyDescent="0.3"/>
    <row r="13690" customFormat="1" x14ac:dyDescent="0.3"/>
    <row r="13691" customFormat="1" x14ac:dyDescent="0.3"/>
    <row r="13692" customFormat="1" x14ac:dyDescent="0.3"/>
    <row r="13693" customFormat="1" x14ac:dyDescent="0.3"/>
    <row r="13694" customFormat="1" x14ac:dyDescent="0.3"/>
    <row r="13695" customFormat="1" x14ac:dyDescent="0.3"/>
    <row r="13696" customFormat="1" x14ac:dyDescent="0.3"/>
    <row r="13697" customFormat="1" x14ac:dyDescent="0.3"/>
    <row r="13698" customFormat="1" x14ac:dyDescent="0.3"/>
    <row r="13699" customFormat="1" x14ac:dyDescent="0.3"/>
    <row r="13700" customFormat="1" x14ac:dyDescent="0.3"/>
    <row r="13701" customFormat="1" x14ac:dyDescent="0.3"/>
    <row r="13702" customFormat="1" x14ac:dyDescent="0.3"/>
    <row r="13703" customFormat="1" x14ac:dyDescent="0.3"/>
    <row r="13704" customFormat="1" x14ac:dyDescent="0.3"/>
    <row r="13705" customFormat="1" x14ac:dyDescent="0.3"/>
    <row r="13706" customFormat="1" x14ac:dyDescent="0.3"/>
    <row r="13707" customFormat="1" x14ac:dyDescent="0.3"/>
    <row r="13708" customFormat="1" x14ac:dyDescent="0.3"/>
    <row r="13709" customFormat="1" x14ac:dyDescent="0.3"/>
    <row r="13710" customFormat="1" x14ac:dyDescent="0.3"/>
    <row r="13711" customFormat="1" x14ac:dyDescent="0.3"/>
    <row r="13712" customFormat="1" x14ac:dyDescent="0.3"/>
    <row r="13713" customFormat="1" x14ac:dyDescent="0.3"/>
    <row r="13714" customFormat="1" x14ac:dyDescent="0.3"/>
    <row r="13715" customFormat="1" x14ac:dyDescent="0.3"/>
    <row r="13716" customFormat="1" x14ac:dyDescent="0.3"/>
    <row r="13717" customFormat="1" x14ac:dyDescent="0.3"/>
    <row r="13718" customFormat="1" x14ac:dyDescent="0.3"/>
    <row r="13719" customFormat="1" x14ac:dyDescent="0.3"/>
    <row r="13720" customFormat="1" x14ac:dyDescent="0.3"/>
    <row r="13721" customFormat="1" x14ac:dyDescent="0.3"/>
    <row r="13722" customFormat="1" x14ac:dyDescent="0.3"/>
    <row r="13723" customFormat="1" x14ac:dyDescent="0.3"/>
    <row r="13724" customFormat="1" x14ac:dyDescent="0.3"/>
    <row r="13725" customFormat="1" x14ac:dyDescent="0.3"/>
    <row r="13726" customFormat="1" x14ac:dyDescent="0.3"/>
    <row r="13727" customFormat="1" x14ac:dyDescent="0.3"/>
    <row r="13728" customFormat="1" x14ac:dyDescent="0.3"/>
    <row r="13729" customFormat="1" x14ac:dyDescent="0.3"/>
    <row r="13730" customFormat="1" x14ac:dyDescent="0.3"/>
    <row r="13731" customFormat="1" x14ac:dyDescent="0.3"/>
    <row r="13732" customFormat="1" x14ac:dyDescent="0.3"/>
    <row r="13733" customFormat="1" x14ac:dyDescent="0.3"/>
    <row r="13734" customFormat="1" x14ac:dyDescent="0.3"/>
    <row r="13735" customFormat="1" x14ac:dyDescent="0.3"/>
    <row r="13736" customFormat="1" x14ac:dyDescent="0.3"/>
    <row r="13737" customFormat="1" x14ac:dyDescent="0.3"/>
    <row r="13738" customFormat="1" x14ac:dyDescent="0.3"/>
    <row r="13739" customFormat="1" x14ac:dyDescent="0.3"/>
    <row r="13740" customFormat="1" x14ac:dyDescent="0.3"/>
    <row r="13741" customFormat="1" x14ac:dyDescent="0.3"/>
    <row r="13742" customFormat="1" x14ac:dyDescent="0.3"/>
    <row r="13743" customFormat="1" x14ac:dyDescent="0.3"/>
    <row r="13744" customFormat="1" x14ac:dyDescent="0.3"/>
    <row r="13745" customFormat="1" x14ac:dyDescent="0.3"/>
    <row r="13746" customFormat="1" x14ac:dyDescent="0.3"/>
    <row r="13747" customFormat="1" x14ac:dyDescent="0.3"/>
    <row r="13748" customFormat="1" x14ac:dyDescent="0.3"/>
    <row r="13749" customFormat="1" x14ac:dyDescent="0.3"/>
    <row r="13750" customFormat="1" x14ac:dyDescent="0.3"/>
    <row r="13751" customFormat="1" x14ac:dyDescent="0.3"/>
    <row r="13752" customFormat="1" x14ac:dyDescent="0.3"/>
    <row r="13753" customFormat="1" x14ac:dyDescent="0.3"/>
    <row r="13754" customFormat="1" x14ac:dyDescent="0.3"/>
    <row r="13755" customFormat="1" x14ac:dyDescent="0.3"/>
    <row r="13756" customFormat="1" x14ac:dyDescent="0.3"/>
    <row r="13757" customFormat="1" x14ac:dyDescent="0.3"/>
    <row r="13758" customFormat="1" x14ac:dyDescent="0.3"/>
    <row r="13759" customFormat="1" x14ac:dyDescent="0.3"/>
    <row r="13760" customFormat="1" x14ac:dyDescent="0.3"/>
    <row r="13761" customFormat="1" x14ac:dyDescent="0.3"/>
    <row r="13762" customFormat="1" x14ac:dyDescent="0.3"/>
    <row r="13763" customFormat="1" x14ac:dyDescent="0.3"/>
    <row r="13764" customFormat="1" x14ac:dyDescent="0.3"/>
    <row r="13765" customFormat="1" x14ac:dyDescent="0.3"/>
    <row r="13766" customFormat="1" x14ac:dyDescent="0.3"/>
    <row r="13767" customFormat="1" x14ac:dyDescent="0.3"/>
    <row r="13768" customFormat="1" x14ac:dyDescent="0.3"/>
    <row r="13769" customFormat="1" x14ac:dyDescent="0.3"/>
    <row r="13770" customFormat="1" x14ac:dyDescent="0.3"/>
    <row r="13771" customFormat="1" x14ac:dyDescent="0.3"/>
    <row r="13772" customFormat="1" x14ac:dyDescent="0.3"/>
    <row r="13773" customFormat="1" x14ac:dyDescent="0.3"/>
    <row r="13774" customFormat="1" x14ac:dyDescent="0.3"/>
    <row r="13775" customFormat="1" x14ac:dyDescent="0.3"/>
    <row r="13776" customFormat="1" x14ac:dyDescent="0.3"/>
    <row r="13777" customFormat="1" x14ac:dyDescent="0.3"/>
    <row r="13778" customFormat="1" x14ac:dyDescent="0.3"/>
    <row r="13779" customFormat="1" x14ac:dyDescent="0.3"/>
    <row r="13780" customFormat="1" x14ac:dyDescent="0.3"/>
    <row r="13781" customFormat="1" x14ac:dyDescent="0.3"/>
    <row r="13782" customFormat="1" x14ac:dyDescent="0.3"/>
    <row r="13783" customFormat="1" x14ac:dyDescent="0.3"/>
    <row r="13784" customFormat="1" x14ac:dyDescent="0.3"/>
    <row r="13785" customFormat="1" x14ac:dyDescent="0.3"/>
    <row r="13786" customFormat="1" x14ac:dyDescent="0.3"/>
    <row r="13787" customFormat="1" x14ac:dyDescent="0.3"/>
    <row r="13788" customFormat="1" x14ac:dyDescent="0.3"/>
    <row r="13789" customFormat="1" x14ac:dyDescent="0.3"/>
    <row r="13790" customFormat="1" x14ac:dyDescent="0.3"/>
    <row r="13791" customFormat="1" x14ac:dyDescent="0.3"/>
    <row r="13792" customFormat="1" x14ac:dyDescent="0.3"/>
    <row r="13793" customFormat="1" x14ac:dyDescent="0.3"/>
    <row r="13794" customFormat="1" x14ac:dyDescent="0.3"/>
    <row r="13795" customFormat="1" x14ac:dyDescent="0.3"/>
    <row r="13796" customFormat="1" x14ac:dyDescent="0.3"/>
    <row r="13797" customFormat="1" x14ac:dyDescent="0.3"/>
    <row r="13798" customFormat="1" x14ac:dyDescent="0.3"/>
    <row r="13799" customFormat="1" x14ac:dyDescent="0.3"/>
    <row r="13800" customFormat="1" x14ac:dyDescent="0.3"/>
    <row r="13801" customFormat="1" x14ac:dyDescent="0.3"/>
    <row r="13802" customFormat="1" x14ac:dyDescent="0.3"/>
    <row r="13803" customFormat="1" x14ac:dyDescent="0.3"/>
    <row r="13804" customFormat="1" x14ac:dyDescent="0.3"/>
    <row r="13805" customFormat="1" x14ac:dyDescent="0.3"/>
    <row r="13806" customFormat="1" x14ac:dyDescent="0.3"/>
    <row r="13807" customFormat="1" x14ac:dyDescent="0.3"/>
    <row r="13808" customFormat="1" x14ac:dyDescent="0.3"/>
    <row r="13809" customFormat="1" x14ac:dyDescent="0.3"/>
    <row r="13810" customFormat="1" x14ac:dyDescent="0.3"/>
    <row r="13811" customFormat="1" x14ac:dyDescent="0.3"/>
    <row r="13812" customFormat="1" x14ac:dyDescent="0.3"/>
    <row r="13813" customFormat="1" x14ac:dyDescent="0.3"/>
    <row r="13814" customFormat="1" x14ac:dyDescent="0.3"/>
    <row r="13815" customFormat="1" x14ac:dyDescent="0.3"/>
    <row r="13816" customFormat="1" x14ac:dyDescent="0.3"/>
    <row r="13817" customFormat="1" x14ac:dyDescent="0.3"/>
    <row r="13818" customFormat="1" x14ac:dyDescent="0.3"/>
    <row r="13819" customFormat="1" x14ac:dyDescent="0.3"/>
    <row r="13820" customFormat="1" x14ac:dyDescent="0.3"/>
    <row r="13821" customFormat="1" x14ac:dyDescent="0.3"/>
    <row r="13822" customFormat="1" x14ac:dyDescent="0.3"/>
    <row r="13823" customFormat="1" x14ac:dyDescent="0.3"/>
    <row r="13824" customFormat="1" x14ac:dyDescent="0.3"/>
    <row r="13825" customFormat="1" x14ac:dyDescent="0.3"/>
    <row r="13826" customFormat="1" x14ac:dyDescent="0.3"/>
    <row r="13827" customFormat="1" x14ac:dyDescent="0.3"/>
    <row r="13828" customFormat="1" x14ac:dyDescent="0.3"/>
    <row r="13829" customFormat="1" x14ac:dyDescent="0.3"/>
    <row r="13830" customFormat="1" x14ac:dyDescent="0.3"/>
    <row r="13831" customFormat="1" x14ac:dyDescent="0.3"/>
    <row r="13832" customFormat="1" x14ac:dyDescent="0.3"/>
    <row r="13833" customFormat="1" x14ac:dyDescent="0.3"/>
    <row r="13834" customFormat="1" x14ac:dyDescent="0.3"/>
    <row r="13835" customFormat="1" x14ac:dyDescent="0.3"/>
    <row r="13836" customFormat="1" x14ac:dyDescent="0.3"/>
    <row r="13837" customFormat="1" x14ac:dyDescent="0.3"/>
    <row r="13838" customFormat="1" x14ac:dyDescent="0.3"/>
    <row r="13839" customFormat="1" x14ac:dyDescent="0.3"/>
    <row r="13840" customFormat="1" x14ac:dyDescent="0.3"/>
    <row r="13841" customFormat="1" x14ac:dyDescent="0.3"/>
    <row r="13842" customFormat="1" x14ac:dyDescent="0.3"/>
    <row r="13843" customFormat="1" x14ac:dyDescent="0.3"/>
    <row r="13844" customFormat="1" x14ac:dyDescent="0.3"/>
    <row r="13845" customFormat="1" x14ac:dyDescent="0.3"/>
    <row r="13846" customFormat="1" x14ac:dyDescent="0.3"/>
    <row r="13847" customFormat="1" x14ac:dyDescent="0.3"/>
    <row r="13848" customFormat="1" x14ac:dyDescent="0.3"/>
    <row r="13849" customFormat="1" x14ac:dyDescent="0.3"/>
    <row r="13850" customFormat="1" x14ac:dyDescent="0.3"/>
    <row r="13851" customFormat="1" x14ac:dyDescent="0.3"/>
    <row r="13852" customFormat="1" x14ac:dyDescent="0.3"/>
    <row r="13853" customFormat="1" x14ac:dyDescent="0.3"/>
    <row r="13854" customFormat="1" x14ac:dyDescent="0.3"/>
    <row r="13855" customFormat="1" x14ac:dyDescent="0.3"/>
    <row r="13856" customFormat="1" x14ac:dyDescent="0.3"/>
    <row r="13857" customFormat="1" x14ac:dyDescent="0.3"/>
    <row r="13858" customFormat="1" x14ac:dyDescent="0.3"/>
    <row r="13859" customFormat="1" x14ac:dyDescent="0.3"/>
    <row r="13860" customFormat="1" x14ac:dyDescent="0.3"/>
    <row r="13861" customFormat="1" x14ac:dyDescent="0.3"/>
    <row r="13862" customFormat="1" x14ac:dyDescent="0.3"/>
    <row r="13863" customFormat="1" x14ac:dyDescent="0.3"/>
    <row r="13864" customFormat="1" x14ac:dyDescent="0.3"/>
    <row r="13865" customFormat="1" x14ac:dyDescent="0.3"/>
    <row r="13866" customFormat="1" x14ac:dyDescent="0.3"/>
    <row r="13867" customFormat="1" x14ac:dyDescent="0.3"/>
    <row r="13868" customFormat="1" x14ac:dyDescent="0.3"/>
    <row r="13869" customFormat="1" x14ac:dyDescent="0.3"/>
    <row r="13870" customFormat="1" x14ac:dyDescent="0.3"/>
    <row r="13871" customFormat="1" x14ac:dyDescent="0.3"/>
    <row r="13872" customFormat="1" x14ac:dyDescent="0.3"/>
    <row r="13873" customFormat="1" x14ac:dyDescent="0.3"/>
    <row r="13874" customFormat="1" x14ac:dyDescent="0.3"/>
    <row r="13875" customFormat="1" x14ac:dyDescent="0.3"/>
    <row r="13876" customFormat="1" x14ac:dyDescent="0.3"/>
    <row r="13877" customFormat="1" x14ac:dyDescent="0.3"/>
    <row r="13878" customFormat="1" x14ac:dyDescent="0.3"/>
    <row r="13879" customFormat="1" x14ac:dyDescent="0.3"/>
    <row r="13880" customFormat="1" x14ac:dyDescent="0.3"/>
    <row r="13881" customFormat="1" x14ac:dyDescent="0.3"/>
    <row r="13882" customFormat="1" x14ac:dyDescent="0.3"/>
    <row r="13883" customFormat="1" x14ac:dyDescent="0.3"/>
    <row r="13884" customFormat="1" x14ac:dyDescent="0.3"/>
    <row r="13885" customFormat="1" x14ac:dyDescent="0.3"/>
    <row r="13886" customFormat="1" x14ac:dyDescent="0.3"/>
    <row r="13887" customFormat="1" x14ac:dyDescent="0.3"/>
    <row r="13888" customFormat="1" x14ac:dyDescent="0.3"/>
    <row r="13889" customFormat="1" x14ac:dyDescent="0.3"/>
    <row r="13890" customFormat="1" x14ac:dyDescent="0.3"/>
    <row r="13891" customFormat="1" x14ac:dyDescent="0.3"/>
    <row r="13892" customFormat="1" x14ac:dyDescent="0.3"/>
    <row r="13893" customFormat="1" x14ac:dyDescent="0.3"/>
    <row r="13894" customFormat="1" x14ac:dyDescent="0.3"/>
    <row r="13895" customFormat="1" x14ac:dyDescent="0.3"/>
    <row r="13896" customFormat="1" x14ac:dyDescent="0.3"/>
    <row r="13897" customFormat="1" x14ac:dyDescent="0.3"/>
    <row r="13898" customFormat="1" x14ac:dyDescent="0.3"/>
    <row r="13899" customFormat="1" x14ac:dyDescent="0.3"/>
    <row r="13900" customFormat="1" x14ac:dyDescent="0.3"/>
    <row r="13901" customFormat="1" x14ac:dyDescent="0.3"/>
    <row r="13902" customFormat="1" x14ac:dyDescent="0.3"/>
    <row r="13903" customFormat="1" x14ac:dyDescent="0.3"/>
    <row r="13904" customFormat="1" x14ac:dyDescent="0.3"/>
    <row r="13905" customFormat="1" x14ac:dyDescent="0.3"/>
    <row r="13906" customFormat="1" x14ac:dyDescent="0.3"/>
    <row r="13907" customFormat="1" x14ac:dyDescent="0.3"/>
    <row r="13908" customFormat="1" x14ac:dyDescent="0.3"/>
    <row r="13909" customFormat="1" x14ac:dyDescent="0.3"/>
    <row r="13910" customFormat="1" x14ac:dyDescent="0.3"/>
    <row r="13911" customFormat="1" x14ac:dyDescent="0.3"/>
    <row r="13912" customFormat="1" x14ac:dyDescent="0.3"/>
    <row r="13913" customFormat="1" x14ac:dyDescent="0.3"/>
    <row r="13914" customFormat="1" x14ac:dyDescent="0.3"/>
    <row r="13915" customFormat="1" x14ac:dyDescent="0.3"/>
    <row r="13916" customFormat="1" x14ac:dyDescent="0.3"/>
    <row r="13917" customFormat="1" x14ac:dyDescent="0.3"/>
    <row r="13918" customFormat="1" x14ac:dyDescent="0.3"/>
    <row r="13919" customFormat="1" x14ac:dyDescent="0.3"/>
    <row r="13920" customFormat="1" x14ac:dyDescent="0.3"/>
    <row r="13921" customFormat="1" x14ac:dyDescent="0.3"/>
    <row r="13922" customFormat="1" x14ac:dyDescent="0.3"/>
    <row r="13923" customFormat="1" x14ac:dyDescent="0.3"/>
    <row r="13924" customFormat="1" x14ac:dyDescent="0.3"/>
    <row r="13925" customFormat="1" x14ac:dyDescent="0.3"/>
    <row r="13926" customFormat="1" x14ac:dyDescent="0.3"/>
    <row r="13927" customFormat="1" x14ac:dyDescent="0.3"/>
    <row r="13928" customFormat="1" x14ac:dyDescent="0.3"/>
    <row r="13929" customFormat="1" x14ac:dyDescent="0.3"/>
    <row r="13930" customFormat="1" x14ac:dyDescent="0.3"/>
    <row r="13931" customFormat="1" x14ac:dyDescent="0.3"/>
    <row r="13932" customFormat="1" x14ac:dyDescent="0.3"/>
    <row r="13933" customFormat="1" x14ac:dyDescent="0.3"/>
    <row r="13934" customFormat="1" x14ac:dyDescent="0.3"/>
    <row r="13935" customFormat="1" x14ac:dyDescent="0.3"/>
    <row r="13936" customFormat="1" x14ac:dyDescent="0.3"/>
    <row r="13937" customFormat="1" x14ac:dyDescent="0.3"/>
    <row r="13938" customFormat="1" x14ac:dyDescent="0.3"/>
    <row r="13939" customFormat="1" x14ac:dyDescent="0.3"/>
    <row r="13940" customFormat="1" x14ac:dyDescent="0.3"/>
    <row r="13941" customFormat="1" x14ac:dyDescent="0.3"/>
    <row r="13942" customFormat="1" x14ac:dyDescent="0.3"/>
    <row r="13943" customFormat="1" x14ac:dyDescent="0.3"/>
    <row r="13944" customFormat="1" x14ac:dyDescent="0.3"/>
    <row r="13945" customFormat="1" x14ac:dyDescent="0.3"/>
    <row r="13946" customFormat="1" x14ac:dyDescent="0.3"/>
    <row r="13947" customFormat="1" x14ac:dyDescent="0.3"/>
    <row r="13948" customFormat="1" x14ac:dyDescent="0.3"/>
    <row r="13949" customFormat="1" x14ac:dyDescent="0.3"/>
    <row r="13950" customFormat="1" x14ac:dyDescent="0.3"/>
    <row r="13951" customFormat="1" x14ac:dyDescent="0.3"/>
    <row r="13952" customFormat="1" x14ac:dyDescent="0.3"/>
    <row r="13953" customFormat="1" x14ac:dyDescent="0.3"/>
    <row r="13954" customFormat="1" x14ac:dyDescent="0.3"/>
    <row r="13955" customFormat="1" x14ac:dyDescent="0.3"/>
    <row r="13956" customFormat="1" x14ac:dyDescent="0.3"/>
    <row r="13957" customFormat="1" x14ac:dyDescent="0.3"/>
    <row r="13958" customFormat="1" x14ac:dyDescent="0.3"/>
    <row r="13959" customFormat="1" x14ac:dyDescent="0.3"/>
    <row r="13960" customFormat="1" x14ac:dyDescent="0.3"/>
    <row r="13961" customFormat="1" x14ac:dyDescent="0.3"/>
    <row r="13962" customFormat="1" x14ac:dyDescent="0.3"/>
    <row r="13963" customFormat="1" x14ac:dyDescent="0.3"/>
    <row r="13964" customFormat="1" x14ac:dyDescent="0.3"/>
    <row r="13965" customFormat="1" x14ac:dyDescent="0.3"/>
    <row r="13966" customFormat="1" x14ac:dyDescent="0.3"/>
    <row r="13967" customFormat="1" x14ac:dyDescent="0.3"/>
    <row r="13968" customFormat="1" x14ac:dyDescent="0.3"/>
    <row r="13969" customFormat="1" x14ac:dyDescent="0.3"/>
    <row r="13970" customFormat="1" x14ac:dyDescent="0.3"/>
    <row r="13971" customFormat="1" x14ac:dyDescent="0.3"/>
    <row r="13972" customFormat="1" x14ac:dyDescent="0.3"/>
    <row r="13973" customFormat="1" x14ac:dyDescent="0.3"/>
    <row r="13974" customFormat="1" x14ac:dyDescent="0.3"/>
    <row r="13975" customFormat="1" x14ac:dyDescent="0.3"/>
    <row r="13976" customFormat="1" x14ac:dyDescent="0.3"/>
    <row r="13977" customFormat="1" x14ac:dyDescent="0.3"/>
    <row r="13978" customFormat="1" x14ac:dyDescent="0.3"/>
    <row r="13979" customFormat="1" x14ac:dyDescent="0.3"/>
    <row r="13980" customFormat="1" x14ac:dyDescent="0.3"/>
    <row r="13981" customFormat="1" x14ac:dyDescent="0.3"/>
    <row r="13982" customFormat="1" x14ac:dyDescent="0.3"/>
    <row r="13983" customFormat="1" x14ac:dyDescent="0.3"/>
    <row r="13984" customFormat="1" x14ac:dyDescent="0.3"/>
    <row r="13985" customFormat="1" x14ac:dyDescent="0.3"/>
    <row r="13986" customFormat="1" x14ac:dyDescent="0.3"/>
    <row r="13987" customFormat="1" x14ac:dyDescent="0.3"/>
    <row r="13988" customFormat="1" x14ac:dyDescent="0.3"/>
    <row r="13989" customFormat="1" x14ac:dyDescent="0.3"/>
    <row r="13990" customFormat="1" x14ac:dyDescent="0.3"/>
    <row r="13991" customFormat="1" x14ac:dyDescent="0.3"/>
    <row r="13992" customFormat="1" x14ac:dyDescent="0.3"/>
    <row r="13993" customFormat="1" x14ac:dyDescent="0.3"/>
    <row r="13994" customFormat="1" x14ac:dyDescent="0.3"/>
    <row r="13995" customFormat="1" x14ac:dyDescent="0.3"/>
    <row r="13996" customFormat="1" x14ac:dyDescent="0.3"/>
    <row r="13997" customFormat="1" x14ac:dyDescent="0.3"/>
    <row r="13998" customFormat="1" x14ac:dyDescent="0.3"/>
    <row r="13999" customFormat="1" x14ac:dyDescent="0.3"/>
    <row r="14000" customFormat="1" x14ac:dyDescent="0.3"/>
    <row r="14001" customFormat="1" x14ac:dyDescent="0.3"/>
    <row r="14002" customFormat="1" x14ac:dyDescent="0.3"/>
    <row r="14003" customFormat="1" x14ac:dyDescent="0.3"/>
    <row r="14004" customFormat="1" x14ac:dyDescent="0.3"/>
    <row r="14005" customFormat="1" x14ac:dyDescent="0.3"/>
    <row r="14006" customFormat="1" x14ac:dyDescent="0.3"/>
    <row r="14007" customFormat="1" x14ac:dyDescent="0.3"/>
    <row r="14008" customFormat="1" x14ac:dyDescent="0.3"/>
    <row r="14009" customFormat="1" x14ac:dyDescent="0.3"/>
    <row r="14010" customFormat="1" x14ac:dyDescent="0.3"/>
    <row r="14011" customFormat="1" x14ac:dyDescent="0.3"/>
    <row r="14012" customFormat="1" x14ac:dyDescent="0.3"/>
    <row r="14013" customFormat="1" x14ac:dyDescent="0.3"/>
    <row r="14014" customFormat="1" x14ac:dyDescent="0.3"/>
    <row r="14015" customFormat="1" x14ac:dyDescent="0.3"/>
    <row r="14016" customFormat="1" x14ac:dyDescent="0.3"/>
    <row r="14017" customFormat="1" x14ac:dyDescent="0.3"/>
    <row r="14018" customFormat="1" x14ac:dyDescent="0.3"/>
    <row r="14019" customFormat="1" x14ac:dyDescent="0.3"/>
    <row r="14020" customFormat="1" x14ac:dyDescent="0.3"/>
    <row r="14021" customFormat="1" x14ac:dyDescent="0.3"/>
    <row r="14022" customFormat="1" x14ac:dyDescent="0.3"/>
    <row r="14023" customFormat="1" x14ac:dyDescent="0.3"/>
    <row r="14024" customFormat="1" x14ac:dyDescent="0.3"/>
    <row r="14025" customFormat="1" x14ac:dyDescent="0.3"/>
    <row r="14026" customFormat="1" x14ac:dyDescent="0.3"/>
    <row r="14027" customFormat="1" x14ac:dyDescent="0.3"/>
    <row r="14028" customFormat="1" x14ac:dyDescent="0.3"/>
    <row r="14029" customFormat="1" x14ac:dyDescent="0.3"/>
    <row r="14030" customFormat="1" x14ac:dyDescent="0.3"/>
    <row r="14031" customFormat="1" x14ac:dyDescent="0.3"/>
    <row r="14032" customFormat="1" x14ac:dyDescent="0.3"/>
    <row r="14033" customFormat="1" x14ac:dyDescent="0.3"/>
    <row r="14034" customFormat="1" x14ac:dyDescent="0.3"/>
    <row r="14035" customFormat="1" x14ac:dyDescent="0.3"/>
    <row r="14036" customFormat="1" x14ac:dyDescent="0.3"/>
    <row r="14037" customFormat="1" x14ac:dyDescent="0.3"/>
    <row r="14038" customFormat="1" x14ac:dyDescent="0.3"/>
    <row r="14039" customFormat="1" x14ac:dyDescent="0.3"/>
    <row r="14040" customFormat="1" x14ac:dyDescent="0.3"/>
    <row r="14041" customFormat="1" x14ac:dyDescent="0.3"/>
    <row r="14042" customFormat="1" x14ac:dyDescent="0.3"/>
    <row r="14043" customFormat="1" x14ac:dyDescent="0.3"/>
    <row r="14044" customFormat="1" x14ac:dyDescent="0.3"/>
    <row r="14045" customFormat="1" x14ac:dyDescent="0.3"/>
    <row r="14046" customFormat="1" x14ac:dyDescent="0.3"/>
    <row r="14047" customFormat="1" x14ac:dyDescent="0.3"/>
    <row r="14048" customFormat="1" x14ac:dyDescent="0.3"/>
    <row r="14049" customFormat="1" x14ac:dyDescent="0.3"/>
    <row r="14050" customFormat="1" x14ac:dyDescent="0.3"/>
    <row r="14051" customFormat="1" x14ac:dyDescent="0.3"/>
    <row r="14052" customFormat="1" x14ac:dyDescent="0.3"/>
    <row r="14053" customFormat="1" x14ac:dyDescent="0.3"/>
    <row r="14054" customFormat="1" x14ac:dyDescent="0.3"/>
    <row r="14055" customFormat="1" x14ac:dyDescent="0.3"/>
    <row r="14056" customFormat="1" x14ac:dyDescent="0.3"/>
    <row r="14057" customFormat="1" x14ac:dyDescent="0.3"/>
    <row r="14058" customFormat="1" x14ac:dyDescent="0.3"/>
    <row r="14059" customFormat="1" x14ac:dyDescent="0.3"/>
    <row r="14060" customFormat="1" x14ac:dyDescent="0.3"/>
    <row r="14061" customFormat="1" x14ac:dyDescent="0.3"/>
    <row r="14062" customFormat="1" x14ac:dyDescent="0.3"/>
    <row r="14063" customFormat="1" x14ac:dyDescent="0.3"/>
    <row r="14064" customFormat="1" x14ac:dyDescent="0.3"/>
    <row r="14065" customFormat="1" x14ac:dyDescent="0.3"/>
    <row r="14066" customFormat="1" x14ac:dyDescent="0.3"/>
    <row r="14067" customFormat="1" x14ac:dyDescent="0.3"/>
    <row r="14068" customFormat="1" x14ac:dyDescent="0.3"/>
    <row r="14069" customFormat="1" x14ac:dyDescent="0.3"/>
    <row r="14070" customFormat="1" x14ac:dyDescent="0.3"/>
    <row r="14071" customFormat="1" x14ac:dyDescent="0.3"/>
    <row r="14072" customFormat="1" x14ac:dyDescent="0.3"/>
    <row r="14073" customFormat="1" x14ac:dyDescent="0.3"/>
    <row r="14074" customFormat="1" x14ac:dyDescent="0.3"/>
    <row r="14075" customFormat="1" x14ac:dyDescent="0.3"/>
    <row r="14076" customFormat="1" x14ac:dyDescent="0.3"/>
    <row r="14077" customFormat="1" x14ac:dyDescent="0.3"/>
    <row r="14078" customFormat="1" x14ac:dyDescent="0.3"/>
    <row r="14079" customFormat="1" x14ac:dyDescent="0.3"/>
    <row r="14080" customFormat="1" x14ac:dyDescent="0.3"/>
    <row r="14081" customFormat="1" x14ac:dyDescent="0.3"/>
    <row r="14082" customFormat="1" x14ac:dyDescent="0.3"/>
    <row r="14083" customFormat="1" x14ac:dyDescent="0.3"/>
    <row r="14084" customFormat="1" x14ac:dyDescent="0.3"/>
    <row r="14085" customFormat="1" x14ac:dyDescent="0.3"/>
    <row r="14086" customFormat="1" x14ac:dyDescent="0.3"/>
    <row r="14087" customFormat="1" x14ac:dyDescent="0.3"/>
    <row r="14088" customFormat="1" x14ac:dyDescent="0.3"/>
    <row r="14089" customFormat="1" x14ac:dyDescent="0.3"/>
    <row r="14090" customFormat="1" x14ac:dyDescent="0.3"/>
    <row r="14091" customFormat="1" x14ac:dyDescent="0.3"/>
    <row r="14092" customFormat="1" x14ac:dyDescent="0.3"/>
    <row r="14093" customFormat="1" x14ac:dyDescent="0.3"/>
    <row r="14094" customFormat="1" x14ac:dyDescent="0.3"/>
    <row r="14095" customFormat="1" x14ac:dyDescent="0.3"/>
    <row r="14096" customFormat="1" x14ac:dyDescent="0.3"/>
    <row r="14097" customFormat="1" x14ac:dyDescent="0.3"/>
    <row r="14098" customFormat="1" x14ac:dyDescent="0.3"/>
    <row r="14099" customFormat="1" x14ac:dyDescent="0.3"/>
    <row r="14100" customFormat="1" x14ac:dyDescent="0.3"/>
    <row r="14101" customFormat="1" x14ac:dyDescent="0.3"/>
    <row r="14102" customFormat="1" x14ac:dyDescent="0.3"/>
    <row r="14103" customFormat="1" x14ac:dyDescent="0.3"/>
    <row r="14104" customFormat="1" x14ac:dyDescent="0.3"/>
    <row r="14105" customFormat="1" x14ac:dyDescent="0.3"/>
    <row r="14106" customFormat="1" x14ac:dyDescent="0.3"/>
    <row r="14107" customFormat="1" x14ac:dyDescent="0.3"/>
    <row r="14108" customFormat="1" x14ac:dyDescent="0.3"/>
    <row r="14109" customFormat="1" x14ac:dyDescent="0.3"/>
    <row r="14110" customFormat="1" x14ac:dyDescent="0.3"/>
    <row r="14111" customFormat="1" x14ac:dyDescent="0.3"/>
    <row r="14112" customFormat="1" x14ac:dyDescent="0.3"/>
    <row r="14113" customFormat="1" x14ac:dyDescent="0.3"/>
    <row r="14114" customFormat="1" x14ac:dyDescent="0.3"/>
    <row r="14115" customFormat="1" x14ac:dyDescent="0.3"/>
    <row r="14116" customFormat="1" x14ac:dyDescent="0.3"/>
    <row r="14117" customFormat="1" x14ac:dyDescent="0.3"/>
    <row r="14118" customFormat="1" x14ac:dyDescent="0.3"/>
    <row r="14119" customFormat="1" x14ac:dyDescent="0.3"/>
    <row r="14120" customFormat="1" x14ac:dyDescent="0.3"/>
    <row r="14121" customFormat="1" x14ac:dyDescent="0.3"/>
    <row r="14122" customFormat="1" x14ac:dyDescent="0.3"/>
    <row r="14123" customFormat="1" x14ac:dyDescent="0.3"/>
    <row r="14124" customFormat="1" x14ac:dyDescent="0.3"/>
    <row r="14125" customFormat="1" x14ac:dyDescent="0.3"/>
    <row r="14126" customFormat="1" x14ac:dyDescent="0.3"/>
    <row r="14127" customFormat="1" x14ac:dyDescent="0.3"/>
    <row r="14128" customFormat="1" x14ac:dyDescent="0.3"/>
    <row r="14129" customFormat="1" x14ac:dyDescent="0.3"/>
    <row r="14130" customFormat="1" x14ac:dyDescent="0.3"/>
    <row r="14131" customFormat="1" x14ac:dyDescent="0.3"/>
    <row r="14132" customFormat="1" x14ac:dyDescent="0.3"/>
    <row r="14133" customFormat="1" x14ac:dyDescent="0.3"/>
    <row r="14134" customFormat="1" x14ac:dyDescent="0.3"/>
    <row r="14135" customFormat="1" x14ac:dyDescent="0.3"/>
    <row r="14136" customFormat="1" x14ac:dyDescent="0.3"/>
    <row r="14137" customFormat="1" x14ac:dyDescent="0.3"/>
    <row r="14138" customFormat="1" x14ac:dyDescent="0.3"/>
    <row r="14139" customFormat="1" x14ac:dyDescent="0.3"/>
    <row r="14140" customFormat="1" x14ac:dyDescent="0.3"/>
    <row r="14141" customFormat="1" x14ac:dyDescent="0.3"/>
    <row r="14142" customFormat="1" x14ac:dyDescent="0.3"/>
    <row r="14143" customFormat="1" x14ac:dyDescent="0.3"/>
    <row r="14144" customFormat="1" x14ac:dyDescent="0.3"/>
    <row r="14145" customFormat="1" x14ac:dyDescent="0.3"/>
    <row r="14146" customFormat="1" x14ac:dyDescent="0.3"/>
    <row r="14147" customFormat="1" x14ac:dyDescent="0.3"/>
    <row r="14148" customFormat="1" x14ac:dyDescent="0.3"/>
    <row r="14149" customFormat="1" x14ac:dyDescent="0.3"/>
    <row r="14150" customFormat="1" x14ac:dyDescent="0.3"/>
    <row r="14151" customFormat="1" x14ac:dyDescent="0.3"/>
    <row r="14152" customFormat="1" x14ac:dyDescent="0.3"/>
    <row r="14153" customFormat="1" x14ac:dyDescent="0.3"/>
    <row r="14154" customFormat="1" x14ac:dyDescent="0.3"/>
    <row r="14155" customFormat="1" x14ac:dyDescent="0.3"/>
    <row r="14156" customFormat="1" x14ac:dyDescent="0.3"/>
    <row r="14157" customFormat="1" x14ac:dyDescent="0.3"/>
    <row r="14158" customFormat="1" x14ac:dyDescent="0.3"/>
    <row r="14159" customFormat="1" x14ac:dyDescent="0.3"/>
    <row r="14160" customFormat="1" x14ac:dyDescent="0.3"/>
    <row r="14161" customFormat="1" x14ac:dyDescent="0.3"/>
    <row r="14162" customFormat="1" x14ac:dyDescent="0.3"/>
    <row r="14163" customFormat="1" x14ac:dyDescent="0.3"/>
    <row r="14164" customFormat="1" x14ac:dyDescent="0.3"/>
    <row r="14165" customFormat="1" x14ac:dyDescent="0.3"/>
    <row r="14166" customFormat="1" x14ac:dyDescent="0.3"/>
    <row r="14167" customFormat="1" x14ac:dyDescent="0.3"/>
    <row r="14168" customFormat="1" x14ac:dyDescent="0.3"/>
    <row r="14169" customFormat="1" x14ac:dyDescent="0.3"/>
    <row r="14170" customFormat="1" x14ac:dyDescent="0.3"/>
    <row r="14171" customFormat="1" x14ac:dyDescent="0.3"/>
    <row r="14172" customFormat="1" x14ac:dyDescent="0.3"/>
    <row r="14173" customFormat="1" x14ac:dyDescent="0.3"/>
    <row r="14174" customFormat="1" x14ac:dyDescent="0.3"/>
    <row r="14175" customFormat="1" x14ac:dyDescent="0.3"/>
    <row r="14176" customFormat="1" x14ac:dyDescent="0.3"/>
    <row r="14177" customFormat="1" x14ac:dyDescent="0.3"/>
    <row r="14178" customFormat="1" x14ac:dyDescent="0.3"/>
    <row r="14179" customFormat="1" x14ac:dyDescent="0.3"/>
    <row r="14180" customFormat="1" x14ac:dyDescent="0.3"/>
    <row r="14181" customFormat="1" x14ac:dyDescent="0.3"/>
    <row r="14182" customFormat="1" x14ac:dyDescent="0.3"/>
    <row r="14183" customFormat="1" x14ac:dyDescent="0.3"/>
    <row r="14184" customFormat="1" x14ac:dyDescent="0.3"/>
    <row r="14185" customFormat="1" x14ac:dyDescent="0.3"/>
    <row r="14186" customFormat="1" x14ac:dyDescent="0.3"/>
    <row r="14187" customFormat="1" x14ac:dyDescent="0.3"/>
    <row r="14188" customFormat="1" x14ac:dyDescent="0.3"/>
    <row r="14189" customFormat="1" x14ac:dyDescent="0.3"/>
    <row r="14190" customFormat="1" x14ac:dyDescent="0.3"/>
    <row r="14191" customFormat="1" x14ac:dyDescent="0.3"/>
    <row r="14192" customFormat="1" x14ac:dyDescent="0.3"/>
    <row r="14193" customFormat="1" x14ac:dyDescent="0.3"/>
    <row r="14194" customFormat="1" x14ac:dyDescent="0.3"/>
    <row r="14195" customFormat="1" x14ac:dyDescent="0.3"/>
    <row r="14196" customFormat="1" x14ac:dyDescent="0.3"/>
    <row r="14197" customFormat="1" x14ac:dyDescent="0.3"/>
    <row r="14198" customFormat="1" x14ac:dyDescent="0.3"/>
    <row r="14199" customFormat="1" x14ac:dyDescent="0.3"/>
    <row r="14200" customFormat="1" x14ac:dyDescent="0.3"/>
    <row r="14201" customFormat="1" x14ac:dyDescent="0.3"/>
    <row r="14202" customFormat="1" x14ac:dyDescent="0.3"/>
    <row r="14203" customFormat="1" x14ac:dyDescent="0.3"/>
    <row r="14204" customFormat="1" x14ac:dyDescent="0.3"/>
    <row r="14205" customFormat="1" x14ac:dyDescent="0.3"/>
    <row r="14206" customFormat="1" x14ac:dyDescent="0.3"/>
    <row r="14207" customFormat="1" x14ac:dyDescent="0.3"/>
    <row r="14208" customFormat="1" x14ac:dyDescent="0.3"/>
    <row r="14209" customFormat="1" x14ac:dyDescent="0.3"/>
    <row r="14210" customFormat="1" x14ac:dyDescent="0.3"/>
    <row r="14211" customFormat="1" x14ac:dyDescent="0.3"/>
    <row r="14212" customFormat="1" x14ac:dyDescent="0.3"/>
    <row r="14213" customFormat="1" x14ac:dyDescent="0.3"/>
    <row r="14214" customFormat="1" x14ac:dyDescent="0.3"/>
    <row r="14215" customFormat="1" x14ac:dyDescent="0.3"/>
    <row r="14216" customFormat="1" x14ac:dyDescent="0.3"/>
    <row r="14217" customFormat="1" x14ac:dyDescent="0.3"/>
    <row r="14218" customFormat="1" x14ac:dyDescent="0.3"/>
    <row r="14219" customFormat="1" x14ac:dyDescent="0.3"/>
    <row r="14220" customFormat="1" x14ac:dyDescent="0.3"/>
    <row r="14221" customFormat="1" x14ac:dyDescent="0.3"/>
    <row r="14222" customFormat="1" x14ac:dyDescent="0.3"/>
    <row r="14223" customFormat="1" x14ac:dyDescent="0.3"/>
    <row r="14224" customFormat="1" x14ac:dyDescent="0.3"/>
    <row r="14225" customFormat="1" x14ac:dyDescent="0.3"/>
    <row r="14226" customFormat="1" x14ac:dyDescent="0.3"/>
    <row r="14227" customFormat="1" x14ac:dyDescent="0.3"/>
    <row r="14228" customFormat="1" x14ac:dyDescent="0.3"/>
    <row r="14229" customFormat="1" x14ac:dyDescent="0.3"/>
    <row r="14230" customFormat="1" x14ac:dyDescent="0.3"/>
    <row r="14231" customFormat="1" x14ac:dyDescent="0.3"/>
    <row r="14232" customFormat="1" x14ac:dyDescent="0.3"/>
    <row r="14233" customFormat="1" x14ac:dyDescent="0.3"/>
    <row r="14234" customFormat="1" x14ac:dyDescent="0.3"/>
    <row r="14235" customFormat="1" x14ac:dyDescent="0.3"/>
    <row r="14236" customFormat="1" x14ac:dyDescent="0.3"/>
    <row r="14237" customFormat="1" x14ac:dyDescent="0.3"/>
    <row r="14238" customFormat="1" x14ac:dyDescent="0.3"/>
    <row r="14239" customFormat="1" x14ac:dyDescent="0.3"/>
    <row r="14240" customFormat="1" x14ac:dyDescent="0.3"/>
    <row r="14241" customFormat="1" x14ac:dyDescent="0.3"/>
    <row r="14242" customFormat="1" x14ac:dyDescent="0.3"/>
    <row r="14243" customFormat="1" x14ac:dyDescent="0.3"/>
    <row r="14244" customFormat="1" x14ac:dyDescent="0.3"/>
    <row r="14245" customFormat="1" x14ac:dyDescent="0.3"/>
    <row r="14246" customFormat="1" x14ac:dyDescent="0.3"/>
    <row r="14247" customFormat="1" x14ac:dyDescent="0.3"/>
    <row r="14248" customFormat="1" x14ac:dyDescent="0.3"/>
    <row r="14249" customFormat="1" x14ac:dyDescent="0.3"/>
    <row r="14250" customFormat="1" x14ac:dyDescent="0.3"/>
    <row r="14251" customFormat="1" x14ac:dyDescent="0.3"/>
    <row r="14252" customFormat="1" x14ac:dyDescent="0.3"/>
    <row r="14253" customFormat="1" x14ac:dyDescent="0.3"/>
    <row r="14254" customFormat="1" x14ac:dyDescent="0.3"/>
    <row r="14255" customFormat="1" x14ac:dyDescent="0.3"/>
    <row r="14256" customFormat="1" x14ac:dyDescent="0.3"/>
    <row r="14257" customFormat="1" x14ac:dyDescent="0.3"/>
    <row r="14258" customFormat="1" x14ac:dyDescent="0.3"/>
    <row r="14259" customFormat="1" x14ac:dyDescent="0.3"/>
    <row r="14260" customFormat="1" x14ac:dyDescent="0.3"/>
    <row r="14261" customFormat="1" x14ac:dyDescent="0.3"/>
    <row r="14262" customFormat="1" x14ac:dyDescent="0.3"/>
    <row r="14263" customFormat="1" x14ac:dyDescent="0.3"/>
    <row r="14264" customFormat="1" x14ac:dyDescent="0.3"/>
    <row r="14265" customFormat="1" x14ac:dyDescent="0.3"/>
    <row r="14266" customFormat="1" x14ac:dyDescent="0.3"/>
    <row r="14267" customFormat="1" x14ac:dyDescent="0.3"/>
    <row r="14268" customFormat="1" x14ac:dyDescent="0.3"/>
    <row r="14269" customFormat="1" x14ac:dyDescent="0.3"/>
    <row r="14270" customFormat="1" x14ac:dyDescent="0.3"/>
    <row r="14271" customFormat="1" x14ac:dyDescent="0.3"/>
    <row r="14272" customFormat="1" x14ac:dyDescent="0.3"/>
    <row r="14273" customFormat="1" x14ac:dyDescent="0.3"/>
    <row r="14274" customFormat="1" x14ac:dyDescent="0.3"/>
    <row r="14275" customFormat="1" x14ac:dyDescent="0.3"/>
    <row r="14276" customFormat="1" x14ac:dyDescent="0.3"/>
    <row r="14277" customFormat="1" x14ac:dyDescent="0.3"/>
    <row r="14278" customFormat="1" x14ac:dyDescent="0.3"/>
    <row r="14279" customFormat="1" x14ac:dyDescent="0.3"/>
    <row r="14280" customFormat="1" x14ac:dyDescent="0.3"/>
    <row r="14281" customFormat="1" x14ac:dyDescent="0.3"/>
    <row r="14282" customFormat="1" x14ac:dyDescent="0.3"/>
    <row r="14283" customFormat="1" x14ac:dyDescent="0.3"/>
    <row r="14284" customFormat="1" x14ac:dyDescent="0.3"/>
    <row r="14285" customFormat="1" x14ac:dyDescent="0.3"/>
    <row r="14286" customFormat="1" x14ac:dyDescent="0.3"/>
    <row r="14287" customFormat="1" x14ac:dyDescent="0.3"/>
    <row r="14288" customFormat="1" x14ac:dyDescent="0.3"/>
    <row r="14289" customFormat="1" x14ac:dyDescent="0.3"/>
    <row r="14290" customFormat="1" x14ac:dyDescent="0.3"/>
    <row r="14291" customFormat="1" x14ac:dyDescent="0.3"/>
    <row r="14292" customFormat="1" x14ac:dyDescent="0.3"/>
    <row r="14293" customFormat="1" x14ac:dyDescent="0.3"/>
    <row r="14294" customFormat="1" x14ac:dyDescent="0.3"/>
    <row r="14295" customFormat="1" x14ac:dyDescent="0.3"/>
    <row r="14296" customFormat="1" x14ac:dyDescent="0.3"/>
    <row r="14297" customFormat="1" x14ac:dyDescent="0.3"/>
    <row r="14298" customFormat="1" x14ac:dyDescent="0.3"/>
    <row r="14299" customFormat="1" x14ac:dyDescent="0.3"/>
    <row r="14300" customFormat="1" x14ac:dyDescent="0.3"/>
    <row r="14301" customFormat="1" x14ac:dyDescent="0.3"/>
    <row r="14302" customFormat="1" x14ac:dyDescent="0.3"/>
    <row r="14303" customFormat="1" x14ac:dyDescent="0.3"/>
    <row r="14304" customFormat="1" x14ac:dyDescent="0.3"/>
    <row r="14305" customFormat="1" x14ac:dyDescent="0.3"/>
    <row r="14306" customFormat="1" x14ac:dyDescent="0.3"/>
    <row r="14307" customFormat="1" x14ac:dyDescent="0.3"/>
    <row r="14308" customFormat="1" x14ac:dyDescent="0.3"/>
    <row r="14309" customFormat="1" x14ac:dyDescent="0.3"/>
    <row r="14310" customFormat="1" x14ac:dyDescent="0.3"/>
    <row r="14311" customFormat="1" x14ac:dyDescent="0.3"/>
    <row r="14312" customFormat="1" x14ac:dyDescent="0.3"/>
    <row r="14313" customFormat="1" x14ac:dyDescent="0.3"/>
    <row r="14314" customFormat="1" x14ac:dyDescent="0.3"/>
    <row r="14315" customFormat="1" x14ac:dyDescent="0.3"/>
    <row r="14316" customFormat="1" x14ac:dyDescent="0.3"/>
    <row r="14317" customFormat="1" x14ac:dyDescent="0.3"/>
    <row r="14318" customFormat="1" x14ac:dyDescent="0.3"/>
    <row r="14319" customFormat="1" x14ac:dyDescent="0.3"/>
    <row r="14320" customFormat="1" x14ac:dyDescent="0.3"/>
    <row r="14321" customFormat="1" x14ac:dyDescent="0.3"/>
    <row r="14322" customFormat="1" x14ac:dyDescent="0.3"/>
    <row r="14323" customFormat="1" x14ac:dyDescent="0.3"/>
    <row r="14324" customFormat="1" x14ac:dyDescent="0.3"/>
    <row r="14325" customFormat="1" x14ac:dyDescent="0.3"/>
    <row r="14326" customFormat="1" x14ac:dyDescent="0.3"/>
    <row r="14327" customFormat="1" x14ac:dyDescent="0.3"/>
    <row r="14328" customFormat="1" x14ac:dyDescent="0.3"/>
    <row r="14329" customFormat="1" x14ac:dyDescent="0.3"/>
    <row r="14330" customFormat="1" x14ac:dyDescent="0.3"/>
    <row r="14331" customFormat="1" x14ac:dyDescent="0.3"/>
    <row r="14332" customFormat="1" x14ac:dyDescent="0.3"/>
    <row r="14333" customFormat="1" x14ac:dyDescent="0.3"/>
    <row r="14334" customFormat="1" x14ac:dyDescent="0.3"/>
    <row r="14335" customFormat="1" x14ac:dyDescent="0.3"/>
    <row r="14336" customFormat="1" x14ac:dyDescent="0.3"/>
    <row r="14337" customFormat="1" x14ac:dyDescent="0.3"/>
    <row r="14338" customFormat="1" x14ac:dyDescent="0.3"/>
    <row r="14339" customFormat="1" x14ac:dyDescent="0.3"/>
    <row r="14340" customFormat="1" x14ac:dyDescent="0.3"/>
    <row r="14341" customFormat="1" x14ac:dyDescent="0.3"/>
    <row r="14342" customFormat="1" x14ac:dyDescent="0.3"/>
    <row r="14343" customFormat="1" x14ac:dyDescent="0.3"/>
    <row r="14344" customFormat="1" x14ac:dyDescent="0.3"/>
    <row r="14345" customFormat="1" x14ac:dyDescent="0.3"/>
    <row r="14346" customFormat="1" x14ac:dyDescent="0.3"/>
    <row r="14347" customFormat="1" x14ac:dyDescent="0.3"/>
    <row r="14348" customFormat="1" x14ac:dyDescent="0.3"/>
    <row r="14349" customFormat="1" x14ac:dyDescent="0.3"/>
    <row r="14350" customFormat="1" x14ac:dyDescent="0.3"/>
    <row r="14351" customFormat="1" x14ac:dyDescent="0.3"/>
    <row r="14352" customFormat="1" x14ac:dyDescent="0.3"/>
    <row r="14353" customFormat="1" x14ac:dyDescent="0.3"/>
    <row r="14354" customFormat="1" x14ac:dyDescent="0.3"/>
    <row r="14355" customFormat="1" x14ac:dyDescent="0.3"/>
    <row r="14356" customFormat="1" x14ac:dyDescent="0.3"/>
    <row r="14357" customFormat="1" x14ac:dyDescent="0.3"/>
    <row r="14358" customFormat="1" x14ac:dyDescent="0.3"/>
    <row r="14359" customFormat="1" x14ac:dyDescent="0.3"/>
    <row r="14360" customFormat="1" x14ac:dyDescent="0.3"/>
    <row r="14361" customFormat="1" x14ac:dyDescent="0.3"/>
    <row r="14362" customFormat="1" x14ac:dyDescent="0.3"/>
    <row r="14363" customFormat="1" x14ac:dyDescent="0.3"/>
    <row r="14364" customFormat="1" x14ac:dyDescent="0.3"/>
    <row r="14365" customFormat="1" x14ac:dyDescent="0.3"/>
    <row r="14366" customFormat="1" x14ac:dyDescent="0.3"/>
    <row r="14367" customFormat="1" x14ac:dyDescent="0.3"/>
    <row r="14368" customFormat="1" x14ac:dyDescent="0.3"/>
    <row r="14369" customFormat="1" x14ac:dyDescent="0.3"/>
    <row r="14370" customFormat="1" x14ac:dyDescent="0.3"/>
    <row r="14371" customFormat="1" x14ac:dyDescent="0.3"/>
    <row r="14372" customFormat="1" x14ac:dyDescent="0.3"/>
    <row r="14373" customFormat="1" x14ac:dyDescent="0.3"/>
    <row r="14374" customFormat="1" x14ac:dyDescent="0.3"/>
    <row r="14375" customFormat="1" x14ac:dyDescent="0.3"/>
    <row r="14376" customFormat="1" x14ac:dyDescent="0.3"/>
    <row r="14377" customFormat="1" x14ac:dyDescent="0.3"/>
    <row r="14378" customFormat="1" x14ac:dyDescent="0.3"/>
    <row r="14379" customFormat="1" x14ac:dyDescent="0.3"/>
    <row r="14380" customFormat="1" x14ac:dyDescent="0.3"/>
    <row r="14381" customFormat="1" x14ac:dyDescent="0.3"/>
    <row r="14382" customFormat="1" x14ac:dyDescent="0.3"/>
    <row r="14383" customFormat="1" x14ac:dyDescent="0.3"/>
    <row r="14384" customFormat="1" x14ac:dyDescent="0.3"/>
    <row r="14385" customFormat="1" x14ac:dyDescent="0.3"/>
    <row r="14386" customFormat="1" x14ac:dyDescent="0.3"/>
    <row r="14387" customFormat="1" x14ac:dyDescent="0.3"/>
    <row r="14388" customFormat="1" x14ac:dyDescent="0.3"/>
    <row r="14389" customFormat="1" x14ac:dyDescent="0.3"/>
    <row r="14390" customFormat="1" x14ac:dyDescent="0.3"/>
    <row r="14391" customFormat="1" x14ac:dyDescent="0.3"/>
    <row r="14392" customFormat="1" x14ac:dyDescent="0.3"/>
    <row r="14393" customFormat="1" x14ac:dyDescent="0.3"/>
    <row r="14394" customFormat="1" x14ac:dyDescent="0.3"/>
    <row r="14395" customFormat="1" x14ac:dyDescent="0.3"/>
    <row r="14396" customFormat="1" x14ac:dyDescent="0.3"/>
    <row r="14397" customFormat="1" x14ac:dyDescent="0.3"/>
    <row r="14398" customFormat="1" x14ac:dyDescent="0.3"/>
    <row r="14399" customFormat="1" x14ac:dyDescent="0.3"/>
    <row r="14400" customFormat="1" x14ac:dyDescent="0.3"/>
    <row r="14401" customFormat="1" x14ac:dyDescent="0.3"/>
    <row r="14402" customFormat="1" x14ac:dyDescent="0.3"/>
    <row r="14403" customFormat="1" x14ac:dyDescent="0.3"/>
    <row r="14404" customFormat="1" x14ac:dyDescent="0.3"/>
    <row r="14405" customFormat="1" x14ac:dyDescent="0.3"/>
    <row r="14406" customFormat="1" x14ac:dyDescent="0.3"/>
    <row r="14407" customFormat="1" x14ac:dyDescent="0.3"/>
    <row r="14408" customFormat="1" x14ac:dyDescent="0.3"/>
    <row r="14409" customFormat="1" x14ac:dyDescent="0.3"/>
    <row r="14410" customFormat="1" x14ac:dyDescent="0.3"/>
    <row r="14411" customFormat="1" x14ac:dyDescent="0.3"/>
    <row r="14412" customFormat="1" x14ac:dyDescent="0.3"/>
    <row r="14413" customFormat="1" x14ac:dyDescent="0.3"/>
    <row r="14414" customFormat="1" x14ac:dyDescent="0.3"/>
    <row r="14415" customFormat="1" x14ac:dyDescent="0.3"/>
    <row r="14416" customFormat="1" x14ac:dyDescent="0.3"/>
    <row r="14417" customFormat="1" x14ac:dyDescent="0.3"/>
    <row r="14418" customFormat="1" x14ac:dyDescent="0.3"/>
    <row r="14419" customFormat="1" x14ac:dyDescent="0.3"/>
    <row r="14420" customFormat="1" x14ac:dyDescent="0.3"/>
    <row r="14421" customFormat="1" x14ac:dyDescent="0.3"/>
    <row r="14422" customFormat="1" x14ac:dyDescent="0.3"/>
    <row r="14423" customFormat="1" x14ac:dyDescent="0.3"/>
    <row r="14424" customFormat="1" x14ac:dyDescent="0.3"/>
    <row r="14425" customFormat="1" x14ac:dyDescent="0.3"/>
    <row r="14426" customFormat="1" x14ac:dyDescent="0.3"/>
    <row r="14427" customFormat="1" x14ac:dyDescent="0.3"/>
    <row r="14428" customFormat="1" x14ac:dyDescent="0.3"/>
    <row r="14429" customFormat="1" x14ac:dyDescent="0.3"/>
    <row r="14430" customFormat="1" x14ac:dyDescent="0.3"/>
    <row r="14431" customFormat="1" x14ac:dyDescent="0.3"/>
    <row r="14432" customFormat="1" x14ac:dyDescent="0.3"/>
    <row r="14433" customFormat="1" x14ac:dyDescent="0.3"/>
    <row r="14434" customFormat="1" x14ac:dyDescent="0.3"/>
    <row r="14435" customFormat="1" x14ac:dyDescent="0.3"/>
    <row r="14436" customFormat="1" x14ac:dyDescent="0.3"/>
    <row r="14437" customFormat="1" x14ac:dyDescent="0.3"/>
    <row r="14438" customFormat="1" x14ac:dyDescent="0.3"/>
    <row r="14439" customFormat="1" x14ac:dyDescent="0.3"/>
    <row r="14440" customFormat="1" x14ac:dyDescent="0.3"/>
    <row r="14441" customFormat="1" x14ac:dyDescent="0.3"/>
    <row r="14442" customFormat="1" x14ac:dyDescent="0.3"/>
    <row r="14443" customFormat="1" x14ac:dyDescent="0.3"/>
    <row r="14444" customFormat="1" x14ac:dyDescent="0.3"/>
    <row r="14445" customFormat="1" x14ac:dyDescent="0.3"/>
    <row r="14446" customFormat="1" x14ac:dyDescent="0.3"/>
    <row r="14447" customFormat="1" x14ac:dyDescent="0.3"/>
    <row r="14448" customFormat="1" x14ac:dyDescent="0.3"/>
    <row r="14449" customFormat="1" x14ac:dyDescent="0.3"/>
    <row r="14450" customFormat="1" x14ac:dyDescent="0.3"/>
    <row r="14451" customFormat="1" x14ac:dyDescent="0.3"/>
    <row r="14452" customFormat="1" x14ac:dyDescent="0.3"/>
    <row r="14453" customFormat="1" x14ac:dyDescent="0.3"/>
    <row r="14454" customFormat="1" x14ac:dyDescent="0.3"/>
    <row r="14455" customFormat="1" x14ac:dyDescent="0.3"/>
    <row r="14456" customFormat="1" x14ac:dyDescent="0.3"/>
    <row r="14457" customFormat="1" x14ac:dyDescent="0.3"/>
    <row r="14458" customFormat="1" x14ac:dyDescent="0.3"/>
    <row r="14459" customFormat="1" x14ac:dyDescent="0.3"/>
    <row r="14460" customFormat="1" x14ac:dyDescent="0.3"/>
    <row r="14461" customFormat="1" x14ac:dyDescent="0.3"/>
    <row r="14462" customFormat="1" x14ac:dyDescent="0.3"/>
    <row r="14463" customFormat="1" x14ac:dyDescent="0.3"/>
    <row r="14464" customFormat="1" x14ac:dyDescent="0.3"/>
    <row r="14465" customFormat="1" x14ac:dyDescent="0.3"/>
    <row r="14466" customFormat="1" x14ac:dyDescent="0.3"/>
    <row r="14467" customFormat="1" x14ac:dyDescent="0.3"/>
    <row r="14468" customFormat="1" x14ac:dyDescent="0.3"/>
    <row r="14469" customFormat="1" x14ac:dyDescent="0.3"/>
    <row r="14470" customFormat="1" x14ac:dyDescent="0.3"/>
    <row r="14471" customFormat="1" x14ac:dyDescent="0.3"/>
    <row r="14472" customFormat="1" x14ac:dyDescent="0.3"/>
    <row r="14473" customFormat="1" x14ac:dyDescent="0.3"/>
    <row r="14474" customFormat="1" x14ac:dyDescent="0.3"/>
    <row r="14475" customFormat="1" x14ac:dyDescent="0.3"/>
    <row r="14476" customFormat="1" x14ac:dyDescent="0.3"/>
    <row r="14477" customFormat="1" x14ac:dyDescent="0.3"/>
    <row r="14478" customFormat="1" x14ac:dyDescent="0.3"/>
    <row r="14479" customFormat="1" x14ac:dyDescent="0.3"/>
    <row r="14480" customFormat="1" x14ac:dyDescent="0.3"/>
    <row r="14481" customFormat="1" x14ac:dyDescent="0.3"/>
    <row r="14482" customFormat="1" x14ac:dyDescent="0.3"/>
    <row r="14483" customFormat="1" x14ac:dyDescent="0.3"/>
    <row r="14484" customFormat="1" x14ac:dyDescent="0.3"/>
    <row r="14485" customFormat="1" x14ac:dyDescent="0.3"/>
    <row r="14486" customFormat="1" x14ac:dyDescent="0.3"/>
    <row r="14487" customFormat="1" x14ac:dyDescent="0.3"/>
    <row r="14488" customFormat="1" x14ac:dyDescent="0.3"/>
    <row r="14489" customFormat="1" x14ac:dyDescent="0.3"/>
    <row r="14490" customFormat="1" x14ac:dyDescent="0.3"/>
    <row r="14491" customFormat="1" x14ac:dyDescent="0.3"/>
    <row r="14492" customFormat="1" x14ac:dyDescent="0.3"/>
    <row r="14493" customFormat="1" x14ac:dyDescent="0.3"/>
    <row r="14494" customFormat="1" x14ac:dyDescent="0.3"/>
    <row r="14495" customFormat="1" x14ac:dyDescent="0.3"/>
    <row r="14496" customFormat="1" x14ac:dyDescent="0.3"/>
    <row r="14497" customFormat="1" x14ac:dyDescent="0.3"/>
    <row r="14498" customFormat="1" x14ac:dyDescent="0.3"/>
    <row r="14499" customFormat="1" x14ac:dyDescent="0.3"/>
    <row r="14500" customFormat="1" x14ac:dyDescent="0.3"/>
    <row r="14501" customFormat="1" x14ac:dyDescent="0.3"/>
    <row r="14502" customFormat="1" x14ac:dyDescent="0.3"/>
    <row r="14503" customFormat="1" x14ac:dyDescent="0.3"/>
    <row r="14504" customFormat="1" x14ac:dyDescent="0.3"/>
    <row r="14505" customFormat="1" x14ac:dyDescent="0.3"/>
    <row r="14506" customFormat="1" x14ac:dyDescent="0.3"/>
    <row r="14507" customFormat="1" x14ac:dyDescent="0.3"/>
    <row r="14508" customFormat="1" x14ac:dyDescent="0.3"/>
    <row r="14509" customFormat="1" x14ac:dyDescent="0.3"/>
    <row r="14510" customFormat="1" x14ac:dyDescent="0.3"/>
    <row r="14511" customFormat="1" x14ac:dyDescent="0.3"/>
    <row r="14512" customFormat="1" x14ac:dyDescent="0.3"/>
    <row r="14513" customFormat="1" x14ac:dyDescent="0.3"/>
    <row r="14514" customFormat="1" x14ac:dyDescent="0.3"/>
    <row r="14515" customFormat="1" x14ac:dyDescent="0.3"/>
    <row r="14516" customFormat="1" x14ac:dyDescent="0.3"/>
    <row r="14517" customFormat="1" x14ac:dyDescent="0.3"/>
    <row r="14518" customFormat="1" x14ac:dyDescent="0.3"/>
    <row r="14519" customFormat="1" x14ac:dyDescent="0.3"/>
    <row r="14520" customFormat="1" x14ac:dyDescent="0.3"/>
    <row r="14521" customFormat="1" x14ac:dyDescent="0.3"/>
    <row r="14522" customFormat="1" x14ac:dyDescent="0.3"/>
    <row r="14523" customFormat="1" x14ac:dyDescent="0.3"/>
    <row r="14524" customFormat="1" x14ac:dyDescent="0.3"/>
    <row r="14525" customFormat="1" x14ac:dyDescent="0.3"/>
    <row r="14526" customFormat="1" x14ac:dyDescent="0.3"/>
    <row r="14527" customFormat="1" x14ac:dyDescent="0.3"/>
    <row r="14528" customFormat="1" x14ac:dyDescent="0.3"/>
    <row r="14529" customFormat="1" x14ac:dyDescent="0.3"/>
    <row r="14530" customFormat="1" x14ac:dyDescent="0.3"/>
    <row r="14531" customFormat="1" x14ac:dyDescent="0.3"/>
    <row r="14532" customFormat="1" x14ac:dyDescent="0.3"/>
    <row r="14533" customFormat="1" x14ac:dyDescent="0.3"/>
    <row r="14534" customFormat="1" x14ac:dyDescent="0.3"/>
    <row r="14535" customFormat="1" x14ac:dyDescent="0.3"/>
    <row r="14536" customFormat="1" x14ac:dyDescent="0.3"/>
    <row r="14537" customFormat="1" x14ac:dyDescent="0.3"/>
    <row r="14538" customFormat="1" x14ac:dyDescent="0.3"/>
    <row r="14539" customFormat="1" x14ac:dyDescent="0.3"/>
    <row r="14540" customFormat="1" x14ac:dyDescent="0.3"/>
    <row r="14541" customFormat="1" x14ac:dyDescent="0.3"/>
    <row r="14542" customFormat="1" x14ac:dyDescent="0.3"/>
    <row r="14543" customFormat="1" x14ac:dyDescent="0.3"/>
    <row r="14544" customFormat="1" x14ac:dyDescent="0.3"/>
    <row r="14545" customFormat="1" x14ac:dyDescent="0.3"/>
    <row r="14546" customFormat="1" x14ac:dyDescent="0.3"/>
    <row r="14547" customFormat="1" x14ac:dyDescent="0.3"/>
    <row r="14548" customFormat="1" x14ac:dyDescent="0.3"/>
    <row r="14549" customFormat="1" x14ac:dyDescent="0.3"/>
    <row r="14550" customFormat="1" x14ac:dyDescent="0.3"/>
    <row r="14551" customFormat="1" x14ac:dyDescent="0.3"/>
    <row r="14552" customFormat="1" x14ac:dyDescent="0.3"/>
    <row r="14553" customFormat="1" x14ac:dyDescent="0.3"/>
    <row r="14554" customFormat="1" x14ac:dyDescent="0.3"/>
    <row r="14555" customFormat="1" x14ac:dyDescent="0.3"/>
    <row r="14556" customFormat="1" x14ac:dyDescent="0.3"/>
    <row r="14557" customFormat="1" x14ac:dyDescent="0.3"/>
    <row r="14558" customFormat="1" x14ac:dyDescent="0.3"/>
    <row r="14559" customFormat="1" x14ac:dyDescent="0.3"/>
    <row r="14560" customFormat="1" x14ac:dyDescent="0.3"/>
    <row r="14561" customFormat="1" x14ac:dyDescent="0.3"/>
    <row r="14562" customFormat="1" x14ac:dyDescent="0.3"/>
    <row r="14563" customFormat="1" x14ac:dyDescent="0.3"/>
    <row r="14564" customFormat="1" x14ac:dyDescent="0.3"/>
    <row r="14565" customFormat="1" x14ac:dyDescent="0.3"/>
    <row r="14566" customFormat="1" x14ac:dyDescent="0.3"/>
    <row r="14567" customFormat="1" x14ac:dyDescent="0.3"/>
    <row r="14568" customFormat="1" x14ac:dyDescent="0.3"/>
    <row r="14569" customFormat="1" x14ac:dyDescent="0.3"/>
    <row r="14570" customFormat="1" x14ac:dyDescent="0.3"/>
    <row r="14571" customFormat="1" x14ac:dyDescent="0.3"/>
    <row r="14572" customFormat="1" x14ac:dyDescent="0.3"/>
    <row r="14573" customFormat="1" x14ac:dyDescent="0.3"/>
    <row r="14574" customFormat="1" x14ac:dyDescent="0.3"/>
    <row r="14575" customFormat="1" x14ac:dyDescent="0.3"/>
    <row r="14576" customFormat="1" x14ac:dyDescent="0.3"/>
    <row r="14577" customFormat="1" x14ac:dyDescent="0.3"/>
    <row r="14578" customFormat="1" x14ac:dyDescent="0.3"/>
    <row r="14579" customFormat="1" x14ac:dyDescent="0.3"/>
    <row r="14580" customFormat="1" x14ac:dyDescent="0.3"/>
    <row r="14581" customFormat="1" x14ac:dyDescent="0.3"/>
    <row r="14582" customFormat="1" x14ac:dyDescent="0.3"/>
    <row r="14583" customFormat="1" x14ac:dyDescent="0.3"/>
    <row r="14584" customFormat="1" x14ac:dyDescent="0.3"/>
    <row r="14585" customFormat="1" x14ac:dyDescent="0.3"/>
    <row r="14586" customFormat="1" x14ac:dyDescent="0.3"/>
    <row r="14587" customFormat="1" x14ac:dyDescent="0.3"/>
    <row r="14588" customFormat="1" x14ac:dyDescent="0.3"/>
    <row r="14589" customFormat="1" x14ac:dyDescent="0.3"/>
    <row r="14590" customFormat="1" x14ac:dyDescent="0.3"/>
    <row r="14591" customFormat="1" x14ac:dyDescent="0.3"/>
    <row r="14592" customFormat="1" x14ac:dyDescent="0.3"/>
    <row r="14593" customFormat="1" x14ac:dyDescent="0.3"/>
    <row r="14594" customFormat="1" x14ac:dyDescent="0.3"/>
    <row r="14595" customFormat="1" x14ac:dyDescent="0.3"/>
    <row r="14596" customFormat="1" x14ac:dyDescent="0.3"/>
    <row r="14597" customFormat="1" x14ac:dyDescent="0.3"/>
    <row r="14598" customFormat="1" x14ac:dyDescent="0.3"/>
    <row r="14599" customFormat="1" x14ac:dyDescent="0.3"/>
    <row r="14600" customFormat="1" x14ac:dyDescent="0.3"/>
    <row r="14601" customFormat="1" x14ac:dyDescent="0.3"/>
    <row r="14602" customFormat="1" x14ac:dyDescent="0.3"/>
    <row r="14603" customFormat="1" x14ac:dyDescent="0.3"/>
    <row r="14604" customFormat="1" x14ac:dyDescent="0.3"/>
    <row r="14605" customFormat="1" x14ac:dyDescent="0.3"/>
    <row r="14606" customFormat="1" x14ac:dyDescent="0.3"/>
    <row r="14607" customFormat="1" x14ac:dyDescent="0.3"/>
    <row r="14608" customFormat="1" x14ac:dyDescent="0.3"/>
    <row r="14609" customFormat="1" x14ac:dyDescent="0.3"/>
    <row r="14610" customFormat="1" x14ac:dyDescent="0.3"/>
    <row r="14611" customFormat="1" x14ac:dyDescent="0.3"/>
    <row r="14612" customFormat="1" x14ac:dyDescent="0.3"/>
    <row r="14613" customFormat="1" x14ac:dyDescent="0.3"/>
    <row r="14614" customFormat="1" x14ac:dyDescent="0.3"/>
    <row r="14615" customFormat="1" x14ac:dyDescent="0.3"/>
    <row r="14616" customFormat="1" x14ac:dyDescent="0.3"/>
    <row r="14617" customFormat="1" x14ac:dyDescent="0.3"/>
    <row r="14618" customFormat="1" x14ac:dyDescent="0.3"/>
    <row r="14619" customFormat="1" x14ac:dyDescent="0.3"/>
    <row r="14620" customFormat="1" x14ac:dyDescent="0.3"/>
    <row r="14621" customFormat="1" x14ac:dyDescent="0.3"/>
    <row r="14622" customFormat="1" x14ac:dyDescent="0.3"/>
    <row r="14623" customFormat="1" x14ac:dyDescent="0.3"/>
    <row r="14624" customFormat="1" x14ac:dyDescent="0.3"/>
    <row r="14625" customFormat="1" x14ac:dyDescent="0.3"/>
    <row r="14626" customFormat="1" x14ac:dyDescent="0.3"/>
    <row r="14627" customFormat="1" x14ac:dyDescent="0.3"/>
    <row r="14628" customFormat="1" x14ac:dyDescent="0.3"/>
    <row r="14629" customFormat="1" x14ac:dyDescent="0.3"/>
    <row r="14630" customFormat="1" x14ac:dyDescent="0.3"/>
    <row r="14631" customFormat="1" x14ac:dyDescent="0.3"/>
    <row r="14632" customFormat="1" x14ac:dyDescent="0.3"/>
    <row r="14633" customFormat="1" x14ac:dyDescent="0.3"/>
    <row r="14634" customFormat="1" x14ac:dyDescent="0.3"/>
    <row r="14635" customFormat="1" x14ac:dyDescent="0.3"/>
    <row r="14636" customFormat="1" x14ac:dyDescent="0.3"/>
    <row r="14637" customFormat="1" x14ac:dyDescent="0.3"/>
    <row r="14638" customFormat="1" x14ac:dyDescent="0.3"/>
    <row r="14639" customFormat="1" x14ac:dyDescent="0.3"/>
    <row r="14640" customFormat="1" x14ac:dyDescent="0.3"/>
    <row r="14641" customFormat="1" x14ac:dyDescent="0.3"/>
    <row r="14642" customFormat="1" x14ac:dyDescent="0.3"/>
    <row r="14643" customFormat="1" x14ac:dyDescent="0.3"/>
    <row r="14644" customFormat="1" x14ac:dyDescent="0.3"/>
    <row r="14645" customFormat="1" x14ac:dyDescent="0.3"/>
    <row r="14646" customFormat="1" x14ac:dyDescent="0.3"/>
    <row r="14647" customFormat="1" x14ac:dyDescent="0.3"/>
    <row r="14648" customFormat="1" x14ac:dyDescent="0.3"/>
    <row r="14649" customFormat="1" x14ac:dyDescent="0.3"/>
    <row r="14650" customFormat="1" x14ac:dyDescent="0.3"/>
    <row r="14651" customFormat="1" x14ac:dyDescent="0.3"/>
    <row r="14652" customFormat="1" x14ac:dyDescent="0.3"/>
    <row r="14653" customFormat="1" x14ac:dyDescent="0.3"/>
    <row r="14654" customFormat="1" x14ac:dyDescent="0.3"/>
    <row r="14655" customFormat="1" x14ac:dyDescent="0.3"/>
    <row r="14656" customFormat="1" x14ac:dyDescent="0.3"/>
    <row r="14657" customFormat="1" x14ac:dyDescent="0.3"/>
    <row r="14658" customFormat="1" x14ac:dyDescent="0.3"/>
    <row r="14659" customFormat="1" x14ac:dyDescent="0.3"/>
    <row r="14660" customFormat="1" x14ac:dyDescent="0.3"/>
    <row r="14661" customFormat="1" x14ac:dyDescent="0.3"/>
    <row r="14662" customFormat="1" x14ac:dyDescent="0.3"/>
    <row r="14663" customFormat="1" x14ac:dyDescent="0.3"/>
    <row r="14664" customFormat="1" x14ac:dyDescent="0.3"/>
    <row r="14665" customFormat="1" x14ac:dyDescent="0.3"/>
    <row r="14666" customFormat="1" x14ac:dyDescent="0.3"/>
    <row r="14667" customFormat="1" x14ac:dyDescent="0.3"/>
    <row r="14668" customFormat="1" x14ac:dyDescent="0.3"/>
    <row r="14669" customFormat="1" x14ac:dyDescent="0.3"/>
    <row r="14670" customFormat="1" x14ac:dyDescent="0.3"/>
    <row r="14671" customFormat="1" x14ac:dyDescent="0.3"/>
    <row r="14672" customFormat="1" x14ac:dyDescent="0.3"/>
    <row r="14673" customFormat="1" x14ac:dyDescent="0.3"/>
    <row r="14674" customFormat="1" x14ac:dyDescent="0.3"/>
    <row r="14675" customFormat="1" x14ac:dyDescent="0.3"/>
    <row r="14676" customFormat="1" x14ac:dyDescent="0.3"/>
    <row r="14677" customFormat="1" x14ac:dyDescent="0.3"/>
    <row r="14678" customFormat="1" x14ac:dyDescent="0.3"/>
    <row r="14679" customFormat="1" x14ac:dyDescent="0.3"/>
    <row r="14680" customFormat="1" x14ac:dyDescent="0.3"/>
    <row r="14681" customFormat="1" x14ac:dyDescent="0.3"/>
    <row r="14682" customFormat="1" x14ac:dyDescent="0.3"/>
    <row r="14683" customFormat="1" x14ac:dyDescent="0.3"/>
    <row r="14684" customFormat="1" x14ac:dyDescent="0.3"/>
    <row r="14685" customFormat="1" x14ac:dyDescent="0.3"/>
    <row r="14686" customFormat="1" x14ac:dyDescent="0.3"/>
    <row r="14687" customFormat="1" x14ac:dyDescent="0.3"/>
    <row r="14688" customFormat="1" x14ac:dyDescent="0.3"/>
    <row r="14689" customFormat="1" x14ac:dyDescent="0.3"/>
    <row r="14690" customFormat="1" x14ac:dyDescent="0.3"/>
    <row r="14691" customFormat="1" x14ac:dyDescent="0.3"/>
    <row r="14692" customFormat="1" x14ac:dyDescent="0.3"/>
    <row r="14693" customFormat="1" x14ac:dyDescent="0.3"/>
    <row r="14694" customFormat="1" x14ac:dyDescent="0.3"/>
    <row r="14695" customFormat="1" x14ac:dyDescent="0.3"/>
    <row r="14696" customFormat="1" x14ac:dyDescent="0.3"/>
    <row r="14697" customFormat="1" x14ac:dyDescent="0.3"/>
    <row r="14698" customFormat="1" x14ac:dyDescent="0.3"/>
    <row r="14699" customFormat="1" x14ac:dyDescent="0.3"/>
    <row r="14700" customFormat="1" x14ac:dyDescent="0.3"/>
    <row r="14701" customFormat="1" x14ac:dyDescent="0.3"/>
    <row r="14702" customFormat="1" x14ac:dyDescent="0.3"/>
    <row r="14703" customFormat="1" x14ac:dyDescent="0.3"/>
    <row r="14704" customFormat="1" x14ac:dyDescent="0.3"/>
    <row r="14705" customFormat="1" x14ac:dyDescent="0.3"/>
    <row r="14706" customFormat="1" x14ac:dyDescent="0.3"/>
    <row r="14707" customFormat="1" x14ac:dyDescent="0.3"/>
    <row r="14708" customFormat="1" x14ac:dyDescent="0.3"/>
    <row r="14709" customFormat="1" x14ac:dyDescent="0.3"/>
    <row r="14710" customFormat="1" x14ac:dyDescent="0.3"/>
    <row r="14711" customFormat="1" x14ac:dyDescent="0.3"/>
    <row r="14712" customFormat="1" x14ac:dyDescent="0.3"/>
    <row r="14713" customFormat="1" x14ac:dyDescent="0.3"/>
    <row r="14714" customFormat="1" x14ac:dyDescent="0.3"/>
    <row r="14715" customFormat="1" x14ac:dyDescent="0.3"/>
    <row r="14716" customFormat="1" x14ac:dyDescent="0.3"/>
    <row r="14717" customFormat="1" x14ac:dyDescent="0.3"/>
    <row r="14718" customFormat="1" x14ac:dyDescent="0.3"/>
    <row r="14719" customFormat="1" x14ac:dyDescent="0.3"/>
    <row r="14720" customFormat="1" x14ac:dyDescent="0.3"/>
    <row r="14721" customFormat="1" x14ac:dyDescent="0.3"/>
    <row r="14722" customFormat="1" x14ac:dyDescent="0.3"/>
    <row r="14723" customFormat="1" x14ac:dyDescent="0.3"/>
    <row r="14724" customFormat="1" x14ac:dyDescent="0.3"/>
    <row r="14725" customFormat="1" x14ac:dyDescent="0.3"/>
    <row r="14726" customFormat="1" x14ac:dyDescent="0.3"/>
    <row r="14727" customFormat="1" x14ac:dyDescent="0.3"/>
    <row r="14728" customFormat="1" x14ac:dyDescent="0.3"/>
    <row r="14729" customFormat="1" x14ac:dyDescent="0.3"/>
    <row r="14730" customFormat="1" x14ac:dyDescent="0.3"/>
    <row r="14731" customFormat="1" x14ac:dyDescent="0.3"/>
    <row r="14732" customFormat="1" x14ac:dyDescent="0.3"/>
    <row r="14733" customFormat="1" x14ac:dyDescent="0.3"/>
    <row r="14734" customFormat="1" x14ac:dyDescent="0.3"/>
    <row r="14735" customFormat="1" x14ac:dyDescent="0.3"/>
    <row r="14736" customFormat="1" x14ac:dyDescent="0.3"/>
    <row r="14737" customFormat="1" x14ac:dyDescent="0.3"/>
    <row r="14738" customFormat="1" x14ac:dyDescent="0.3"/>
    <row r="14739" customFormat="1" x14ac:dyDescent="0.3"/>
    <row r="14740" customFormat="1" x14ac:dyDescent="0.3"/>
    <row r="14741" customFormat="1" x14ac:dyDescent="0.3"/>
    <row r="14742" customFormat="1" x14ac:dyDescent="0.3"/>
    <row r="14743" customFormat="1" x14ac:dyDescent="0.3"/>
    <row r="14744" customFormat="1" x14ac:dyDescent="0.3"/>
    <row r="14745" customFormat="1" x14ac:dyDescent="0.3"/>
    <row r="14746" customFormat="1" x14ac:dyDescent="0.3"/>
    <row r="14747" customFormat="1" x14ac:dyDescent="0.3"/>
    <row r="14748" customFormat="1" x14ac:dyDescent="0.3"/>
    <row r="14749" customFormat="1" x14ac:dyDescent="0.3"/>
    <row r="14750" customFormat="1" x14ac:dyDescent="0.3"/>
    <row r="14751" customFormat="1" x14ac:dyDescent="0.3"/>
    <row r="14752" customFormat="1" x14ac:dyDescent="0.3"/>
    <row r="14753" customFormat="1" x14ac:dyDescent="0.3"/>
    <row r="14754" customFormat="1" x14ac:dyDescent="0.3"/>
    <row r="14755" customFormat="1" x14ac:dyDescent="0.3"/>
    <row r="14756" customFormat="1" x14ac:dyDescent="0.3"/>
    <row r="14757" customFormat="1" x14ac:dyDescent="0.3"/>
    <row r="14758" customFormat="1" x14ac:dyDescent="0.3"/>
    <row r="14759" customFormat="1" x14ac:dyDescent="0.3"/>
    <row r="14760" customFormat="1" x14ac:dyDescent="0.3"/>
    <row r="14761" customFormat="1" x14ac:dyDescent="0.3"/>
    <row r="14762" customFormat="1" x14ac:dyDescent="0.3"/>
    <row r="14763" customFormat="1" x14ac:dyDescent="0.3"/>
    <row r="14764" customFormat="1" x14ac:dyDescent="0.3"/>
    <row r="14765" customFormat="1" x14ac:dyDescent="0.3"/>
    <row r="14766" customFormat="1" x14ac:dyDescent="0.3"/>
    <row r="14767" customFormat="1" x14ac:dyDescent="0.3"/>
    <row r="14768" customFormat="1" x14ac:dyDescent="0.3"/>
    <row r="14769" customFormat="1" x14ac:dyDescent="0.3"/>
    <row r="14770" customFormat="1" x14ac:dyDescent="0.3"/>
    <row r="14771" customFormat="1" x14ac:dyDescent="0.3"/>
    <row r="14772" customFormat="1" x14ac:dyDescent="0.3"/>
    <row r="14773" customFormat="1" x14ac:dyDescent="0.3"/>
    <row r="14774" customFormat="1" x14ac:dyDescent="0.3"/>
    <row r="14775" customFormat="1" x14ac:dyDescent="0.3"/>
    <row r="14776" customFormat="1" x14ac:dyDescent="0.3"/>
    <row r="14777" customFormat="1" x14ac:dyDescent="0.3"/>
    <row r="14778" customFormat="1" x14ac:dyDescent="0.3"/>
    <row r="14779" customFormat="1" x14ac:dyDescent="0.3"/>
    <row r="14780" customFormat="1" x14ac:dyDescent="0.3"/>
    <row r="14781" customFormat="1" x14ac:dyDescent="0.3"/>
    <row r="14782" customFormat="1" x14ac:dyDescent="0.3"/>
    <row r="14783" customFormat="1" x14ac:dyDescent="0.3"/>
    <row r="14784" customFormat="1" x14ac:dyDescent="0.3"/>
    <row r="14785" customFormat="1" x14ac:dyDescent="0.3"/>
    <row r="14786" customFormat="1" x14ac:dyDescent="0.3"/>
    <row r="14787" customFormat="1" x14ac:dyDescent="0.3"/>
    <row r="14788" customFormat="1" x14ac:dyDescent="0.3"/>
    <row r="14789" customFormat="1" x14ac:dyDescent="0.3"/>
    <row r="14790" customFormat="1" x14ac:dyDescent="0.3"/>
    <row r="14791" customFormat="1" x14ac:dyDescent="0.3"/>
    <row r="14792" customFormat="1" x14ac:dyDescent="0.3"/>
    <row r="14793" customFormat="1" x14ac:dyDescent="0.3"/>
    <row r="14794" customFormat="1" x14ac:dyDescent="0.3"/>
    <row r="14795" customFormat="1" x14ac:dyDescent="0.3"/>
    <row r="14796" customFormat="1" x14ac:dyDescent="0.3"/>
    <row r="14797" customFormat="1" x14ac:dyDescent="0.3"/>
    <row r="14798" customFormat="1" x14ac:dyDescent="0.3"/>
    <row r="14799" customFormat="1" x14ac:dyDescent="0.3"/>
    <row r="14800" customFormat="1" x14ac:dyDescent="0.3"/>
    <row r="14801" customFormat="1" x14ac:dyDescent="0.3"/>
    <row r="14802" customFormat="1" x14ac:dyDescent="0.3"/>
    <row r="14803" customFormat="1" x14ac:dyDescent="0.3"/>
    <row r="14804" customFormat="1" x14ac:dyDescent="0.3"/>
    <row r="14805" customFormat="1" x14ac:dyDescent="0.3"/>
    <row r="14806" customFormat="1" x14ac:dyDescent="0.3"/>
    <row r="14807" customFormat="1" x14ac:dyDescent="0.3"/>
    <row r="14808" customFormat="1" x14ac:dyDescent="0.3"/>
    <row r="14809" customFormat="1" x14ac:dyDescent="0.3"/>
    <row r="14810" customFormat="1" x14ac:dyDescent="0.3"/>
    <row r="14811" customFormat="1" x14ac:dyDescent="0.3"/>
    <row r="14812" customFormat="1" x14ac:dyDescent="0.3"/>
    <row r="14813" customFormat="1" x14ac:dyDescent="0.3"/>
    <row r="14814" customFormat="1" x14ac:dyDescent="0.3"/>
    <row r="14815" customFormat="1" x14ac:dyDescent="0.3"/>
    <row r="14816" customFormat="1" x14ac:dyDescent="0.3"/>
    <row r="14817" customFormat="1" x14ac:dyDescent="0.3"/>
    <row r="14818" customFormat="1" x14ac:dyDescent="0.3"/>
    <row r="14819" customFormat="1" x14ac:dyDescent="0.3"/>
    <row r="14820" customFormat="1" x14ac:dyDescent="0.3"/>
    <row r="14821" customFormat="1" x14ac:dyDescent="0.3"/>
    <row r="14822" customFormat="1" x14ac:dyDescent="0.3"/>
    <row r="14823" customFormat="1" x14ac:dyDescent="0.3"/>
    <row r="14824" customFormat="1" x14ac:dyDescent="0.3"/>
    <row r="14825" customFormat="1" x14ac:dyDescent="0.3"/>
    <row r="14826" customFormat="1" x14ac:dyDescent="0.3"/>
    <row r="14827" customFormat="1" x14ac:dyDescent="0.3"/>
    <row r="14828" customFormat="1" x14ac:dyDescent="0.3"/>
    <row r="14829" customFormat="1" x14ac:dyDescent="0.3"/>
    <row r="14830" customFormat="1" x14ac:dyDescent="0.3"/>
    <row r="14831" customFormat="1" x14ac:dyDescent="0.3"/>
    <row r="14832" customFormat="1" x14ac:dyDescent="0.3"/>
    <row r="14833" customFormat="1" x14ac:dyDescent="0.3"/>
    <row r="14834" customFormat="1" x14ac:dyDescent="0.3"/>
    <row r="14835" customFormat="1" x14ac:dyDescent="0.3"/>
    <row r="14836" customFormat="1" x14ac:dyDescent="0.3"/>
    <row r="14837" customFormat="1" x14ac:dyDescent="0.3"/>
    <row r="14838" customFormat="1" x14ac:dyDescent="0.3"/>
    <row r="14839" customFormat="1" x14ac:dyDescent="0.3"/>
    <row r="14840" customFormat="1" x14ac:dyDescent="0.3"/>
    <row r="14841" customFormat="1" x14ac:dyDescent="0.3"/>
    <row r="14842" customFormat="1" x14ac:dyDescent="0.3"/>
    <row r="14843" customFormat="1" x14ac:dyDescent="0.3"/>
    <row r="14844" customFormat="1" x14ac:dyDescent="0.3"/>
    <row r="14845" customFormat="1" x14ac:dyDescent="0.3"/>
    <row r="14846" customFormat="1" x14ac:dyDescent="0.3"/>
    <row r="14847" customFormat="1" x14ac:dyDescent="0.3"/>
    <row r="14848" customFormat="1" x14ac:dyDescent="0.3"/>
    <row r="14849" customFormat="1" x14ac:dyDescent="0.3"/>
    <row r="14850" customFormat="1" x14ac:dyDescent="0.3"/>
    <row r="14851" customFormat="1" x14ac:dyDescent="0.3"/>
    <row r="14852" customFormat="1" x14ac:dyDescent="0.3"/>
    <row r="14853" customFormat="1" x14ac:dyDescent="0.3"/>
    <row r="14854" customFormat="1" x14ac:dyDescent="0.3"/>
    <row r="14855" customFormat="1" x14ac:dyDescent="0.3"/>
    <row r="14856" customFormat="1" x14ac:dyDescent="0.3"/>
    <row r="14857" customFormat="1" x14ac:dyDescent="0.3"/>
    <row r="14858" customFormat="1" x14ac:dyDescent="0.3"/>
    <row r="14859" customFormat="1" x14ac:dyDescent="0.3"/>
    <row r="14860" customFormat="1" x14ac:dyDescent="0.3"/>
    <row r="14861" customFormat="1" x14ac:dyDescent="0.3"/>
    <row r="14862" customFormat="1" x14ac:dyDescent="0.3"/>
    <row r="14863" customFormat="1" x14ac:dyDescent="0.3"/>
    <row r="14864" customFormat="1" x14ac:dyDescent="0.3"/>
    <row r="14865" customFormat="1" x14ac:dyDescent="0.3"/>
    <row r="14866" customFormat="1" x14ac:dyDescent="0.3"/>
    <row r="14867" customFormat="1" x14ac:dyDescent="0.3"/>
    <row r="14868" customFormat="1" x14ac:dyDescent="0.3"/>
    <row r="14869" customFormat="1" x14ac:dyDescent="0.3"/>
    <row r="14870" customFormat="1" x14ac:dyDescent="0.3"/>
    <row r="14871" customFormat="1" x14ac:dyDescent="0.3"/>
    <row r="14872" customFormat="1" x14ac:dyDescent="0.3"/>
    <row r="14873" customFormat="1" x14ac:dyDescent="0.3"/>
    <row r="14874" customFormat="1" x14ac:dyDescent="0.3"/>
    <row r="14875" customFormat="1" x14ac:dyDescent="0.3"/>
    <row r="14876" customFormat="1" x14ac:dyDescent="0.3"/>
    <row r="14877" customFormat="1" x14ac:dyDescent="0.3"/>
    <row r="14878" customFormat="1" x14ac:dyDescent="0.3"/>
    <row r="14879" customFormat="1" x14ac:dyDescent="0.3"/>
    <row r="14880" customFormat="1" x14ac:dyDescent="0.3"/>
    <row r="14881" customFormat="1" x14ac:dyDescent="0.3"/>
    <row r="14882" customFormat="1" x14ac:dyDescent="0.3"/>
    <row r="14883" customFormat="1" x14ac:dyDescent="0.3"/>
    <row r="14884" customFormat="1" x14ac:dyDescent="0.3"/>
    <row r="14885" customFormat="1" x14ac:dyDescent="0.3"/>
    <row r="14886" customFormat="1" x14ac:dyDescent="0.3"/>
    <row r="14887" customFormat="1" x14ac:dyDescent="0.3"/>
    <row r="14888" customFormat="1" x14ac:dyDescent="0.3"/>
    <row r="14889" customFormat="1" x14ac:dyDescent="0.3"/>
    <row r="14890" customFormat="1" x14ac:dyDescent="0.3"/>
    <row r="14891" customFormat="1" x14ac:dyDescent="0.3"/>
    <row r="14892" customFormat="1" x14ac:dyDescent="0.3"/>
    <row r="14893" customFormat="1" x14ac:dyDescent="0.3"/>
    <row r="14894" customFormat="1" x14ac:dyDescent="0.3"/>
    <row r="14895" customFormat="1" x14ac:dyDescent="0.3"/>
    <row r="14896" customFormat="1" x14ac:dyDescent="0.3"/>
    <row r="14897" customFormat="1" x14ac:dyDescent="0.3"/>
    <row r="14898" customFormat="1" x14ac:dyDescent="0.3"/>
    <row r="14899" customFormat="1" x14ac:dyDescent="0.3"/>
    <row r="14900" customFormat="1" x14ac:dyDescent="0.3"/>
    <row r="14901" customFormat="1" x14ac:dyDescent="0.3"/>
    <row r="14902" customFormat="1" x14ac:dyDescent="0.3"/>
    <row r="14903" customFormat="1" x14ac:dyDescent="0.3"/>
    <row r="14904" customFormat="1" x14ac:dyDescent="0.3"/>
    <row r="14905" customFormat="1" x14ac:dyDescent="0.3"/>
    <row r="14906" customFormat="1" x14ac:dyDescent="0.3"/>
    <row r="14907" customFormat="1" x14ac:dyDescent="0.3"/>
    <row r="14908" customFormat="1" x14ac:dyDescent="0.3"/>
    <row r="14909" customFormat="1" x14ac:dyDescent="0.3"/>
    <row r="14910" customFormat="1" x14ac:dyDescent="0.3"/>
    <row r="14911" customFormat="1" x14ac:dyDescent="0.3"/>
    <row r="14912" customFormat="1" x14ac:dyDescent="0.3"/>
    <row r="14913" customFormat="1" x14ac:dyDescent="0.3"/>
    <row r="14914" customFormat="1" x14ac:dyDescent="0.3"/>
    <row r="14915" customFormat="1" x14ac:dyDescent="0.3"/>
    <row r="14916" customFormat="1" x14ac:dyDescent="0.3"/>
    <row r="14917" customFormat="1" x14ac:dyDescent="0.3"/>
    <row r="14918" customFormat="1" x14ac:dyDescent="0.3"/>
    <row r="14919" customFormat="1" x14ac:dyDescent="0.3"/>
    <row r="14920" customFormat="1" x14ac:dyDescent="0.3"/>
    <row r="14921" customFormat="1" x14ac:dyDescent="0.3"/>
    <row r="14922" customFormat="1" x14ac:dyDescent="0.3"/>
    <row r="14923" customFormat="1" x14ac:dyDescent="0.3"/>
    <row r="14924" customFormat="1" x14ac:dyDescent="0.3"/>
    <row r="14925" customFormat="1" x14ac:dyDescent="0.3"/>
    <row r="14926" customFormat="1" x14ac:dyDescent="0.3"/>
    <row r="14927" customFormat="1" x14ac:dyDescent="0.3"/>
    <row r="14928" customFormat="1" x14ac:dyDescent="0.3"/>
    <row r="14929" customFormat="1" x14ac:dyDescent="0.3"/>
    <row r="14930" customFormat="1" x14ac:dyDescent="0.3"/>
    <row r="14931" customFormat="1" x14ac:dyDescent="0.3"/>
    <row r="14932" customFormat="1" x14ac:dyDescent="0.3"/>
    <row r="14933" customFormat="1" x14ac:dyDescent="0.3"/>
    <row r="14934" customFormat="1" x14ac:dyDescent="0.3"/>
    <row r="14935" customFormat="1" x14ac:dyDescent="0.3"/>
    <row r="14936" customFormat="1" x14ac:dyDescent="0.3"/>
    <row r="14937" customFormat="1" x14ac:dyDescent="0.3"/>
    <row r="14938" customFormat="1" x14ac:dyDescent="0.3"/>
    <row r="14939" customFormat="1" x14ac:dyDescent="0.3"/>
    <row r="14940" customFormat="1" x14ac:dyDescent="0.3"/>
    <row r="14941" customFormat="1" x14ac:dyDescent="0.3"/>
    <row r="14942" customFormat="1" x14ac:dyDescent="0.3"/>
    <row r="14943" customFormat="1" x14ac:dyDescent="0.3"/>
    <row r="14944" customFormat="1" x14ac:dyDescent="0.3"/>
    <row r="14945" customFormat="1" x14ac:dyDescent="0.3"/>
    <row r="14946" customFormat="1" x14ac:dyDescent="0.3"/>
    <row r="14947" customFormat="1" x14ac:dyDescent="0.3"/>
    <row r="14948" customFormat="1" x14ac:dyDescent="0.3"/>
    <row r="14949" customFormat="1" x14ac:dyDescent="0.3"/>
    <row r="14950" customFormat="1" x14ac:dyDescent="0.3"/>
    <row r="14951" customFormat="1" x14ac:dyDescent="0.3"/>
    <row r="14952" customFormat="1" x14ac:dyDescent="0.3"/>
    <row r="14953" customFormat="1" x14ac:dyDescent="0.3"/>
    <row r="14954" customFormat="1" x14ac:dyDescent="0.3"/>
    <row r="14955" customFormat="1" x14ac:dyDescent="0.3"/>
    <row r="14956" customFormat="1" x14ac:dyDescent="0.3"/>
    <row r="14957" customFormat="1" x14ac:dyDescent="0.3"/>
    <row r="14958" customFormat="1" x14ac:dyDescent="0.3"/>
    <row r="14959" customFormat="1" x14ac:dyDescent="0.3"/>
    <row r="14960" customFormat="1" x14ac:dyDescent="0.3"/>
    <row r="14961" customFormat="1" x14ac:dyDescent="0.3"/>
    <row r="14962" customFormat="1" x14ac:dyDescent="0.3"/>
    <row r="14963" customFormat="1" x14ac:dyDescent="0.3"/>
    <row r="14964" customFormat="1" x14ac:dyDescent="0.3"/>
    <row r="14965" customFormat="1" x14ac:dyDescent="0.3"/>
    <row r="14966" customFormat="1" x14ac:dyDescent="0.3"/>
    <row r="14967" customFormat="1" x14ac:dyDescent="0.3"/>
    <row r="14968" customFormat="1" x14ac:dyDescent="0.3"/>
    <row r="14969" customFormat="1" x14ac:dyDescent="0.3"/>
    <row r="14970" customFormat="1" x14ac:dyDescent="0.3"/>
    <row r="14971" customFormat="1" x14ac:dyDescent="0.3"/>
    <row r="14972" customFormat="1" x14ac:dyDescent="0.3"/>
    <row r="14973" customFormat="1" x14ac:dyDescent="0.3"/>
    <row r="14974" customFormat="1" x14ac:dyDescent="0.3"/>
    <row r="14975" customFormat="1" x14ac:dyDescent="0.3"/>
    <row r="14976" customFormat="1" x14ac:dyDescent="0.3"/>
    <row r="14977" customFormat="1" x14ac:dyDescent="0.3"/>
    <row r="14978" customFormat="1" x14ac:dyDescent="0.3"/>
    <row r="14979" customFormat="1" x14ac:dyDescent="0.3"/>
    <row r="14980" customFormat="1" x14ac:dyDescent="0.3"/>
    <row r="14981" customFormat="1" x14ac:dyDescent="0.3"/>
    <row r="14982" customFormat="1" x14ac:dyDescent="0.3"/>
    <row r="14983" customFormat="1" x14ac:dyDescent="0.3"/>
    <row r="14984" customFormat="1" x14ac:dyDescent="0.3"/>
    <row r="14985" customFormat="1" x14ac:dyDescent="0.3"/>
    <row r="14986" customFormat="1" x14ac:dyDescent="0.3"/>
    <row r="14987" customFormat="1" x14ac:dyDescent="0.3"/>
    <row r="14988" customFormat="1" x14ac:dyDescent="0.3"/>
    <row r="14989" customFormat="1" x14ac:dyDescent="0.3"/>
    <row r="14990" customFormat="1" x14ac:dyDescent="0.3"/>
    <row r="14991" customFormat="1" x14ac:dyDescent="0.3"/>
    <row r="14992" customFormat="1" x14ac:dyDescent="0.3"/>
    <row r="14993" customFormat="1" x14ac:dyDescent="0.3"/>
    <row r="14994" customFormat="1" x14ac:dyDescent="0.3"/>
    <row r="14995" customFormat="1" x14ac:dyDescent="0.3"/>
    <row r="14996" customFormat="1" x14ac:dyDescent="0.3"/>
    <row r="14997" customFormat="1" x14ac:dyDescent="0.3"/>
    <row r="14998" customFormat="1" x14ac:dyDescent="0.3"/>
    <row r="14999" customFormat="1" x14ac:dyDescent="0.3"/>
    <row r="15000" customFormat="1" x14ac:dyDescent="0.3"/>
    <row r="15001" customFormat="1" x14ac:dyDescent="0.3"/>
    <row r="15002" customFormat="1" x14ac:dyDescent="0.3"/>
    <row r="15003" customFormat="1" x14ac:dyDescent="0.3"/>
    <row r="15004" customFormat="1" x14ac:dyDescent="0.3"/>
    <row r="15005" customFormat="1" x14ac:dyDescent="0.3"/>
    <row r="15006" customFormat="1" x14ac:dyDescent="0.3"/>
    <row r="15007" customFormat="1" x14ac:dyDescent="0.3"/>
    <row r="15008" customFormat="1" x14ac:dyDescent="0.3"/>
    <row r="15009" customFormat="1" x14ac:dyDescent="0.3"/>
    <row r="15010" customFormat="1" x14ac:dyDescent="0.3"/>
    <row r="15011" customFormat="1" x14ac:dyDescent="0.3"/>
    <row r="15012" customFormat="1" x14ac:dyDescent="0.3"/>
    <row r="15013" customFormat="1" x14ac:dyDescent="0.3"/>
    <row r="15014" customFormat="1" x14ac:dyDescent="0.3"/>
    <row r="15015" customFormat="1" x14ac:dyDescent="0.3"/>
    <row r="15016" customFormat="1" x14ac:dyDescent="0.3"/>
    <row r="15017" customFormat="1" x14ac:dyDescent="0.3"/>
    <row r="15018" customFormat="1" x14ac:dyDescent="0.3"/>
    <row r="15019" customFormat="1" x14ac:dyDescent="0.3"/>
    <row r="15020" customFormat="1" x14ac:dyDescent="0.3"/>
    <row r="15021" customFormat="1" x14ac:dyDescent="0.3"/>
    <row r="15022" customFormat="1" x14ac:dyDescent="0.3"/>
    <row r="15023" customFormat="1" x14ac:dyDescent="0.3"/>
    <row r="15024" customFormat="1" x14ac:dyDescent="0.3"/>
    <row r="15025" customFormat="1" x14ac:dyDescent="0.3"/>
    <row r="15026" customFormat="1" x14ac:dyDescent="0.3"/>
    <row r="15027" customFormat="1" x14ac:dyDescent="0.3"/>
    <row r="15028" customFormat="1" x14ac:dyDescent="0.3"/>
    <row r="15029" customFormat="1" x14ac:dyDescent="0.3"/>
    <row r="15030" customFormat="1" x14ac:dyDescent="0.3"/>
    <row r="15031" customFormat="1" x14ac:dyDescent="0.3"/>
    <row r="15032" customFormat="1" x14ac:dyDescent="0.3"/>
    <row r="15033" customFormat="1" x14ac:dyDescent="0.3"/>
    <row r="15034" customFormat="1" x14ac:dyDescent="0.3"/>
    <row r="15035" customFormat="1" x14ac:dyDescent="0.3"/>
    <row r="15036" customFormat="1" x14ac:dyDescent="0.3"/>
    <row r="15037" customFormat="1" x14ac:dyDescent="0.3"/>
    <row r="15038" customFormat="1" x14ac:dyDescent="0.3"/>
    <row r="15039" customFormat="1" x14ac:dyDescent="0.3"/>
    <row r="15040" customFormat="1" x14ac:dyDescent="0.3"/>
    <row r="15041" customFormat="1" x14ac:dyDescent="0.3"/>
    <row r="15042" customFormat="1" x14ac:dyDescent="0.3"/>
    <row r="15043" customFormat="1" x14ac:dyDescent="0.3"/>
    <row r="15044" customFormat="1" x14ac:dyDescent="0.3"/>
    <row r="15045" customFormat="1" x14ac:dyDescent="0.3"/>
    <row r="15046" customFormat="1" x14ac:dyDescent="0.3"/>
    <row r="15047" customFormat="1" x14ac:dyDescent="0.3"/>
    <row r="15048" customFormat="1" x14ac:dyDescent="0.3"/>
    <row r="15049" customFormat="1" x14ac:dyDescent="0.3"/>
    <row r="15050" customFormat="1" x14ac:dyDescent="0.3"/>
    <row r="15051" customFormat="1" x14ac:dyDescent="0.3"/>
    <row r="15052" customFormat="1" x14ac:dyDescent="0.3"/>
    <row r="15053" customFormat="1" x14ac:dyDescent="0.3"/>
    <row r="15054" customFormat="1" x14ac:dyDescent="0.3"/>
    <row r="15055" customFormat="1" x14ac:dyDescent="0.3"/>
    <row r="15056" customFormat="1" x14ac:dyDescent="0.3"/>
    <row r="15057" customFormat="1" x14ac:dyDescent="0.3"/>
    <row r="15058" customFormat="1" x14ac:dyDescent="0.3"/>
    <row r="15059" customFormat="1" x14ac:dyDescent="0.3"/>
    <row r="15060" customFormat="1" x14ac:dyDescent="0.3"/>
    <row r="15061" customFormat="1" x14ac:dyDescent="0.3"/>
    <row r="15062" customFormat="1" x14ac:dyDescent="0.3"/>
    <row r="15063" customFormat="1" x14ac:dyDescent="0.3"/>
    <row r="15064" customFormat="1" x14ac:dyDescent="0.3"/>
    <row r="15065" customFormat="1" x14ac:dyDescent="0.3"/>
    <row r="15066" customFormat="1" x14ac:dyDescent="0.3"/>
    <row r="15067" customFormat="1" x14ac:dyDescent="0.3"/>
    <row r="15068" customFormat="1" x14ac:dyDescent="0.3"/>
    <row r="15069" customFormat="1" x14ac:dyDescent="0.3"/>
    <row r="15070" customFormat="1" x14ac:dyDescent="0.3"/>
    <row r="15071" customFormat="1" x14ac:dyDescent="0.3"/>
    <row r="15072" customFormat="1" x14ac:dyDescent="0.3"/>
    <row r="15073" customFormat="1" x14ac:dyDescent="0.3"/>
    <row r="15074" customFormat="1" x14ac:dyDescent="0.3"/>
    <row r="15075" customFormat="1" x14ac:dyDescent="0.3"/>
    <row r="15076" customFormat="1" x14ac:dyDescent="0.3"/>
    <row r="15077" customFormat="1" x14ac:dyDescent="0.3"/>
    <row r="15078" customFormat="1" x14ac:dyDescent="0.3"/>
    <row r="15079" customFormat="1" x14ac:dyDescent="0.3"/>
    <row r="15080" customFormat="1" x14ac:dyDescent="0.3"/>
    <row r="15081" customFormat="1" x14ac:dyDescent="0.3"/>
    <row r="15082" customFormat="1" x14ac:dyDescent="0.3"/>
    <row r="15083" customFormat="1" x14ac:dyDescent="0.3"/>
    <row r="15084" customFormat="1" x14ac:dyDescent="0.3"/>
    <row r="15085" customFormat="1" x14ac:dyDescent="0.3"/>
    <row r="15086" customFormat="1" x14ac:dyDescent="0.3"/>
    <row r="15087" customFormat="1" x14ac:dyDescent="0.3"/>
    <row r="15088" customFormat="1" x14ac:dyDescent="0.3"/>
    <row r="15089" customFormat="1" x14ac:dyDescent="0.3"/>
    <row r="15090" customFormat="1" x14ac:dyDescent="0.3"/>
    <row r="15091" customFormat="1" x14ac:dyDescent="0.3"/>
    <row r="15092" customFormat="1" x14ac:dyDescent="0.3"/>
    <row r="15093" customFormat="1" x14ac:dyDescent="0.3"/>
    <row r="15094" customFormat="1" x14ac:dyDescent="0.3"/>
    <row r="15095" customFormat="1" x14ac:dyDescent="0.3"/>
    <row r="15096" customFormat="1" x14ac:dyDescent="0.3"/>
    <row r="15097" customFormat="1" x14ac:dyDescent="0.3"/>
    <row r="15098" customFormat="1" x14ac:dyDescent="0.3"/>
    <row r="15099" customFormat="1" x14ac:dyDescent="0.3"/>
    <row r="15100" customFormat="1" x14ac:dyDescent="0.3"/>
    <row r="15101" customFormat="1" x14ac:dyDescent="0.3"/>
    <row r="15102" customFormat="1" x14ac:dyDescent="0.3"/>
    <row r="15103" customFormat="1" x14ac:dyDescent="0.3"/>
    <row r="15104" customFormat="1" x14ac:dyDescent="0.3"/>
    <row r="15105" customFormat="1" x14ac:dyDescent="0.3"/>
    <row r="15106" customFormat="1" x14ac:dyDescent="0.3"/>
    <row r="15107" customFormat="1" x14ac:dyDescent="0.3"/>
    <row r="15108" customFormat="1" x14ac:dyDescent="0.3"/>
    <row r="15109" customFormat="1" x14ac:dyDescent="0.3"/>
    <row r="15110" customFormat="1" x14ac:dyDescent="0.3"/>
    <row r="15111" customFormat="1" x14ac:dyDescent="0.3"/>
    <row r="15112" customFormat="1" x14ac:dyDescent="0.3"/>
    <row r="15113" customFormat="1" x14ac:dyDescent="0.3"/>
    <row r="15114" customFormat="1" x14ac:dyDescent="0.3"/>
    <row r="15115" customFormat="1" x14ac:dyDescent="0.3"/>
    <row r="15116" customFormat="1" x14ac:dyDescent="0.3"/>
    <row r="15117" customFormat="1" x14ac:dyDescent="0.3"/>
    <row r="15118" customFormat="1" x14ac:dyDescent="0.3"/>
    <row r="15119" customFormat="1" x14ac:dyDescent="0.3"/>
    <row r="15120" customFormat="1" x14ac:dyDescent="0.3"/>
    <row r="15121" customFormat="1" x14ac:dyDescent="0.3"/>
    <row r="15122" customFormat="1" x14ac:dyDescent="0.3"/>
    <row r="15123" customFormat="1" x14ac:dyDescent="0.3"/>
    <row r="15124" customFormat="1" x14ac:dyDescent="0.3"/>
    <row r="15125" customFormat="1" x14ac:dyDescent="0.3"/>
    <row r="15126" customFormat="1" x14ac:dyDescent="0.3"/>
    <row r="15127" customFormat="1" x14ac:dyDescent="0.3"/>
    <row r="15128" customFormat="1" x14ac:dyDescent="0.3"/>
    <row r="15129" customFormat="1" x14ac:dyDescent="0.3"/>
    <row r="15130" customFormat="1" x14ac:dyDescent="0.3"/>
    <row r="15131" customFormat="1" x14ac:dyDescent="0.3"/>
    <row r="15132" customFormat="1" x14ac:dyDescent="0.3"/>
    <row r="15133" customFormat="1" x14ac:dyDescent="0.3"/>
    <row r="15134" customFormat="1" x14ac:dyDescent="0.3"/>
    <row r="15135" customFormat="1" x14ac:dyDescent="0.3"/>
    <row r="15136" customFormat="1" x14ac:dyDescent="0.3"/>
    <row r="15137" customFormat="1" x14ac:dyDescent="0.3"/>
    <row r="15138" customFormat="1" x14ac:dyDescent="0.3"/>
    <row r="15139" customFormat="1" x14ac:dyDescent="0.3"/>
    <row r="15140" customFormat="1" x14ac:dyDescent="0.3"/>
    <row r="15141" customFormat="1" x14ac:dyDescent="0.3"/>
    <row r="15142" customFormat="1" x14ac:dyDescent="0.3"/>
    <row r="15143" customFormat="1" x14ac:dyDescent="0.3"/>
    <row r="15144" customFormat="1" x14ac:dyDescent="0.3"/>
    <row r="15145" customFormat="1" x14ac:dyDescent="0.3"/>
    <row r="15146" customFormat="1" x14ac:dyDescent="0.3"/>
    <row r="15147" customFormat="1" x14ac:dyDescent="0.3"/>
    <row r="15148" customFormat="1" x14ac:dyDescent="0.3"/>
    <row r="15149" customFormat="1" x14ac:dyDescent="0.3"/>
    <row r="15150" customFormat="1" x14ac:dyDescent="0.3"/>
    <row r="15151" customFormat="1" x14ac:dyDescent="0.3"/>
    <row r="15152" customFormat="1" x14ac:dyDescent="0.3"/>
    <row r="15153" customFormat="1" x14ac:dyDescent="0.3"/>
    <row r="15154" customFormat="1" x14ac:dyDescent="0.3"/>
    <row r="15155" customFormat="1" x14ac:dyDescent="0.3"/>
    <row r="15156" customFormat="1" x14ac:dyDescent="0.3"/>
    <row r="15157" customFormat="1" x14ac:dyDescent="0.3"/>
    <row r="15158" customFormat="1" x14ac:dyDescent="0.3"/>
    <row r="15159" customFormat="1" x14ac:dyDescent="0.3"/>
    <row r="15160" customFormat="1" x14ac:dyDescent="0.3"/>
    <row r="15161" customFormat="1" x14ac:dyDescent="0.3"/>
    <row r="15162" customFormat="1" x14ac:dyDescent="0.3"/>
    <row r="15163" customFormat="1" x14ac:dyDescent="0.3"/>
    <row r="15164" customFormat="1" x14ac:dyDescent="0.3"/>
    <row r="15165" customFormat="1" x14ac:dyDescent="0.3"/>
    <row r="15166" customFormat="1" x14ac:dyDescent="0.3"/>
    <row r="15167" customFormat="1" x14ac:dyDescent="0.3"/>
    <row r="15168" customFormat="1" x14ac:dyDescent="0.3"/>
    <row r="15169" customFormat="1" x14ac:dyDescent="0.3"/>
    <row r="15170" customFormat="1" x14ac:dyDescent="0.3"/>
    <row r="15171" customFormat="1" x14ac:dyDescent="0.3"/>
    <row r="15172" customFormat="1" x14ac:dyDescent="0.3"/>
    <row r="15173" customFormat="1" x14ac:dyDescent="0.3"/>
    <row r="15174" customFormat="1" x14ac:dyDescent="0.3"/>
    <row r="15175" customFormat="1" x14ac:dyDescent="0.3"/>
    <row r="15176" customFormat="1" x14ac:dyDescent="0.3"/>
    <row r="15177" customFormat="1" x14ac:dyDescent="0.3"/>
    <row r="15178" customFormat="1" x14ac:dyDescent="0.3"/>
    <row r="15179" customFormat="1" x14ac:dyDescent="0.3"/>
    <row r="15180" customFormat="1" x14ac:dyDescent="0.3"/>
    <row r="15181" customFormat="1" x14ac:dyDescent="0.3"/>
    <row r="15182" customFormat="1" x14ac:dyDescent="0.3"/>
    <row r="15183" customFormat="1" x14ac:dyDescent="0.3"/>
    <row r="15184" customFormat="1" x14ac:dyDescent="0.3"/>
    <row r="15185" customFormat="1" x14ac:dyDescent="0.3"/>
    <row r="15186" customFormat="1" x14ac:dyDescent="0.3"/>
    <row r="15187" customFormat="1" x14ac:dyDescent="0.3"/>
    <row r="15188" customFormat="1" x14ac:dyDescent="0.3"/>
    <row r="15189" customFormat="1" x14ac:dyDescent="0.3"/>
    <row r="15190" customFormat="1" x14ac:dyDescent="0.3"/>
    <row r="15191" customFormat="1" x14ac:dyDescent="0.3"/>
    <row r="15192" customFormat="1" x14ac:dyDescent="0.3"/>
    <row r="15193" customFormat="1" x14ac:dyDescent="0.3"/>
    <row r="15194" customFormat="1" x14ac:dyDescent="0.3"/>
    <row r="15195" customFormat="1" x14ac:dyDescent="0.3"/>
    <row r="15196" customFormat="1" x14ac:dyDescent="0.3"/>
    <row r="15197" customFormat="1" x14ac:dyDescent="0.3"/>
    <row r="15198" customFormat="1" x14ac:dyDescent="0.3"/>
    <row r="15199" customFormat="1" x14ac:dyDescent="0.3"/>
    <row r="15200" customFormat="1" x14ac:dyDescent="0.3"/>
    <row r="15201" customFormat="1" x14ac:dyDescent="0.3"/>
    <row r="15202" customFormat="1" x14ac:dyDescent="0.3"/>
    <row r="15203" customFormat="1" x14ac:dyDescent="0.3"/>
    <row r="15204" customFormat="1" x14ac:dyDescent="0.3"/>
    <row r="15205" customFormat="1" x14ac:dyDescent="0.3"/>
    <row r="15206" customFormat="1" x14ac:dyDescent="0.3"/>
    <row r="15207" customFormat="1" x14ac:dyDescent="0.3"/>
    <row r="15208" customFormat="1" x14ac:dyDescent="0.3"/>
    <row r="15209" customFormat="1" x14ac:dyDescent="0.3"/>
    <row r="15210" customFormat="1" x14ac:dyDescent="0.3"/>
    <row r="15211" customFormat="1" x14ac:dyDescent="0.3"/>
    <row r="15212" customFormat="1" x14ac:dyDescent="0.3"/>
    <row r="15213" customFormat="1" x14ac:dyDescent="0.3"/>
    <row r="15214" customFormat="1" x14ac:dyDescent="0.3"/>
    <row r="15215" customFormat="1" x14ac:dyDescent="0.3"/>
    <row r="15216" customFormat="1" x14ac:dyDescent="0.3"/>
    <row r="15217" customFormat="1" x14ac:dyDescent="0.3"/>
    <row r="15218" customFormat="1" x14ac:dyDescent="0.3"/>
    <row r="15219" customFormat="1" x14ac:dyDescent="0.3"/>
    <row r="15220" customFormat="1" x14ac:dyDescent="0.3"/>
    <row r="15221" customFormat="1" x14ac:dyDescent="0.3"/>
    <row r="15222" customFormat="1" x14ac:dyDescent="0.3"/>
    <row r="15223" customFormat="1" x14ac:dyDescent="0.3"/>
    <row r="15224" customFormat="1" x14ac:dyDescent="0.3"/>
    <row r="15225" customFormat="1" x14ac:dyDescent="0.3"/>
    <row r="15226" customFormat="1" x14ac:dyDescent="0.3"/>
    <row r="15227" customFormat="1" x14ac:dyDescent="0.3"/>
    <row r="15228" customFormat="1" x14ac:dyDescent="0.3"/>
    <row r="15229" customFormat="1" x14ac:dyDescent="0.3"/>
    <row r="15230" customFormat="1" x14ac:dyDescent="0.3"/>
    <row r="15231" customFormat="1" x14ac:dyDescent="0.3"/>
    <row r="15232" customFormat="1" x14ac:dyDescent="0.3"/>
    <row r="15233" customFormat="1" x14ac:dyDescent="0.3"/>
    <row r="15234" customFormat="1" x14ac:dyDescent="0.3"/>
    <row r="15235" customFormat="1" x14ac:dyDescent="0.3"/>
    <row r="15236" customFormat="1" x14ac:dyDescent="0.3"/>
    <row r="15237" customFormat="1" x14ac:dyDescent="0.3"/>
    <row r="15238" customFormat="1" x14ac:dyDescent="0.3"/>
    <row r="15239" customFormat="1" x14ac:dyDescent="0.3"/>
    <row r="15240" customFormat="1" x14ac:dyDescent="0.3"/>
    <row r="15241" customFormat="1" x14ac:dyDescent="0.3"/>
    <row r="15242" customFormat="1" x14ac:dyDescent="0.3"/>
    <row r="15243" customFormat="1" x14ac:dyDescent="0.3"/>
    <row r="15244" customFormat="1" x14ac:dyDescent="0.3"/>
    <row r="15245" customFormat="1" x14ac:dyDescent="0.3"/>
    <row r="15246" customFormat="1" x14ac:dyDescent="0.3"/>
    <row r="15247" customFormat="1" x14ac:dyDescent="0.3"/>
    <row r="15248" customFormat="1" x14ac:dyDescent="0.3"/>
    <row r="15249" customFormat="1" x14ac:dyDescent="0.3"/>
    <row r="15250" customFormat="1" x14ac:dyDescent="0.3"/>
    <row r="15251" customFormat="1" x14ac:dyDescent="0.3"/>
    <row r="15252" customFormat="1" x14ac:dyDescent="0.3"/>
    <row r="15253" customFormat="1" x14ac:dyDescent="0.3"/>
    <row r="15254" customFormat="1" x14ac:dyDescent="0.3"/>
    <row r="15255" customFormat="1" x14ac:dyDescent="0.3"/>
    <row r="15256" customFormat="1" x14ac:dyDescent="0.3"/>
    <row r="15257" customFormat="1" x14ac:dyDescent="0.3"/>
    <row r="15258" customFormat="1" x14ac:dyDescent="0.3"/>
    <row r="15259" customFormat="1" x14ac:dyDescent="0.3"/>
    <row r="15260" customFormat="1" x14ac:dyDescent="0.3"/>
    <row r="15261" customFormat="1" x14ac:dyDescent="0.3"/>
    <row r="15262" customFormat="1" x14ac:dyDescent="0.3"/>
    <row r="15263" customFormat="1" x14ac:dyDescent="0.3"/>
    <row r="15264" customFormat="1" x14ac:dyDescent="0.3"/>
    <row r="15265" customFormat="1" x14ac:dyDescent="0.3"/>
    <row r="15266" customFormat="1" x14ac:dyDescent="0.3"/>
    <row r="15267" customFormat="1" x14ac:dyDescent="0.3"/>
    <row r="15268" customFormat="1" x14ac:dyDescent="0.3"/>
    <row r="15269" customFormat="1" x14ac:dyDescent="0.3"/>
    <row r="15270" customFormat="1" x14ac:dyDescent="0.3"/>
    <row r="15271" customFormat="1" x14ac:dyDescent="0.3"/>
    <row r="15272" customFormat="1" x14ac:dyDescent="0.3"/>
    <row r="15273" customFormat="1" x14ac:dyDescent="0.3"/>
    <row r="15274" customFormat="1" x14ac:dyDescent="0.3"/>
    <row r="15275" customFormat="1" x14ac:dyDescent="0.3"/>
    <row r="15276" customFormat="1" x14ac:dyDescent="0.3"/>
    <row r="15277" customFormat="1" x14ac:dyDescent="0.3"/>
    <row r="15278" customFormat="1" x14ac:dyDescent="0.3"/>
    <row r="15279" customFormat="1" x14ac:dyDescent="0.3"/>
    <row r="15280" customFormat="1" x14ac:dyDescent="0.3"/>
    <row r="15281" customFormat="1" x14ac:dyDescent="0.3"/>
    <row r="15282" customFormat="1" x14ac:dyDescent="0.3"/>
    <row r="15283" customFormat="1" x14ac:dyDescent="0.3"/>
    <row r="15284" customFormat="1" x14ac:dyDescent="0.3"/>
    <row r="15285" customFormat="1" x14ac:dyDescent="0.3"/>
    <row r="15286" customFormat="1" x14ac:dyDescent="0.3"/>
    <row r="15287" customFormat="1" x14ac:dyDescent="0.3"/>
    <row r="15288" customFormat="1" x14ac:dyDescent="0.3"/>
    <row r="15289" customFormat="1" x14ac:dyDescent="0.3"/>
    <row r="15290" customFormat="1" x14ac:dyDescent="0.3"/>
    <row r="15291" customFormat="1" x14ac:dyDescent="0.3"/>
    <row r="15292" customFormat="1" x14ac:dyDescent="0.3"/>
    <row r="15293" customFormat="1" x14ac:dyDescent="0.3"/>
    <row r="15294" customFormat="1" x14ac:dyDescent="0.3"/>
    <row r="15295" customFormat="1" x14ac:dyDescent="0.3"/>
    <row r="15296" customFormat="1" x14ac:dyDescent="0.3"/>
    <row r="15297" customFormat="1" x14ac:dyDescent="0.3"/>
    <row r="15298" customFormat="1" x14ac:dyDescent="0.3"/>
    <row r="15299" customFormat="1" x14ac:dyDescent="0.3"/>
    <row r="15300" customFormat="1" x14ac:dyDescent="0.3"/>
    <row r="15301" customFormat="1" x14ac:dyDescent="0.3"/>
    <row r="15302" customFormat="1" x14ac:dyDescent="0.3"/>
    <row r="15303" customFormat="1" x14ac:dyDescent="0.3"/>
    <row r="15304" customFormat="1" x14ac:dyDescent="0.3"/>
    <row r="15305" customFormat="1" x14ac:dyDescent="0.3"/>
    <row r="15306" customFormat="1" x14ac:dyDescent="0.3"/>
    <row r="15307" customFormat="1" x14ac:dyDescent="0.3"/>
    <row r="15308" customFormat="1" x14ac:dyDescent="0.3"/>
    <row r="15309" customFormat="1" x14ac:dyDescent="0.3"/>
    <row r="15310" customFormat="1" x14ac:dyDescent="0.3"/>
    <row r="15311" customFormat="1" x14ac:dyDescent="0.3"/>
    <row r="15312" customFormat="1" x14ac:dyDescent="0.3"/>
    <row r="15313" customFormat="1" x14ac:dyDescent="0.3"/>
    <row r="15314" customFormat="1" x14ac:dyDescent="0.3"/>
    <row r="15315" customFormat="1" x14ac:dyDescent="0.3"/>
    <row r="15316" customFormat="1" x14ac:dyDescent="0.3"/>
    <row r="15317" customFormat="1" x14ac:dyDescent="0.3"/>
    <row r="15318" customFormat="1" x14ac:dyDescent="0.3"/>
    <row r="15319" customFormat="1" x14ac:dyDescent="0.3"/>
    <row r="15320" customFormat="1" x14ac:dyDescent="0.3"/>
    <row r="15321" customFormat="1" x14ac:dyDescent="0.3"/>
    <row r="15322" customFormat="1" x14ac:dyDescent="0.3"/>
    <row r="15323" customFormat="1" x14ac:dyDescent="0.3"/>
    <row r="15324" customFormat="1" x14ac:dyDescent="0.3"/>
    <row r="15325" customFormat="1" x14ac:dyDescent="0.3"/>
    <row r="15326" customFormat="1" x14ac:dyDescent="0.3"/>
    <row r="15327" customFormat="1" x14ac:dyDescent="0.3"/>
    <row r="15328" customFormat="1" x14ac:dyDescent="0.3"/>
    <row r="15329" customFormat="1" x14ac:dyDescent="0.3"/>
    <row r="15330" customFormat="1" x14ac:dyDescent="0.3"/>
    <row r="15331" customFormat="1" x14ac:dyDescent="0.3"/>
    <row r="15332" customFormat="1" x14ac:dyDescent="0.3"/>
    <row r="15333" customFormat="1" x14ac:dyDescent="0.3"/>
    <row r="15334" customFormat="1" x14ac:dyDescent="0.3"/>
    <row r="15335" customFormat="1" x14ac:dyDescent="0.3"/>
    <row r="15336" customFormat="1" x14ac:dyDescent="0.3"/>
    <row r="15337" customFormat="1" x14ac:dyDescent="0.3"/>
    <row r="15338" customFormat="1" x14ac:dyDescent="0.3"/>
    <row r="15339" customFormat="1" x14ac:dyDescent="0.3"/>
    <row r="15340" customFormat="1" x14ac:dyDescent="0.3"/>
    <row r="15341" customFormat="1" x14ac:dyDescent="0.3"/>
    <row r="15342" customFormat="1" x14ac:dyDescent="0.3"/>
    <row r="15343" customFormat="1" x14ac:dyDescent="0.3"/>
    <row r="15344" customFormat="1" x14ac:dyDescent="0.3"/>
    <row r="15345" customFormat="1" x14ac:dyDescent="0.3"/>
    <row r="15346" customFormat="1" x14ac:dyDescent="0.3"/>
    <row r="15347" customFormat="1" x14ac:dyDescent="0.3"/>
    <row r="15348" customFormat="1" x14ac:dyDescent="0.3"/>
    <row r="15349" customFormat="1" x14ac:dyDescent="0.3"/>
    <row r="15350" customFormat="1" x14ac:dyDescent="0.3"/>
    <row r="15351" customFormat="1" x14ac:dyDescent="0.3"/>
    <row r="15352" customFormat="1" x14ac:dyDescent="0.3"/>
    <row r="15353" customFormat="1" x14ac:dyDescent="0.3"/>
    <row r="15354" customFormat="1" x14ac:dyDescent="0.3"/>
    <row r="15355" customFormat="1" x14ac:dyDescent="0.3"/>
    <row r="15356" customFormat="1" x14ac:dyDescent="0.3"/>
    <row r="15357" customFormat="1" x14ac:dyDescent="0.3"/>
    <row r="15358" customFormat="1" x14ac:dyDescent="0.3"/>
    <row r="15359" customFormat="1" x14ac:dyDescent="0.3"/>
    <row r="15360" customFormat="1" x14ac:dyDescent="0.3"/>
    <row r="15361" customFormat="1" x14ac:dyDescent="0.3"/>
    <row r="15362" customFormat="1" x14ac:dyDescent="0.3"/>
    <row r="15363" customFormat="1" x14ac:dyDescent="0.3"/>
    <row r="15364" customFormat="1" x14ac:dyDescent="0.3"/>
    <row r="15365" customFormat="1" x14ac:dyDescent="0.3"/>
    <row r="15366" customFormat="1" x14ac:dyDescent="0.3"/>
    <row r="15367" customFormat="1" x14ac:dyDescent="0.3"/>
    <row r="15368" customFormat="1" x14ac:dyDescent="0.3"/>
    <row r="15369" customFormat="1" x14ac:dyDescent="0.3"/>
    <row r="15370" customFormat="1" x14ac:dyDescent="0.3"/>
    <row r="15371" customFormat="1" x14ac:dyDescent="0.3"/>
    <row r="15372" customFormat="1" x14ac:dyDescent="0.3"/>
    <row r="15373" customFormat="1" x14ac:dyDescent="0.3"/>
    <row r="15374" customFormat="1" x14ac:dyDescent="0.3"/>
    <row r="15375" customFormat="1" x14ac:dyDescent="0.3"/>
    <row r="15376" customFormat="1" x14ac:dyDescent="0.3"/>
    <row r="15377" customFormat="1" x14ac:dyDescent="0.3"/>
    <row r="15378" customFormat="1" x14ac:dyDescent="0.3"/>
    <row r="15379" customFormat="1" x14ac:dyDescent="0.3"/>
    <row r="15380" customFormat="1" x14ac:dyDescent="0.3"/>
    <row r="15381" customFormat="1" x14ac:dyDescent="0.3"/>
    <row r="15382" customFormat="1" x14ac:dyDescent="0.3"/>
    <row r="15383" customFormat="1" x14ac:dyDescent="0.3"/>
    <row r="15384" customFormat="1" x14ac:dyDescent="0.3"/>
    <row r="15385" customFormat="1" x14ac:dyDescent="0.3"/>
    <row r="15386" customFormat="1" x14ac:dyDescent="0.3"/>
    <row r="15387" customFormat="1" x14ac:dyDescent="0.3"/>
    <row r="15388" customFormat="1" x14ac:dyDescent="0.3"/>
    <row r="15389" customFormat="1" x14ac:dyDescent="0.3"/>
    <row r="15390" customFormat="1" x14ac:dyDescent="0.3"/>
    <row r="15391" customFormat="1" x14ac:dyDescent="0.3"/>
    <row r="15392" customFormat="1" x14ac:dyDescent="0.3"/>
    <row r="15393" customFormat="1" x14ac:dyDescent="0.3"/>
    <row r="15394" customFormat="1" x14ac:dyDescent="0.3"/>
    <row r="15395" customFormat="1" x14ac:dyDescent="0.3"/>
    <row r="15396" customFormat="1" x14ac:dyDescent="0.3"/>
    <row r="15397" customFormat="1" x14ac:dyDescent="0.3"/>
    <row r="15398" customFormat="1" x14ac:dyDescent="0.3"/>
    <row r="15399" customFormat="1" x14ac:dyDescent="0.3"/>
    <row r="15400" customFormat="1" x14ac:dyDescent="0.3"/>
    <row r="15401" customFormat="1" x14ac:dyDescent="0.3"/>
    <row r="15402" customFormat="1" x14ac:dyDescent="0.3"/>
    <row r="15403" customFormat="1" x14ac:dyDescent="0.3"/>
    <row r="15404" customFormat="1" x14ac:dyDescent="0.3"/>
    <row r="15405" customFormat="1" x14ac:dyDescent="0.3"/>
    <row r="15406" customFormat="1" x14ac:dyDescent="0.3"/>
    <row r="15407" customFormat="1" x14ac:dyDescent="0.3"/>
    <row r="15408" customFormat="1" x14ac:dyDescent="0.3"/>
    <row r="15409" customFormat="1" x14ac:dyDescent="0.3"/>
    <row r="15410" customFormat="1" x14ac:dyDescent="0.3"/>
    <row r="15411" customFormat="1" x14ac:dyDescent="0.3"/>
    <row r="15412" customFormat="1" x14ac:dyDescent="0.3"/>
    <row r="15413" customFormat="1" x14ac:dyDescent="0.3"/>
    <row r="15414" customFormat="1" x14ac:dyDescent="0.3"/>
    <row r="15415" customFormat="1" x14ac:dyDescent="0.3"/>
    <row r="15416" customFormat="1" x14ac:dyDescent="0.3"/>
    <row r="15417" customFormat="1" x14ac:dyDescent="0.3"/>
    <row r="15418" customFormat="1" x14ac:dyDescent="0.3"/>
    <row r="15419" customFormat="1" x14ac:dyDescent="0.3"/>
    <row r="15420" customFormat="1" x14ac:dyDescent="0.3"/>
    <row r="15421" customFormat="1" x14ac:dyDescent="0.3"/>
    <row r="15422" customFormat="1" x14ac:dyDescent="0.3"/>
    <row r="15423" customFormat="1" x14ac:dyDescent="0.3"/>
    <row r="15424" customFormat="1" x14ac:dyDescent="0.3"/>
    <row r="15425" customFormat="1" x14ac:dyDescent="0.3"/>
    <row r="15426" customFormat="1" x14ac:dyDescent="0.3"/>
    <row r="15427" customFormat="1" x14ac:dyDescent="0.3"/>
    <row r="15428" customFormat="1" x14ac:dyDescent="0.3"/>
    <row r="15429" customFormat="1" x14ac:dyDescent="0.3"/>
    <row r="15430" customFormat="1" x14ac:dyDescent="0.3"/>
    <row r="15431" customFormat="1" x14ac:dyDescent="0.3"/>
    <row r="15432" customFormat="1" x14ac:dyDescent="0.3"/>
    <row r="15433" customFormat="1" x14ac:dyDescent="0.3"/>
    <row r="15434" customFormat="1" x14ac:dyDescent="0.3"/>
    <row r="15435" customFormat="1" x14ac:dyDescent="0.3"/>
    <row r="15436" customFormat="1" x14ac:dyDescent="0.3"/>
    <row r="15437" customFormat="1" x14ac:dyDescent="0.3"/>
    <row r="15438" customFormat="1" x14ac:dyDescent="0.3"/>
    <row r="15439" customFormat="1" x14ac:dyDescent="0.3"/>
    <row r="15440" customFormat="1" x14ac:dyDescent="0.3"/>
    <row r="15441" customFormat="1" x14ac:dyDescent="0.3"/>
    <row r="15442" customFormat="1" x14ac:dyDescent="0.3"/>
    <row r="15443" customFormat="1" x14ac:dyDescent="0.3"/>
    <row r="15444" customFormat="1" x14ac:dyDescent="0.3"/>
    <row r="15445" customFormat="1" x14ac:dyDescent="0.3"/>
    <row r="15446" customFormat="1" x14ac:dyDescent="0.3"/>
    <row r="15447" customFormat="1" x14ac:dyDescent="0.3"/>
    <row r="15448" customFormat="1" x14ac:dyDescent="0.3"/>
    <row r="15449" customFormat="1" x14ac:dyDescent="0.3"/>
    <row r="15450" customFormat="1" x14ac:dyDescent="0.3"/>
    <row r="15451" customFormat="1" x14ac:dyDescent="0.3"/>
    <row r="15452" customFormat="1" x14ac:dyDescent="0.3"/>
    <row r="15453" customFormat="1" x14ac:dyDescent="0.3"/>
    <row r="15454" customFormat="1" x14ac:dyDescent="0.3"/>
    <row r="15455" customFormat="1" x14ac:dyDescent="0.3"/>
    <row r="15456" customFormat="1" x14ac:dyDescent="0.3"/>
    <row r="15457" customFormat="1" x14ac:dyDescent="0.3"/>
    <row r="15458" customFormat="1" x14ac:dyDescent="0.3"/>
    <row r="15459" customFormat="1" x14ac:dyDescent="0.3"/>
    <row r="15460" customFormat="1" x14ac:dyDescent="0.3"/>
    <row r="15461" customFormat="1" x14ac:dyDescent="0.3"/>
    <row r="15462" customFormat="1" x14ac:dyDescent="0.3"/>
    <row r="15463" customFormat="1" x14ac:dyDescent="0.3"/>
    <row r="15464" customFormat="1" x14ac:dyDescent="0.3"/>
    <row r="15465" customFormat="1" x14ac:dyDescent="0.3"/>
    <row r="15466" customFormat="1" x14ac:dyDescent="0.3"/>
    <row r="15467" customFormat="1" x14ac:dyDescent="0.3"/>
    <row r="15468" customFormat="1" x14ac:dyDescent="0.3"/>
    <row r="15469" customFormat="1" x14ac:dyDescent="0.3"/>
    <row r="15470" customFormat="1" x14ac:dyDescent="0.3"/>
    <row r="15471" customFormat="1" x14ac:dyDescent="0.3"/>
    <row r="15472" customFormat="1" x14ac:dyDescent="0.3"/>
    <row r="15473" customFormat="1" x14ac:dyDescent="0.3"/>
    <row r="15474" customFormat="1" x14ac:dyDescent="0.3"/>
    <row r="15475" customFormat="1" x14ac:dyDescent="0.3"/>
    <row r="15476" customFormat="1" x14ac:dyDescent="0.3"/>
    <row r="15477" customFormat="1" x14ac:dyDescent="0.3"/>
    <row r="15478" customFormat="1" x14ac:dyDescent="0.3"/>
    <row r="15479" customFormat="1" x14ac:dyDescent="0.3"/>
    <row r="15480" customFormat="1" x14ac:dyDescent="0.3"/>
    <row r="15481" customFormat="1" x14ac:dyDescent="0.3"/>
    <row r="15482" customFormat="1" x14ac:dyDescent="0.3"/>
    <row r="15483" customFormat="1" x14ac:dyDescent="0.3"/>
    <row r="15484" customFormat="1" x14ac:dyDescent="0.3"/>
    <row r="15485" customFormat="1" x14ac:dyDescent="0.3"/>
    <row r="15486" customFormat="1" x14ac:dyDescent="0.3"/>
    <row r="15487" customFormat="1" x14ac:dyDescent="0.3"/>
    <row r="15488" customFormat="1" x14ac:dyDescent="0.3"/>
    <row r="15489" customFormat="1" x14ac:dyDescent="0.3"/>
    <row r="15490" customFormat="1" x14ac:dyDescent="0.3"/>
    <row r="15491" customFormat="1" x14ac:dyDescent="0.3"/>
    <row r="15492" customFormat="1" x14ac:dyDescent="0.3"/>
    <row r="15493" customFormat="1" x14ac:dyDescent="0.3"/>
    <row r="15494" customFormat="1" x14ac:dyDescent="0.3"/>
    <row r="15495" customFormat="1" x14ac:dyDescent="0.3"/>
    <row r="15496" customFormat="1" x14ac:dyDescent="0.3"/>
    <row r="15497" customFormat="1" x14ac:dyDescent="0.3"/>
    <row r="15498" customFormat="1" x14ac:dyDescent="0.3"/>
    <row r="15499" customFormat="1" x14ac:dyDescent="0.3"/>
    <row r="15500" customFormat="1" x14ac:dyDescent="0.3"/>
    <row r="15501" customFormat="1" x14ac:dyDescent="0.3"/>
    <row r="15502" customFormat="1" x14ac:dyDescent="0.3"/>
    <row r="15503" customFormat="1" x14ac:dyDescent="0.3"/>
    <row r="15504" customFormat="1" x14ac:dyDescent="0.3"/>
    <row r="15505" customFormat="1" x14ac:dyDescent="0.3"/>
    <row r="15506" customFormat="1" x14ac:dyDescent="0.3"/>
    <row r="15507" customFormat="1" x14ac:dyDescent="0.3"/>
    <row r="15508" customFormat="1" x14ac:dyDescent="0.3"/>
    <row r="15509" customFormat="1" x14ac:dyDescent="0.3"/>
    <row r="15510" customFormat="1" x14ac:dyDescent="0.3"/>
    <row r="15511" customFormat="1" x14ac:dyDescent="0.3"/>
    <row r="15512" customFormat="1" x14ac:dyDescent="0.3"/>
    <row r="15513" customFormat="1" x14ac:dyDescent="0.3"/>
    <row r="15514" customFormat="1" x14ac:dyDescent="0.3"/>
    <row r="15515" customFormat="1" x14ac:dyDescent="0.3"/>
    <row r="15516" customFormat="1" x14ac:dyDescent="0.3"/>
    <row r="15517" customFormat="1" x14ac:dyDescent="0.3"/>
    <row r="15518" customFormat="1" x14ac:dyDescent="0.3"/>
    <row r="15519" customFormat="1" x14ac:dyDescent="0.3"/>
    <row r="15520" customFormat="1" x14ac:dyDescent="0.3"/>
    <row r="15521" customFormat="1" x14ac:dyDescent="0.3"/>
    <row r="15522" customFormat="1" x14ac:dyDescent="0.3"/>
    <row r="15523" customFormat="1" x14ac:dyDescent="0.3"/>
    <row r="15524" customFormat="1" x14ac:dyDescent="0.3"/>
    <row r="15525" customFormat="1" x14ac:dyDescent="0.3"/>
    <row r="15526" customFormat="1" x14ac:dyDescent="0.3"/>
    <row r="15527" customFormat="1" x14ac:dyDescent="0.3"/>
    <row r="15528" customFormat="1" x14ac:dyDescent="0.3"/>
    <row r="15529" customFormat="1" x14ac:dyDescent="0.3"/>
    <row r="15530" customFormat="1" x14ac:dyDescent="0.3"/>
    <row r="15531" customFormat="1" x14ac:dyDescent="0.3"/>
    <row r="15532" customFormat="1" x14ac:dyDescent="0.3"/>
    <row r="15533" customFormat="1" x14ac:dyDescent="0.3"/>
    <row r="15534" customFormat="1" x14ac:dyDescent="0.3"/>
    <row r="15535" customFormat="1" x14ac:dyDescent="0.3"/>
    <row r="15536" customFormat="1" x14ac:dyDescent="0.3"/>
    <row r="15537" customFormat="1" x14ac:dyDescent="0.3"/>
    <row r="15538" customFormat="1" x14ac:dyDescent="0.3"/>
    <row r="15539" customFormat="1" x14ac:dyDescent="0.3"/>
    <row r="15540" customFormat="1" x14ac:dyDescent="0.3"/>
    <row r="15541" customFormat="1" x14ac:dyDescent="0.3"/>
    <row r="15542" customFormat="1" x14ac:dyDescent="0.3"/>
    <row r="15543" customFormat="1" x14ac:dyDescent="0.3"/>
    <row r="15544" customFormat="1" x14ac:dyDescent="0.3"/>
    <row r="15545" customFormat="1" x14ac:dyDescent="0.3"/>
    <row r="15546" customFormat="1" x14ac:dyDescent="0.3"/>
    <row r="15547" customFormat="1" x14ac:dyDescent="0.3"/>
    <row r="15548" customFormat="1" x14ac:dyDescent="0.3"/>
    <row r="15549" customFormat="1" x14ac:dyDescent="0.3"/>
    <row r="15550" customFormat="1" x14ac:dyDescent="0.3"/>
    <row r="15551" customFormat="1" x14ac:dyDescent="0.3"/>
    <row r="15552" customFormat="1" x14ac:dyDescent="0.3"/>
    <row r="15553" customFormat="1" x14ac:dyDescent="0.3"/>
    <row r="15554" customFormat="1" x14ac:dyDescent="0.3"/>
    <row r="15555" customFormat="1" x14ac:dyDescent="0.3"/>
    <row r="15556" customFormat="1" x14ac:dyDescent="0.3"/>
    <row r="15557" customFormat="1" x14ac:dyDescent="0.3"/>
    <row r="15558" customFormat="1" x14ac:dyDescent="0.3"/>
    <row r="15559" customFormat="1" x14ac:dyDescent="0.3"/>
    <row r="15560" customFormat="1" x14ac:dyDescent="0.3"/>
    <row r="15561" customFormat="1" x14ac:dyDescent="0.3"/>
    <row r="15562" customFormat="1" x14ac:dyDescent="0.3"/>
    <row r="15563" customFormat="1" x14ac:dyDescent="0.3"/>
    <row r="15564" customFormat="1" x14ac:dyDescent="0.3"/>
    <row r="15565" customFormat="1" x14ac:dyDescent="0.3"/>
    <row r="15566" customFormat="1" x14ac:dyDescent="0.3"/>
    <row r="15567" customFormat="1" x14ac:dyDescent="0.3"/>
    <row r="15568" customFormat="1" x14ac:dyDescent="0.3"/>
    <row r="15569" customFormat="1" x14ac:dyDescent="0.3"/>
    <row r="15570" customFormat="1" x14ac:dyDescent="0.3"/>
    <row r="15571" customFormat="1" x14ac:dyDescent="0.3"/>
    <row r="15572" customFormat="1" x14ac:dyDescent="0.3"/>
    <row r="15573" customFormat="1" x14ac:dyDescent="0.3"/>
    <row r="15574" customFormat="1" x14ac:dyDescent="0.3"/>
    <row r="15575" customFormat="1" x14ac:dyDescent="0.3"/>
    <row r="15576" customFormat="1" x14ac:dyDescent="0.3"/>
    <row r="15577" customFormat="1" x14ac:dyDescent="0.3"/>
    <row r="15578" customFormat="1" x14ac:dyDescent="0.3"/>
    <row r="15579" customFormat="1" x14ac:dyDescent="0.3"/>
    <row r="15580" customFormat="1" x14ac:dyDescent="0.3"/>
    <row r="15581" customFormat="1" x14ac:dyDescent="0.3"/>
    <row r="15582" customFormat="1" x14ac:dyDescent="0.3"/>
    <row r="15583" customFormat="1" x14ac:dyDescent="0.3"/>
    <row r="15584" customFormat="1" x14ac:dyDescent="0.3"/>
    <row r="15585" customFormat="1" x14ac:dyDescent="0.3"/>
    <row r="15586" customFormat="1" x14ac:dyDescent="0.3"/>
    <row r="15587" customFormat="1" x14ac:dyDescent="0.3"/>
    <row r="15588" customFormat="1" x14ac:dyDescent="0.3"/>
    <row r="15589" customFormat="1" x14ac:dyDescent="0.3"/>
    <row r="15590" customFormat="1" x14ac:dyDescent="0.3"/>
    <row r="15591" customFormat="1" x14ac:dyDescent="0.3"/>
    <row r="15592" customFormat="1" x14ac:dyDescent="0.3"/>
    <row r="15593" customFormat="1" x14ac:dyDescent="0.3"/>
    <row r="15594" customFormat="1" x14ac:dyDescent="0.3"/>
    <row r="15595" customFormat="1" x14ac:dyDescent="0.3"/>
    <row r="15596" customFormat="1" x14ac:dyDescent="0.3"/>
    <row r="15597" customFormat="1" x14ac:dyDescent="0.3"/>
    <row r="15598" customFormat="1" x14ac:dyDescent="0.3"/>
    <row r="15599" customFormat="1" x14ac:dyDescent="0.3"/>
    <row r="15600" customFormat="1" x14ac:dyDescent="0.3"/>
    <row r="15601" customFormat="1" x14ac:dyDescent="0.3"/>
    <row r="15602" customFormat="1" x14ac:dyDescent="0.3"/>
    <row r="15603" customFormat="1" x14ac:dyDescent="0.3"/>
    <row r="15604" customFormat="1" x14ac:dyDescent="0.3"/>
    <row r="15605" customFormat="1" x14ac:dyDescent="0.3"/>
    <row r="15606" customFormat="1" x14ac:dyDescent="0.3"/>
    <row r="15607" customFormat="1" x14ac:dyDescent="0.3"/>
    <row r="15608" customFormat="1" x14ac:dyDescent="0.3"/>
    <row r="15609" customFormat="1" x14ac:dyDescent="0.3"/>
    <row r="15610" customFormat="1" x14ac:dyDescent="0.3"/>
    <row r="15611" customFormat="1" x14ac:dyDescent="0.3"/>
    <row r="15612" customFormat="1" x14ac:dyDescent="0.3"/>
    <row r="15613" customFormat="1" x14ac:dyDescent="0.3"/>
    <row r="15614" customFormat="1" x14ac:dyDescent="0.3"/>
    <row r="15615" customFormat="1" x14ac:dyDescent="0.3"/>
    <row r="15616" customFormat="1" x14ac:dyDescent="0.3"/>
    <row r="15617" customFormat="1" x14ac:dyDescent="0.3"/>
    <row r="15618" customFormat="1" x14ac:dyDescent="0.3"/>
    <row r="15619" customFormat="1" x14ac:dyDescent="0.3"/>
    <row r="15620" customFormat="1" x14ac:dyDescent="0.3"/>
    <row r="15621" customFormat="1" x14ac:dyDescent="0.3"/>
    <row r="15622" customFormat="1" x14ac:dyDescent="0.3"/>
    <row r="15623" customFormat="1" x14ac:dyDescent="0.3"/>
    <row r="15624" customFormat="1" x14ac:dyDescent="0.3"/>
    <row r="15625" customFormat="1" x14ac:dyDescent="0.3"/>
    <row r="15626" customFormat="1" x14ac:dyDescent="0.3"/>
    <row r="15627" customFormat="1" x14ac:dyDescent="0.3"/>
    <row r="15628" customFormat="1" x14ac:dyDescent="0.3"/>
    <row r="15629" customFormat="1" x14ac:dyDescent="0.3"/>
    <row r="15630" customFormat="1" x14ac:dyDescent="0.3"/>
    <row r="15631" customFormat="1" x14ac:dyDescent="0.3"/>
    <row r="15632" customFormat="1" x14ac:dyDescent="0.3"/>
    <row r="15633" customFormat="1" x14ac:dyDescent="0.3"/>
    <row r="15634" customFormat="1" x14ac:dyDescent="0.3"/>
    <row r="15635" customFormat="1" x14ac:dyDescent="0.3"/>
    <row r="15636" customFormat="1" x14ac:dyDescent="0.3"/>
    <row r="15637" customFormat="1" x14ac:dyDescent="0.3"/>
    <row r="15638" customFormat="1" x14ac:dyDescent="0.3"/>
    <row r="15639" customFormat="1" x14ac:dyDescent="0.3"/>
    <row r="15640" customFormat="1" x14ac:dyDescent="0.3"/>
    <row r="15641" customFormat="1" x14ac:dyDescent="0.3"/>
    <row r="15642" customFormat="1" x14ac:dyDescent="0.3"/>
    <row r="15643" customFormat="1" x14ac:dyDescent="0.3"/>
    <row r="15644" customFormat="1" x14ac:dyDescent="0.3"/>
    <row r="15645" customFormat="1" x14ac:dyDescent="0.3"/>
    <row r="15646" customFormat="1" x14ac:dyDescent="0.3"/>
    <row r="15647" customFormat="1" x14ac:dyDescent="0.3"/>
    <row r="15648" customFormat="1" x14ac:dyDescent="0.3"/>
    <row r="15649" customFormat="1" x14ac:dyDescent="0.3"/>
    <row r="15650" customFormat="1" x14ac:dyDescent="0.3"/>
    <row r="15651" customFormat="1" x14ac:dyDescent="0.3"/>
    <row r="15652" customFormat="1" x14ac:dyDescent="0.3"/>
    <row r="15653" customFormat="1" x14ac:dyDescent="0.3"/>
    <row r="15654" customFormat="1" x14ac:dyDescent="0.3"/>
    <row r="15655" customFormat="1" x14ac:dyDescent="0.3"/>
    <row r="15656" customFormat="1" x14ac:dyDescent="0.3"/>
    <row r="15657" customFormat="1" x14ac:dyDescent="0.3"/>
    <row r="15658" customFormat="1" x14ac:dyDescent="0.3"/>
    <row r="15659" customFormat="1" x14ac:dyDescent="0.3"/>
    <row r="15660" customFormat="1" x14ac:dyDescent="0.3"/>
    <row r="15661" customFormat="1" x14ac:dyDescent="0.3"/>
    <row r="15662" customFormat="1" x14ac:dyDescent="0.3"/>
    <row r="15663" customFormat="1" x14ac:dyDescent="0.3"/>
    <row r="15664" customFormat="1" x14ac:dyDescent="0.3"/>
    <row r="15665" customFormat="1" x14ac:dyDescent="0.3"/>
    <row r="15666" customFormat="1" x14ac:dyDescent="0.3"/>
    <row r="15667" customFormat="1" x14ac:dyDescent="0.3"/>
    <row r="15668" customFormat="1" x14ac:dyDescent="0.3"/>
    <row r="15669" customFormat="1" x14ac:dyDescent="0.3"/>
    <row r="15670" customFormat="1" x14ac:dyDescent="0.3"/>
    <row r="15671" customFormat="1" x14ac:dyDescent="0.3"/>
    <row r="15672" customFormat="1" x14ac:dyDescent="0.3"/>
    <row r="15673" customFormat="1" x14ac:dyDescent="0.3"/>
    <row r="15674" customFormat="1" x14ac:dyDescent="0.3"/>
    <row r="15675" customFormat="1" x14ac:dyDescent="0.3"/>
    <row r="15676" customFormat="1" x14ac:dyDescent="0.3"/>
    <row r="15677" customFormat="1" x14ac:dyDescent="0.3"/>
    <row r="15678" customFormat="1" x14ac:dyDescent="0.3"/>
    <row r="15679" customFormat="1" x14ac:dyDescent="0.3"/>
    <row r="15680" customFormat="1" x14ac:dyDescent="0.3"/>
    <row r="15681" customFormat="1" x14ac:dyDescent="0.3"/>
    <row r="15682" customFormat="1" x14ac:dyDescent="0.3"/>
    <row r="15683" customFormat="1" x14ac:dyDescent="0.3"/>
    <row r="15684" customFormat="1" x14ac:dyDescent="0.3"/>
    <row r="15685" customFormat="1" x14ac:dyDescent="0.3"/>
    <row r="15686" customFormat="1" x14ac:dyDescent="0.3"/>
    <row r="15687" customFormat="1" x14ac:dyDescent="0.3"/>
    <row r="15688" customFormat="1" x14ac:dyDescent="0.3"/>
    <row r="15689" customFormat="1" x14ac:dyDescent="0.3"/>
    <row r="15690" customFormat="1" x14ac:dyDescent="0.3"/>
    <row r="15691" customFormat="1" x14ac:dyDescent="0.3"/>
    <row r="15692" customFormat="1" x14ac:dyDescent="0.3"/>
    <row r="15693" customFormat="1" x14ac:dyDescent="0.3"/>
    <row r="15694" customFormat="1" x14ac:dyDescent="0.3"/>
    <row r="15695" customFormat="1" x14ac:dyDescent="0.3"/>
    <row r="15696" customFormat="1" x14ac:dyDescent="0.3"/>
    <row r="15697" customFormat="1" x14ac:dyDescent="0.3"/>
    <row r="15698" customFormat="1" x14ac:dyDescent="0.3"/>
    <row r="15699" customFormat="1" x14ac:dyDescent="0.3"/>
    <row r="15700" customFormat="1" x14ac:dyDescent="0.3"/>
    <row r="15701" customFormat="1" x14ac:dyDescent="0.3"/>
    <row r="15702" customFormat="1" x14ac:dyDescent="0.3"/>
    <row r="15703" customFormat="1" x14ac:dyDescent="0.3"/>
    <row r="15704" customFormat="1" x14ac:dyDescent="0.3"/>
    <row r="15705" customFormat="1" x14ac:dyDescent="0.3"/>
    <row r="15706" customFormat="1" x14ac:dyDescent="0.3"/>
    <row r="15707" customFormat="1" x14ac:dyDescent="0.3"/>
    <row r="15708" customFormat="1" x14ac:dyDescent="0.3"/>
    <row r="15709" customFormat="1" x14ac:dyDescent="0.3"/>
    <row r="15710" customFormat="1" x14ac:dyDescent="0.3"/>
    <row r="15711" customFormat="1" x14ac:dyDescent="0.3"/>
    <row r="15712" customFormat="1" x14ac:dyDescent="0.3"/>
    <row r="15713" customFormat="1" x14ac:dyDescent="0.3"/>
    <row r="15714" customFormat="1" x14ac:dyDescent="0.3"/>
    <row r="15715" customFormat="1" x14ac:dyDescent="0.3"/>
    <row r="15716" customFormat="1" x14ac:dyDescent="0.3"/>
    <row r="15717" customFormat="1" x14ac:dyDescent="0.3"/>
    <row r="15718" customFormat="1" x14ac:dyDescent="0.3"/>
    <row r="15719" customFormat="1" x14ac:dyDescent="0.3"/>
    <row r="15720" customFormat="1" x14ac:dyDescent="0.3"/>
    <row r="15721" customFormat="1" x14ac:dyDescent="0.3"/>
    <row r="15722" customFormat="1" x14ac:dyDescent="0.3"/>
    <row r="15723" customFormat="1" x14ac:dyDescent="0.3"/>
    <row r="15724" customFormat="1" x14ac:dyDescent="0.3"/>
    <row r="15725" customFormat="1" x14ac:dyDescent="0.3"/>
    <row r="15726" customFormat="1" x14ac:dyDescent="0.3"/>
    <row r="15727" customFormat="1" x14ac:dyDescent="0.3"/>
    <row r="15728" customFormat="1" x14ac:dyDescent="0.3"/>
    <row r="15729" customFormat="1" x14ac:dyDescent="0.3"/>
    <row r="15730" customFormat="1" x14ac:dyDescent="0.3"/>
    <row r="15731" customFormat="1" x14ac:dyDescent="0.3"/>
    <row r="15732" customFormat="1" x14ac:dyDescent="0.3"/>
    <row r="15733" customFormat="1" x14ac:dyDescent="0.3"/>
    <row r="15734" customFormat="1" x14ac:dyDescent="0.3"/>
    <row r="15735" customFormat="1" x14ac:dyDescent="0.3"/>
    <row r="15736" customFormat="1" x14ac:dyDescent="0.3"/>
    <row r="15737" customFormat="1" x14ac:dyDescent="0.3"/>
    <row r="15738" customFormat="1" x14ac:dyDescent="0.3"/>
    <row r="15739" customFormat="1" x14ac:dyDescent="0.3"/>
    <row r="15740" customFormat="1" x14ac:dyDescent="0.3"/>
    <row r="15741" customFormat="1" x14ac:dyDescent="0.3"/>
    <row r="15742" customFormat="1" x14ac:dyDescent="0.3"/>
    <row r="15743" customFormat="1" x14ac:dyDescent="0.3"/>
    <row r="15744" customFormat="1" x14ac:dyDescent="0.3"/>
    <row r="15745" customFormat="1" x14ac:dyDescent="0.3"/>
    <row r="15746" customFormat="1" x14ac:dyDescent="0.3"/>
    <row r="15747" customFormat="1" x14ac:dyDescent="0.3"/>
    <row r="15748" customFormat="1" x14ac:dyDescent="0.3"/>
    <row r="15749" customFormat="1" x14ac:dyDescent="0.3"/>
    <row r="15750" customFormat="1" x14ac:dyDescent="0.3"/>
    <row r="15751" customFormat="1" x14ac:dyDescent="0.3"/>
    <row r="15752" customFormat="1" x14ac:dyDescent="0.3"/>
    <row r="15753" customFormat="1" x14ac:dyDescent="0.3"/>
    <row r="15754" customFormat="1" x14ac:dyDescent="0.3"/>
    <row r="15755" customFormat="1" x14ac:dyDescent="0.3"/>
    <row r="15756" customFormat="1" x14ac:dyDescent="0.3"/>
    <row r="15757" customFormat="1" x14ac:dyDescent="0.3"/>
    <row r="15758" customFormat="1" x14ac:dyDescent="0.3"/>
    <row r="15759" customFormat="1" x14ac:dyDescent="0.3"/>
    <row r="15760" customFormat="1" x14ac:dyDescent="0.3"/>
    <row r="15761" customFormat="1" x14ac:dyDescent="0.3"/>
    <row r="15762" customFormat="1" x14ac:dyDescent="0.3"/>
    <row r="15763" customFormat="1" x14ac:dyDescent="0.3"/>
    <row r="15764" customFormat="1" x14ac:dyDescent="0.3"/>
    <row r="15765" customFormat="1" x14ac:dyDescent="0.3"/>
    <row r="15766" customFormat="1" x14ac:dyDescent="0.3"/>
    <row r="15767" customFormat="1" x14ac:dyDescent="0.3"/>
    <row r="15768" customFormat="1" x14ac:dyDescent="0.3"/>
    <row r="15769" customFormat="1" x14ac:dyDescent="0.3"/>
    <row r="15770" customFormat="1" x14ac:dyDescent="0.3"/>
    <row r="15771" customFormat="1" x14ac:dyDescent="0.3"/>
    <row r="15772" customFormat="1" x14ac:dyDescent="0.3"/>
    <row r="15773" customFormat="1" x14ac:dyDescent="0.3"/>
    <row r="15774" customFormat="1" x14ac:dyDescent="0.3"/>
    <row r="15775" customFormat="1" x14ac:dyDescent="0.3"/>
    <row r="15776" customFormat="1" x14ac:dyDescent="0.3"/>
    <row r="15777" customFormat="1" x14ac:dyDescent="0.3"/>
    <row r="15778" customFormat="1" x14ac:dyDescent="0.3"/>
    <row r="15779" customFormat="1" x14ac:dyDescent="0.3"/>
    <row r="15780" customFormat="1" x14ac:dyDescent="0.3"/>
    <row r="15781" customFormat="1" x14ac:dyDescent="0.3"/>
    <row r="15782" customFormat="1" x14ac:dyDescent="0.3"/>
    <row r="15783" customFormat="1" x14ac:dyDescent="0.3"/>
    <row r="15784" customFormat="1" x14ac:dyDescent="0.3"/>
    <row r="15785" customFormat="1" x14ac:dyDescent="0.3"/>
    <row r="15786" customFormat="1" x14ac:dyDescent="0.3"/>
    <row r="15787" customFormat="1" x14ac:dyDescent="0.3"/>
    <row r="15788" customFormat="1" x14ac:dyDescent="0.3"/>
    <row r="15789" customFormat="1" x14ac:dyDescent="0.3"/>
    <row r="15790" customFormat="1" x14ac:dyDescent="0.3"/>
    <row r="15791" customFormat="1" x14ac:dyDescent="0.3"/>
    <row r="15792" customFormat="1" x14ac:dyDescent="0.3"/>
    <row r="15793" customFormat="1" x14ac:dyDescent="0.3"/>
    <row r="15794" customFormat="1" x14ac:dyDescent="0.3"/>
    <row r="15795" customFormat="1" x14ac:dyDescent="0.3"/>
    <row r="15796" customFormat="1" x14ac:dyDescent="0.3"/>
    <row r="15797" customFormat="1" x14ac:dyDescent="0.3"/>
    <row r="15798" customFormat="1" x14ac:dyDescent="0.3"/>
    <row r="15799" customFormat="1" x14ac:dyDescent="0.3"/>
    <row r="15800" customFormat="1" x14ac:dyDescent="0.3"/>
    <row r="15801" customFormat="1" x14ac:dyDescent="0.3"/>
    <row r="15802" customFormat="1" x14ac:dyDescent="0.3"/>
    <row r="15803" customFormat="1" x14ac:dyDescent="0.3"/>
    <row r="15804" customFormat="1" x14ac:dyDescent="0.3"/>
    <row r="15805" customFormat="1" x14ac:dyDescent="0.3"/>
    <row r="15806" customFormat="1" x14ac:dyDescent="0.3"/>
    <row r="15807" customFormat="1" x14ac:dyDescent="0.3"/>
    <row r="15808" customFormat="1" x14ac:dyDescent="0.3"/>
    <row r="15809" customFormat="1" x14ac:dyDescent="0.3"/>
    <row r="15810" customFormat="1" x14ac:dyDescent="0.3"/>
    <row r="15811" customFormat="1" x14ac:dyDescent="0.3"/>
    <row r="15812" customFormat="1" x14ac:dyDescent="0.3"/>
    <row r="15813" customFormat="1" x14ac:dyDescent="0.3"/>
    <row r="15814" customFormat="1" x14ac:dyDescent="0.3"/>
    <row r="15815" customFormat="1" x14ac:dyDescent="0.3"/>
    <row r="15816" customFormat="1" x14ac:dyDescent="0.3"/>
    <row r="15817" customFormat="1" x14ac:dyDescent="0.3"/>
    <row r="15818" customFormat="1" x14ac:dyDescent="0.3"/>
    <row r="15819" customFormat="1" x14ac:dyDescent="0.3"/>
    <row r="15820" customFormat="1" x14ac:dyDescent="0.3"/>
    <row r="15821" customFormat="1" x14ac:dyDescent="0.3"/>
    <row r="15822" customFormat="1" x14ac:dyDescent="0.3"/>
    <row r="15823" customFormat="1" x14ac:dyDescent="0.3"/>
    <row r="15824" customFormat="1" x14ac:dyDescent="0.3"/>
    <row r="15825" customFormat="1" x14ac:dyDescent="0.3"/>
    <row r="15826" customFormat="1" x14ac:dyDescent="0.3"/>
    <row r="15827" customFormat="1" x14ac:dyDescent="0.3"/>
    <row r="15828" customFormat="1" x14ac:dyDescent="0.3"/>
    <row r="15829" customFormat="1" x14ac:dyDescent="0.3"/>
    <row r="15830" customFormat="1" x14ac:dyDescent="0.3"/>
    <row r="15831" customFormat="1" x14ac:dyDescent="0.3"/>
    <row r="15832" customFormat="1" x14ac:dyDescent="0.3"/>
    <row r="15833" customFormat="1" x14ac:dyDescent="0.3"/>
    <row r="15834" customFormat="1" x14ac:dyDescent="0.3"/>
    <row r="15835" customFormat="1" x14ac:dyDescent="0.3"/>
    <row r="15836" customFormat="1" x14ac:dyDescent="0.3"/>
    <row r="15837" customFormat="1" x14ac:dyDescent="0.3"/>
    <row r="15838" customFormat="1" x14ac:dyDescent="0.3"/>
    <row r="15839" customFormat="1" x14ac:dyDescent="0.3"/>
    <row r="15840" customFormat="1" x14ac:dyDescent="0.3"/>
    <row r="15841" customFormat="1" x14ac:dyDescent="0.3"/>
    <row r="15842" customFormat="1" x14ac:dyDescent="0.3"/>
    <row r="15843" customFormat="1" x14ac:dyDescent="0.3"/>
    <row r="15844" customFormat="1" x14ac:dyDescent="0.3"/>
    <row r="15845" customFormat="1" x14ac:dyDescent="0.3"/>
    <row r="15846" customFormat="1" x14ac:dyDescent="0.3"/>
    <row r="15847" customFormat="1" x14ac:dyDescent="0.3"/>
    <row r="15848" customFormat="1" x14ac:dyDescent="0.3"/>
    <row r="15849" customFormat="1" x14ac:dyDescent="0.3"/>
    <row r="15850" customFormat="1" x14ac:dyDescent="0.3"/>
    <row r="15851" customFormat="1" x14ac:dyDescent="0.3"/>
    <row r="15852" customFormat="1" x14ac:dyDescent="0.3"/>
    <row r="15853" customFormat="1" x14ac:dyDescent="0.3"/>
    <row r="15854" customFormat="1" x14ac:dyDescent="0.3"/>
    <row r="15855" customFormat="1" x14ac:dyDescent="0.3"/>
    <row r="15856" customFormat="1" x14ac:dyDescent="0.3"/>
    <row r="15857" customFormat="1" x14ac:dyDescent="0.3"/>
    <row r="15858" customFormat="1" x14ac:dyDescent="0.3"/>
    <row r="15859" customFormat="1" x14ac:dyDescent="0.3"/>
    <row r="15860" customFormat="1" x14ac:dyDescent="0.3"/>
    <row r="15861" customFormat="1" x14ac:dyDescent="0.3"/>
    <row r="15862" customFormat="1" x14ac:dyDescent="0.3"/>
    <row r="15863" customFormat="1" x14ac:dyDescent="0.3"/>
    <row r="15864" customFormat="1" x14ac:dyDescent="0.3"/>
    <row r="15865" customFormat="1" x14ac:dyDescent="0.3"/>
    <row r="15866" customFormat="1" x14ac:dyDescent="0.3"/>
    <row r="15867" customFormat="1" x14ac:dyDescent="0.3"/>
    <row r="15868" customFormat="1" x14ac:dyDescent="0.3"/>
    <row r="15869" customFormat="1" x14ac:dyDescent="0.3"/>
    <row r="15870" customFormat="1" x14ac:dyDescent="0.3"/>
    <row r="15871" customFormat="1" x14ac:dyDescent="0.3"/>
    <row r="15872" customFormat="1" x14ac:dyDescent="0.3"/>
    <row r="15873" customFormat="1" x14ac:dyDescent="0.3"/>
    <row r="15874" customFormat="1" x14ac:dyDescent="0.3"/>
    <row r="15875" customFormat="1" x14ac:dyDescent="0.3"/>
    <row r="15876" customFormat="1" x14ac:dyDescent="0.3"/>
    <row r="15877" customFormat="1" x14ac:dyDescent="0.3"/>
    <row r="15878" customFormat="1" x14ac:dyDescent="0.3"/>
    <row r="15879" customFormat="1" x14ac:dyDescent="0.3"/>
    <row r="15880" customFormat="1" x14ac:dyDescent="0.3"/>
    <row r="15881" customFormat="1" x14ac:dyDescent="0.3"/>
    <row r="15882" customFormat="1" x14ac:dyDescent="0.3"/>
    <row r="15883" customFormat="1" x14ac:dyDescent="0.3"/>
    <row r="15884" customFormat="1" x14ac:dyDescent="0.3"/>
    <row r="15885" customFormat="1" x14ac:dyDescent="0.3"/>
    <row r="15886" customFormat="1" x14ac:dyDescent="0.3"/>
    <row r="15887" customFormat="1" x14ac:dyDescent="0.3"/>
    <row r="15888" customFormat="1" x14ac:dyDescent="0.3"/>
    <row r="15889" customFormat="1" x14ac:dyDescent="0.3"/>
    <row r="15890" customFormat="1" x14ac:dyDescent="0.3"/>
    <row r="15891" customFormat="1" x14ac:dyDescent="0.3"/>
    <row r="15892" customFormat="1" x14ac:dyDescent="0.3"/>
    <row r="15893" customFormat="1" x14ac:dyDescent="0.3"/>
    <row r="15894" customFormat="1" x14ac:dyDescent="0.3"/>
    <row r="15895" customFormat="1" x14ac:dyDescent="0.3"/>
    <row r="15896" customFormat="1" x14ac:dyDescent="0.3"/>
    <row r="15897" customFormat="1" x14ac:dyDescent="0.3"/>
    <row r="15898" customFormat="1" x14ac:dyDescent="0.3"/>
    <row r="15899" customFormat="1" x14ac:dyDescent="0.3"/>
    <row r="15900" customFormat="1" x14ac:dyDescent="0.3"/>
    <row r="15901" customFormat="1" x14ac:dyDescent="0.3"/>
    <row r="15902" customFormat="1" x14ac:dyDescent="0.3"/>
    <row r="15903" customFormat="1" x14ac:dyDescent="0.3"/>
    <row r="15904" customFormat="1" x14ac:dyDescent="0.3"/>
    <row r="15905" customFormat="1" x14ac:dyDescent="0.3"/>
    <row r="15906" customFormat="1" x14ac:dyDescent="0.3"/>
    <row r="15907" customFormat="1" x14ac:dyDescent="0.3"/>
    <row r="15908" customFormat="1" x14ac:dyDescent="0.3"/>
    <row r="15909" customFormat="1" x14ac:dyDescent="0.3"/>
    <row r="15910" customFormat="1" x14ac:dyDescent="0.3"/>
    <row r="15911" customFormat="1" x14ac:dyDescent="0.3"/>
    <row r="15912" customFormat="1" x14ac:dyDescent="0.3"/>
    <row r="15913" customFormat="1" x14ac:dyDescent="0.3"/>
    <row r="15914" customFormat="1" x14ac:dyDescent="0.3"/>
    <row r="15915" customFormat="1" x14ac:dyDescent="0.3"/>
    <row r="15916" customFormat="1" x14ac:dyDescent="0.3"/>
    <row r="15917" customFormat="1" x14ac:dyDescent="0.3"/>
    <row r="15918" customFormat="1" x14ac:dyDescent="0.3"/>
    <row r="15919" customFormat="1" x14ac:dyDescent="0.3"/>
    <row r="15920" customFormat="1" x14ac:dyDescent="0.3"/>
    <row r="15921" customFormat="1" x14ac:dyDescent="0.3"/>
    <row r="15922" customFormat="1" x14ac:dyDescent="0.3"/>
    <row r="15923" customFormat="1" x14ac:dyDescent="0.3"/>
    <row r="15924" customFormat="1" x14ac:dyDescent="0.3"/>
    <row r="15925" customFormat="1" x14ac:dyDescent="0.3"/>
    <row r="15926" customFormat="1" x14ac:dyDescent="0.3"/>
    <row r="15927" customFormat="1" x14ac:dyDescent="0.3"/>
    <row r="15928" customFormat="1" x14ac:dyDescent="0.3"/>
    <row r="15929" customFormat="1" x14ac:dyDescent="0.3"/>
    <row r="15930" customFormat="1" x14ac:dyDescent="0.3"/>
    <row r="15931" customFormat="1" x14ac:dyDescent="0.3"/>
    <row r="15932" customFormat="1" x14ac:dyDescent="0.3"/>
    <row r="15933" customFormat="1" x14ac:dyDescent="0.3"/>
    <row r="15934" customFormat="1" x14ac:dyDescent="0.3"/>
    <row r="15935" customFormat="1" x14ac:dyDescent="0.3"/>
    <row r="15936" customFormat="1" x14ac:dyDescent="0.3"/>
    <row r="15937" customFormat="1" x14ac:dyDescent="0.3"/>
    <row r="15938" customFormat="1" x14ac:dyDescent="0.3"/>
    <row r="15939" customFormat="1" x14ac:dyDescent="0.3"/>
    <row r="15940" customFormat="1" x14ac:dyDescent="0.3"/>
    <row r="15941" customFormat="1" x14ac:dyDescent="0.3"/>
    <row r="15942" customFormat="1" x14ac:dyDescent="0.3"/>
    <row r="15943" customFormat="1" x14ac:dyDescent="0.3"/>
    <row r="15944" customFormat="1" x14ac:dyDescent="0.3"/>
    <row r="15945" customFormat="1" x14ac:dyDescent="0.3"/>
    <row r="15946" customFormat="1" x14ac:dyDescent="0.3"/>
    <row r="15947" customFormat="1" x14ac:dyDescent="0.3"/>
    <row r="15948" customFormat="1" x14ac:dyDescent="0.3"/>
    <row r="15949" customFormat="1" x14ac:dyDescent="0.3"/>
    <row r="15950" customFormat="1" x14ac:dyDescent="0.3"/>
    <row r="15951" customFormat="1" x14ac:dyDescent="0.3"/>
    <row r="15952" customFormat="1" x14ac:dyDescent="0.3"/>
    <row r="15953" customFormat="1" x14ac:dyDescent="0.3"/>
    <row r="15954" customFormat="1" x14ac:dyDescent="0.3"/>
    <row r="15955" customFormat="1" x14ac:dyDescent="0.3"/>
    <row r="15956" customFormat="1" x14ac:dyDescent="0.3"/>
    <row r="15957" customFormat="1" x14ac:dyDescent="0.3"/>
    <row r="15958" customFormat="1" x14ac:dyDescent="0.3"/>
    <row r="15959" customFormat="1" x14ac:dyDescent="0.3"/>
    <row r="15960" customFormat="1" x14ac:dyDescent="0.3"/>
    <row r="15961" customFormat="1" x14ac:dyDescent="0.3"/>
    <row r="15962" customFormat="1" x14ac:dyDescent="0.3"/>
    <row r="15963" customFormat="1" x14ac:dyDescent="0.3"/>
    <row r="15964" customFormat="1" x14ac:dyDescent="0.3"/>
    <row r="15965" customFormat="1" x14ac:dyDescent="0.3"/>
    <row r="15966" customFormat="1" x14ac:dyDescent="0.3"/>
    <row r="15967" customFormat="1" x14ac:dyDescent="0.3"/>
    <row r="15968" customFormat="1" x14ac:dyDescent="0.3"/>
    <row r="15969" customFormat="1" x14ac:dyDescent="0.3"/>
    <row r="15970" customFormat="1" x14ac:dyDescent="0.3"/>
    <row r="15971" customFormat="1" x14ac:dyDescent="0.3"/>
    <row r="15972" customFormat="1" x14ac:dyDescent="0.3"/>
    <row r="15973" customFormat="1" x14ac:dyDescent="0.3"/>
    <row r="15974" customFormat="1" x14ac:dyDescent="0.3"/>
    <row r="15975" customFormat="1" x14ac:dyDescent="0.3"/>
    <row r="15976" customFormat="1" x14ac:dyDescent="0.3"/>
    <row r="15977" customFormat="1" x14ac:dyDescent="0.3"/>
    <row r="15978" customFormat="1" x14ac:dyDescent="0.3"/>
    <row r="15979" customFormat="1" x14ac:dyDescent="0.3"/>
    <row r="15980" customFormat="1" x14ac:dyDescent="0.3"/>
    <row r="15981" customFormat="1" x14ac:dyDescent="0.3"/>
    <row r="15982" customFormat="1" x14ac:dyDescent="0.3"/>
    <row r="15983" customFormat="1" x14ac:dyDescent="0.3"/>
    <row r="15984" customFormat="1" x14ac:dyDescent="0.3"/>
    <row r="15985" customFormat="1" x14ac:dyDescent="0.3"/>
    <row r="15986" customFormat="1" x14ac:dyDescent="0.3"/>
    <row r="15987" customFormat="1" x14ac:dyDescent="0.3"/>
    <row r="15988" customFormat="1" x14ac:dyDescent="0.3"/>
    <row r="15989" customFormat="1" x14ac:dyDescent="0.3"/>
    <row r="15990" customFormat="1" x14ac:dyDescent="0.3"/>
    <row r="15991" customFormat="1" x14ac:dyDescent="0.3"/>
    <row r="15992" customFormat="1" x14ac:dyDescent="0.3"/>
    <row r="15993" customFormat="1" x14ac:dyDescent="0.3"/>
    <row r="15994" customFormat="1" x14ac:dyDescent="0.3"/>
    <row r="15995" customFormat="1" x14ac:dyDescent="0.3"/>
    <row r="15996" customFormat="1" x14ac:dyDescent="0.3"/>
    <row r="15997" customFormat="1" x14ac:dyDescent="0.3"/>
    <row r="15998" customFormat="1" x14ac:dyDescent="0.3"/>
    <row r="15999" customFormat="1" x14ac:dyDescent="0.3"/>
    <row r="16000" customFormat="1" x14ac:dyDescent="0.3"/>
    <row r="16001" customFormat="1" x14ac:dyDescent="0.3"/>
    <row r="16002" customFormat="1" x14ac:dyDescent="0.3"/>
    <row r="16003" customFormat="1" x14ac:dyDescent="0.3"/>
    <row r="16004" customFormat="1" x14ac:dyDescent="0.3"/>
    <row r="16005" customFormat="1" x14ac:dyDescent="0.3"/>
    <row r="16006" customFormat="1" x14ac:dyDescent="0.3"/>
    <row r="16007" customFormat="1" x14ac:dyDescent="0.3"/>
    <row r="16008" customFormat="1" x14ac:dyDescent="0.3"/>
    <row r="16009" customFormat="1" x14ac:dyDescent="0.3"/>
    <row r="16010" customFormat="1" x14ac:dyDescent="0.3"/>
    <row r="16011" customFormat="1" x14ac:dyDescent="0.3"/>
    <row r="16012" customFormat="1" x14ac:dyDescent="0.3"/>
    <row r="16013" customFormat="1" x14ac:dyDescent="0.3"/>
    <row r="16014" customFormat="1" x14ac:dyDescent="0.3"/>
    <row r="16015" customFormat="1" x14ac:dyDescent="0.3"/>
    <row r="16016" customFormat="1" x14ac:dyDescent="0.3"/>
    <row r="16017" customFormat="1" x14ac:dyDescent="0.3"/>
    <row r="16018" customFormat="1" x14ac:dyDescent="0.3"/>
    <row r="16019" customFormat="1" x14ac:dyDescent="0.3"/>
    <row r="16020" customFormat="1" x14ac:dyDescent="0.3"/>
    <row r="16021" customFormat="1" x14ac:dyDescent="0.3"/>
    <row r="16022" customFormat="1" x14ac:dyDescent="0.3"/>
    <row r="16023" customFormat="1" x14ac:dyDescent="0.3"/>
    <row r="16024" customFormat="1" x14ac:dyDescent="0.3"/>
    <row r="16025" customFormat="1" x14ac:dyDescent="0.3"/>
    <row r="16026" customFormat="1" x14ac:dyDescent="0.3"/>
    <row r="16027" customFormat="1" x14ac:dyDescent="0.3"/>
    <row r="16028" customFormat="1" x14ac:dyDescent="0.3"/>
    <row r="16029" customFormat="1" x14ac:dyDescent="0.3"/>
    <row r="16030" customFormat="1" x14ac:dyDescent="0.3"/>
    <row r="16031" customFormat="1" x14ac:dyDescent="0.3"/>
    <row r="16032" customFormat="1" x14ac:dyDescent="0.3"/>
    <row r="16033" customFormat="1" x14ac:dyDescent="0.3"/>
    <row r="16034" customFormat="1" x14ac:dyDescent="0.3"/>
    <row r="16035" customFormat="1" x14ac:dyDescent="0.3"/>
    <row r="16036" customFormat="1" x14ac:dyDescent="0.3"/>
    <row r="16037" customFormat="1" x14ac:dyDescent="0.3"/>
    <row r="16038" customFormat="1" x14ac:dyDescent="0.3"/>
    <row r="16039" customFormat="1" x14ac:dyDescent="0.3"/>
    <row r="16040" customFormat="1" x14ac:dyDescent="0.3"/>
    <row r="16041" customFormat="1" x14ac:dyDescent="0.3"/>
    <row r="16042" customFormat="1" x14ac:dyDescent="0.3"/>
    <row r="16043" customFormat="1" x14ac:dyDescent="0.3"/>
    <row r="16044" customFormat="1" x14ac:dyDescent="0.3"/>
    <row r="16045" customFormat="1" x14ac:dyDescent="0.3"/>
    <row r="16046" customFormat="1" x14ac:dyDescent="0.3"/>
    <row r="16047" customFormat="1" x14ac:dyDescent="0.3"/>
    <row r="16048" customFormat="1" x14ac:dyDescent="0.3"/>
    <row r="16049" customFormat="1" x14ac:dyDescent="0.3"/>
    <row r="16050" customFormat="1" x14ac:dyDescent="0.3"/>
    <row r="16051" customFormat="1" x14ac:dyDescent="0.3"/>
    <row r="16052" customFormat="1" x14ac:dyDescent="0.3"/>
    <row r="16053" customFormat="1" x14ac:dyDescent="0.3"/>
    <row r="16054" customFormat="1" x14ac:dyDescent="0.3"/>
    <row r="16055" customFormat="1" x14ac:dyDescent="0.3"/>
    <row r="16056" customFormat="1" x14ac:dyDescent="0.3"/>
    <row r="16057" customFormat="1" x14ac:dyDescent="0.3"/>
    <row r="16058" customFormat="1" x14ac:dyDescent="0.3"/>
    <row r="16059" customFormat="1" x14ac:dyDescent="0.3"/>
    <row r="16060" customFormat="1" x14ac:dyDescent="0.3"/>
    <row r="16061" customFormat="1" x14ac:dyDescent="0.3"/>
    <row r="16062" customFormat="1" x14ac:dyDescent="0.3"/>
    <row r="16063" customFormat="1" x14ac:dyDescent="0.3"/>
    <row r="16064" customFormat="1" x14ac:dyDescent="0.3"/>
    <row r="16065" customFormat="1" x14ac:dyDescent="0.3"/>
    <row r="16066" customFormat="1" x14ac:dyDescent="0.3"/>
    <row r="16067" customFormat="1" x14ac:dyDescent="0.3"/>
    <row r="16068" customFormat="1" x14ac:dyDescent="0.3"/>
    <row r="16069" customFormat="1" x14ac:dyDescent="0.3"/>
    <row r="16070" customFormat="1" x14ac:dyDescent="0.3"/>
    <row r="16071" customFormat="1" x14ac:dyDescent="0.3"/>
    <row r="16072" customFormat="1" x14ac:dyDescent="0.3"/>
    <row r="16073" customFormat="1" x14ac:dyDescent="0.3"/>
    <row r="16074" customFormat="1" x14ac:dyDescent="0.3"/>
    <row r="16075" customFormat="1" x14ac:dyDescent="0.3"/>
    <row r="16076" customFormat="1" x14ac:dyDescent="0.3"/>
    <row r="16077" customFormat="1" x14ac:dyDescent="0.3"/>
    <row r="16078" customFormat="1" x14ac:dyDescent="0.3"/>
    <row r="16079" customFormat="1" x14ac:dyDescent="0.3"/>
    <row r="16080" customFormat="1" x14ac:dyDescent="0.3"/>
    <row r="16081" customFormat="1" x14ac:dyDescent="0.3"/>
    <row r="16082" customFormat="1" x14ac:dyDescent="0.3"/>
    <row r="16083" customFormat="1" x14ac:dyDescent="0.3"/>
    <row r="16084" customFormat="1" x14ac:dyDescent="0.3"/>
    <row r="16085" customFormat="1" x14ac:dyDescent="0.3"/>
    <row r="16086" customFormat="1" x14ac:dyDescent="0.3"/>
    <row r="16087" customFormat="1" x14ac:dyDescent="0.3"/>
    <row r="16088" customFormat="1" x14ac:dyDescent="0.3"/>
    <row r="16089" customFormat="1" x14ac:dyDescent="0.3"/>
    <row r="16090" customFormat="1" x14ac:dyDescent="0.3"/>
    <row r="16091" customFormat="1" x14ac:dyDescent="0.3"/>
    <row r="16092" customFormat="1" x14ac:dyDescent="0.3"/>
    <row r="16093" customFormat="1" x14ac:dyDescent="0.3"/>
    <row r="16094" customFormat="1" x14ac:dyDescent="0.3"/>
    <row r="16095" customFormat="1" x14ac:dyDescent="0.3"/>
    <row r="16096" customFormat="1" x14ac:dyDescent="0.3"/>
    <row r="16097" customFormat="1" x14ac:dyDescent="0.3"/>
    <row r="16098" customFormat="1" x14ac:dyDescent="0.3"/>
    <row r="16099" customFormat="1" x14ac:dyDescent="0.3"/>
    <row r="16100" customFormat="1" x14ac:dyDescent="0.3"/>
    <row r="16101" customFormat="1" x14ac:dyDescent="0.3"/>
    <row r="16102" customFormat="1" x14ac:dyDescent="0.3"/>
    <row r="16103" customFormat="1" x14ac:dyDescent="0.3"/>
    <row r="16104" customFormat="1" x14ac:dyDescent="0.3"/>
    <row r="16105" customFormat="1" x14ac:dyDescent="0.3"/>
    <row r="16106" customFormat="1" x14ac:dyDescent="0.3"/>
    <row r="16107" customFormat="1" x14ac:dyDescent="0.3"/>
    <row r="16108" customFormat="1" x14ac:dyDescent="0.3"/>
    <row r="16109" customFormat="1" x14ac:dyDescent="0.3"/>
    <row r="16110" customFormat="1" x14ac:dyDescent="0.3"/>
    <row r="16111" customFormat="1" x14ac:dyDescent="0.3"/>
    <row r="16112" customFormat="1" x14ac:dyDescent="0.3"/>
    <row r="16113" customFormat="1" x14ac:dyDescent="0.3"/>
    <row r="16114" customFormat="1" x14ac:dyDescent="0.3"/>
    <row r="16115" customFormat="1" x14ac:dyDescent="0.3"/>
    <row r="16116" customFormat="1" x14ac:dyDescent="0.3"/>
    <row r="16117" customFormat="1" x14ac:dyDescent="0.3"/>
    <row r="16118" customFormat="1" x14ac:dyDescent="0.3"/>
    <row r="16119" customFormat="1" x14ac:dyDescent="0.3"/>
    <row r="16120" customFormat="1" x14ac:dyDescent="0.3"/>
    <row r="16121" customFormat="1" x14ac:dyDescent="0.3"/>
    <row r="16122" customFormat="1" x14ac:dyDescent="0.3"/>
    <row r="16123" customFormat="1" x14ac:dyDescent="0.3"/>
    <row r="16124" customFormat="1" x14ac:dyDescent="0.3"/>
    <row r="16125" customFormat="1" x14ac:dyDescent="0.3"/>
    <row r="16126" customFormat="1" x14ac:dyDescent="0.3"/>
    <row r="16127" customFormat="1" x14ac:dyDescent="0.3"/>
    <row r="16128" customFormat="1" x14ac:dyDescent="0.3"/>
    <row r="16129" customFormat="1" x14ac:dyDescent="0.3"/>
    <row r="16130" customFormat="1" x14ac:dyDescent="0.3"/>
    <row r="16131" customFormat="1" x14ac:dyDescent="0.3"/>
    <row r="16132" customFormat="1" x14ac:dyDescent="0.3"/>
    <row r="16133" customFormat="1" x14ac:dyDescent="0.3"/>
    <row r="16134" customFormat="1" x14ac:dyDescent="0.3"/>
    <row r="16135" customFormat="1" x14ac:dyDescent="0.3"/>
    <row r="16136" customFormat="1" x14ac:dyDescent="0.3"/>
    <row r="16137" customFormat="1" x14ac:dyDescent="0.3"/>
    <row r="16138" customFormat="1" x14ac:dyDescent="0.3"/>
    <row r="16139" customFormat="1" x14ac:dyDescent="0.3"/>
    <row r="16140" customFormat="1" x14ac:dyDescent="0.3"/>
    <row r="16141" customFormat="1" x14ac:dyDescent="0.3"/>
    <row r="16142" customFormat="1" x14ac:dyDescent="0.3"/>
    <row r="16143" customFormat="1" x14ac:dyDescent="0.3"/>
    <row r="16144" customFormat="1" x14ac:dyDescent="0.3"/>
    <row r="16145" customFormat="1" x14ac:dyDescent="0.3"/>
    <row r="16146" customFormat="1" x14ac:dyDescent="0.3"/>
    <row r="16147" customFormat="1" x14ac:dyDescent="0.3"/>
    <row r="16148" customFormat="1" x14ac:dyDescent="0.3"/>
    <row r="16149" customFormat="1" x14ac:dyDescent="0.3"/>
    <row r="16150" customFormat="1" x14ac:dyDescent="0.3"/>
    <row r="16151" customFormat="1" x14ac:dyDescent="0.3"/>
    <row r="16152" customFormat="1" x14ac:dyDescent="0.3"/>
    <row r="16153" customFormat="1" x14ac:dyDescent="0.3"/>
    <row r="16154" customFormat="1" x14ac:dyDescent="0.3"/>
    <row r="16155" customFormat="1" x14ac:dyDescent="0.3"/>
    <row r="16156" customFormat="1" x14ac:dyDescent="0.3"/>
    <row r="16157" customFormat="1" x14ac:dyDescent="0.3"/>
    <row r="16158" customFormat="1" x14ac:dyDescent="0.3"/>
    <row r="16159" customFormat="1" x14ac:dyDescent="0.3"/>
    <row r="16160" customFormat="1" x14ac:dyDescent="0.3"/>
    <row r="16161" customFormat="1" x14ac:dyDescent="0.3"/>
    <row r="16162" customFormat="1" x14ac:dyDescent="0.3"/>
    <row r="16163" customFormat="1" x14ac:dyDescent="0.3"/>
    <row r="16164" customFormat="1" x14ac:dyDescent="0.3"/>
    <row r="16165" customFormat="1" x14ac:dyDescent="0.3"/>
    <row r="16166" customFormat="1" x14ac:dyDescent="0.3"/>
    <row r="16167" customFormat="1" x14ac:dyDescent="0.3"/>
    <row r="16168" customFormat="1" x14ac:dyDescent="0.3"/>
    <row r="16169" customFormat="1" x14ac:dyDescent="0.3"/>
    <row r="16170" customFormat="1" x14ac:dyDescent="0.3"/>
    <row r="16171" customFormat="1" x14ac:dyDescent="0.3"/>
    <row r="16172" customFormat="1" x14ac:dyDescent="0.3"/>
    <row r="16173" customFormat="1" x14ac:dyDescent="0.3"/>
    <row r="16174" customFormat="1" x14ac:dyDescent="0.3"/>
    <row r="16175" customFormat="1" x14ac:dyDescent="0.3"/>
    <row r="16176" customFormat="1" x14ac:dyDescent="0.3"/>
    <row r="16177" customFormat="1" x14ac:dyDescent="0.3"/>
    <row r="16178" customFormat="1" x14ac:dyDescent="0.3"/>
    <row r="16179" customFormat="1" x14ac:dyDescent="0.3"/>
    <row r="16180" customFormat="1" x14ac:dyDescent="0.3"/>
    <row r="16181" customFormat="1" x14ac:dyDescent="0.3"/>
    <row r="16182" customFormat="1" x14ac:dyDescent="0.3"/>
    <row r="16183" customFormat="1" x14ac:dyDescent="0.3"/>
    <row r="16184" customFormat="1" x14ac:dyDescent="0.3"/>
    <row r="16185" customFormat="1" x14ac:dyDescent="0.3"/>
    <row r="16186" customFormat="1" x14ac:dyDescent="0.3"/>
    <row r="16187" customFormat="1" x14ac:dyDescent="0.3"/>
    <row r="16188" customFormat="1" x14ac:dyDescent="0.3"/>
    <row r="16189" customFormat="1" x14ac:dyDescent="0.3"/>
    <row r="16190" customFormat="1" x14ac:dyDescent="0.3"/>
    <row r="16191" customFormat="1" x14ac:dyDescent="0.3"/>
    <row r="16192" customFormat="1" x14ac:dyDescent="0.3"/>
    <row r="16193" customFormat="1" x14ac:dyDescent="0.3"/>
    <row r="16194" customFormat="1" x14ac:dyDescent="0.3"/>
    <row r="16195" customFormat="1" x14ac:dyDescent="0.3"/>
    <row r="16196" customFormat="1" x14ac:dyDescent="0.3"/>
    <row r="16197" customFormat="1" x14ac:dyDescent="0.3"/>
    <row r="16198" customFormat="1" x14ac:dyDescent="0.3"/>
    <row r="16199" customFormat="1" x14ac:dyDescent="0.3"/>
    <row r="16200" customFormat="1" x14ac:dyDescent="0.3"/>
    <row r="16201" customFormat="1" x14ac:dyDescent="0.3"/>
    <row r="16202" customFormat="1" x14ac:dyDescent="0.3"/>
    <row r="16203" customFormat="1" x14ac:dyDescent="0.3"/>
    <row r="16204" customFormat="1" x14ac:dyDescent="0.3"/>
    <row r="16205" customFormat="1" x14ac:dyDescent="0.3"/>
    <row r="16206" customFormat="1" x14ac:dyDescent="0.3"/>
    <row r="16207" customFormat="1" x14ac:dyDescent="0.3"/>
    <row r="16208" customFormat="1" x14ac:dyDescent="0.3"/>
    <row r="16209" customFormat="1" x14ac:dyDescent="0.3"/>
    <row r="16210" customFormat="1" x14ac:dyDescent="0.3"/>
    <row r="16211" customFormat="1" x14ac:dyDescent="0.3"/>
    <row r="16212" customFormat="1" x14ac:dyDescent="0.3"/>
    <row r="16213" customFormat="1" x14ac:dyDescent="0.3"/>
    <row r="16214" customFormat="1" x14ac:dyDescent="0.3"/>
    <row r="16215" customFormat="1" x14ac:dyDescent="0.3"/>
    <row r="16216" customFormat="1" x14ac:dyDescent="0.3"/>
    <row r="16217" customFormat="1" x14ac:dyDescent="0.3"/>
    <row r="16218" customFormat="1" x14ac:dyDescent="0.3"/>
    <row r="16219" customFormat="1" x14ac:dyDescent="0.3"/>
    <row r="16220" customFormat="1" x14ac:dyDescent="0.3"/>
    <row r="16221" customFormat="1" x14ac:dyDescent="0.3"/>
    <row r="16222" customFormat="1" x14ac:dyDescent="0.3"/>
    <row r="16223" customFormat="1" x14ac:dyDescent="0.3"/>
    <row r="16224" customFormat="1" x14ac:dyDescent="0.3"/>
    <row r="16225" customFormat="1" x14ac:dyDescent="0.3"/>
    <row r="16226" customFormat="1" x14ac:dyDescent="0.3"/>
    <row r="16227" customFormat="1" x14ac:dyDescent="0.3"/>
    <row r="16228" customFormat="1" x14ac:dyDescent="0.3"/>
    <row r="16229" customFormat="1" x14ac:dyDescent="0.3"/>
    <row r="16230" customFormat="1" x14ac:dyDescent="0.3"/>
    <row r="16231" customFormat="1" x14ac:dyDescent="0.3"/>
    <row r="16232" customFormat="1" x14ac:dyDescent="0.3"/>
    <row r="16233" customFormat="1" x14ac:dyDescent="0.3"/>
    <row r="16234" customFormat="1" x14ac:dyDescent="0.3"/>
    <row r="16235" customFormat="1" x14ac:dyDescent="0.3"/>
    <row r="16236" customFormat="1" x14ac:dyDescent="0.3"/>
    <row r="16237" customFormat="1" x14ac:dyDescent="0.3"/>
    <row r="16238" customFormat="1" x14ac:dyDescent="0.3"/>
    <row r="16239" customFormat="1" x14ac:dyDescent="0.3"/>
    <row r="16240" customFormat="1" x14ac:dyDescent="0.3"/>
    <row r="16241" customFormat="1" x14ac:dyDescent="0.3"/>
    <row r="16242" customFormat="1" x14ac:dyDescent="0.3"/>
    <row r="16243" customFormat="1" x14ac:dyDescent="0.3"/>
    <row r="16244" customFormat="1" x14ac:dyDescent="0.3"/>
    <row r="16245" customFormat="1" x14ac:dyDescent="0.3"/>
    <row r="16246" customFormat="1" x14ac:dyDescent="0.3"/>
    <row r="16247" customFormat="1" x14ac:dyDescent="0.3"/>
    <row r="16248" customFormat="1" x14ac:dyDescent="0.3"/>
    <row r="16249" customFormat="1" x14ac:dyDescent="0.3"/>
    <row r="16250" customFormat="1" x14ac:dyDescent="0.3"/>
    <row r="16251" customFormat="1" x14ac:dyDescent="0.3"/>
    <row r="16252" customFormat="1" x14ac:dyDescent="0.3"/>
    <row r="16253" customFormat="1" x14ac:dyDescent="0.3"/>
    <row r="16254" customFormat="1" x14ac:dyDescent="0.3"/>
    <row r="16255" customFormat="1" x14ac:dyDescent="0.3"/>
    <row r="16256" customFormat="1" x14ac:dyDescent="0.3"/>
    <row r="16257" customFormat="1" x14ac:dyDescent="0.3"/>
    <row r="16258" customFormat="1" x14ac:dyDescent="0.3"/>
    <row r="16259" customFormat="1" x14ac:dyDescent="0.3"/>
    <row r="16260" customFormat="1" x14ac:dyDescent="0.3"/>
    <row r="16261" customFormat="1" x14ac:dyDescent="0.3"/>
    <row r="16262" customFormat="1" x14ac:dyDescent="0.3"/>
    <row r="16263" customFormat="1" x14ac:dyDescent="0.3"/>
    <row r="16264" customFormat="1" x14ac:dyDescent="0.3"/>
    <row r="16265" customFormat="1" x14ac:dyDescent="0.3"/>
    <row r="16266" customFormat="1" x14ac:dyDescent="0.3"/>
    <row r="16267" customFormat="1" x14ac:dyDescent="0.3"/>
    <row r="16268" customFormat="1" x14ac:dyDescent="0.3"/>
    <row r="16269" customFormat="1" x14ac:dyDescent="0.3"/>
    <row r="16270" customFormat="1" x14ac:dyDescent="0.3"/>
    <row r="16271" customFormat="1" x14ac:dyDescent="0.3"/>
    <row r="16272" customFormat="1" x14ac:dyDescent="0.3"/>
    <row r="16273" customFormat="1" x14ac:dyDescent="0.3"/>
    <row r="16274" customFormat="1" x14ac:dyDescent="0.3"/>
    <row r="16275" customFormat="1" x14ac:dyDescent="0.3"/>
    <row r="16276" customFormat="1" x14ac:dyDescent="0.3"/>
    <row r="16277" customFormat="1" x14ac:dyDescent="0.3"/>
    <row r="16278" customFormat="1" x14ac:dyDescent="0.3"/>
    <row r="16279" customFormat="1" x14ac:dyDescent="0.3"/>
    <row r="16280" customFormat="1" x14ac:dyDescent="0.3"/>
    <row r="16281" customFormat="1" x14ac:dyDescent="0.3"/>
    <row r="16282" customFormat="1" x14ac:dyDescent="0.3"/>
    <row r="16283" customFormat="1" x14ac:dyDescent="0.3"/>
    <row r="16284" customFormat="1" x14ac:dyDescent="0.3"/>
    <row r="16285" customFormat="1" x14ac:dyDescent="0.3"/>
    <row r="16286" customFormat="1" x14ac:dyDescent="0.3"/>
    <row r="16287" customFormat="1" x14ac:dyDescent="0.3"/>
    <row r="16288" customFormat="1" x14ac:dyDescent="0.3"/>
    <row r="16289" customFormat="1" x14ac:dyDescent="0.3"/>
    <row r="16290" customFormat="1" x14ac:dyDescent="0.3"/>
    <row r="16291" customFormat="1" x14ac:dyDescent="0.3"/>
    <row r="16292" customFormat="1" x14ac:dyDescent="0.3"/>
    <row r="16293" customFormat="1" x14ac:dyDescent="0.3"/>
    <row r="16294" customFormat="1" x14ac:dyDescent="0.3"/>
    <row r="16295" customFormat="1" x14ac:dyDescent="0.3"/>
    <row r="16296" customFormat="1" x14ac:dyDescent="0.3"/>
    <row r="16297" customFormat="1" x14ac:dyDescent="0.3"/>
    <row r="16298" customFormat="1" x14ac:dyDescent="0.3"/>
    <row r="16299" customFormat="1" x14ac:dyDescent="0.3"/>
    <row r="16300" customFormat="1" x14ac:dyDescent="0.3"/>
    <row r="16301" customFormat="1" x14ac:dyDescent="0.3"/>
    <row r="16302" customFormat="1" x14ac:dyDescent="0.3"/>
    <row r="16303" customFormat="1" x14ac:dyDescent="0.3"/>
    <row r="16304" customFormat="1" x14ac:dyDescent="0.3"/>
    <row r="16305" customFormat="1" x14ac:dyDescent="0.3"/>
    <row r="16306" customFormat="1" x14ac:dyDescent="0.3"/>
    <row r="16307" customFormat="1" x14ac:dyDescent="0.3"/>
    <row r="16308" customFormat="1" x14ac:dyDescent="0.3"/>
    <row r="16309" customFormat="1" x14ac:dyDescent="0.3"/>
    <row r="16310" customFormat="1" x14ac:dyDescent="0.3"/>
    <row r="16311" customFormat="1" x14ac:dyDescent="0.3"/>
    <row r="16312" customFormat="1" x14ac:dyDescent="0.3"/>
    <row r="16313" customFormat="1" x14ac:dyDescent="0.3"/>
    <row r="16314" customFormat="1" x14ac:dyDescent="0.3"/>
    <row r="16315" customFormat="1" x14ac:dyDescent="0.3"/>
    <row r="16316" customFormat="1" x14ac:dyDescent="0.3"/>
    <row r="16317" customFormat="1" x14ac:dyDescent="0.3"/>
    <row r="16318" customFormat="1" x14ac:dyDescent="0.3"/>
    <row r="16319" customFormat="1" x14ac:dyDescent="0.3"/>
    <row r="16320" customFormat="1" x14ac:dyDescent="0.3"/>
    <row r="16321" customFormat="1" x14ac:dyDescent="0.3"/>
    <row r="16322" customFormat="1" x14ac:dyDescent="0.3"/>
    <row r="16323" customFormat="1" x14ac:dyDescent="0.3"/>
    <row r="16324" customFormat="1" x14ac:dyDescent="0.3"/>
    <row r="16325" customFormat="1" x14ac:dyDescent="0.3"/>
    <row r="16326" customFormat="1" x14ac:dyDescent="0.3"/>
    <row r="16327" customFormat="1" x14ac:dyDescent="0.3"/>
    <row r="16328" customFormat="1" x14ac:dyDescent="0.3"/>
    <row r="16329" customFormat="1" x14ac:dyDescent="0.3"/>
    <row r="16330" customFormat="1" x14ac:dyDescent="0.3"/>
    <row r="16331" customFormat="1" x14ac:dyDescent="0.3"/>
    <row r="16332" customFormat="1" x14ac:dyDescent="0.3"/>
    <row r="16333" customFormat="1" x14ac:dyDescent="0.3"/>
    <row r="16334" customFormat="1" x14ac:dyDescent="0.3"/>
    <row r="16335" customFormat="1" x14ac:dyDescent="0.3"/>
    <row r="16336" customFormat="1" x14ac:dyDescent="0.3"/>
    <row r="16337" customFormat="1" x14ac:dyDescent="0.3"/>
    <row r="16338" customFormat="1" x14ac:dyDescent="0.3"/>
    <row r="16339" customFormat="1" x14ac:dyDescent="0.3"/>
    <row r="16340" customFormat="1" x14ac:dyDescent="0.3"/>
    <row r="16341" customFormat="1" x14ac:dyDescent="0.3"/>
    <row r="16342" customFormat="1" x14ac:dyDescent="0.3"/>
    <row r="16343" customFormat="1" x14ac:dyDescent="0.3"/>
    <row r="16344" customFormat="1" x14ac:dyDescent="0.3"/>
    <row r="16345" customFormat="1" x14ac:dyDescent="0.3"/>
    <row r="16346" customFormat="1" x14ac:dyDescent="0.3"/>
    <row r="16347" customFormat="1" x14ac:dyDescent="0.3"/>
    <row r="16348" customFormat="1" x14ac:dyDescent="0.3"/>
    <row r="16349" customFormat="1" x14ac:dyDescent="0.3"/>
    <row r="16350" customFormat="1" x14ac:dyDescent="0.3"/>
    <row r="16351" customFormat="1" x14ac:dyDescent="0.3"/>
    <row r="16352" customFormat="1" x14ac:dyDescent="0.3"/>
    <row r="16353" customFormat="1" x14ac:dyDescent="0.3"/>
    <row r="16354" customFormat="1" x14ac:dyDescent="0.3"/>
    <row r="16355" customFormat="1" x14ac:dyDescent="0.3"/>
    <row r="16356" customFormat="1" x14ac:dyDescent="0.3"/>
    <row r="16357" customFormat="1" x14ac:dyDescent="0.3"/>
    <row r="16358" customFormat="1" x14ac:dyDescent="0.3"/>
    <row r="16359" customFormat="1" x14ac:dyDescent="0.3"/>
    <row r="16360" customFormat="1" x14ac:dyDescent="0.3"/>
    <row r="16361" customFormat="1" x14ac:dyDescent="0.3"/>
    <row r="16362" customFormat="1" x14ac:dyDescent="0.3"/>
    <row r="16363" customFormat="1" x14ac:dyDescent="0.3"/>
    <row r="16364" customFormat="1" x14ac:dyDescent="0.3"/>
    <row r="16365" customFormat="1" x14ac:dyDescent="0.3"/>
    <row r="16366" customFormat="1" x14ac:dyDescent="0.3"/>
    <row r="16367" customFormat="1" x14ac:dyDescent="0.3"/>
    <row r="16368" customFormat="1" x14ac:dyDescent="0.3"/>
    <row r="16369" customFormat="1" x14ac:dyDescent="0.3"/>
    <row r="16370" customFormat="1" x14ac:dyDescent="0.3"/>
    <row r="16371" customFormat="1" x14ac:dyDescent="0.3"/>
    <row r="16372" customFormat="1" x14ac:dyDescent="0.3"/>
    <row r="16373" customFormat="1" x14ac:dyDescent="0.3"/>
    <row r="16374" customFormat="1" x14ac:dyDescent="0.3"/>
    <row r="16375" customFormat="1" x14ac:dyDescent="0.3"/>
    <row r="16376" customFormat="1" x14ac:dyDescent="0.3"/>
    <row r="16377" customFormat="1" x14ac:dyDescent="0.3"/>
    <row r="16378" customFormat="1" x14ac:dyDescent="0.3"/>
    <row r="16379" customFormat="1" x14ac:dyDescent="0.3"/>
    <row r="16380" customFormat="1" x14ac:dyDescent="0.3"/>
    <row r="16381" customFormat="1" x14ac:dyDescent="0.3"/>
    <row r="16382" customFormat="1" x14ac:dyDescent="0.3"/>
    <row r="16383" customFormat="1" x14ac:dyDescent="0.3"/>
    <row r="16384" customFormat="1" x14ac:dyDescent="0.3"/>
    <row r="16385" customFormat="1" x14ac:dyDescent="0.3"/>
    <row r="16386" customFormat="1" x14ac:dyDescent="0.3"/>
    <row r="16387" customFormat="1" x14ac:dyDescent="0.3"/>
    <row r="16388" customFormat="1" x14ac:dyDescent="0.3"/>
    <row r="16389" customFormat="1" x14ac:dyDescent="0.3"/>
    <row r="16390" customFormat="1" x14ac:dyDescent="0.3"/>
    <row r="16391" customFormat="1" x14ac:dyDescent="0.3"/>
    <row r="16392" customFormat="1" x14ac:dyDescent="0.3"/>
    <row r="16393" customFormat="1" x14ac:dyDescent="0.3"/>
    <row r="16394" customFormat="1" x14ac:dyDescent="0.3"/>
    <row r="16395" customFormat="1" x14ac:dyDescent="0.3"/>
    <row r="16396" customFormat="1" x14ac:dyDescent="0.3"/>
    <row r="16397" customFormat="1" x14ac:dyDescent="0.3"/>
    <row r="16398" customFormat="1" x14ac:dyDescent="0.3"/>
    <row r="16399" customFormat="1" x14ac:dyDescent="0.3"/>
    <row r="16400" customFormat="1" x14ac:dyDescent="0.3"/>
    <row r="16401" customFormat="1" x14ac:dyDescent="0.3"/>
    <row r="16402" customFormat="1" x14ac:dyDescent="0.3"/>
    <row r="16403" customFormat="1" x14ac:dyDescent="0.3"/>
    <row r="16404" customFormat="1" x14ac:dyDescent="0.3"/>
    <row r="16405" customFormat="1" x14ac:dyDescent="0.3"/>
    <row r="16406" customFormat="1" x14ac:dyDescent="0.3"/>
    <row r="16407" customFormat="1" x14ac:dyDescent="0.3"/>
    <row r="16408" customFormat="1" x14ac:dyDescent="0.3"/>
    <row r="16409" customFormat="1" x14ac:dyDescent="0.3"/>
    <row r="16410" customFormat="1" x14ac:dyDescent="0.3"/>
    <row r="16411" customFormat="1" x14ac:dyDescent="0.3"/>
    <row r="16412" customFormat="1" x14ac:dyDescent="0.3"/>
    <row r="16413" customFormat="1" x14ac:dyDescent="0.3"/>
    <row r="16414" customFormat="1" x14ac:dyDescent="0.3"/>
    <row r="16415" customFormat="1" x14ac:dyDescent="0.3"/>
    <row r="16416" customFormat="1" x14ac:dyDescent="0.3"/>
    <row r="16417" customFormat="1" x14ac:dyDescent="0.3"/>
    <row r="16418" customFormat="1" x14ac:dyDescent="0.3"/>
    <row r="16419" customFormat="1" x14ac:dyDescent="0.3"/>
    <row r="16420" customFormat="1" x14ac:dyDescent="0.3"/>
    <row r="16421" customFormat="1" x14ac:dyDescent="0.3"/>
    <row r="16422" customFormat="1" x14ac:dyDescent="0.3"/>
    <row r="16423" customFormat="1" x14ac:dyDescent="0.3"/>
    <row r="16424" customFormat="1" x14ac:dyDescent="0.3"/>
    <row r="16425" customFormat="1" x14ac:dyDescent="0.3"/>
    <row r="16426" customFormat="1" x14ac:dyDescent="0.3"/>
    <row r="16427" customFormat="1" x14ac:dyDescent="0.3"/>
    <row r="16428" customFormat="1" x14ac:dyDescent="0.3"/>
    <row r="16429" customFormat="1" x14ac:dyDescent="0.3"/>
    <row r="16430" customFormat="1" x14ac:dyDescent="0.3"/>
    <row r="16431" customFormat="1" x14ac:dyDescent="0.3"/>
    <row r="16432" customFormat="1" x14ac:dyDescent="0.3"/>
    <row r="16433" customFormat="1" x14ac:dyDescent="0.3"/>
    <row r="16434" customFormat="1" x14ac:dyDescent="0.3"/>
    <row r="16435" customFormat="1" x14ac:dyDescent="0.3"/>
    <row r="16436" customFormat="1" x14ac:dyDescent="0.3"/>
    <row r="16437" customFormat="1" x14ac:dyDescent="0.3"/>
    <row r="16438" customFormat="1" x14ac:dyDescent="0.3"/>
    <row r="16439" customFormat="1" x14ac:dyDescent="0.3"/>
    <row r="16440" customFormat="1" x14ac:dyDescent="0.3"/>
    <row r="16441" customFormat="1" x14ac:dyDescent="0.3"/>
    <row r="16442" customFormat="1" x14ac:dyDescent="0.3"/>
    <row r="16443" customFormat="1" x14ac:dyDescent="0.3"/>
    <row r="16444" customFormat="1" x14ac:dyDescent="0.3"/>
    <row r="16445" customFormat="1" x14ac:dyDescent="0.3"/>
    <row r="16446" customFormat="1" x14ac:dyDescent="0.3"/>
    <row r="16447" customFormat="1" x14ac:dyDescent="0.3"/>
    <row r="16448" customFormat="1" x14ac:dyDescent="0.3"/>
    <row r="16449" customFormat="1" x14ac:dyDescent="0.3"/>
    <row r="16450" customFormat="1" x14ac:dyDescent="0.3"/>
    <row r="16451" customFormat="1" x14ac:dyDescent="0.3"/>
    <row r="16452" customFormat="1" x14ac:dyDescent="0.3"/>
    <row r="16453" customFormat="1" x14ac:dyDescent="0.3"/>
    <row r="16454" customFormat="1" x14ac:dyDescent="0.3"/>
    <row r="16455" customFormat="1" x14ac:dyDescent="0.3"/>
    <row r="16456" customFormat="1" x14ac:dyDescent="0.3"/>
    <row r="16457" customFormat="1" x14ac:dyDescent="0.3"/>
    <row r="16458" customFormat="1" x14ac:dyDescent="0.3"/>
    <row r="16459" customFormat="1" x14ac:dyDescent="0.3"/>
    <row r="16460" customFormat="1" x14ac:dyDescent="0.3"/>
    <row r="16461" customFormat="1" x14ac:dyDescent="0.3"/>
    <row r="16462" customFormat="1" x14ac:dyDescent="0.3"/>
    <row r="16463" customFormat="1" x14ac:dyDescent="0.3"/>
    <row r="16464" customFormat="1" x14ac:dyDescent="0.3"/>
    <row r="16465" customFormat="1" x14ac:dyDescent="0.3"/>
    <row r="16466" customFormat="1" x14ac:dyDescent="0.3"/>
    <row r="16467" customFormat="1" x14ac:dyDescent="0.3"/>
    <row r="16468" customFormat="1" x14ac:dyDescent="0.3"/>
    <row r="16469" customFormat="1" x14ac:dyDescent="0.3"/>
    <row r="16470" customFormat="1" x14ac:dyDescent="0.3"/>
    <row r="16471" customFormat="1" x14ac:dyDescent="0.3"/>
    <row r="16472" customFormat="1" x14ac:dyDescent="0.3"/>
    <row r="16473" customFormat="1" x14ac:dyDescent="0.3"/>
    <row r="16474" customFormat="1" x14ac:dyDescent="0.3"/>
    <row r="16475" customFormat="1" x14ac:dyDescent="0.3"/>
    <row r="16476" customFormat="1" x14ac:dyDescent="0.3"/>
    <row r="16477" customFormat="1" x14ac:dyDescent="0.3"/>
    <row r="16478" customFormat="1" x14ac:dyDescent="0.3"/>
    <row r="16479" customFormat="1" x14ac:dyDescent="0.3"/>
    <row r="16480" customFormat="1" x14ac:dyDescent="0.3"/>
    <row r="16481" customFormat="1" x14ac:dyDescent="0.3"/>
    <row r="16482" customFormat="1" x14ac:dyDescent="0.3"/>
    <row r="16483" customFormat="1" x14ac:dyDescent="0.3"/>
    <row r="16484" customFormat="1" x14ac:dyDescent="0.3"/>
    <row r="16485" customFormat="1" x14ac:dyDescent="0.3"/>
    <row r="16486" customFormat="1" x14ac:dyDescent="0.3"/>
    <row r="16487" customFormat="1" x14ac:dyDescent="0.3"/>
    <row r="16488" customFormat="1" x14ac:dyDescent="0.3"/>
    <row r="16489" customFormat="1" x14ac:dyDescent="0.3"/>
    <row r="16490" customFormat="1" x14ac:dyDescent="0.3"/>
    <row r="16491" customFormat="1" x14ac:dyDescent="0.3"/>
    <row r="16492" customFormat="1" x14ac:dyDescent="0.3"/>
    <row r="16493" customFormat="1" x14ac:dyDescent="0.3"/>
    <row r="16494" customFormat="1" x14ac:dyDescent="0.3"/>
    <row r="16495" customFormat="1" x14ac:dyDescent="0.3"/>
    <row r="16496" customFormat="1" x14ac:dyDescent="0.3"/>
    <row r="16497" customFormat="1" x14ac:dyDescent="0.3"/>
    <row r="16498" customFormat="1" x14ac:dyDescent="0.3"/>
    <row r="16499" customFormat="1" x14ac:dyDescent="0.3"/>
    <row r="16500" customFormat="1" x14ac:dyDescent="0.3"/>
    <row r="16501" customFormat="1" x14ac:dyDescent="0.3"/>
    <row r="16502" customFormat="1" x14ac:dyDescent="0.3"/>
    <row r="16503" customFormat="1" x14ac:dyDescent="0.3"/>
    <row r="16504" customFormat="1" x14ac:dyDescent="0.3"/>
    <row r="16505" customFormat="1" x14ac:dyDescent="0.3"/>
    <row r="16506" customFormat="1" x14ac:dyDescent="0.3"/>
    <row r="16507" customFormat="1" x14ac:dyDescent="0.3"/>
    <row r="16508" customFormat="1" x14ac:dyDescent="0.3"/>
    <row r="16509" customFormat="1" x14ac:dyDescent="0.3"/>
    <row r="16510" customFormat="1" x14ac:dyDescent="0.3"/>
    <row r="16511" customFormat="1" x14ac:dyDescent="0.3"/>
    <row r="16512" customFormat="1" x14ac:dyDescent="0.3"/>
    <row r="16513" customFormat="1" x14ac:dyDescent="0.3"/>
    <row r="16514" customFormat="1" x14ac:dyDescent="0.3"/>
    <row r="16515" customFormat="1" x14ac:dyDescent="0.3"/>
    <row r="16516" customFormat="1" x14ac:dyDescent="0.3"/>
    <row r="16517" customFormat="1" x14ac:dyDescent="0.3"/>
    <row r="16518" customFormat="1" x14ac:dyDescent="0.3"/>
    <row r="16519" customFormat="1" x14ac:dyDescent="0.3"/>
    <row r="16520" customFormat="1" x14ac:dyDescent="0.3"/>
    <row r="16521" customFormat="1" x14ac:dyDescent="0.3"/>
    <row r="16522" customFormat="1" x14ac:dyDescent="0.3"/>
    <row r="16523" customFormat="1" x14ac:dyDescent="0.3"/>
    <row r="16524" customFormat="1" x14ac:dyDescent="0.3"/>
    <row r="16525" customFormat="1" x14ac:dyDescent="0.3"/>
    <row r="16526" customFormat="1" x14ac:dyDescent="0.3"/>
    <row r="16527" customFormat="1" x14ac:dyDescent="0.3"/>
    <row r="16528" customFormat="1" x14ac:dyDescent="0.3"/>
    <row r="16529" customFormat="1" x14ac:dyDescent="0.3"/>
    <row r="16530" customFormat="1" x14ac:dyDescent="0.3"/>
    <row r="16531" customFormat="1" x14ac:dyDescent="0.3"/>
    <row r="16532" customFormat="1" x14ac:dyDescent="0.3"/>
    <row r="16533" customFormat="1" x14ac:dyDescent="0.3"/>
    <row r="16534" customFormat="1" x14ac:dyDescent="0.3"/>
    <row r="16535" customFormat="1" x14ac:dyDescent="0.3"/>
    <row r="16536" customFormat="1" x14ac:dyDescent="0.3"/>
    <row r="16537" customFormat="1" x14ac:dyDescent="0.3"/>
    <row r="16538" customFormat="1" x14ac:dyDescent="0.3"/>
    <row r="16539" customFormat="1" x14ac:dyDescent="0.3"/>
    <row r="16540" customFormat="1" x14ac:dyDescent="0.3"/>
    <row r="16541" customFormat="1" x14ac:dyDescent="0.3"/>
    <row r="16542" customFormat="1" x14ac:dyDescent="0.3"/>
    <row r="16543" customFormat="1" x14ac:dyDescent="0.3"/>
    <row r="16544" customFormat="1" x14ac:dyDescent="0.3"/>
    <row r="16545" customFormat="1" x14ac:dyDescent="0.3"/>
    <row r="16546" customFormat="1" x14ac:dyDescent="0.3"/>
    <row r="16547" customFormat="1" x14ac:dyDescent="0.3"/>
    <row r="16548" customFormat="1" x14ac:dyDescent="0.3"/>
    <row r="16549" customFormat="1" x14ac:dyDescent="0.3"/>
    <row r="16550" customFormat="1" x14ac:dyDescent="0.3"/>
    <row r="16551" customFormat="1" x14ac:dyDescent="0.3"/>
    <row r="16552" customFormat="1" x14ac:dyDescent="0.3"/>
    <row r="16553" customFormat="1" x14ac:dyDescent="0.3"/>
    <row r="16554" customFormat="1" x14ac:dyDescent="0.3"/>
    <row r="16555" customFormat="1" x14ac:dyDescent="0.3"/>
    <row r="16556" customFormat="1" x14ac:dyDescent="0.3"/>
    <row r="16557" customFormat="1" x14ac:dyDescent="0.3"/>
    <row r="16558" customFormat="1" x14ac:dyDescent="0.3"/>
    <row r="16559" customFormat="1" x14ac:dyDescent="0.3"/>
    <row r="16560" customFormat="1" x14ac:dyDescent="0.3"/>
    <row r="16561" customFormat="1" x14ac:dyDescent="0.3"/>
    <row r="16562" customFormat="1" x14ac:dyDescent="0.3"/>
    <row r="16563" customFormat="1" x14ac:dyDescent="0.3"/>
    <row r="16564" customFormat="1" x14ac:dyDescent="0.3"/>
    <row r="16565" customFormat="1" x14ac:dyDescent="0.3"/>
    <row r="16566" customFormat="1" x14ac:dyDescent="0.3"/>
    <row r="16567" customFormat="1" x14ac:dyDescent="0.3"/>
    <row r="16568" customFormat="1" x14ac:dyDescent="0.3"/>
    <row r="16569" customFormat="1" x14ac:dyDescent="0.3"/>
    <row r="16570" customFormat="1" x14ac:dyDescent="0.3"/>
    <row r="16571" customFormat="1" x14ac:dyDescent="0.3"/>
    <row r="16572" customFormat="1" x14ac:dyDescent="0.3"/>
    <row r="16573" customFormat="1" x14ac:dyDescent="0.3"/>
    <row r="16574" customFormat="1" x14ac:dyDescent="0.3"/>
    <row r="16575" customFormat="1" x14ac:dyDescent="0.3"/>
    <row r="16576" customFormat="1" x14ac:dyDescent="0.3"/>
    <row r="16577" customFormat="1" x14ac:dyDescent="0.3"/>
    <row r="16578" customFormat="1" x14ac:dyDescent="0.3"/>
    <row r="16579" customFormat="1" x14ac:dyDescent="0.3"/>
    <row r="16580" customFormat="1" x14ac:dyDescent="0.3"/>
    <row r="16581" customFormat="1" x14ac:dyDescent="0.3"/>
    <row r="16582" customFormat="1" x14ac:dyDescent="0.3"/>
    <row r="16583" customFormat="1" x14ac:dyDescent="0.3"/>
    <row r="16584" customFormat="1" x14ac:dyDescent="0.3"/>
    <row r="16585" customFormat="1" x14ac:dyDescent="0.3"/>
    <row r="16586" customFormat="1" x14ac:dyDescent="0.3"/>
    <row r="16587" customFormat="1" x14ac:dyDescent="0.3"/>
    <row r="16588" customFormat="1" x14ac:dyDescent="0.3"/>
    <row r="16589" customFormat="1" x14ac:dyDescent="0.3"/>
    <row r="16590" customFormat="1" x14ac:dyDescent="0.3"/>
    <row r="16591" customFormat="1" x14ac:dyDescent="0.3"/>
    <row r="16592" customFormat="1" x14ac:dyDescent="0.3"/>
    <row r="16593" customFormat="1" x14ac:dyDescent="0.3"/>
    <row r="16594" customFormat="1" x14ac:dyDescent="0.3"/>
    <row r="16595" customFormat="1" x14ac:dyDescent="0.3"/>
    <row r="16596" customFormat="1" x14ac:dyDescent="0.3"/>
    <row r="16597" customFormat="1" x14ac:dyDescent="0.3"/>
    <row r="16598" customFormat="1" x14ac:dyDescent="0.3"/>
    <row r="16599" customFormat="1" x14ac:dyDescent="0.3"/>
    <row r="16600" customFormat="1" x14ac:dyDescent="0.3"/>
    <row r="16601" customFormat="1" x14ac:dyDescent="0.3"/>
    <row r="16602" customFormat="1" x14ac:dyDescent="0.3"/>
    <row r="16603" customFormat="1" x14ac:dyDescent="0.3"/>
    <row r="16604" customFormat="1" x14ac:dyDescent="0.3"/>
    <row r="16605" customFormat="1" x14ac:dyDescent="0.3"/>
    <row r="16606" customFormat="1" x14ac:dyDescent="0.3"/>
    <row r="16607" customFormat="1" x14ac:dyDescent="0.3"/>
    <row r="16608" customFormat="1" x14ac:dyDescent="0.3"/>
    <row r="16609" customFormat="1" x14ac:dyDescent="0.3"/>
    <row r="16610" customFormat="1" x14ac:dyDescent="0.3"/>
    <row r="16611" customFormat="1" x14ac:dyDescent="0.3"/>
    <row r="16612" customFormat="1" x14ac:dyDescent="0.3"/>
    <row r="16613" customFormat="1" x14ac:dyDescent="0.3"/>
    <row r="16614" customFormat="1" x14ac:dyDescent="0.3"/>
    <row r="16615" customFormat="1" x14ac:dyDescent="0.3"/>
    <row r="16616" customFormat="1" x14ac:dyDescent="0.3"/>
    <row r="16617" customFormat="1" x14ac:dyDescent="0.3"/>
    <row r="16618" customFormat="1" x14ac:dyDescent="0.3"/>
    <row r="16619" customFormat="1" x14ac:dyDescent="0.3"/>
    <row r="16620" customFormat="1" x14ac:dyDescent="0.3"/>
    <row r="16621" customFormat="1" x14ac:dyDescent="0.3"/>
    <row r="16622" customFormat="1" x14ac:dyDescent="0.3"/>
    <row r="16623" customFormat="1" x14ac:dyDescent="0.3"/>
    <row r="16624" customFormat="1" x14ac:dyDescent="0.3"/>
    <row r="16625" customFormat="1" x14ac:dyDescent="0.3"/>
    <row r="16626" customFormat="1" x14ac:dyDescent="0.3"/>
    <row r="16627" customFormat="1" x14ac:dyDescent="0.3"/>
    <row r="16628" customFormat="1" x14ac:dyDescent="0.3"/>
    <row r="16629" customFormat="1" x14ac:dyDescent="0.3"/>
    <row r="16630" customFormat="1" x14ac:dyDescent="0.3"/>
    <row r="16631" customFormat="1" x14ac:dyDescent="0.3"/>
    <row r="16632" customFormat="1" x14ac:dyDescent="0.3"/>
    <row r="16633" customFormat="1" x14ac:dyDescent="0.3"/>
    <row r="16634" customFormat="1" x14ac:dyDescent="0.3"/>
    <row r="16635" customFormat="1" x14ac:dyDescent="0.3"/>
    <row r="16636" customFormat="1" x14ac:dyDescent="0.3"/>
    <row r="16637" customFormat="1" x14ac:dyDescent="0.3"/>
    <row r="16638" customFormat="1" x14ac:dyDescent="0.3"/>
    <row r="16639" customFormat="1" x14ac:dyDescent="0.3"/>
    <row r="16640" customFormat="1" x14ac:dyDescent="0.3"/>
    <row r="16641" customFormat="1" x14ac:dyDescent="0.3"/>
    <row r="16642" customFormat="1" x14ac:dyDescent="0.3"/>
    <row r="16643" customFormat="1" x14ac:dyDescent="0.3"/>
    <row r="16644" customFormat="1" x14ac:dyDescent="0.3"/>
    <row r="16645" customFormat="1" x14ac:dyDescent="0.3"/>
    <row r="16646" customFormat="1" x14ac:dyDescent="0.3"/>
    <row r="16647" customFormat="1" x14ac:dyDescent="0.3"/>
    <row r="16648" customFormat="1" x14ac:dyDescent="0.3"/>
    <row r="16649" customFormat="1" x14ac:dyDescent="0.3"/>
    <row r="16650" customFormat="1" x14ac:dyDescent="0.3"/>
    <row r="16651" customFormat="1" x14ac:dyDescent="0.3"/>
    <row r="16652" customFormat="1" x14ac:dyDescent="0.3"/>
    <row r="16653" customFormat="1" x14ac:dyDescent="0.3"/>
    <row r="16654" customFormat="1" x14ac:dyDescent="0.3"/>
    <row r="16655" customFormat="1" x14ac:dyDescent="0.3"/>
    <row r="16656" customFormat="1" x14ac:dyDescent="0.3"/>
    <row r="16657" customFormat="1" x14ac:dyDescent="0.3"/>
    <row r="16658" customFormat="1" x14ac:dyDescent="0.3"/>
    <row r="16659" customFormat="1" x14ac:dyDescent="0.3"/>
    <row r="16660" customFormat="1" x14ac:dyDescent="0.3"/>
    <row r="16661" customFormat="1" x14ac:dyDescent="0.3"/>
    <row r="16662" customFormat="1" x14ac:dyDescent="0.3"/>
    <row r="16663" customFormat="1" x14ac:dyDescent="0.3"/>
    <row r="16664" customFormat="1" x14ac:dyDescent="0.3"/>
    <row r="16665" customFormat="1" x14ac:dyDescent="0.3"/>
    <row r="16666" customFormat="1" x14ac:dyDescent="0.3"/>
    <row r="16667" customFormat="1" x14ac:dyDescent="0.3"/>
    <row r="16668" customFormat="1" x14ac:dyDescent="0.3"/>
    <row r="16669" customFormat="1" x14ac:dyDescent="0.3"/>
    <row r="16670" customFormat="1" x14ac:dyDescent="0.3"/>
    <row r="16671" customFormat="1" x14ac:dyDescent="0.3"/>
    <row r="16672" customFormat="1" x14ac:dyDescent="0.3"/>
    <row r="16673" customFormat="1" x14ac:dyDescent="0.3"/>
    <row r="16674" customFormat="1" x14ac:dyDescent="0.3"/>
    <row r="16675" customFormat="1" x14ac:dyDescent="0.3"/>
    <row r="16676" customFormat="1" x14ac:dyDescent="0.3"/>
    <row r="16677" customFormat="1" x14ac:dyDescent="0.3"/>
    <row r="16678" customFormat="1" x14ac:dyDescent="0.3"/>
    <row r="16679" customFormat="1" x14ac:dyDescent="0.3"/>
    <row r="16680" customFormat="1" x14ac:dyDescent="0.3"/>
    <row r="16681" customFormat="1" x14ac:dyDescent="0.3"/>
    <row r="16682" customFormat="1" x14ac:dyDescent="0.3"/>
    <row r="16683" customFormat="1" x14ac:dyDescent="0.3"/>
    <row r="16684" customFormat="1" x14ac:dyDescent="0.3"/>
    <row r="16685" customFormat="1" x14ac:dyDescent="0.3"/>
    <row r="16686" customFormat="1" x14ac:dyDescent="0.3"/>
    <row r="16687" customFormat="1" x14ac:dyDescent="0.3"/>
    <row r="16688" customFormat="1" x14ac:dyDescent="0.3"/>
    <row r="16689" customFormat="1" x14ac:dyDescent="0.3"/>
    <row r="16690" customFormat="1" x14ac:dyDescent="0.3"/>
    <row r="16691" customFormat="1" x14ac:dyDescent="0.3"/>
    <row r="16692" customFormat="1" x14ac:dyDescent="0.3"/>
    <row r="16693" customFormat="1" x14ac:dyDescent="0.3"/>
    <row r="16694" customFormat="1" x14ac:dyDescent="0.3"/>
    <row r="16695" customFormat="1" x14ac:dyDescent="0.3"/>
    <row r="16696" customFormat="1" x14ac:dyDescent="0.3"/>
    <row r="16697" customFormat="1" x14ac:dyDescent="0.3"/>
    <row r="16698" customFormat="1" x14ac:dyDescent="0.3"/>
    <row r="16699" customFormat="1" x14ac:dyDescent="0.3"/>
    <row r="16700" customFormat="1" x14ac:dyDescent="0.3"/>
    <row r="16701" customFormat="1" x14ac:dyDescent="0.3"/>
    <row r="16702" customFormat="1" x14ac:dyDescent="0.3"/>
    <row r="16703" customFormat="1" x14ac:dyDescent="0.3"/>
    <row r="16704" customFormat="1" x14ac:dyDescent="0.3"/>
    <row r="16705" customFormat="1" x14ac:dyDescent="0.3"/>
    <row r="16706" customFormat="1" x14ac:dyDescent="0.3"/>
    <row r="16707" customFormat="1" x14ac:dyDescent="0.3"/>
    <row r="16708" customFormat="1" x14ac:dyDescent="0.3"/>
    <row r="16709" customFormat="1" x14ac:dyDescent="0.3"/>
    <row r="16710" customFormat="1" x14ac:dyDescent="0.3"/>
    <row r="16711" customFormat="1" x14ac:dyDescent="0.3"/>
    <row r="16712" customFormat="1" x14ac:dyDescent="0.3"/>
    <row r="16713" customFormat="1" x14ac:dyDescent="0.3"/>
    <row r="16714" customFormat="1" x14ac:dyDescent="0.3"/>
    <row r="16715" customFormat="1" x14ac:dyDescent="0.3"/>
    <row r="16716" customFormat="1" x14ac:dyDescent="0.3"/>
    <row r="16717" customFormat="1" x14ac:dyDescent="0.3"/>
    <row r="16718" customFormat="1" x14ac:dyDescent="0.3"/>
    <row r="16719" customFormat="1" x14ac:dyDescent="0.3"/>
    <row r="16720" customFormat="1" x14ac:dyDescent="0.3"/>
    <row r="16721" customFormat="1" x14ac:dyDescent="0.3"/>
    <row r="16722" customFormat="1" x14ac:dyDescent="0.3"/>
    <row r="16723" customFormat="1" x14ac:dyDescent="0.3"/>
    <row r="16724" customFormat="1" x14ac:dyDescent="0.3"/>
    <row r="16725" customFormat="1" x14ac:dyDescent="0.3"/>
    <row r="16726" customFormat="1" x14ac:dyDescent="0.3"/>
    <row r="16727" customFormat="1" x14ac:dyDescent="0.3"/>
    <row r="16728" customFormat="1" x14ac:dyDescent="0.3"/>
    <row r="16729" customFormat="1" x14ac:dyDescent="0.3"/>
    <row r="16730" customFormat="1" x14ac:dyDescent="0.3"/>
    <row r="16731" customFormat="1" x14ac:dyDescent="0.3"/>
    <row r="16732" customFormat="1" x14ac:dyDescent="0.3"/>
    <row r="16733" customFormat="1" x14ac:dyDescent="0.3"/>
    <row r="16734" customFormat="1" x14ac:dyDescent="0.3"/>
    <row r="16735" customFormat="1" x14ac:dyDescent="0.3"/>
    <row r="16736" customFormat="1" x14ac:dyDescent="0.3"/>
    <row r="16737" customFormat="1" x14ac:dyDescent="0.3"/>
    <row r="16738" customFormat="1" x14ac:dyDescent="0.3"/>
    <row r="16739" customFormat="1" x14ac:dyDescent="0.3"/>
    <row r="16740" customFormat="1" x14ac:dyDescent="0.3"/>
    <row r="16741" customFormat="1" x14ac:dyDescent="0.3"/>
    <row r="16742" customFormat="1" x14ac:dyDescent="0.3"/>
    <row r="16743" customFormat="1" x14ac:dyDescent="0.3"/>
    <row r="16744" customFormat="1" x14ac:dyDescent="0.3"/>
    <row r="16745" customFormat="1" x14ac:dyDescent="0.3"/>
    <row r="16746" customFormat="1" x14ac:dyDescent="0.3"/>
    <row r="16747" customFormat="1" x14ac:dyDescent="0.3"/>
    <row r="16748" customFormat="1" x14ac:dyDescent="0.3"/>
    <row r="16749" customFormat="1" x14ac:dyDescent="0.3"/>
    <row r="16750" customFormat="1" x14ac:dyDescent="0.3"/>
    <row r="16751" customFormat="1" x14ac:dyDescent="0.3"/>
    <row r="16752" customFormat="1" x14ac:dyDescent="0.3"/>
    <row r="16753" customFormat="1" x14ac:dyDescent="0.3"/>
    <row r="16754" customFormat="1" x14ac:dyDescent="0.3"/>
    <row r="16755" customFormat="1" x14ac:dyDescent="0.3"/>
    <row r="16756" customFormat="1" x14ac:dyDescent="0.3"/>
    <row r="16757" customFormat="1" x14ac:dyDescent="0.3"/>
    <row r="16758" customFormat="1" x14ac:dyDescent="0.3"/>
    <row r="16759" customFormat="1" x14ac:dyDescent="0.3"/>
    <row r="16760" customFormat="1" x14ac:dyDescent="0.3"/>
    <row r="16761" customFormat="1" x14ac:dyDescent="0.3"/>
    <row r="16762" customFormat="1" x14ac:dyDescent="0.3"/>
    <row r="16763" customFormat="1" x14ac:dyDescent="0.3"/>
    <row r="16764" customFormat="1" x14ac:dyDescent="0.3"/>
    <row r="16765" customFormat="1" x14ac:dyDescent="0.3"/>
    <row r="16766" customFormat="1" x14ac:dyDescent="0.3"/>
    <row r="16767" customFormat="1" x14ac:dyDescent="0.3"/>
    <row r="16768" customFormat="1" x14ac:dyDescent="0.3"/>
    <row r="16769" customFormat="1" x14ac:dyDescent="0.3"/>
    <row r="16770" customFormat="1" x14ac:dyDescent="0.3"/>
    <row r="16771" customFormat="1" x14ac:dyDescent="0.3"/>
    <row r="16772" customFormat="1" x14ac:dyDescent="0.3"/>
    <row r="16773" customFormat="1" x14ac:dyDescent="0.3"/>
    <row r="16774" customFormat="1" x14ac:dyDescent="0.3"/>
    <row r="16775" customFormat="1" x14ac:dyDescent="0.3"/>
    <row r="16776" customFormat="1" x14ac:dyDescent="0.3"/>
    <row r="16777" customFormat="1" x14ac:dyDescent="0.3"/>
    <row r="16778" customFormat="1" x14ac:dyDescent="0.3"/>
    <row r="16779" customFormat="1" x14ac:dyDescent="0.3"/>
    <row r="16780" customFormat="1" x14ac:dyDescent="0.3"/>
    <row r="16781" customFormat="1" x14ac:dyDescent="0.3"/>
    <row r="16782" customFormat="1" x14ac:dyDescent="0.3"/>
    <row r="16783" customFormat="1" x14ac:dyDescent="0.3"/>
    <row r="16784" customFormat="1" x14ac:dyDescent="0.3"/>
    <row r="16785" customFormat="1" x14ac:dyDescent="0.3"/>
    <row r="16786" customFormat="1" x14ac:dyDescent="0.3"/>
    <row r="16787" customFormat="1" x14ac:dyDescent="0.3"/>
    <row r="16788" customFormat="1" x14ac:dyDescent="0.3"/>
    <row r="16789" customFormat="1" x14ac:dyDescent="0.3"/>
    <row r="16790" customFormat="1" x14ac:dyDescent="0.3"/>
    <row r="16791" customFormat="1" x14ac:dyDescent="0.3"/>
    <row r="16792" customFormat="1" x14ac:dyDescent="0.3"/>
    <row r="16793" customFormat="1" x14ac:dyDescent="0.3"/>
    <row r="16794" customFormat="1" x14ac:dyDescent="0.3"/>
    <row r="16795" customFormat="1" x14ac:dyDescent="0.3"/>
    <row r="16796" customFormat="1" x14ac:dyDescent="0.3"/>
    <row r="16797" customFormat="1" x14ac:dyDescent="0.3"/>
    <row r="16798" customFormat="1" x14ac:dyDescent="0.3"/>
    <row r="16799" customFormat="1" x14ac:dyDescent="0.3"/>
    <row r="16800" customFormat="1" x14ac:dyDescent="0.3"/>
    <row r="16801" customFormat="1" x14ac:dyDescent="0.3"/>
    <row r="16802" customFormat="1" x14ac:dyDescent="0.3"/>
    <row r="16803" customFormat="1" x14ac:dyDescent="0.3"/>
    <row r="16804" customFormat="1" x14ac:dyDescent="0.3"/>
    <row r="16805" customFormat="1" x14ac:dyDescent="0.3"/>
    <row r="16806" customFormat="1" x14ac:dyDescent="0.3"/>
    <row r="16807" customFormat="1" x14ac:dyDescent="0.3"/>
    <row r="16808" customFormat="1" x14ac:dyDescent="0.3"/>
    <row r="16809" customFormat="1" x14ac:dyDescent="0.3"/>
    <row r="16810" customFormat="1" x14ac:dyDescent="0.3"/>
    <row r="16811" customFormat="1" x14ac:dyDescent="0.3"/>
    <row r="16812" customFormat="1" x14ac:dyDescent="0.3"/>
    <row r="16813" customFormat="1" x14ac:dyDescent="0.3"/>
    <row r="16814" customFormat="1" x14ac:dyDescent="0.3"/>
    <row r="16815" customFormat="1" x14ac:dyDescent="0.3"/>
    <row r="16816" customFormat="1" x14ac:dyDescent="0.3"/>
    <row r="16817" customFormat="1" x14ac:dyDescent="0.3"/>
    <row r="16818" customFormat="1" x14ac:dyDescent="0.3"/>
    <row r="16819" customFormat="1" x14ac:dyDescent="0.3"/>
    <row r="16820" customFormat="1" x14ac:dyDescent="0.3"/>
    <row r="16821" customFormat="1" x14ac:dyDescent="0.3"/>
    <row r="16822" customFormat="1" x14ac:dyDescent="0.3"/>
    <row r="16823" customFormat="1" x14ac:dyDescent="0.3"/>
    <row r="16824" customFormat="1" x14ac:dyDescent="0.3"/>
    <row r="16825" customFormat="1" x14ac:dyDescent="0.3"/>
    <row r="16826" customFormat="1" x14ac:dyDescent="0.3"/>
    <row r="16827" customFormat="1" x14ac:dyDescent="0.3"/>
    <row r="16828" customFormat="1" x14ac:dyDescent="0.3"/>
    <row r="16829" customFormat="1" x14ac:dyDescent="0.3"/>
    <row r="16830" customFormat="1" x14ac:dyDescent="0.3"/>
    <row r="16831" customFormat="1" x14ac:dyDescent="0.3"/>
    <row r="16832" customFormat="1" x14ac:dyDescent="0.3"/>
    <row r="16833" customFormat="1" x14ac:dyDescent="0.3"/>
    <row r="16834" customFormat="1" x14ac:dyDescent="0.3"/>
    <row r="16835" customFormat="1" x14ac:dyDescent="0.3"/>
    <row r="16836" customFormat="1" x14ac:dyDescent="0.3"/>
    <row r="16837" customFormat="1" x14ac:dyDescent="0.3"/>
    <row r="16838" customFormat="1" x14ac:dyDescent="0.3"/>
    <row r="16839" customFormat="1" x14ac:dyDescent="0.3"/>
    <row r="16840" customFormat="1" x14ac:dyDescent="0.3"/>
    <row r="16841" customFormat="1" x14ac:dyDescent="0.3"/>
    <row r="16842" customFormat="1" x14ac:dyDescent="0.3"/>
    <row r="16843" customFormat="1" x14ac:dyDescent="0.3"/>
    <row r="16844" customFormat="1" x14ac:dyDescent="0.3"/>
    <row r="16845" customFormat="1" x14ac:dyDescent="0.3"/>
    <row r="16846" customFormat="1" x14ac:dyDescent="0.3"/>
    <row r="16847" customFormat="1" x14ac:dyDescent="0.3"/>
    <row r="16848" customFormat="1" x14ac:dyDescent="0.3"/>
    <row r="16849" customFormat="1" x14ac:dyDescent="0.3"/>
    <row r="16850" customFormat="1" x14ac:dyDescent="0.3"/>
    <row r="16851" customFormat="1" x14ac:dyDescent="0.3"/>
    <row r="16852" customFormat="1" x14ac:dyDescent="0.3"/>
    <row r="16853" customFormat="1" x14ac:dyDescent="0.3"/>
    <row r="16854" customFormat="1" x14ac:dyDescent="0.3"/>
    <row r="16855" customFormat="1" x14ac:dyDescent="0.3"/>
    <row r="16856" customFormat="1" x14ac:dyDescent="0.3"/>
    <row r="16857" customFormat="1" x14ac:dyDescent="0.3"/>
    <row r="16858" customFormat="1" x14ac:dyDescent="0.3"/>
    <row r="16859" customFormat="1" x14ac:dyDescent="0.3"/>
    <row r="16860" customFormat="1" x14ac:dyDescent="0.3"/>
    <row r="16861" customFormat="1" x14ac:dyDescent="0.3"/>
    <row r="16862" customFormat="1" x14ac:dyDescent="0.3"/>
    <row r="16863" customFormat="1" x14ac:dyDescent="0.3"/>
    <row r="16864" customFormat="1" x14ac:dyDescent="0.3"/>
    <row r="16865" customFormat="1" x14ac:dyDescent="0.3"/>
    <row r="16866" customFormat="1" x14ac:dyDescent="0.3"/>
    <row r="16867" customFormat="1" x14ac:dyDescent="0.3"/>
    <row r="16868" customFormat="1" x14ac:dyDescent="0.3"/>
    <row r="16869" customFormat="1" x14ac:dyDescent="0.3"/>
    <row r="16870" customFormat="1" x14ac:dyDescent="0.3"/>
    <row r="16871" customFormat="1" x14ac:dyDescent="0.3"/>
    <row r="16872" customFormat="1" x14ac:dyDescent="0.3"/>
    <row r="16873" customFormat="1" x14ac:dyDescent="0.3"/>
    <row r="16874" customFormat="1" x14ac:dyDescent="0.3"/>
    <row r="16875" customFormat="1" x14ac:dyDescent="0.3"/>
    <row r="16876" customFormat="1" x14ac:dyDescent="0.3"/>
    <row r="16877" customFormat="1" x14ac:dyDescent="0.3"/>
    <row r="16878" customFormat="1" x14ac:dyDescent="0.3"/>
    <row r="16879" customFormat="1" x14ac:dyDescent="0.3"/>
    <row r="16880" customFormat="1" x14ac:dyDescent="0.3"/>
    <row r="16881" customFormat="1" x14ac:dyDescent="0.3"/>
    <row r="16882" customFormat="1" x14ac:dyDescent="0.3"/>
    <row r="16883" customFormat="1" x14ac:dyDescent="0.3"/>
    <row r="16884" customFormat="1" x14ac:dyDescent="0.3"/>
    <row r="16885" customFormat="1" x14ac:dyDescent="0.3"/>
    <row r="16886" customFormat="1" x14ac:dyDescent="0.3"/>
    <row r="16887" customFormat="1" x14ac:dyDescent="0.3"/>
    <row r="16888" customFormat="1" x14ac:dyDescent="0.3"/>
    <row r="16889" customFormat="1" x14ac:dyDescent="0.3"/>
    <row r="16890" customFormat="1" x14ac:dyDescent="0.3"/>
    <row r="16891" customFormat="1" x14ac:dyDescent="0.3"/>
    <row r="16892" customFormat="1" x14ac:dyDescent="0.3"/>
    <row r="16893" customFormat="1" x14ac:dyDescent="0.3"/>
    <row r="16894" customFormat="1" x14ac:dyDescent="0.3"/>
    <row r="16895" customFormat="1" x14ac:dyDescent="0.3"/>
    <row r="16896" customFormat="1" x14ac:dyDescent="0.3"/>
    <row r="16897" customFormat="1" x14ac:dyDescent="0.3"/>
    <row r="16898" customFormat="1" x14ac:dyDescent="0.3"/>
    <row r="16899" customFormat="1" x14ac:dyDescent="0.3"/>
    <row r="16900" customFormat="1" x14ac:dyDescent="0.3"/>
    <row r="16901" customFormat="1" x14ac:dyDescent="0.3"/>
    <row r="16902" customFormat="1" x14ac:dyDescent="0.3"/>
    <row r="16903" customFormat="1" x14ac:dyDescent="0.3"/>
    <row r="16904" customFormat="1" x14ac:dyDescent="0.3"/>
    <row r="16905" customFormat="1" x14ac:dyDescent="0.3"/>
    <row r="16906" customFormat="1" x14ac:dyDescent="0.3"/>
    <row r="16907" customFormat="1" x14ac:dyDescent="0.3"/>
    <row r="16908" customFormat="1" x14ac:dyDescent="0.3"/>
    <row r="16909" customFormat="1" x14ac:dyDescent="0.3"/>
    <row r="16910" customFormat="1" x14ac:dyDescent="0.3"/>
    <row r="16911" customFormat="1" x14ac:dyDescent="0.3"/>
    <row r="16912" customFormat="1" x14ac:dyDescent="0.3"/>
    <row r="16913" customFormat="1" x14ac:dyDescent="0.3"/>
    <row r="16914" customFormat="1" x14ac:dyDescent="0.3"/>
    <row r="16915" customFormat="1" x14ac:dyDescent="0.3"/>
    <row r="16916" customFormat="1" x14ac:dyDescent="0.3"/>
    <row r="16917" customFormat="1" x14ac:dyDescent="0.3"/>
    <row r="16918" customFormat="1" x14ac:dyDescent="0.3"/>
    <row r="16919" customFormat="1" x14ac:dyDescent="0.3"/>
    <row r="16920" customFormat="1" x14ac:dyDescent="0.3"/>
    <row r="16921" customFormat="1" x14ac:dyDescent="0.3"/>
    <row r="16922" customFormat="1" x14ac:dyDescent="0.3"/>
    <row r="16923" customFormat="1" x14ac:dyDescent="0.3"/>
    <row r="16924" customFormat="1" x14ac:dyDescent="0.3"/>
    <row r="16925" customFormat="1" x14ac:dyDescent="0.3"/>
    <row r="16926" customFormat="1" x14ac:dyDescent="0.3"/>
    <row r="16927" customFormat="1" x14ac:dyDescent="0.3"/>
    <row r="16928" customFormat="1" x14ac:dyDescent="0.3"/>
    <row r="16929" customFormat="1" x14ac:dyDescent="0.3"/>
    <row r="16930" customFormat="1" x14ac:dyDescent="0.3"/>
    <row r="16931" customFormat="1" x14ac:dyDescent="0.3"/>
    <row r="16932" customFormat="1" x14ac:dyDescent="0.3"/>
    <row r="16933" customFormat="1" x14ac:dyDescent="0.3"/>
    <row r="16934" customFormat="1" x14ac:dyDescent="0.3"/>
    <row r="16935" customFormat="1" x14ac:dyDescent="0.3"/>
    <row r="16936" customFormat="1" x14ac:dyDescent="0.3"/>
    <row r="16937" customFormat="1" x14ac:dyDescent="0.3"/>
    <row r="16938" customFormat="1" x14ac:dyDescent="0.3"/>
    <row r="16939" customFormat="1" x14ac:dyDescent="0.3"/>
    <row r="16940" customFormat="1" x14ac:dyDescent="0.3"/>
    <row r="16941" customFormat="1" x14ac:dyDescent="0.3"/>
    <row r="16942" customFormat="1" x14ac:dyDescent="0.3"/>
    <row r="16943" customFormat="1" x14ac:dyDescent="0.3"/>
    <row r="16944" customFormat="1" x14ac:dyDescent="0.3"/>
    <row r="16945" customFormat="1" x14ac:dyDescent="0.3"/>
    <row r="16946" customFormat="1" x14ac:dyDescent="0.3"/>
    <row r="16947" customFormat="1" x14ac:dyDescent="0.3"/>
    <row r="16948" customFormat="1" x14ac:dyDescent="0.3"/>
    <row r="16949" customFormat="1" x14ac:dyDescent="0.3"/>
    <row r="16950" customFormat="1" x14ac:dyDescent="0.3"/>
    <row r="16951" customFormat="1" x14ac:dyDescent="0.3"/>
    <row r="16952" customFormat="1" x14ac:dyDescent="0.3"/>
    <row r="16953" customFormat="1" x14ac:dyDescent="0.3"/>
    <row r="16954" customFormat="1" x14ac:dyDescent="0.3"/>
    <row r="16955" customFormat="1" x14ac:dyDescent="0.3"/>
    <row r="16956" customFormat="1" x14ac:dyDescent="0.3"/>
    <row r="16957" customFormat="1" x14ac:dyDescent="0.3"/>
    <row r="16958" customFormat="1" x14ac:dyDescent="0.3"/>
    <row r="16959" customFormat="1" x14ac:dyDescent="0.3"/>
    <row r="16960" customFormat="1" x14ac:dyDescent="0.3"/>
    <row r="16961" customFormat="1" x14ac:dyDescent="0.3"/>
    <row r="16962" customFormat="1" x14ac:dyDescent="0.3"/>
    <row r="16963" customFormat="1" x14ac:dyDescent="0.3"/>
    <row r="16964" customFormat="1" x14ac:dyDescent="0.3"/>
    <row r="16965" customFormat="1" x14ac:dyDescent="0.3"/>
    <row r="16966" customFormat="1" x14ac:dyDescent="0.3"/>
    <row r="16967" customFormat="1" x14ac:dyDescent="0.3"/>
    <row r="16968" customFormat="1" x14ac:dyDescent="0.3"/>
    <row r="16969" customFormat="1" x14ac:dyDescent="0.3"/>
    <row r="16970" customFormat="1" x14ac:dyDescent="0.3"/>
    <row r="16971" customFormat="1" x14ac:dyDescent="0.3"/>
    <row r="16972" customFormat="1" x14ac:dyDescent="0.3"/>
    <row r="16973" customFormat="1" x14ac:dyDescent="0.3"/>
    <row r="16974" customFormat="1" x14ac:dyDescent="0.3"/>
    <row r="16975" customFormat="1" x14ac:dyDescent="0.3"/>
    <row r="16976" customFormat="1" x14ac:dyDescent="0.3"/>
    <row r="16977" customFormat="1" x14ac:dyDescent="0.3"/>
    <row r="16978" customFormat="1" x14ac:dyDescent="0.3"/>
    <row r="16979" customFormat="1" x14ac:dyDescent="0.3"/>
    <row r="16980" customFormat="1" x14ac:dyDescent="0.3"/>
    <row r="16981" customFormat="1" x14ac:dyDescent="0.3"/>
    <row r="16982" customFormat="1" x14ac:dyDescent="0.3"/>
    <row r="16983" customFormat="1" x14ac:dyDescent="0.3"/>
    <row r="16984" customFormat="1" x14ac:dyDescent="0.3"/>
    <row r="16985" customFormat="1" x14ac:dyDescent="0.3"/>
    <row r="16986" customFormat="1" x14ac:dyDescent="0.3"/>
    <row r="16987" customFormat="1" x14ac:dyDescent="0.3"/>
    <row r="16988" customFormat="1" x14ac:dyDescent="0.3"/>
    <row r="16989" customFormat="1" x14ac:dyDescent="0.3"/>
    <row r="16990" customFormat="1" x14ac:dyDescent="0.3"/>
    <row r="16991" customFormat="1" x14ac:dyDescent="0.3"/>
    <row r="16992" customFormat="1" x14ac:dyDescent="0.3"/>
    <row r="16993" customFormat="1" x14ac:dyDescent="0.3"/>
    <row r="16994" customFormat="1" x14ac:dyDescent="0.3"/>
    <row r="16995" customFormat="1" x14ac:dyDescent="0.3"/>
    <row r="16996" customFormat="1" x14ac:dyDescent="0.3"/>
    <row r="16997" customFormat="1" x14ac:dyDescent="0.3"/>
    <row r="16998" customFormat="1" x14ac:dyDescent="0.3"/>
    <row r="16999" customFormat="1" x14ac:dyDescent="0.3"/>
    <row r="17000" customFormat="1" x14ac:dyDescent="0.3"/>
    <row r="17001" customFormat="1" x14ac:dyDescent="0.3"/>
    <row r="17002" customFormat="1" x14ac:dyDescent="0.3"/>
    <row r="17003" customFormat="1" x14ac:dyDescent="0.3"/>
    <row r="17004" customFormat="1" x14ac:dyDescent="0.3"/>
    <row r="17005" customFormat="1" x14ac:dyDescent="0.3"/>
    <row r="17006" customFormat="1" x14ac:dyDescent="0.3"/>
    <row r="17007" customFormat="1" x14ac:dyDescent="0.3"/>
    <row r="17008" customFormat="1" x14ac:dyDescent="0.3"/>
    <row r="17009" customFormat="1" x14ac:dyDescent="0.3"/>
    <row r="17010" customFormat="1" x14ac:dyDescent="0.3"/>
    <row r="17011" customFormat="1" x14ac:dyDescent="0.3"/>
    <row r="17012" customFormat="1" x14ac:dyDescent="0.3"/>
    <row r="17013" customFormat="1" x14ac:dyDescent="0.3"/>
    <row r="17014" customFormat="1" x14ac:dyDescent="0.3"/>
    <row r="17015" customFormat="1" x14ac:dyDescent="0.3"/>
    <row r="17016" customFormat="1" x14ac:dyDescent="0.3"/>
    <row r="17017" customFormat="1" x14ac:dyDescent="0.3"/>
    <row r="17018" customFormat="1" x14ac:dyDescent="0.3"/>
    <row r="17019" customFormat="1" x14ac:dyDescent="0.3"/>
    <row r="17020" customFormat="1" x14ac:dyDescent="0.3"/>
    <row r="17021" customFormat="1" x14ac:dyDescent="0.3"/>
    <row r="17022" customFormat="1" x14ac:dyDescent="0.3"/>
    <row r="17023" customFormat="1" x14ac:dyDescent="0.3"/>
    <row r="17024" customFormat="1" x14ac:dyDescent="0.3"/>
    <row r="17025" customFormat="1" x14ac:dyDescent="0.3"/>
    <row r="17026" customFormat="1" x14ac:dyDescent="0.3"/>
    <row r="17027" customFormat="1" x14ac:dyDescent="0.3"/>
    <row r="17028" customFormat="1" x14ac:dyDescent="0.3"/>
    <row r="17029" customFormat="1" x14ac:dyDescent="0.3"/>
    <row r="17030" customFormat="1" x14ac:dyDescent="0.3"/>
    <row r="17031" customFormat="1" x14ac:dyDescent="0.3"/>
    <row r="17032" customFormat="1" x14ac:dyDescent="0.3"/>
    <row r="17033" customFormat="1" x14ac:dyDescent="0.3"/>
    <row r="17034" customFormat="1" x14ac:dyDescent="0.3"/>
    <row r="17035" customFormat="1" x14ac:dyDescent="0.3"/>
    <row r="17036" customFormat="1" x14ac:dyDescent="0.3"/>
    <row r="17037" customFormat="1" x14ac:dyDescent="0.3"/>
    <row r="17038" customFormat="1" x14ac:dyDescent="0.3"/>
    <row r="17039" customFormat="1" x14ac:dyDescent="0.3"/>
    <row r="17040" customFormat="1" x14ac:dyDescent="0.3"/>
    <row r="17041" customFormat="1" x14ac:dyDescent="0.3"/>
    <row r="17042" customFormat="1" x14ac:dyDescent="0.3"/>
    <row r="17043" customFormat="1" x14ac:dyDescent="0.3"/>
    <row r="17044" customFormat="1" x14ac:dyDescent="0.3"/>
    <row r="17045" customFormat="1" x14ac:dyDescent="0.3"/>
    <row r="17046" customFormat="1" x14ac:dyDescent="0.3"/>
    <row r="17047" customFormat="1" x14ac:dyDescent="0.3"/>
    <row r="17048" customFormat="1" x14ac:dyDescent="0.3"/>
    <row r="17049" customFormat="1" x14ac:dyDescent="0.3"/>
    <row r="17050" customFormat="1" x14ac:dyDescent="0.3"/>
    <row r="17051" customFormat="1" x14ac:dyDescent="0.3"/>
    <row r="17052" customFormat="1" x14ac:dyDescent="0.3"/>
    <row r="17053" customFormat="1" x14ac:dyDescent="0.3"/>
    <row r="17054" customFormat="1" x14ac:dyDescent="0.3"/>
    <row r="17055" customFormat="1" x14ac:dyDescent="0.3"/>
    <row r="17056" customFormat="1" x14ac:dyDescent="0.3"/>
    <row r="17057" customFormat="1" x14ac:dyDescent="0.3"/>
    <row r="17058" customFormat="1" x14ac:dyDescent="0.3"/>
    <row r="17059" customFormat="1" x14ac:dyDescent="0.3"/>
    <row r="17060" customFormat="1" x14ac:dyDescent="0.3"/>
    <row r="17061" customFormat="1" x14ac:dyDescent="0.3"/>
    <row r="17062" customFormat="1" x14ac:dyDescent="0.3"/>
    <row r="17063" customFormat="1" x14ac:dyDescent="0.3"/>
    <row r="17064" customFormat="1" x14ac:dyDescent="0.3"/>
    <row r="17065" customFormat="1" x14ac:dyDescent="0.3"/>
    <row r="17066" customFormat="1" x14ac:dyDescent="0.3"/>
    <row r="17067" customFormat="1" x14ac:dyDescent="0.3"/>
    <row r="17068" customFormat="1" x14ac:dyDescent="0.3"/>
    <row r="17069" customFormat="1" x14ac:dyDescent="0.3"/>
    <row r="17070" customFormat="1" x14ac:dyDescent="0.3"/>
    <row r="17071" customFormat="1" x14ac:dyDescent="0.3"/>
    <row r="17072" customFormat="1" x14ac:dyDescent="0.3"/>
    <row r="17073" customFormat="1" x14ac:dyDescent="0.3"/>
    <row r="17074" customFormat="1" x14ac:dyDescent="0.3"/>
    <row r="17075" customFormat="1" x14ac:dyDescent="0.3"/>
    <row r="17076" customFormat="1" x14ac:dyDescent="0.3"/>
    <row r="17077" customFormat="1" x14ac:dyDescent="0.3"/>
    <row r="17078" customFormat="1" x14ac:dyDescent="0.3"/>
    <row r="17079" customFormat="1" x14ac:dyDescent="0.3"/>
    <row r="17080" customFormat="1" x14ac:dyDescent="0.3"/>
    <row r="17081" customFormat="1" x14ac:dyDescent="0.3"/>
    <row r="17082" customFormat="1" x14ac:dyDescent="0.3"/>
    <row r="17083" customFormat="1" x14ac:dyDescent="0.3"/>
    <row r="17084" customFormat="1" x14ac:dyDescent="0.3"/>
    <row r="17085" customFormat="1" x14ac:dyDescent="0.3"/>
    <row r="17086" customFormat="1" x14ac:dyDescent="0.3"/>
    <row r="17087" customFormat="1" x14ac:dyDescent="0.3"/>
    <row r="17088" customFormat="1" x14ac:dyDescent="0.3"/>
    <row r="17089" customFormat="1" x14ac:dyDescent="0.3"/>
    <row r="17090" customFormat="1" x14ac:dyDescent="0.3"/>
    <row r="17091" customFormat="1" x14ac:dyDescent="0.3"/>
    <row r="17092" customFormat="1" x14ac:dyDescent="0.3"/>
    <row r="17093" customFormat="1" x14ac:dyDescent="0.3"/>
    <row r="17094" customFormat="1" x14ac:dyDescent="0.3"/>
    <row r="17095" customFormat="1" x14ac:dyDescent="0.3"/>
    <row r="17096" customFormat="1" x14ac:dyDescent="0.3"/>
    <row r="17097" customFormat="1" x14ac:dyDescent="0.3"/>
    <row r="17098" customFormat="1" x14ac:dyDescent="0.3"/>
    <row r="17099" customFormat="1" x14ac:dyDescent="0.3"/>
    <row r="17100" customFormat="1" x14ac:dyDescent="0.3"/>
    <row r="17101" customFormat="1" x14ac:dyDescent="0.3"/>
    <row r="17102" customFormat="1" x14ac:dyDescent="0.3"/>
    <row r="17103" customFormat="1" x14ac:dyDescent="0.3"/>
    <row r="17104" customFormat="1" x14ac:dyDescent="0.3"/>
    <row r="17105" customFormat="1" x14ac:dyDescent="0.3"/>
    <row r="17106" customFormat="1" x14ac:dyDescent="0.3"/>
    <row r="17107" customFormat="1" x14ac:dyDescent="0.3"/>
    <row r="17108" customFormat="1" x14ac:dyDescent="0.3"/>
    <row r="17109" customFormat="1" x14ac:dyDescent="0.3"/>
    <row r="17110" customFormat="1" x14ac:dyDescent="0.3"/>
    <row r="17111" customFormat="1" x14ac:dyDescent="0.3"/>
    <row r="17112" customFormat="1" x14ac:dyDescent="0.3"/>
    <row r="17113" customFormat="1" x14ac:dyDescent="0.3"/>
    <row r="17114" customFormat="1" x14ac:dyDescent="0.3"/>
    <row r="17115" customFormat="1" x14ac:dyDescent="0.3"/>
    <row r="17116" customFormat="1" x14ac:dyDescent="0.3"/>
    <row r="17117" customFormat="1" x14ac:dyDescent="0.3"/>
    <row r="17118" customFormat="1" x14ac:dyDescent="0.3"/>
    <row r="17119" customFormat="1" x14ac:dyDescent="0.3"/>
    <row r="17120" customFormat="1" x14ac:dyDescent="0.3"/>
    <row r="17121" customFormat="1" x14ac:dyDescent="0.3"/>
    <row r="17122" customFormat="1" x14ac:dyDescent="0.3"/>
    <row r="17123" customFormat="1" x14ac:dyDescent="0.3"/>
    <row r="17124" customFormat="1" x14ac:dyDescent="0.3"/>
    <row r="17125" customFormat="1" x14ac:dyDescent="0.3"/>
    <row r="17126" customFormat="1" x14ac:dyDescent="0.3"/>
    <row r="17127" customFormat="1" x14ac:dyDescent="0.3"/>
    <row r="17128" customFormat="1" x14ac:dyDescent="0.3"/>
    <row r="17129" customFormat="1" x14ac:dyDescent="0.3"/>
    <row r="17130" customFormat="1" x14ac:dyDescent="0.3"/>
    <row r="17131" customFormat="1" x14ac:dyDescent="0.3"/>
    <row r="17132" customFormat="1" x14ac:dyDescent="0.3"/>
    <row r="17133" customFormat="1" x14ac:dyDescent="0.3"/>
    <row r="17134" customFormat="1" x14ac:dyDescent="0.3"/>
    <row r="17135" customFormat="1" x14ac:dyDescent="0.3"/>
    <row r="17136" customFormat="1" x14ac:dyDescent="0.3"/>
    <row r="17137" customFormat="1" x14ac:dyDescent="0.3"/>
    <row r="17138" customFormat="1" x14ac:dyDescent="0.3"/>
    <row r="17139" customFormat="1" x14ac:dyDescent="0.3"/>
    <row r="17140" customFormat="1" x14ac:dyDescent="0.3"/>
    <row r="17141" customFormat="1" x14ac:dyDescent="0.3"/>
    <row r="17142" customFormat="1" x14ac:dyDescent="0.3"/>
    <row r="17143" customFormat="1" x14ac:dyDescent="0.3"/>
    <row r="17144" customFormat="1" x14ac:dyDescent="0.3"/>
    <row r="17145" customFormat="1" x14ac:dyDescent="0.3"/>
    <row r="17146" customFormat="1" x14ac:dyDescent="0.3"/>
    <row r="17147" customFormat="1" x14ac:dyDescent="0.3"/>
    <row r="17148" customFormat="1" x14ac:dyDescent="0.3"/>
    <row r="17149" customFormat="1" x14ac:dyDescent="0.3"/>
    <row r="17150" customFormat="1" x14ac:dyDescent="0.3"/>
    <row r="17151" customFormat="1" x14ac:dyDescent="0.3"/>
    <row r="17152" customFormat="1" x14ac:dyDescent="0.3"/>
    <row r="17153" customFormat="1" x14ac:dyDescent="0.3"/>
    <row r="17154" customFormat="1" x14ac:dyDescent="0.3"/>
    <row r="17155" customFormat="1" x14ac:dyDescent="0.3"/>
    <row r="17156" customFormat="1" x14ac:dyDescent="0.3"/>
    <row r="17157" customFormat="1" x14ac:dyDescent="0.3"/>
    <row r="17158" customFormat="1" x14ac:dyDescent="0.3"/>
    <row r="17159" customFormat="1" x14ac:dyDescent="0.3"/>
    <row r="17160" customFormat="1" x14ac:dyDescent="0.3"/>
    <row r="17161" customFormat="1" x14ac:dyDescent="0.3"/>
    <row r="17162" customFormat="1" x14ac:dyDescent="0.3"/>
    <row r="17163" customFormat="1" x14ac:dyDescent="0.3"/>
    <row r="17164" customFormat="1" x14ac:dyDescent="0.3"/>
    <row r="17165" customFormat="1" x14ac:dyDescent="0.3"/>
    <row r="17166" customFormat="1" x14ac:dyDescent="0.3"/>
    <row r="17167" customFormat="1" x14ac:dyDescent="0.3"/>
    <row r="17168" customFormat="1" x14ac:dyDescent="0.3"/>
    <row r="17169" customFormat="1" x14ac:dyDescent="0.3"/>
    <row r="17170" customFormat="1" x14ac:dyDescent="0.3"/>
    <row r="17171" customFormat="1" x14ac:dyDescent="0.3"/>
    <row r="17172" customFormat="1" x14ac:dyDescent="0.3"/>
    <row r="17173" customFormat="1" x14ac:dyDescent="0.3"/>
    <row r="17174" customFormat="1" x14ac:dyDescent="0.3"/>
    <row r="17175" customFormat="1" x14ac:dyDescent="0.3"/>
    <row r="17176" customFormat="1" x14ac:dyDescent="0.3"/>
    <row r="17177" customFormat="1" x14ac:dyDescent="0.3"/>
    <row r="17178" customFormat="1" x14ac:dyDescent="0.3"/>
    <row r="17179" customFormat="1" x14ac:dyDescent="0.3"/>
    <row r="17180" customFormat="1" x14ac:dyDescent="0.3"/>
    <row r="17181" customFormat="1" x14ac:dyDescent="0.3"/>
    <row r="17182" customFormat="1" x14ac:dyDescent="0.3"/>
    <row r="17183" customFormat="1" x14ac:dyDescent="0.3"/>
    <row r="17184" customFormat="1" x14ac:dyDescent="0.3"/>
    <row r="17185" customFormat="1" x14ac:dyDescent="0.3"/>
    <row r="17186" customFormat="1" x14ac:dyDescent="0.3"/>
    <row r="17187" customFormat="1" x14ac:dyDescent="0.3"/>
    <row r="17188" customFormat="1" x14ac:dyDescent="0.3"/>
    <row r="17189" customFormat="1" x14ac:dyDescent="0.3"/>
    <row r="17190" customFormat="1" x14ac:dyDescent="0.3"/>
    <row r="17191" customFormat="1" x14ac:dyDescent="0.3"/>
    <row r="17192" customFormat="1" x14ac:dyDescent="0.3"/>
    <row r="17193" customFormat="1" x14ac:dyDescent="0.3"/>
    <row r="17194" customFormat="1" x14ac:dyDescent="0.3"/>
    <row r="17195" customFormat="1" x14ac:dyDescent="0.3"/>
    <row r="17196" customFormat="1" x14ac:dyDescent="0.3"/>
    <row r="17197" customFormat="1" x14ac:dyDescent="0.3"/>
    <row r="17198" customFormat="1" x14ac:dyDescent="0.3"/>
    <row r="17199" customFormat="1" x14ac:dyDescent="0.3"/>
    <row r="17200" customFormat="1" x14ac:dyDescent="0.3"/>
    <row r="17201" customFormat="1" x14ac:dyDescent="0.3"/>
    <row r="17202" customFormat="1" x14ac:dyDescent="0.3"/>
    <row r="17203" customFormat="1" x14ac:dyDescent="0.3"/>
    <row r="17204" customFormat="1" x14ac:dyDescent="0.3"/>
    <row r="17205" customFormat="1" x14ac:dyDescent="0.3"/>
    <row r="17206" customFormat="1" x14ac:dyDescent="0.3"/>
    <row r="17207" customFormat="1" x14ac:dyDescent="0.3"/>
    <row r="17208" customFormat="1" x14ac:dyDescent="0.3"/>
    <row r="17209" customFormat="1" x14ac:dyDescent="0.3"/>
    <row r="17210" customFormat="1" x14ac:dyDescent="0.3"/>
    <row r="17211" customFormat="1" x14ac:dyDescent="0.3"/>
    <row r="17212" customFormat="1" x14ac:dyDescent="0.3"/>
    <row r="17213" customFormat="1" x14ac:dyDescent="0.3"/>
    <row r="17214" customFormat="1" x14ac:dyDescent="0.3"/>
    <row r="17215" customFormat="1" x14ac:dyDescent="0.3"/>
    <row r="17216" customFormat="1" x14ac:dyDescent="0.3"/>
    <row r="17217" customFormat="1" x14ac:dyDescent="0.3"/>
    <row r="17218" customFormat="1" x14ac:dyDescent="0.3"/>
    <row r="17219" customFormat="1" x14ac:dyDescent="0.3"/>
    <row r="17220" customFormat="1" x14ac:dyDescent="0.3"/>
    <row r="17221" customFormat="1" x14ac:dyDescent="0.3"/>
    <row r="17222" customFormat="1" x14ac:dyDescent="0.3"/>
    <row r="17223" customFormat="1" x14ac:dyDescent="0.3"/>
    <row r="17224" customFormat="1" x14ac:dyDescent="0.3"/>
    <row r="17225" customFormat="1" x14ac:dyDescent="0.3"/>
    <row r="17226" customFormat="1" x14ac:dyDescent="0.3"/>
    <row r="17227" customFormat="1" x14ac:dyDescent="0.3"/>
    <row r="17228" customFormat="1" x14ac:dyDescent="0.3"/>
    <row r="17229" customFormat="1" x14ac:dyDescent="0.3"/>
    <row r="17230" customFormat="1" x14ac:dyDescent="0.3"/>
    <row r="17231" customFormat="1" x14ac:dyDescent="0.3"/>
    <row r="17232" customFormat="1" x14ac:dyDescent="0.3"/>
    <row r="17233" customFormat="1" x14ac:dyDescent="0.3"/>
    <row r="17234" customFormat="1" x14ac:dyDescent="0.3"/>
    <row r="17235" customFormat="1" x14ac:dyDescent="0.3"/>
    <row r="17236" customFormat="1" x14ac:dyDescent="0.3"/>
    <row r="17237" customFormat="1" x14ac:dyDescent="0.3"/>
    <row r="17238" customFormat="1" x14ac:dyDescent="0.3"/>
    <row r="17239" customFormat="1" x14ac:dyDescent="0.3"/>
    <row r="17240" customFormat="1" x14ac:dyDescent="0.3"/>
    <row r="17241" customFormat="1" x14ac:dyDescent="0.3"/>
    <row r="17242" customFormat="1" x14ac:dyDescent="0.3"/>
    <row r="17243" customFormat="1" x14ac:dyDescent="0.3"/>
    <row r="17244" customFormat="1" x14ac:dyDescent="0.3"/>
    <row r="17245" customFormat="1" x14ac:dyDescent="0.3"/>
    <row r="17246" customFormat="1" x14ac:dyDescent="0.3"/>
    <row r="17247" customFormat="1" x14ac:dyDescent="0.3"/>
    <row r="17248" customFormat="1" x14ac:dyDescent="0.3"/>
    <row r="17249" customFormat="1" x14ac:dyDescent="0.3"/>
    <row r="17250" customFormat="1" x14ac:dyDescent="0.3"/>
    <row r="17251" customFormat="1" x14ac:dyDescent="0.3"/>
    <row r="17252" customFormat="1" x14ac:dyDescent="0.3"/>
    <row r="17253" customFormat="1" x14ac:dyDescent="0.3"/>
    <row r="17254" customFormat="1" x14ac:dyDescent="0.3"/>
    <row r="17255" customFormat="1" x14ac:dyDescent="0.3"/>
    <row r="17256" customFormat="1" x14ac:dyDescent="0.3"/>
    <row r="17257" customFormat="1" x14ac:dyDescent="0.3"/>
    <row r="17258" customFormat="1" x14ac:dyDescent="0.3"/>
    <row r="17259" customFormat="1" x14ac:dyDescent="0.3"/>
    <row r="17260" customFormat="1" x14ac:dyDescent="0.3"/>
    <row r="17261" customFormat="1" x14ac:dyDescent="0.3"/>
    <row r="17262" customFormat="1" x14ac:dyDescent="0.3"/>
    <row r="17263" customFormat="1" x14ac:dyDescent="0.3"/>
    <row r="17264" customFormat="1" x14ac:dyDescent="0.3"/>
    <row r="17265" customFormat="1" x14ac:dyDescent="0.3"/>
    <row r="17266" customFormat="1" x14ac:dyDescent="0.3"/>
    <row r="17267" customFormat="1" x14ac:dyDescent="0.3"/>
    <row r="17268" customFormat="1" x14ac:dyDescent="0.3"/>
    <row r="17269" customFormat="1" x14ac:dyDescent="0.3"/>
    <row r="17270" customFormat="1" x14ac:dyDescent="0.3"/>
    <row r="17271" customFormat="1" x14ac:dyDescent="0.3"/>
    <row r="17272" customFormat="1" x14ac:dyDescent="0.3"/>
    <row r="17273" customFormat="1" x14ac:dyDescent="0.3"/>
    <row r="17274" customFormat="1" x14ac:dyDescent="0.3"/>
    <row r="17275" customFormat="1" x14ac:dyDescent="0.3"/>
    <row r="17276" customFormat="1" x14ac:dyDescent="0.3"/>
    <row r="17277" customFormat="1" x14ac:dyDescent="0.3"/>
    <row r="17278" customFormat="1" x14ac:dyDescent="0.3"/>
    <row r="17279" customFormat="1" x14ac:dyDescent="0.3"/>
    <row r="17280" customFormat="1" x14ac:dyDescent="0.3"/>
    <row r="17281" customFormat="1" x14ac:dyDescent="0.3"/>
    <row r="17282" customFormat="1" x14ac:dyDescent="0.3"/>
    <row r="17283" customFormat="1" x14ac:dyDescent="0.3"/>
    <row r="17284" customFormat="1" x14ac:dyDescent="0.3"/>
    <row r="17285" customFormat="1" x14ac:dyDescent="0.3"/>
    <row r="17286" customFormat="1" x14ac:dyDescent="0.3"/>
    <row r="17287" customFormat="1" x14ac:dyDescent="0.3"/>
    <row r="17288" customFormat="1" x14ac:dyDescent="0.3"/>
    <row r="17289" customFormat="1" x14ac:dyDescent="0.3"/>
    <row r="17290" customFormat="1" x14ac:dyDescent="0.3"/>
    <row r="17291" customFormat="1" x14ac:dyDescent="0.3"/>
    <row r="17292" customFormat="1" x14ac:dyDescent="0.3"/>
    <row r="17293" customFormat="1" x14ac:dyDescent="0.3"/>
    <row r="17294" customFormat="1" x14ac:dyDescent="0.3"/>
    <row r="17295" customFormat="1" x14ac:dyDescent="0.3"/>
    <row r="17296" customFormat="1" x14ac:dyDescent="0.3"/>
    <row r="17297" customFormat="1" x14ac:dyDescent="0.3"/>
    <row r="17298" customFormat="1" x14ac:dyDescent="0.3"/>
    <row r="17299" customFormat="1" x14ac:dyDescent="0.3"/>
    <row r="17300" customFormat="1" x14ac:dyDescent="0.3"/>
    <row r="17301" customFormat="1" x14ac:dyDescent="0.3"/>
    <row r="17302" customFormat="1" x14ac:dyDescent="0.3"/>
    <row r="17303" customFormat="1" x14ac:dyDescent="0.3"/>
    <row r="17304" customFormat="1" x14ac:dyDescent="0.3"/>
    <row r="17305" customFormat="1" x14ac:dyDescent="0.3"/>
    <row r="17306" customFormat="1" x14ac:dyDescent="0.3"/>
    <row r="17307" customFormat="1" x14ac:dyDescent="0.3"/>
    <row r="17308" customFormat="1" x14ac:dyDescent="0.3"/>
    <row r="17309" customFormat="1" x14ac:dyDescent="0.3"/>
    <row r="17310" customFormat="1" x14ac:dyDescent="0.3"/>
    <row r="17311" customFormat="1" x14ac:dyDescent="0.3"/>
    <row r="17312" customFormat="1" x14ac:dyDescent="0.3"/>
    <row r="17313" customFormat="1" x14ac:dyDescent="0.3"/>
    <row r="17314" customFormat="1" x14ac:dyDescent="0.3"/>
    <row r="17315" customFormat="1" x14ac:dyDescent="0.3"/>
    <row r="17316" customFormat="1" x14ac:dyDescent="0.3"/>
    <row r="17317" customFormat="1" x14ac:dyDescent="0.3"/>
    <row r="17318" customFormat="1" x14ac:dyDescent="0.3"/>
    <row r="17319" customFormat="1" x14ac:dyDescent="0.3"/>
    <row r="17320" customFormat="1" x14ac:dyDescent="0.3"/>
    <row r="17321" customFormat="1" x14ac:dyDescent="0.3"/>
    <row r="17322" customFormat="1" x14ac:dyDescent="0.3"/>
    <row r="17323" customFormat="1" x14ac:dyDescent="0.3"/>
    <row r="17324" customFormat="1" x14ac:dyDescent="0.3"/>
    <row r="17325" customFormat="1" x14ac:dyDescent="0.3"/>
    <row r="17326" customFormat="1" x14ac:dyDescent="0.3"/>
    <row r="17327" customFormat="1" x14ac:dyDescent="0.3"/>
    <row r="17328" customFormat="1" x14ac:dyDescent="0.3"/>
    <row r="17329" customFormat="1" x14ac:dyDescent="0.3"/>
    <row r="17330" customFormat="1" x14ac:dyDescent="0.3"/>
    <row r="17331" customFormat="1" x14ac:dyDescent="0.3"/>
    <row r="17332" customFormat="1" x14ac:dyDescent="0.3"/>
    <row r="17333" customFormat="1" x14ac:dyDescent="0.3"/>
    <row r="17334" customFormat="1" x14ac:dyDescent="0.3"/>
    <row r="17335" customFormat="1" x14ac:dyDescent="0.3"/>
    <row r="17336" customFormat="1" x14ac:dyDescent="0.3"/>
    <row r="17337" customFormat="1" x14ac:dyDescent="0.3"/>
    <row r="17338" customFormat="1" x14ac:dyDescent="0.3"/>
    <row r="17339" customFormat="1" x14ac:dyDescent="0.3"/>
    <row r="17340" customFormat="1" x14ac:dyDescent="0.3"/>
    <row r="17341" customFormat="1" x14ac:dyDescent="0.3"/>
    <row r="17342" customFormat="1" x14ac:dyDescent="0.3"/>
    <row r="17343" customFormat="1" x14ac:dyDescent="0.3"/>
    <row r="17344" customFormat="1" x14ac:dyDescent="0.3"/>
    <row r="17345" customFormat="1" x14ac:dyDescent="0.3"/>
    <row r="17346" customFormat="1" x14ac:dyDescent="0.3"/>
    <row r="17347" customFormat="1" x14ac:dyDescent="0.3"/>
    <row r="17348" customFormat="1" x14ac:dyDescent="0.3"/>
    <row r="17349" customFormat="1" x14ac:dyDescent="0.3"/>
    <row r="17350" customFormat="1" x14ac:dyDescent="0.3"/>
    <row r="17351" customFormat="1" x14ac:dyDescent="0.3"/>
    <row r="17352" customFormat="1" x14ac:dyDescent="0.3"/>
    <row r="17353" customFormat="1" x14ac:dyDescent="0.3"/>
    <row r="17354" customFormat="1" x14ac:dyDescent="0.3"/>
    <row r="17355" customFormat="1" x14ac:dyDescent="0.3"/>
    <row r="17356" customFormat="1" x14ac:dyDescent="0.3"/>
    <row r="17357" customFormat="1" x14ac:dyDescent="0.3"/>
    <row r="17358" customFormat="1" x14ac:dyDescent="0.3"/>
    <row r="17359" customFormat="1" x14ac:dyDescent="0.3"/>
    <row r="17360" customFormat="1" x14ac:dyDescent="0.3"/>
    <row r="17361" customFormat="1" x14ac:dyDescent="0.3"/>
    <row r="17362" customFormat="1" x14ac:dyDescent="0.3"/>
    <row r="17363" customFormat="1" x14ac:dyDescent="0.3"/>
    <row r="17364" customFormat="1" x14ac:dyDescent="0.3"/>
    <row r="17365" customFormat="1" x14ac:dyDescent="0.3"/>
    <row r="17366" customFormat="1" x14ac:dyDescent="0.3"/>
    <row r="17367" customFormat="1" x14ac:dyDescent="0.3"/>
    <row r="17368" customFormat="1" x14ac:dyDescent="0.3"/>
    <row r="17369" customFormat="1" x14ac:dyDescent="0.3"/>
    <row r="17370" customFormat="1" x14ac:dyDescent="0.3"/>
    <row r="17371" customFormat="1" x14ac:dyDescent="0.3"/>
    <row r="17372" customFormat="1" x14ac:dyDescent="0.3"/>
    <row r="17373" customFormat="1" x14ac:dyDescent="0.3"/>
    <row r="17374" customFormat="1" x14ac:dyDescent="0.3"/>
    <row r="17375" customFormat="1" x14ac:dyDescent="0.3"/>
    <row r="17376" customFormat="1" x14ac:dyDescent="0.3"/>
    <row r="17377" customFormat="1" x14ac:dyDescent="0.3"/>
    <row r="17378" customFormat="1" x14ac:dyDescent="0.3"/>
    <row r="17379" customFormat="1" x14ac:dyDescent="0.3"/>
    <row r="17380" customFormat="1" x14ac:dyDescent="0.3"/>
    <row r="17381" customFormat="1" x14ac:dyDescent="0.3"/>
    <row r="17382" customFormat="1" x14ac:dyDescent="0.3"/>
    <row r="17383" customFormat="1" x14ac:dyDescent="0.3"/>
    <row r="17384" customFormat="1" x14ac:dyDescent="0.3"/>
    <row r="17385" customFormat="1" x14ac:dyDescent="0.3"/>
    <row r="17386" customFormat="1" x14ac:dyDescent="0.3"/>
    <row r="17387" customFormat="1" x14ac:dyDescent="0.3"/>
    <row r="17388" customFormat="1" x14ac:dyDescent="0.3"/>
    <row r="17389" customFormat="1" x14ac:dyDescent="0.3"/>
    <row r="17390" customFormat="1" x14ac:dyDescent="0.3"/>
    <row r="17391" customFormat="1" x14ac:dyDescent="0.3"/>
    <row r="17392" customFormat="1" x14ac:dyDescent="0.3"/>
    <row r="17393" customFormat="1" x14ac:dyDescent="0.3"/>
    <row r="17394" customFormat="1" x14ac:dyDescent="0.3"/>
    <row r="17395" customFormat="1" x14ac:dyDescent="0.3"/>
    <row r="17396" customFormat="1" x14ac:dyDescent="0.3"/>
    <row r="17397" customFormat="1" x14ac:dyDescent="0.3"/>
    <row r="17398" customFormat="1" x14ac:dyDescent="0.3"/>
    <row r="17399" customFormat="1" x14ac:dyDescent="0.3"/>
    <row r="17400" customFormat="1" x14ac:dyDescent="0.3"/>
    <row r="17401" customFormat="1" x14ac:dyDescent="0.3"/>
    <row r="17402" customFormat="1" x14ac:dyDescent="0.3"/>
    <row r="17403" customFormat="1" x14ac:dyDescent="0.3"/>
    <row r="17404" customFormat="1" x14ac:dyDescent="0.3"/>
    <row r="17405" customFormat="1" x14ac:dyDescent="0.3"/>
    <row r="17406" customFormat="1" x14ac:dyDescent="0.3"/>
    <row r="17407" customFormat="1" x14ac:dyDescent="0.3"/>
    <row r="17408" customFormat="1" x14ac:dyDescent="0.3"/>
    <row r="17409" customFormat="1" x14ac:dyDescent="0.3"/>
    <row r="17410" customFormat="1" x14ac:dyDescent="0.3"/>
    <row r="17411" customFormat="1" x14ac:dyDescent="0.3"/>
    <row r="17412" customFormat="1" x14ac:dyDescent="0.3"/>
    <row r="17413" customFormat="1" x14ac:dyDescent="0.3"/>
    <row r="17414" customFormat="1" x14ac:dyDescent="0.3"/>
    <row r="17415" customFormat="1" x14ac:dyDescent="0.3"/>
    <row r="17416" customFormat="1" x14ac:dyDescent="0.3"/>
    <row r="17417" customFormat="1" x14ac:dyDescent="0.3"/>
    <row r="17418" customFormat="1" x14ac:dyDescent="0.3"/>
    <row r="17419" customFormat="1" x14ac:dyDescent="0.3"/>
    <row r="17420" customFormat="1" x14ac:dyDescent="0.3"/>
    <row r="17421" customFormat="1" x14ac:dyDescent="0.3"/>
    <row r="17422" customFormat="1" x14ac:dyDescent="0.3"/>
    <row r="17423" customFormat="1" x14ac:dyDescent="0.3"/>
    <row r="17424" customFormat="1" x14ac:dyDescent="0.3"/>
    <row r="17425" customFormat="1" x14ac:dyDescent="0.3"/>
    <row r="17426" customFormat="1" x14ac:dyDescent="0.3"/>
    <row r="17427" customFormat="1" x14ac:dyDescent="0.3"/>
    <row r="17428" customFormat="1" x14ac:dyDescent="0.3"/>
    <row r="17429" customFormat="1" x14ac:dyDescent="0.3"/>
    <row r="17430" customFormat="1" x14ac:dyDescent="0.3"/>
    <row r="17431" customFormat="1" x14ac:dyDescent="0.3"/>
    <row r="17432" customFormat="1" x14ac:dyDescent="0.3"/>
    <row r="17433" customFormat="1" x14ac:dyDescent="0.3"/>
    <row r="17434" customFormat="1" x14ac:dyDescent="0.3"/>
    <row r="17435" customFormat="1" x14ac:dyDescent="0.3"/>
    <row r="17436" customFormat="1" x14ac:dyDescent="0.3"/>
    <row r="17437" customFormat="1" x14ac:dyDescent="0.3"/>
    <row r="17438" customFormat="1" x14ac:dyDescent="0.3"/>
    <row r="17439" customFormat="1" x14ac:dyDescent="0.3"/>
    <row r="17440" customFormat="1" x14ac:dyDescent="0.3"/>
    <row r="17441" customFormat="1" x14ac:dyDescent="0.3"/>
    <row r="17442" customFormat="1" x14ac:dyDescent="0.3"/>
    <row r="17443" customFormat="1" x14ac:dyDescent="0.3"/>
    <row r="17444" customFormat="1" x14ac:dyDescent="0.3"/>
    <row r="17445" customFormat="1" x14ac:dyDescent="0.3"/>
    <row r="17446" customFormat="1" x14ac:dyDescent="0.3"/>
    <row r="17447" customFormat="1" x14ac:dyDescent="0.3"/>
    <row r="17448" customFormat="1" x14ac:dyDescent="0.3"/>
    <row r="17449" customFormat="1" x14ac:dyDescent="0.3"/>
    <row r="17450" customFormat="1" x14ac:dyDescent="0.3"/>
    <row r="17451" customFormat="1" x14ac:dyDescent="0.3"/>
    <row r="17452" customFormat="1" x14ac:dyDescent="0.3"/>
    <row r="17453" customFormat="1" x14ac:dyDescent="0.3"/>
    <row r="17454" customFormat="1" x14ac:dyDescent="0.3"/>
    <row r="17455" customFormat="1" x14ac:dyDescent="0.3"/>
    <row r="17456" customFormat="1" x14ac:dyDescent="0.3"/>
    <row r="17457" customFormat="1" x14ac:dyDescent="0.3"/>
    <row r="17458" customFormat="1" x14ac:dyDescent="0.3"/>
    <row r="17459" customFormat="1" x14ac:dyDescent="0.3"/>
    <row r="17460" customFormat="1" x14ac:dyDescent="0.3"/>
    <row r="17461" customFormat="1" x14ac:dyDescent="0.3"/>
    <row r="17462" customFormat="1" x14ac:dyDescent="0.3"/>
    <row r="17463" customFormat="1" x14ac:dyDescent="0.3"/>
    <row r="17464" customFormat="1" x14ac:dyDescent="0.3"/>
    <row r="17465" customFormat="1" x14ac:dyDescent="0.3"/>
    <row r="17466" customFormat="1" x14ac:dyDescent="0.3"/>
    <row r="17467" customFormat="1" x14ac:dyDescent="0.3"/>
    <row r="17468" customFormat="1" x14ac:dyDescent="0.3"/>
    <row r="17469" customFormat="1" x14ac:dyDescent="0.3"/>
    <row r="17470" customFormat="1" x14ac:dyDescent="0.3"/>
    <row r="17471" customFormat="1" x14ac:dyDescent="0.3"/>
    <row r="17472" customFormat="1" x14ac:dyDescent="0.3"/>
    <row r="17473" customFormat="1" x14ac:dyDescent="0.3"/>
    <row r="17474" customFormat="1" x14ac:dyDescent="0.3"/>
    <row r="17475" customFormat="1" x14ac:dyDescent="0.3"/>
    <row r="17476" customFormat="1" x14ac:dyDescent="0.3"/>
    <row r="17477" customFormat="1" x14ac:dyDescent="0.3"/>
    <row r="17478" customFormat="1" x14ac:dyDescent="0.3"/>
    <row r="17479" customFormat="1" x14ac:dyDescent="0.3"/>
    <row r="17480" customFormat="1" x14ac:dyDescent="0.3"/>
    <row r="17481" customFormat="1" x14ac:dyDescent="0.3"/>
    <row r="17482" customFormat="1" x14ac:dyDescent="0.3"/>
    <row r="17483" customFormat="1" x14ac:dyDescent="0.3"/>
    <row r="17484" customFormat="1" x14ac:dyDescent="0.3"/>
    <row r="17485" customFormat="1" x14ac:dyDescent="0.3"/>
    <row r="17486" customFormat="1" x14ac:dyDescent="0.3"/>
    <row r="17487" customFormat="1" x14ac:dyDescent="0.3"/>
    <row r="17488" customFormat="1" x14ac:dyDescent="0.3"/>
    <row r="17489" customFormat="1" x14ac:dyDescent="0.3"/>
    <row r="17490" customFormat="1" x14ac:dyDescent="0.3"/>
    <row r="17491" customFormat="1" x14ac:dyDescent="0.3"/>
    <row r="17492" customFormat="1" x14ac:dyDescent="0.3"/>
    <row r="17493" customFormat="1" x14ac:dyDescent="0.3"/>
    <row r="17494" customFormat="1" x14ac:dyDescent="0.3"/>
    <row r="17495" customFormat="1" x14ac:dyDescent="0.3"/>
    <row r="17496" customFormat="1" x14ac:dyDescent="0.3"/>
    <row r="17497" customFormat="1" x14ac:dyDescent="0.3"/>
    <row r="17498" customFormat="1" x14ac:dyDescent="0.3"/>
    <row r="17499" customFormat="1" x14ac:dyDescent="0.3"/>
    <row r="17500" customFormat="1" x14ac:dyDescent="0.3"/>
    <row r="17501" customFormat="1" x14ac:dyDescent="0.3"/>
    <row r="17502" customFormat="1" x14ac:dyDescent="0.3"/>
    <row r="17503" customFormat="1" x14ac:dyDescent="0.3"/>
    <row r="17504" customFormat="1" x14ac:dyDescent="0.3"/>
    <row r="17505" customFormat="1" x14ac:dyDescent="0.3"/>
    <row r="17506" customFormat="1" x14ac:dyDescent="0.3"/>
    <row r="17507" customFormat="1" x14ac:dyDescent="0.3"/>
    <row r="17508" customFormat="1" x14ac:dyDescent="0.3"/>
    <row r="17509" customFormat="1" x14ac:dyDescent="0.3"/>
    <row r="17510" customFormat="1" x14ac:dyDescent="0.3"/>
    <row r="17511" customFormat="1" x14ac:dyDescent="0.3"/>
    <row r="17512" customFormat="1" x14ac:dyDescent="0.3"/>
    <row r="17513" customFormat="1" x14ac:dyDescent="0.3"/>
    <row r="17514" customFormat="1" x14ac:dyDescent="0.3"/>
    <row r="17515" customFormat="1" x14ac:dyDescent="0.3"/>
    <row r="17516" customFormat="1" x14ac:dyDescent="0.3"/>
    <row r="17517" customFormat="1" x14ac:dyDescent="0.3"/>
    <row r="17518" customFormat="1" x14ac:dyDescent="0.3"/>
    <row r="17519" customFormat="1" x14ac:dyDescent="0.3"/>
    <row r="17520" customFormat="1" x14ac:dyDescent="0.3"/>
    <row r="17521" customFormat="1" x14ac:dyDescent="0.3"/>
    <row r="17522" customFormat="1" x14ac:dyDescent="0.3"/>
    <row r="17523" customFormat="1" x14ac:dyDescent="0.3"/>
    <row r="17524" customFormat="1" x14ac:dyDescent="0.3"/>
    <row r="17525" customFormat="1" x14ac:dyDescent="0.3"/>
    <row r="17526" customFormat="1" x14ac:dyDescent="0.3"/>
    <row r="17527" customFormat="1" x14ac:dyDescent="0.3"/>
    <row r="17528" customFormat="1" x14ac:dyDescent="0.3"/>
    <row r="17529" customFormat="1" x14ac:dyDescent="0.3"/>
    <row r="17530" customFormat="1" x14ac:dyDescent="0.3"/>
    <row r="17531" customFormat="1" x14ac:dyDescent="0.3"/>
    <row r="17532" customFormat="1" x14ac:dyDescent="0.3"/>
    <row r="17533" customFormat="1" x14ac:dyDescent="0.3"/>
    <row r="17534" customFormat="1" x14ac:dyDescent="0.3"/>
    <row r="17535" customFormat="1" x14ac:dyDescent="0.3"/>
    <row r="17536" customFormat="1" x14ac:dyDescent="0.3"/>
    <row r="17537" customFormat="1" x14ac:dyDescent="0.3"/>
    <row r="17538" customFormat="1" x14ac:dyDescent="0.3"/>
    <row r="17539" customFormat="1" x14ac:dyDescent="0.3"/>
    <row r="17540" customFormat="1" x14ac:dyDescent="0.3"/>
    <row r="17541" customFormat="1" x14ac:dyDescent="0.3"/>
    <row r="17542" customFormat="1" x14ac:dyDescent="0.3"/>
    <row r="17543" customFormat="1" x14ac:dyDescent="0.3"/>
    <row r="17544" customFormat="1" x14ac:dyDescent="0.3"/>
    <row r="17545" customFormat="1" x14ac:dyDescent="0.3"/>
    <row r="17546" customFormat="1" x14ac:dyDescent="0.3"/>
    <row r="17547" customFormat="1" x14ac:dyDescent="0.3"/>
    <row r="17548" customFormat="1" x14ac:dyDescent="0.3"/>
    <row r="17549" customFormat="1" x14ac:dyDescent="0.3"/>
    <row r="17550" customFormat="1" x14ac:dyDescent="0.3"/>
    <row r="17551" customFormat="1" x14ac:dyDescent="0.3"/>
    <row r="17552" customFormat="1" x14ac:dyDescent="0.3"/>
    <row r="17553" customFormat="1" x14ac:dyDescent="0.3"/>
    <row r="17554" customFormat="1" x14ac:dyDescent="0.3"/>
    <row r="17555" customFormat="1" x14ac:dyDescent="0.3"/>
    <row r="17556" customFormat="1" x14ac:dyDescent="0.3"/>
    <row r="17557" customFormat="1" x14ac:dyDescent="0.3"/>
    <row r="17558" customFormat="1" x14ac:dyDescent="0.3"/>
    <row r="17559" customFormat="1" x14ac:dyDescent="0.3"/>
    <row r="17560" customFormat="1" x14ac:dyDescent="0.3"/>
    <row r="17561" customFormat="1" x14ac:dyDescent="0.3"/>
    <row r="17562" customFormat="1" x14ac:dyDescent="0.3"/>
    <row r="17563" customFormat="1" x14ac:dyDescent="0.3"/>
    <row r="17564" customFormat="1" x14ac:dyDescent="0.3"/>
    <row r="17565" customFormat="1" x14ac:dyDescent="0.3"/>
    <row r="17566" customFormat="1" x14ac:dyDescent="0.3"/>
    <row r="17567" customFormat="1" x14ac:dyDescent="0.3"/>
    <row r="17568" customFormat="1" x14ac:dyDescent="0.3"/>
    <row r="17569" customFormat="1" x14ac:dyDescent="0.3"/>
    <row r="17570" customFormat="1" x14ac:dyDescent="0.3"/>
    <row r="17571" customFormat="1" x14ac:dyDescent="0.3"/>
    <row r="17572" customFormat="1" x14ac:dyDescent="0.3"/>
    <row r="17573" customFormat="1" x14ac:dyDescent="0.3"/>
    <row r="17574" customFormat="1" x14ac:dyDescent="0.3"/>
    <row r="17575" customFormat="1" x14ac:dyDescent="0.3"/>
    <row r="17576" customFormat="1" x14ac:dyDescent="0.3"/>
    <row r="17577" customFormat="1" x14ac:dyDescent="0.3"/>
    <row r="17578" customFormat="1" x14ac:dyDescent="0.3"/>
    <row r="17579" customFormat="1" x14ac:dyDescent="0.3"/>
    <row r="17580" customFormat="1" x14ac:dyDescent="0.3"/>
    <row r="17581" customFormat="1" x14ac:dyDescent="0.3"/>
    <row r="17582" customFormat="1" x14ac:dyDescent="0.3"/>
    <row r="17583" customFormat="1" x14ac:dyDescent="0.3"/>
    <row r="17584" customFormat="1" x14ac:dyDescent="0.3"/>
    <row r="17585" customFormat="1" x14ac:dyDescent="0.3"/>
    <row r="17586" customFormat="1" x14ac:dyDescent="0.3"/>
    <row r="17587" customFormat="1" x14ac:dyDescent="0.3"/>
    <row r="17588" customFormat="1" x14ac:dyDescent="0.3"/>
    <row r="17589" customFormat="1" x14ac:dyDescent="0.3"/>
    <row r="17590" customFormat="1" x14ac:dyDescent="0.3"/>
    <row r="17591" customFormat="1" x14ac:dyDescent="0.3"/>
    <row r="17592" customFormat="1" x14ac:dyDescent="0.3"/>
    <row r="17593" customFormat="1" x14ac:dyDescent="0.3"/>
    <row r="17594" customFormat="1" x14ac:dyDescent="0.3"/>
    <row r="17595" customFormat="1" x14ac:dyDescent="0.3"/>
    <row r="17596" customFormat="1" x14ac:dyDescent="0.3"/>
    <row r="17597" customFormat="1" x14ac:dyDescent="0.3"/>
    <row r="17598" customFormat="1" x14ac:dyDescent="0.3"/>
    <row r="17599" customFormat="1" x14ac:dyDescent="0.3"/>
    <row r="17600" customFormat="1" x14ac:dyDescent="0.3"/>
    <row r="17601" customFormat="1" x14ac:dyDescent="0.3"/>
    <row r="17602" customFormat="1" x14ac:dyDescent="0.3"/>
    <row r="17603" customFormat="1" x14ac:dyDescent="0.3"/>
    <row r="17604" customFormat="1" x14ac:dyDescent="0.3"/>
    <row r="17605" customFormat="1" x14ac:dyDescent="0.3"/>
    <row r="17606" customFormat="1" x14ac:dyDescent="0.3"/>
    <row r="17607" customFormat="1" x14ac:dyDescent="0.3"/>
    <row r="17608" customFormat="1" x14ac:dyDescent="0.3"/>
    <row r="17609" customFormat="1" x14ac:dyDescent="0.3"/>
    <row r="17610" customFormat="1" x14ac:dyDescent="0.3"/>
    <row r="17611" customFormat="1" x14ac:dyDescent="0.3"/>
    <row r="17612" customFormat="1" x14ac:dyDescent="0.3"/>
    <row r="17613" customFormat="1" x14ac:dyDescent="0.3"/>
    <row r="17614" customFormat="1" x14ac:dyDescent="0.3"/>
    <row r="17615" customFormat="1" x14ac:dyDescent="0.3"/>
    <row r="17616" customFormat="1" x14ac:dyDescent="0.3"/>
    <row r="17617" customFormat="1" x14ac:dyDescent="0.3"/>
    <row r="17618" customFormat="1" x14ac:dyDescent="0.3"/>
    <row r="17619" customFormat="1" x14ac:dyDescent="0.3"/>
    <row r="17620" customFormat="1" x14ac:dyDescent="0.3"/>
    <row r="17621" customFormat="1" x14ac:dyDescent="0.3"/>
    <row r="17622" customFormat="1" x14ac:dyDescent="0.3"/>
    <row r="17623" customFormat="1" x14ac:dyDescent="0.3"/>
    <row r="17624" customFormat="1" x14ac:dyDescent="0.3"/>
    <row r="17625" customFormat="1" x14ac:dyDescent="0.3"/>
    <row r="17626" customFormat="1" x14ac:dyDescent="0.3"/>
    <row r="17627" customFormat="1" x14ac:dyDescent="0.3"/>
    <row r="17628" customFormat="1" x14ac:dyDescent="0.3"/>
    <row r="17629" customFormat="1" x14ac:dyDescent="0.3"/>
    <row r="17630" customFormat="1" x14ac:dyDescent="0.3"/>
    <row r="17631" customFormat="1" x14ac:dyDescent="0.3"/>
    <row r="17632" customFormat="1" x14ac:dyDescent="0.3"/>
    <row r="17633" customFormat="1" x14ac:dyDescent="0.3"/>
    <row r="17634" customFormat="1" x14ac:dyDescent="0.3"/>
    <row r="17635" customFormat="1" x14ac:dyDescent="0.3"/>
    <row r="17636" customFormat="1" x14ac:dyDescent="0.3"/>
    <row r="17637" customFormat="1" x14ac:dyDescent="0.3"/>
    <row r="17638" customFormat="1" x14ac:dyDescent="0.3"/>
    <row r="17639" customFormat="1" x14ac:dyDescent="0.3"/>
    <row r="17640" customFormat="1" x14ac:dyDescent="0.3"/>
    <row r="17641" customFormat="1" x14ac:dyDescent="0.3"/>
    <row r="17642" customFormat="1" x14ac:dyDescent="0.3"/>
    <row r="17643" customFormat="1" x14ac:dyDescent="0.3"/>
    <row r="17644" customFormat="1" x14ac:dyDescent="0.3"/>
    <row r="17645" customFormat="1" x14ac:dyDescent="0.3"/>
    <row r="17646" customFormat="1" x14ac:dyDescent="0.3"/>
    <row r="17647" customFormat="1" x14ac:dyDescent="0.3"/>
    <row r="17648" customFormat="1" x14ac:dyDescent="0.3"/>
    <row r="17649" customFormat="1" x14ac:dyDescent="0.3"/>
    <row r="17650" customFormat="1" x14ac:dyDescent="0.3"/>
    <row r="17651" customFormat="1" x14ac:dyDescent="0.3"/>
    <row r="17652" customFormat="1" x14ac:dyDescent="0.3"/>
    <row r="17653" customFormat="1" x14ac:dyDescent="0.3"/>
    <row r="17654" customFormat="1" x14ac:dyDescent="0.3"/>
    <row r="17655" customFormat="1" x14ac:dyDescent="0.3"/>
    <row r="17656" customFormat="1" x14ac:dyDescent="0.3"/>
    <row r="17657" customFormat="1" x14ac:dyDescent="0.3"/>
    <row r="17658" customFormat="1" x14ac:dyDescent="0.3"/>
    <row r="17659" customFormat="1" x14ac:dyDescent="0.3"/>
    <row r="17660" customFormat="1" x14ac:dyDescent="0.3"/>
    <row r="17661" customFormat="1" x14ac:dyDescent="0.3"/>
    <row r="17662" customFormat="1" x14ac:dyDescent="0.3"/>
    <row r="17663" customFormat="1" x14ac:dyDescent="0.3"/>
    <row r="17664" customFormat="1" x14ac:dyDescent="0.3"/>
    <row r="17665" customFormat="1" x14ac:dyDescent="0.3"/>
    <row r="17666" customFormat="1" x14ac:dyDescent="0.3"/>
    <row r="17667" customFormat="1" x14ac:dyDescent="0.3"/>
    <row r="17668" customFormat="1" x14ac:dyDescent="0.3"/>
    <row r="17669" customFormat="1" x14ac:dyDescent="0.3"/>
    <row r="17670" customFormat="1" x14ac:dyDescent="0.3"/>
    <row r="17671" customFormat="1" x14ac:dyDescent="0.3"/>
    <row r="17672" customFormat="1" x14ac:dyDescent="0.3"/>
    <row r="17673" customFormat="1" x14ac:dyDescent="0.3"/>
    <row r="17674" customFormat="1" x14ac:dyDescent="0.3"/>
    <row r="17675" customFormat="1" x14ac:dyDescent="0.3"/>
    <row r="17676" customFormat="1" x14ac:dyDescent="0.3"/>
    <row r="17677" customFormat="1" x14ac:dyDescent="0.3"/>
    <row r="17678" customFormat="1" x14ac:dyDescent="0.3"/>
    <row r="17679" customFormat="1" x14ac:dyDescent="0.3"/>
    <row r="17680" customFormat="1" x14ac:dyDescent="0.3"/>
    <row r="17681" customFormat="1" x14ac:dyDescent="0.3"/>
    <row r="17682" customFormat="1" x14ac:dyDescent="0.3"/>
    <row r="17683" customFormat="1" x14ac:dyDescent="0.3"/>
    <row r="17684" customFormat="1" x14ac:dyDescent="0.3"/>
    <row r="17685" customFormat="1" x14ac:dyDescent="0.3"/>
    <row r="17686" customFormat="1" x14ac:dyDescent="0.3"/>
    <row r="17687" customFormat="1" x14ac:dyDescent="0.3"/>
    <row r="17688" customFormat="1" x14ac:dyDescent="0.3"/>
    <row r="17689" customFormat="1" x14ac:dyDescent="0.3"/>
    <row r="17690" customFormat="1" x14ac:dyDescent="0.3"/>
    <row r="17691" customFormat="1" x14ac:dyDescent="0.3"/>
    <row r="17692" customFormat="1" x14ac:dyDescent="0.3"/>
    <row r="17693" customFormat="1" x14ac:dyDescent="0.3"/>
    <row r="17694" customFormat="1" x14ac:dyDescent="0.3"/>
    <row r="17695" customFormat="1" x14ac:dyDescent="0.3"/>
    <row r="17696" customFormat="1" x14ac:dyDescent="0.3"/>
    <row r="17697" customFormat="1" x14ac:dyDescent="0.3"/>
    <row r="17698" customFormat="1" x14ac:dyDescent="0.3"/>
    <row r="17699" customFormat="1" x14ac:dyDescent="0.3"/>
    <row r="17700" customFormat="1" x14ac:dyDescent="0.3"/>
    <row r="17701" customFormat="1" x14ac:dyDescent="0.3"/>
    <row r="17702" customFormat="1" x14ac:dyDescent="0.3"/>
    <row r="17703" customFormat="1" x14ac:dyDescent="0.3"/>
    <row r="17704" customFormat="1" x14ac:dyDescent="0.3"/>
    <row r="17705" customFormat="1" x14ac:dyDescent="0.3"/>
    <row r="17706" customFormat="1" x14ac:dyDescent="0.3"/>
    <row r="17707" customFormat="1" x14ac:dyDescent="0.3"/>
    <row r="17708" customFormat="1" x14ac:dyDescent="0.3"/>
    <row r="17709" customFormat="1" x14ac:dyDescent="0.3"/>
    <row r="17710" customFormat="1" x14ac:dyDescent="0.3"/>
    <row r="17711" customFormat="1" x14ac:dyDescent="0.3"/>
    <row r="17712" customFormat="1" x14ac:dyDescent="0.3"/>
    <row r="17713" customFormat="1" x14ac:dyDescent="0.3"/>
    <row r="17714" customFormat="1" x14ac:dyDescent="0.3"/>
    <row r="17715" customFormat="1" x14ac:dyDescent="0.3"/>
    <row r="17716" customFormat="1" x14ac:dyDescent="0.3"/>
    <row r="17717" customFormat="1" x14ac:dyDescent="0.3"/>
    <row r="17718" customFormat="1" x14ac:dyDescent="0.3"/>
    <row r="17719" customFormat="1" x14ac:dyDescent="0.3"/>
    <row r="17720" customFormat="1" x14ac:dyDescent="0.3"/>
    <row r="17721" customFormat="1" x14ac:dyDescent="0.3"/>
    <row r="17722" customFormat="1" x14ac:dyDescent="0.3"/>
    <row r="17723" customFormat="1" x14ac:dyDescent="0.3"/>
    <row r="17724" customFormat="1" x14ac:dyDescent="0.3"/>
    <row r="17725" customFormat="1" x14ac:dyDescent="0.3"/>
    <row r="17726" customFormat="1" x14ac:dyDescent="0.3"/>
    <row r="17727" customFormat="1" x14ac:dyDescent="0.3"/>
    <row r="17728" customFormat="1" x14ac:dyDescent="0.3"/>
    <row r="17729" customFormat="1" x14ac:dyDescent="0.3"/>
    <row r="17730" customFormat="1" x14ac:dyDescent="0.3"/>
    <row r="17731" customFormat="1" x14ac:dyDescent="0.3"/>
    <row r="17732" customFormat="1" x14ac:dyDescent="0.3"/>
    <row r="17733" customFormat="1" x14ac:dyDescent="0.3"/>
    <row r="17734" customFormat="1" x14ac:dyDescent="0.3"/>
    <row r="17735" customFormat="1" x14ac:dyDescent="0.3"/>
    <row r="17736" customFormat="1" x14ac:dyDescent="0.3"/>
    <row r="17737" customFormat="1" x14ac:dyDescent="0.3"/>
    <row r="17738" customFormat="1" x14ac:dyDescent="0.3"/>
    <row r="17739" customFormat="1" x14ac:dyDescent="0.3"/>
    <row r="17740" customFormat="1" x14ac:dyDescent="0.3"/>
    <row r="17741" customFormat="1" x14ac:dyDescent="0.3"/>
    <row r="17742" customFormat="1" x14ac:dyDescent="0.3"/>
    <row r="17743" customFormat="1" x14ac:dyDescent="0.3"/>
    <row r="17744" customFormat="1" x14ac:dyDescent="0.3"/>
    <row r="17745" customFormat="1" x14ac:dyDescent="0.3"/>
    <row r="17746" customFormat="1" x14ac:dyDescent="0.3"/>
    <row r="17747" customFormat="1" x14ac:dyDescent="0.3"/>
    <row r="17748" customFormat="1" x14ac:dyDescent="0.3"/>
    <row r="17749" customFormat="1" x14ac:dyDescent="0.3"/>
    <row r="17750" customFormat="1" x14ac:dyDescent="0.3"/>
    <row r="17751" customFormat="1" x14ac:dyDescent="0.3"/>
    <row r="17752" customFormat="1" x14ac:dyDescent="0.3"/>
    <row r="17753" customFormat="1" x14ac:dyDescent="0.3"/>
    <row r="17754" customFormat="1" x14ac:dyDescent="0.3"/>
    <row r="17755" customFormat="1" x14ac:dyDescent="0.3"/>
    <row r="17756" customFormat="1" x14ac:dyDescent="0.3"/>
    <row r="17757" customFormat="1" x14ac:dyDescent="0.3"/>
    <row r="17758" customFormat="1" x14ac:dyDescent="0.3"/>
    <row r="17759" customFormat="1" x14ac:dyDescent="0.3"/>
    <row r="17760" customFormat="1" x14ac:dyDescent="0.3"/>
    <row r="17761" customFormat="1" x14ac:dyDescent="0.3"/>
    <row r="17762" customFormat="1" x14ac:dyDescent="0.3"/>
    <row r="17763" customFormat="1" x14ac:dyDescent="0.3"/>
    <row r="17764" customFormat="1" x14ac:dyDescent="0.3"/>
    <row r="17765" customFormat="1" x14ac:dyDescent="0.3"/>
    <row r="17766" customFormat="1" x14ac:dyDescent="0.3"/>
    <row r="17767" customFormat="1" x14ac:dyDescent="0.3"/>
    <row r="17768" customFormat="1" x14ac:dyDescent="0.3"/>
    <row r="17769" customFormat="1" x14ac:dyDescent="0.3"/>
    <row r="17770" customFormat="1" x14ac:dyDescent="0.3"/>
    <row r="17771" customFormat="1" x14ac:dyDescent="0.3"/>
    <row r="17772" customFormat="1" x14ac:dyDescent="0.3"/>
    <row r="17773" customFormat="1" x14ac:dyDescent="0.3"/>
    <row r="17774" customFormat="1" x14ac:dyDescent="0.3"/>
    <row r="17775" customFormat="1" x14ac:dyDescent="0.3"/>
    <row r="17776" customFormat="1" x14ac:dyDescent="0.3"/>
    <row r="17777" customFormat="1" x14ac:dyDescent="0.3"/>
    <row r="17778" customFormat="1" x14ac:dyDescent="0.3"/>
    <row r="17779" customFormat="1" x14ac:dyDescent="0.3"/>
    <row r="17780" customFormat="1" x14ac:dyDescent="0.3"/>
    <row r="17781" customFormat="1" x14ac:dyDescent="0.3"/>
    <row r="17782" customFormat="1" x14ac:dyDescent="0.3"/>
    <row r="17783" customFormat="1" x14ac:dyDescent="0.3"/>
    <row r="17784" customFormat="1" x14ac:dyDescent="0.3"/>
    <row r="17785" customFormat="1" x14ac:dyDescent="0.3"/>
    <row r="17786" customFormat="1" x14ac:dyDescent="0.3"/>
    <row r="17787" customFormat="1" x14ac:dyDescent="0.3"/>
    <row r="17788" customFormat="1" x14ac:dyDescent="0.3"/>
    <row r="17789" customFormat="1" x14ac:dyDescent="0.3"/>
    <row r="17790" customFormat="1" x14ac:dyDescent="0.3"/>
    <row r="17791" customFormat="1" x14ac:dyDescent="0.3"/>
    <row r="17792" customFormat="1" x14ac:dyDescent="0.3"/>
    <row r="17793" customFormat="1" x14ac:dyDescent="0.3"/>
    <row r="17794" customFormat="1" x14ac:dyDescent="0.3"/>
    <row r="17795" customFormat="1" x14ac:dyDescent="0.3"/>
    <row r="17796" customFormat="1" x14ac:dyDescent="0.3"/>
    <row r="17797" customFormat="1" x14ac:dyDescent="0.3"/>
    <row r="17798" customFormat="1" x14ac:dyDescent="0.3"/>
    <row r="17799" customFormat="1" x14ac:dyDescent="0.3"/>
    <row r="17800" customFormat="1" x14ac:dyDescent="0.3"/>
    <row r="17801" customFormat="1" x14ac:dyDescent="0.3"/>
    <row r="17802" customFormat="1" x14ac:dyDescent="0.3"/>
    <row r="17803" customFormat="1" x14ac:dyDescent="0.3"/>
    <row r="17804" customFormat="1" x14ac:dyDescent="0.3"/>
    <row r="17805" customFormat="1" x14ac:dyDescent="0.3"/>
    <row r="17806" customFormat="1" x14ac:dyDescent="0.3"/>
    <row r="17807" customFormat="1" x14ac:dyDescent="0.3"/>
    <row r="17808" customFormat="1" x14ac:dyDescent="0.3"/>
    <row r="17809" customFormat="1" x14ac:dyDescent="0.3"/>
    <row r="17810" customFormat="1" x14ac:dyDescent="0.3"/>
    <row r="17811" customFormat="1" x14ac:dyDescent="0.3"/>
    <row r="17812" customFormat="1" x14ac:dyDescent="0.3"/>
    <row r="17813" customFormat="1" x14ac:dyDescent="0.3"/>
    <row r="17814" customFormat="1" x14ac:dyDescent="0.3"/>
    <row r="17815" customFormat="1" x14ac:dyDescent="0.3"/>
    <row r="17816" customFormat="1" x14ac:dyDescent="0.3"/>
    <row r="17817" customFormat="1" x14ac:dyDescent="0.3"/>
    <row r="17818" customFormat="1" x14ac:dyDescent="0.3"/>
    <row r="17819" customFormat="1" x14ac:dyDescent="0.3"/>
    <row r="17820" customFormat="1" x14ac:dyDescent="0.3"/>
    <row r="17821" customFormat="1" x14ac:dyDescent="0.3"/>
    <row r="17822" customFormat="1" x14ac:dyDescent="0.3"/>
    <row r="17823" customFormat="1" x14ac:dyDescent="0.3"/>
    <row r="17824" customFormat="1" x14ac:dyDescent="0.3"/>
    <row r="17825" customFormat="1" x14ac:dyDescent="0.3"/>
    <row r="17826" customFormat="1" x14ac:dyDescent="0.3"/>
    <row r="17827" customFormat="1" x14ac:dyDescent="0.3"/>
    <row r="17828" customFormat="1" x14ac:dyDescent="0.3"/>
    <row r="17829" customFormat="1" x14ac:dyDescent="0.3"/>
    <row r="17830" customFormat="1" x14ac:dyDescent="0.3"/>
    <row r="17831" customFormat="1" x14ac:dyDescent="0.3"/>
    <row r="17832" customFormat="1" x14ac:dyDescent="0.3"/>
    <row r="17833" customFormat="1" x14ac:dyDescent="0.3"/>
    <row r="17834" customFormat="1" x14ac:dyDescent="0.3"/>
    <row r="17835" customFormat="1" x14ac:dyDescent="0.3"/>
    <row r="17836" customFormat="1" x14ac:dyDescent="0.3"/>
    <row r="17837" customFormat="1" x14ac:dyDescent="0.3"/>
    <row r="17838" customFormat="1" x14ac:dyDescent="0.3"/>
    <row r="17839" customFormat="1" x14ac:dyDescent="0.3"/>
    <row r="17840" customFormat="1" x14ac:dyDescent="0.3"/>
    <row r="17841" customFormat="1" x14ac:dyDescent="0.3"/>
    <row r="17842" customFormat="1" x14ac:dyDescent="0.3"/>
    <row r="17843" customFormat="1" x14ac:dyDescent="0.3"/>
    <row r="17844" customFormat="1" x14ac:dyDescent="0.3"/>
    <row r="17845" customFormat="1" x14ac:dyDescent="0.3"/>
    <row r="17846" customFormat="1" x14ac:dyDescent="0.3"/>
    <row r="17847" customFormat="1" x14ac:dyDescent="0.3"/>
    <row r="17848" customFormat="1" x14ac:dyDescent="0.3"/>
    <row r="17849" customFormat="1" x14ac:dyDescent="0.3"/>
    <row r="17850" customFormat="1" x14ac:dyDescent="0.3"/>
    <row r="17851" customFormat="1" x14ac:dyDescent="0.3"/>
    <row r="17852" customFormat="1" x14ac:dyDescent="0.3"/>
    <row r="17853" customFormat="1" x14ac:dyDescent="0.3"/>
    <row r="17854" customFormat="1" x14ac:dyDescent="0.3"/>
    <row r="17855" customFormat="1" x14ac:dyDescent="0.3"/>
    <row r="17856" customFormat="1" x14ac:dyDescent="0.3"/>
    <row r="17857" customFormat="1" x14ac:dyDescent="0.3"/>
    <row r="17858" customFormat="1" x14ac:dyDescent="0.3"/>
    <row r="17859" customFormat="1" x14ac:dyDescent="0.3"/>
    <row r="17860" customFormat="1" x14ac:dyDescent="0.3"/>
    <row r="17861" customFormat="1" x14ac:dyDescent="0.3"/>
    <row r="17862" customFormat="1" x14ac:dyDescent="0.3"/>
    <row r="17863" customFormat="1" x14ac:dyDescent="0.3"/>
    <row r="17864" customFormat="1" x14ac:dyDescent="0.3"/>
    <row r="17865" customFormat="1" x14ac:dyDescent="0.3"/>
    <row r="17866" customFormat="1" x14ac:dyDescent="0.3"/>
    <row r="17867" customFormat="1" x14ac:dyDescent="0.3"/>
    <row r="17868" customFormat="1" x14ac:dyDescent="0.3"/>
    <row r="17869" customFormat="1" x14ac:dyDescent="0.3"/>
    <row r="17870" customFormat="1" x14ac:dyDescent="0.3"/>
    <row r="17871" customFormat="1" x14ac:dyDescent="0.3"/>
    <row r="17872" customFormat="1" x14ac:dyDescent="0.3"/>
    <row r="17873" customFormat="1" x14ac:dyDescent="0.3"/>
    <row r="17874" customFormat="1" x14ac:dyDescent="0.3"/>
    <row r="17875" customFormat="1" x14ac:dyDescent="0.3"/>
    <row r="17876" customFormat="1" x14ac:dyDescent="0.3"/>
    <row r="17877" customFormat="1" x14ac:dyDescent="0.3"/>
    <row r="17878" customFormat="1" x14ac:dyDescent="0.3"/>
    <row r="17879" customFormat="1" x14ac:dyDescent="0.3"/>
    <row r="17880" customFormat="1" x14ac:dyDescent="0.3"/>
    <row r="17881" customFormat="1" x14ac:dyDescent="0.3"/>
    <row r="17882" customFormat="1" x14ac:dyDescent="0.3"/>
    <row r="17883" customFormat="1" x14ac:dyDescent="0.3"/>
    <row r="17884" customFormat="1" x14ac:dyDescent="0.3"/>
    <row r="17885" customFormat="1" x14ac:dyDescent="0.3"/>
    <row r="17886" customFormat="1" x14ac:dyDescent="0.3"/>
    <row r="17887" customFormat="1" x14ac:dyDescent="0.3"/>
    <row r="17888" customFormat="1" x14ac:dyDescent="0.3"/>
    <row r="17889" customFormat="1" x14ac:dyDescent="0.3"/>
    <row r="17890" customFormat="1" x14ac:dyDescent="0.3"/>
    <row r="17891" customFormat="1" x14ac:dyDescent="0.3"/>
    <row r="17892" customFormat="1" x14ac:dyDescent="0.3"/>
    <row r="17893" customFormat="1" x14ac:dyDescent="0.3"/>
    <row r="17894" customFormat="1" x14ac:dyDescent="0.3"/>
    <row r="17895" customFormat="1" x14ac:dyDescent="0.3"/>
    <row r="17896" customFormat="1" x14ac:dyDescent="0.3"/>
    <row r="17897" customFormat="1" x14ac:dyDescent="0.3"/>
    <row r="17898" customFormat="1" x14ac:dyDescent="0.3"/>
    <row r="17899" customFormat="1" x14ac:dyDescent="0.3"/>
    <row r="17900" customFormat="1" x14ac:dyDescent="0.3"/>
    <row r="17901" customFormat="1" x14ac:dyDescent="0.3"/>
    <row r="17902" customFormat="1" x14ac:dyDescent="0.3"/>
    <row r="17903" customFormat="1" x14ac:dyDescent="0.3"/>
    <row r="17904" customFormat="1" x14ac:dyDescent="0.3"/>
    <row r="17905" customFormat="1" x14ac:dyDescent="0.3"/>
    <row r="17906" customFormat="1" x14ac:dyDescent="0.3"/>
    <row r="17907" customFormat="1" x14ac:dyDescent="0.3"/>
    <row r="17908" customFormat="1" x14ac:dyDescent="0.3"/>
    <row r="17909" customFormat="1" x14ac:dyDescent="0.3"/>
    <row r="17910" customFormat="1" x14ac:dyDescent="0.3"/>
    <row r="17911" customFormat="1" x14ac:dyDescent="0.3"/>
    <row r="17912" customFormat="1" x14ac:dyDescent="0.3"/>
    <row r="17913" customFormat="1" x14ac:dyDescent="0.3"/>
    <row r="17914" customFormat="1" x14ac:dyDescent="0.3"/>
    <row r="17915" customFormat="1" x14ac:dyDescent="0.3"/>
    <row r="17916" customFormat="1" x14ac:dyDescent="0.3"/>
    <row r="17917" customFormat="1" x14ac:dyDescent="0.3"/>
    <row r="17918" customFormat="1" x14ac:dyDescent="0.3"/>
    <row r="17919" customFormat="1" x14ac:dyDescent="0.3"/>
    <row r="17920" customFormat="1" x14ac:dyDescent="0.3"/>
    <row r="17921" customFormat="1" x14ac:dyDescent="0.3"/>
    <row r="17922" customFormat="1" x14ac:dyDescent="0.3"/>
    <row r="17923" customFormat="1" x14ac:dyDescent="0.3"/>
    <row r="17924" customFormat="1" x14ac:dyDescent="0.3"/>
    <row r="17925" customFormat="1" x14ac:dyDescent="0.3"/>
    <row r="17926" customFormat="1" x14ac:dyDescent="0.3"/>
    <row r="17927" customFormat="1" x14ac:dyDescent="0.3"/>
    <row r="17928" customFormat="1" x14ac:dyDescent="0.3"/>
    <row r="17929" customFormat="1" x14ac:dyDescent="0.3"/>
    <row r="17930" customFormat="1" x14ac:dyDescent="0.3"/>
    <row r="17931" customFormat="1" x14ac:dyDescent="0.3"/>
    <row r="17932" customFormat="1" x14ac:dyDescent="0.3"/>
    <row r="17933" customFormat="1" x14ac:dyDescent="0.3"/>
    <row r="17934" customFormat="1" x14ac:dyDescent="0.3"/>
    <row r="17935" customFormat="1" x14ac:dyDescent="0.3"/>
    <row r="17936" customFormat="1" x14ac:dyDescent="0.3"/>
    <row r="17937" customFormat="1" x14ac:dyDescent="0.3"/>
    <row r="17938" customFormat="1" x14ac:dyDescent="0.3"/>
    <row r="17939" customFormat="1" x14ac:dyDescent="0.3"/>
    <row r="17940" customFormat="1" x14ac:dyDescent="0.3"/>
    <row r="17941" customFormat="1" x14ac:dyDescent="0.3"/>
    <row r="17942" customFormat="1" x14ac:dyDescent="0.3"/>
    <row r="17943" customFormat="1" x14ac:dyDescent="0.3"/>
    <row r="17944" customFormat="1" x14ac:dyDescent="0.3"/>
    <row r="17945" customFormat="1" x14ac:dyDescent="0.3"/>
    <row r="17946" customFormat="1" x14ac:dyDescent="0.3"/>
    <row r="17947" customFormat="1" x14ac:dyDescent="0.3"/>
    <row r="17948" customFormat="1" x14ac:dyDescent="0.3"/>
    <row r="17949" customFormat="1" x14ac:dyDescent="0.3"/>
    <row r="17950" customFormat="1" x14ac:dyDescent="0.3"/>
    <row r="17951" customFormat="1" x14ac:dyDescent="0.3"/>
    <row r="17952" customFormat="1" x14ac:dyDescent="0.3"/>
    <row r="17953" customFormat="1" x14ac:dyDescent="0.3"/>
    <row r="17954" customFormat="1" x14ac:dyDescent="0.3"/>
    <row r="17955" customFormat="1" x14ac:dyDescent="0.3"/>
    <row r="17956" customFormat="1" x14ac:dyDescent="0.3"/>
    <row r="17957" customFormat="1" x14ac:dyDescent="0.3"/>
    <row r="17958" customFormat="1" x14ac:dyDescent="0.3"/>
    <row r="17959" customFormat="1" x14ac:dyDescent="0.3"/>
    <row r="17960" customFormat="1" x14ac:dyDescent="0.3"/>
    <row r="17961" customFormat="1" x14ac:dyDescent="0.3"/>
    <row r="17962" customFormat="1" x14ac:dyDescent="0.3"/>
    <row r="17963" customFormat="1" x14ac:dyDescent="0.3"/>
    <row r="17964" customFormat="1" x14ac:dyDescent="0.3"/>
    <row r="17965" customFormat="1" x14ac:dyDescent="0.3"/>
    <row r="17966" customFormat="1" x14ac:dyDescent="0.3"/>
    <row r="17967" customFormat="1" x14ac:dyDescent="0.3"/>
    <row r="17968" customFormat="1" x14ac:dyDescent="0.3"/>
    <row r="17969" customFormat="1" x14ac:dyDescent="0.3"/>
    <row r="17970" customFormat="1" x14ac:dyDescent="0.3"/>
    <row r="17971" customFormat="1" x14ac:dyDescent="0.3"/>
    <row r="17972" customFormat="1" x14ac:dyDescent="0.3"/>
    <row r="17973" customFormat="1" x14ac:dyDescent="0.3"/>
    <row r="17974" customFormat="1" x14ac:dyDescent="0.3"/>
    <row r="17975" customFormat="1" x14ac:dyDescent="0.3"/>
    <row r="17976" customFormat="1" x14ac:dyDescent="0.3"/>
    <row r="17977" customFormat="1" x14ac:dyDescent="0.3"/>
    <row r="17978" customFormat="1" x14ac:dyDescent="0.3"/>
    <row r="17979" customFormat="1" x14ac:dyDescent="0.3"/>
    <row r="17980" customFormat="1" x14ac:dyDescent="0.3"/>
    <row r="17981" customFormat="1" x14ac:dyDescent="0.3"/>
    <row r="17982" customFormat="1" x14ac:dyDescent="0.3"/>
    <row r="17983" customFormat="1" x14ac:dyDescent="0.3"/>
    <row r="17984" customFormat="1" x14ac:dyDescent="0.3"/>
    <row r="17985" customFormat="1" x14ac:dyDescent="0.3"/>
    <row r="17986" customFormat="1" x14ac:dyDescent="0.3"/>
    <row r="17987" customFormat="1" x14ac:dyDescent="0.3"/>
    <row r="17988" customFormat="1" x14ac:dyDescent="0.3"/>
    <row r="17989" customFormat="1" x14ac:dyDescent="0.3"/>
    <row r="17990" customFormat="1" x14ac:dyDescent="0.3"/>
    <row r="17991" customFormat="1" x14ac:dyDescent="0.3"/>
    <row r="17992" customFormat="1" x14ac:dyDescent="0.3"/>
    <row r="17993" customFormat="1" x14ac:dyDescent="0.3"/>
    <row r="17994" customFormat="1" x14ac:dyDescent="0.3"/>
    <row r="17995" customFormat="1" x14ac:dyDescent="0.3"/>
    <row r="17996" customFormat="1" x14ac:dyDescent="0.3"/>
    <row r="17997" customFormat="1" x14ac:dyDescent="0.3"/>
    <row r="17998" customFormat="1" x14ac:dyDescent="0.3"/>
    <row r="17999" customFormat="1" x14ac:dyDescent="0.3"/>
    <row r="18000" customFormat="1" x14ac:dyDescent="0.3"/>
    <row r="18001" customFormat="1" x14ac:dyDescent="0.3"/>
    <row r="18002" customFormat="1" x14ac:dyDescent="0.3"/>
    <row r="18003" customFormat="1" x14ac:dyDescent="0.3"/>
    <row r="18004" customFormat="1" x14ac:dyDescent="0.3"/>
    <row r="18005" customFormat="1" x14ac:dyDescent="0.3"/>
    <row r="18006" customFormat="1" x14ac:dyDescent="0.3"/>
    <row r="18007" customFormat="1" x14ac:dyDescent="0.3"/>
    <row r="18008" customFormat="1" x14ac:dyDescent="0.3"/>
    <row r="18009" customFormat="1" x14ac:dyDescent="0.3"/>
    <row r="18010" customFormat="1" x14ac:dyDescent="0.3"/>
    <row r="18011" customFormat="1" x14ac:dyDescent="0.3"/>
    <row r="18012" customFormat="1" x14ac:dyDescent="0.3"/>
    <row r="18013" customFormat="1" x14ac:dyDescent="0.3"/>
    <row r="18014" customFormat="1" x14ac:dyDescent="0.3"/>
    <row r="18015" customFormat="1" x14ac:dyDescent="0.3"/>
    <row r="18016" customFormat="1" x14ac:dyDescent="0.3"/>
    <row r="18017" customFormat="1" x14ac:dyDescent="0.3"/>
    <row r="18018" customFormat="1" x14ac:dyDescent="0.3"/>
    <row r="18019" customFormat="1" x14ac:dyDescent="0.3"/>
    <row r="18020" customFormat="1" x14ac:dyDescent="0.3"/>
    <row r="18021" customFormat="1" x14ac:dyDescent="0.3"/>
    <row r="18022" customFormat="1" x14ac:dyDescent="0.3"/>
    <row r="18023" customFormat="1" x14ac:dyDescent="0.3"/>
    <row r="18024" customFormat="1" x14ac:dyDescent="0.3"/>
    <row r="18025" customFormat="1" x14ac:dyDescent="0.3"/>
    <row r="18026" customFormat="1" x14ac:dyDescent="0.3"/>
    <row r="18027" customFormat="1" x14ac:dyDescent="0.3"/>
    <row r="18028" customFormat="1" x14ac:dyDescent="0.3"/>
    <row r="18029" customFormat="1" x14ac:dyDescent="0.3"/>
    <row r="18030" customFormat="1" x14ac:dyDescent="0.3"/>
    <row r="18031" customFormat="1" x14ac:dyDescent="0.3"/>
    <row r="18032" customFormat="1" x14ac:dyDescent="0.3"/>
    <row r="18033" customFormat="1" x14ac:dyDescent="0.3"/>
    <row r="18034" customFormat="1" x14ac:dyDescent="0.3"/>
    <row r="18035" customFormat="1" x14ac:dyDescent="0.3"/>
    <row r="18036" customFormat="1" x14ac:dyDescent="0.3"/>
    <row r="18037" customFormat="1" x14ac:dyDescent="0.3"/>
    <row r="18038" customFormat="1" x14ac:dyDescent="0.3"/>
    <row r="18039" customFormat="1" x14ac:dyDescent="0.3"/>
    <row r="18040" customFormat="1" x14ac:dyDescent="0.3"/>
    <row r="18041" customFormat="1" x14ac:dyDescent="0.3"/>
    <row r="18042" customFormat="1" x14ac:dyDescent="0.3"/>
    <row r="18043" customFormat="1" x14ac:dyDescent="0.3"/>
    <row r="18044" customFormat="1" x14ac:dyDescent="0.3"/>
    <row r="18045" customFormat="1" x14ac:dyDescent="0.3"/>
    <row r="18046" customFormat="1" x14ac:dyDescent="0.3"/>
    <row r="18047" customFormat="1" x14ac:dyDescent="0.3"/>
    <row r="18048" customFormat="1" x14ac:dyDescent="0.3"/>
    <row r="18049" customFormat="1" x14ac:dyDescent="0.3"/>
    <row r="18050" customFormat="1" x14ac:dyDescent="0.3"/>
    <row r="18051" customFormat="1" x14ac:dyDescent="0.3"/>
    <row r="18052" customFormat="1" x14ac:dyDescent="0.3"/>
    <row r="18053" customFormat="1" x14ac:dyDescent="0.3"/>
    <row r="18054" customFormat="1" x14ac:dyDescent="0.3"/>
    <row r="18055" customFormat="1" x14ac:dyDescent="0.3"/>
    <row r="18056" customFormat="1" x14ac:dyDescent="0.3"/>
    <row r="18057" customFormat="1" x14ac:dyDescent="0.3"/>
    <row r="18058" customFormat="1" x14ac:dyDescent="0.3"/>
    <row r="18059" customFormat="1" x14ac:dyDescent="0.3"/>
    <row r="18060" customFormat="1" x14ac:dyDescent="0.3"/>
    <row r="18061" customFormat="1" x14ac:dyDescent="0.3"/>
    <row r="18062" customFormat="1" x14ac:dyDescent="0.3"/>
    <row r="18063" customFormat="1" x14ac:dyDescent="0.3"/>
    <row r="18064" customFormat="1" x14ac:dyDescent="0.3"/>
    <row r="18065" customFormat="1" x14ac:dyDescent="0.3"/>
    <row r="18066" customFormat="1" x14ac:dyDescent="0.3"/>
    <row r="18067" customFormat="1" x14ac:dyDescent="0.3"/>
    <row r="18068" customFormat="1" x14ac:dyDescent="0.3"/>
    <row r="18069" customFormat="1" x14ac:dyDescent="0.3"/>
    <row r="18070" customFormat="1" x14ac:dyDescent="0.3"/>
    <row r="18071" customFormat="1" x14ac:dyDescent="0.3"/>
    <row r="18072" customFormat="1" x14ac:dyDescent="0.3"/>
    <row r="18073" customFormat="1" x14ac:dyDescent="0.3"/>
    <row r="18074" customFormat="1" x14ac:dyDescent="0.3"/>
    <row r="18075" customFormat="1" x14ac:dyDescent="0.3"/>
    <row r="18076" customFormat="1" x14ac:dyDescent="0.3"/>
    <row r="18077" customFormat="1" x14ac:dyDescent="0.3"/>
    <row r="18078" customFormat="1" x14ac:dyDescent="0.3"/>
    <row r="18079" customFormat="1" x14ac:dyDescent="0.3"/>
    <row r="18080" customFormat="1" x14ac:dyDescent="0.3"/>
    <row r="18081" customFormat="1" x14ac:dyDescent="0.3"/>
    <row r="18082" customFormat="1" x14ac:dyDescent="0.3"/>
    <row r="18083" customFormat="1" x14ac:dyDescent="0.3"/>
    <row r="18084" customFormat="1" x14ac:dyDescent="0.3"/>
    <row r="18085" customFormat="1" x14ac:dyDescent="0.3"/>
    <row r="18086" customFormat="1" x14ac:dyDescent="0.3"/>
    <row r="18087" customFormat="1" x14ac:dyDescent="0.3"/>
    <row r="18088" customFormat="1" x14ac:dyDescent="0.3"/>
    <row r="18089" customFormat="1" x14ac:dyDescent="0.3"/>
    <row r="18090" customFormat="1" x14ac:dyDescent="0.3"/>
    <row r="18091" customFormat="1" x14ac:dyDescent="0.3"/>
    <row r="18092" customFormat="1" x14ac:dyDescent="0.3"/>
    <row r="18093" customFormat="1" x14ac:dyDescent="0.3"/>
    <row r="18094" customFormat="1" x14ac:dyDescent="0.3"/>
    <row r="18095" customFormat="1" x14ac:dyDescent="0.3"/>
    <row r="18096" customFormat="1" x14ac:dyDescent="0.3"/>
    <row r="18097" customFormat="1" x14ac:dyDescent="0.3"/>
    <row r="18098" customFormat="1" x14ac:dyDescent="0.3"/>
    <row r="18099" customFormat="1" x14ac:dyDescent="0.3"/>
    <row r="18100" customFormat="1" x14ac:dyDescent="0.3"/>
    <row r="18101" customFormat="1" x14ac:dyDescent="0.3"/>
    <row r="18102" customFormat="1" x14ac:dyDescent="0.3"/>
    <row r="18103" customFormat="1" x14ac:dyDescent="0.3"/>
    <row r="18104" customFormat="1" x14ac:dyDescent="0.3"/>
    <row r="18105" customFormat="1" x14ac:dyDescent="0.3"/>
    <row r="18106" customFormat="1" x14ac:dyDescent="0.3"/>
    <row r="18107" customFormat="1" x14ac:dyDescent="0.3"/>
    <row r="18108" customFormat="1" x14ac:dyDescent="0.3"/>
    <row r="18109" customFormat="1" x14ac:dyDescent="0.3"/>
    <row r="18110" customFormat="1" x14ac:dyDescent="0.3"/>
    <row r="18111" customFormat="1" x14ac:dyDescent="0.3"/>
    <row r="18112" customFormat="1" x14ac:dyDescent="0.3"/>
    <row r="18113" customFormat="1" x14ac:dyDescent="0.3"/>
    <row r="18114" customFormat="1" x14ac:dyDescent="0.3"/>
    <row r="18115" customFormat="1" x14ac:dyDescent="0.3"/>
    <row r="18116" customFormat="1" x14ac:dyDescent="0.3"/>
    <row r="18117" customFormat="1" x14ac:dyDescent="0.3"/>
    <row r="18118" customFormat="1" x14ac:dyDescent="0.3"/>
    <row r="18119" customFormat="1" x14ac:dyDescent="0.3"/>
    <row r="18120" customFormat="1" x14ac:dyDescent="0.3"/>
    <row r="18121" customFormat="1" x14ac:dyDescent="0.3"/>
    <row r="18122" customFormat="1" x14ac:dyDescent="0.3"/>
    <row r="18123" customFormat="1" x14ac:dyDescent="0.3"/>
    <row r="18124" customFormat="1" x14ac:dyDescent="0.3"/>
    <row r="18125" customFormat="1" x14ac:dyDescent="0.3"/>
    <row r="18126" customFormat="1" x14ac:dyDescent="0.3"/>
    <row r="18127" customFormat="1" x14ac:dyDescent="0.3"/>
    <row r="18128" customFormat="1" x14ac:dyDescent="0.3"/>
    <row r="18129" customFormat="1" x14ac:dyDescent="0.3"/>
    <row r="18130" customFormat="1" x14ac:dyDescent="0.3"/>
    <row r="18131" customFormat="1" x14ac:dyDescent="0.3"/>
    <row r="18132" customFormat="1" x14ac:dyDescent="0.3"/>
    <row r="18133" customFormat="1" x14ac:dyDescent="0.3"/>
    <row r="18134" customFormat="1" x14ac:dyDescent="0.3"/>
    <row r="18135" customFormat="1" x14ac:dyDescent="0.3"/>
    <row r="18136" customFormat="1" x14ac:dyDescent="0.3"/>
    <row r="18137" customFormat="1" x14ac:dyDescent="0.3"/>
    <row r="18138" customFormat="1" x14ac:dyDescent="0.3"/>
    <row r="18139" customFormat="1" x14ac:dyDescent="0.3"/>
    <row r="18140" customFormat="1" x14ac:dyDescent="0.3"/>
    <row r="18141" customFormat="1" x14ac:dyDescent="0.3"/>
    <row r="18142" customFormat="1" x14ac:dyDescent="0.3"/>
    <row r="18143" customFormat="1" x14ac:dyDescent="0.3"/>
    <row r="18144" customFormat="1" x14ac:dyDescent="0.3"/>
    <row r="18145" customFormat="1" x14ac:dyDescent="0.3"/>
    <row r="18146" customFormat="1" x14ac:dyDescent="0.3"/>
    <row r="18147" customFormat="1" x14ac:dyDescent="0.3"/>
    <row r="18148" customFormat="1" x14ac:dyDescent="0.3"/>
    <row r="18149" customFormat="1" x14ac:dyDescent="0.3"/>
    <row r="18150" customFormat="1" x14ac:dyDescent="0.3"/>
    <row r="18151" customFormat="1" x14ac:dyDescent="0.3"/>
    <row r="18152" customFormat="1" x14ac:dyDescent="0.3"/>
    <row r="18153" customFormat="1" x14ac:dyDescent="0.3"/>
    <row r="18154" customFormat="1" x14ac:dyDescent="0.3"/>
    <row r="18155" customFormat="1" x14ac:dyDescent="0.3"/>
    <row r="18156" customFormat="1" x14ac:dyDescent="0.3"/>
    <row r="18157" customFormat="1" x14ac:dyDescent="0.3"/>
    <row r="18158" customFormat="1" x14ac:dyDescent="0.3"/>
    <row r="18159" customFormat="1" x14ac:dyDescent="0.3"/>
    <row r="18160" customFormat="1" x14ac:dyDescent="0.3"/>
    <row r="18161" customFormat="1" x14ac:dyDescent="0.3"/>
    <row r="18162" customFormat="1" x14ac:dyDescent="0.3"/>
    <row r="18163" customFormat="1" x14ac:dyDescent="0.3"/>
    <row r="18164" customFormat="1" x14ac:dyDescent="0.3"/>
    <row r="18165" customFormat="1" x14ac:dyDescent="0.3"/>
    <row r="18166" customFormat="1" x14ac:dyDescent="0.3"/>
    <row r="18167" customFormat="1" x14ac:dyDescent="0.3"/>
    <row r="18168" customFormat="1" x14ac:dyDescent="0.3"/>
    <row r="18169" customFormat="1" x14ac:dyDescent="0.3"/>
    <row r="18170" customFormat="1" x14ac:dyDescent="0.3"/>
    <row r="18171" customFormat="1" x14ac:dyDescent="0.3"/>
    <row r="18172" customFormat="1" x14ac:dyDescent="0.3"/>
    <row r="18173" customFormat="1" x14ac:dyDescent="0.3"/>
    <row r="18174" customFormat="1" x14ac:dyDescent="0.3"/>
    <row r="18175" customFormat="1" x14ac:dyDescent="0.3"/>
    <row r="18176" customFormat="1" x14ac:dyDescent="0.3"/>
    <row r="18177" customFormat="1" x14ac:dyDescent="0.3"/>
    <row r="18178" customFormat="1" x14ac:dyDescent="0.3"/>
    <row r="18179" customFormat="1" x14ac:dyDescent="0.3"/>
    <row r="18180" customFormat="1" x14ac:dyDescent="0.3"/>
    <row r="18181" customFormat="1" x14ac:dyDescent="0.3"/>
    <row r="18182" customFormat="1" x14ac:dyDescent="0.3"/>
    <row r="18183" customFormat="1" x14ac:dyDescent="0.3"/>
    <row r="18184" customFormat="1" x14ac:dyDescent="0.3"/>
    <row r="18185" customFormat="1" x14ac:dyDescent="0.3"/>
    <row r="18186" customFormat="1" x14ac:dyDescent="0.3"/>
    <row r="18187" customFormat="1" x14ac:dyDescent="0.3"/>
    <row r="18188" customFormat="1" x14ac:dyDescent="0.3"/>
    <row r="18189" customFormat="1" x14ac:dyDescent="0.3"/>
    <row r="18190" customFormat="1" x14ac:dyDescent="0.3"/>
    <row r="18191" customFormat="1" x14ac:dyDescent="0.3"/>
    <row r="18192" customFormat="1" x14ac:dyDescent="0.3"/>
    <row r="18193" customFormat="1" x14ac:dyDescent="0.3"/>
    <row r="18194" customFormat="1" x14ac:dyDescent="0.3"/>
    <row r="18195" customFormat="1" x14ac:dyDescent="0.3"/>
    <row r="18196" customFormat="1" x14ac:dyDescent="0.3"/>
    <row r="18197" customFormat="1" x14ac:dyDescent="0.3"/>
    <row r="18198" customFormat="1" x14ac:dyDescent="0.3"/>
    <row r="18199" customFormat="1" x14ac:dyDescent="0.3"/>
    <row r="18200" customFormat="1" x14ac:dyDescent="0.3"/>
    <row r="18201" customFormat="1" x14ac:dyDescent="0.3"/>
    <row r="18202" customFormat="1" x14ac:dyDescent="0.3"/>
    <row r="18203" customFormat="1" x14ac:dyDescent="0.3"/>
    <row r="18204" customFormat="1" x14ac:dyDescent="0.3"/>
    <row r="18205" customFormat="1" x14ac:dyDescent="0.3"/>
    <row r="18206" customFormat="1" x14ac:dyDescent="0.3"/>
    <row r="18207" customFormat="1" x14ac:dyDescent="0.3"/>
    <row r="18208" customFormat="1" x14ac:dyDescent="0.3"/>
    <row r="18209" customFormat="1" x14ac:dyDescent="0.3"/>
    <row r="18210" customFormat="1" x14ac:dyDescent="0.3"/>
    <row r="18211" customFormat="1" x14ac:dyDescent="0.3"/>
    <row r="18212" customFormat="1" x14ac:dyDescent="0.3"/>
    <row r="18213" customFormat="1" x14ac:dyDescent="0.3"/>
    <row r="18214" customFormat="1" x14ac:dyDescent="0.3"/>
    <row r="18215" customFormat="1" x14ac:dyDescent="0.3"/>
    <row r="18216" customFormat="1" x14ac:dyDescent="0.3"/>
    <row r="18217" customFormat="1" x14ac:dyDescent="0.3"/>
    <row r="18218" customFormat="1" x14ac:dyDescent="0.3"/>
    <row r="18219" customFormat="1" x14ac:dyDescent="0.3"/>
    <row r="18220" customFormat="1" x14ac:dyDescent="0.3"/>
    <row r="18221" customFormat="1" x14ac:dyDescent="0.3"/>
    <row r="18222" customFormat="1" x14ac:dyDescent="0.3"/>
    <row r="18223" customFormat="1" x14ac:dyDescent="0.3"/>
    <row r="18224" customFormat="1" x14ac:dyDescent="0.3"/>
    <row r="18225" customFormat="1" x14ac:dyDescent="0.3"/>
    <row r="18226" customFormat="1" x14ac:dyDescent="0.3"/>
    <row r="18227" customFormat="1" x14ac:dyDescent="0.3"/>
    <row r="18228" customFormat="1" x14ac:dyDescent="0.3"/>
    <row r="18229" customFormat="1" x14ac:dyDescent="0.3"/>
    <row r="18230" customFormat="1" x14ac:dyDescent="0.3"/>
    <row r="18231" customFormat="1" x14ac:dyDescent="0.3"/>
    <row r="18232" customFormat="1" x14ac:dyDescent="0.3"/>
    <row r="18233" customFormat="1" x14ac:dyDescent="0.3"/>
    <row r="18234" customFormat="1" x14ac:dyDescent="0.3"/>
    <row r="18235" customFormat="1" x14ac:dyDescent="0.3"/>
    <row r="18236" customFormat="1" x14ac:dyDescent="0.3"/>
    <row r="18237" customFormat="1" x14ac:dyDescent="0.3"/>
    <row r="18238" customFormat="1" x14ac:dyDescent="0.3"/>
    <row r="18239" customFormat="1" x14ac:dyDescent="0.3"/>
    <row r="18240" customFormat="1" x14ac:dyDescent="0.3"/>
    <row r="18241" customFormat="1" x14ac:dyDescent="0.3"/>
    <row r="18242" customFormat="1" x14ac:dyDescent="0.3"/>
    <row r="18243" customFormat="1" x14ac:dyDescent="0.3"/>
    <row r="18244" customFormat="1" x14ac:dyDescent="0.3"/>
    <row r="18245" customFormat="1" x14ac:dyDescent="0.3"/>
    <row r="18246" customFormat="1" x14ac:dyDescent="0.3"/>
    <row r="18247" customFormat="1" x14ac:dyDescent="0.3"/>
    <row r="18248" customFormat="1" x14ac:dyDescent="0.3"/>
    <row r="18249" customFormat="1" x14ac:dyDescent="0.3"/>
    <row r="18250" customFormat="1" x14ac:dyDescent="0.3"/>
    <row r="18251" customFormat="1" x14ac:dyDescent="0.3"/>
    <row r="18252" customFormat="1" x14ac:dyDescent="0.3"/>
    <row r="18253" customFormat="1" x14ac:dyDescent="0.3"/>
    <row r="18254" customFormat="1" x14ac:dyDescent="0.3"/>
    <row r="18255" customFormat="1" x14ac:dyDescent="0.3"/>
    <row r="18256" customFormat="1" x14ac:dyDescent="0.3"/>
    <row r="18257" customFormat="1" x14ac:dyDescent="0.3"/>
    <row r="18258" customFormat="1" x14ac:dyDescent="0.3"/>
    <row r="18259" customFormat="1" x14ac:dyDescent="0.3"/>
    <row r="18260" customFormat="1" x14ac:dyDescent="0.3"/>
    <row r="18261" customFormat="1" x14ac:dyDescent="0.3"/>
    <row r="18262" customFormat="1" x14ac:dyDescent="0.3"/>
    <row r="18263" customFormat="1" x14ac:dyDescent="0.3"/>
    <row r="18264" customFormat="1" x14ac:dyDescent="0.3"/>
    <row r="18265" customFormat="1" x14ac:dyDescent="0.3"/>
    <row r="18266" customFormat="1" x14ac:dyDescent="0.3"/>
    <row r="18267" customFormat="1" x14ac:dyDescent="0.3"/>
    <row r="18268" customFormat="1" x14ac:dyDescent="0.3"/>
    <row r="18269" customFormat="1" x14ac:dyDescent="0.3"/>
    <row r="18270" customFormat="1" x14ac:dyDescent="0.3"/>
    <row r="18271" customFormat="1" x14ac:dyDescent="0.3"/>
    <row r="18272" customFormat="1" x14ac:dyDescent="0.3"/>
    <row r="18273" customFormat="1" x14ac:dyDescent="0.3"/>
    <row r="18274" customFormat="1" x14ac:dyDescent="0.3"/>
    <row r="18275" customFormat="1" x14ac:dyDescent="0.3"/>
    <row r="18276" customFormat="1" x14ac:dyDescent="0.3"/>
    <row r="18277" customFormat="1" x14ac:dyDescent="0.3"/>
    <row r="18278" customFormat="1" x14ac:dyDescent="0.3"/>
    <row r="18279" customFormat="1" x14ac:dyDescent="0.3"/>
    <row r="18280" customFormat="1" x14ac:dyDescent="0.3"/>
    <row r="18281" customFormat="1" x14ac:dyDescent="0.3"/>
    <row r="18282" customFormat="1" x14ac:dyDescent="0.3"/>
    <row r="18283" customFormat="1" x14ac:dyDescent="0.3"/>
    <row r="18284" customFormat="1" x14ac:dyDescent="0.3"/>
    <row r="18285" customFormat="1" x14ac:dyDescent="0.3"/>
    <row r="18286" customFormat="1" x14ac:dyDescent="0.3"/>
    <row r="18287" customFormat="1" x14ac:dyDescent="0.3"/>
    <row r="18288" customFormat="1" x14ac:dyDescent="0.3"/>
    <row r="18289" customFormat="1" x14ac:dyDescent="0.3"/>
    <row r="18290" customFormat="1" x14ac:dyDescent="0.3"/>
    <row r="18291" customFormat="1" x14ac:dyDescent="0.3"/>
    <row r="18292" customFormat="1" x14ac:dyDescent="0.3"/>
    <row r="18293" customFormat="1" x14ac:dyDescent="0.3"/>
    <row r="18294" customFormat="1" x14ac:dyDescent="0.3"/>
    <row r="18295" customFormat="1" x14ac:dyDescent="0.3"/>
    <row r="18296" customFormat="1" x14ac:dyDescent="0.3"/>
    <row r="18297" customFormat="1" x14ac:dyDescent="0.3"/>
    <row r="18298" customFormat="1" x14ac:dyDescent="0.3"/>
    <row r="18299" customFormat="1" x14ac:dyDescent="0.3"/>
    <row r="18300" customFormat="1" x14ac:dyDescent="0.3"/>
    <row r="18301" customFormat="1" x14ac:dyDescent="0.3"/>
    <row r="18302" customFormat="1" x14ac:dyDescent="0.3"/>
    <row r="18303" customFormat="1" x14ac:dyDescent="0.3"/>
    <row r="18304" customFormat="1" x14ac:dyDescent="0.3"/>
    <row r="18305" customFormat="1" x14ac:dyDescent="0.3"/>
    <row r="18306" customFormat="1" x14ac:dyDescent="0.3"/>
    <row r="18307" customFormat="1" x14ac:dyDescent="0.3"/>
    <row r="18308" customFormat="1" x14ac:dyDescent="0.3"/>
    <row r="18309" customFormat="1" x14ac:dyDescent="0.3"/>
    <row r="18310" customFormat="1" x14ac:dyDescent="0.3"/>
    <row r="18311" customFormat="1" x14ac:dyDescent="0.3"/>
    <row r="18312" customFormat="1" x14ac:dyDescent="0.3"/>
    <row r="18313" customFormat="1" x14ac:dyDescent="0.3"/>
    <row r="18314" customFormat="1" x14ac:dyDescent="0.3"/>
    <row r="18315" customFormat="1" x14ac:dyDescent="0.3"/>
    <row r="18316" customFormat="1" x14ac:dyDescent="0.3"/>
    <row r="18317" customFormat="1" x14ac:dyDescent="0.3"/>
    <row r="18318" customFormat="1" x14ac:dyDescent="0.3"/>
    <row r="18319" customFormat="1" x14ac:dyDescent="0.3"/>
    <row r="18320" customFormat="1" x14ac:dyDescent="0.3"/>
    <row r="18321" customFormat="1" x14ac:dyDescent="0.3"/>
    <row r="18322" customFormat="1" x14ac:dyDescent="0.3"/>
    <row r="18323" customFormat="1" x14ac:dyDescent="0.3"/>
    <row r="18324" customFormat="1" x14ac:dyDescent="0.3"/>
    <row r="18325" customFormat="1" x14ac:dyDescent="0.3"/>
    <row r="18326" customFormat="1" x14ac:dyDescent="0.3"/>
    <row r="18327" customFormat="1" x14ac:dyDescent="0.3"/>
    <row r="18328" customFormat="1" x14ac:dyDescent="0.3"/>
    <row r="18329" customFormat="1" x14ac:dyDescent="0.3"/>
    <row r="18330" customFormat="1" x14ac:dyDescent="0.3"/>
    <row r="18331" customFormat="1" x14ac:dyDescent="0.3"/>
    <row r="18332" customFormat="1" x14ac:dyDescent="0.3"/>
    <row r="18333" customFormat="1" x14ac:dyDescent="0.3"/>
    <row r="18334" customFormat="1" x14ac:dyDescent="0.3"/>
    <row r="18335" customFormat="1" x14ac:dyDescent="0.3"/>
    <row r="18336" customFormat="1" x14ac:dyDescent="0.3"/>
    <row r="18337" customFormat="1" x14ac:dyDescent="0.3"/>
    <row r="18338" customFormat="1" x14ac:dyDescent="0.3"/>
    <row r="18339" customFormat="1" x14ac:dyDescent="0.3"/>
    <row r="18340" customFormat="1" x14ac:dyDescent="0.3"/>
    <row r="18341" customFormat="1" x14ac:dyDescent="0.3"/>
    <row r="18342" customFormat="1" x14ac:dyDescent="0.3"/>
    <row r="18343" customFormat="1" x14ac:dyDescent="0.3"/>
    <row r="18344" customFormat="1" x14ac:dyDescent="0.3"/>
    <row r="18345" customFormat="1" x14ac:dyDescent="0.3"/>
    <row r="18346" customFormat="1" x14ac:dyDescent="0.3"/>
    <row r="18347" customFormat="1" x14ac:dyDescent="0.3"/>
    <row r="18348" customFormat="1" x14ac:dyDescent="0.3"/>
    <row r="18349" customFormat="1" x14ac:dyDescent="0.3"/>
    <row r="18350" customFormat="1" x14ac:dyDescent="0.3"/>
    <row r="18351" customFormat="1" x14ac:dyDescent="0.3"/>
    <row r="18352" customFormat="1" x14ac:dyDescent="0.3"/>
    <row r="18353" customFormat="1" x14ac:dyDescent="0.3"/>
    <row r="18354" customFormat="1" x14ac:dyDescent="0.3"/>
    <row r="18355" customFormat="1" x14ac:dyDescent="0.3"/>
    <row r="18356" customFormat="1" x14ac:dyDescent="0.3"/>
    <row r="18357" customFormat="1" x14ac:dyDescent="0.3"/>
    <row r="18358" customFormat="1" x14ac:dyDescent="0.3"/>
    <row r="18359" customFormat="1" x14ac:dyDescent="0.3"/>
    <row r="18360" customFormat="1" x14ac:dyDescent="0.3"/>
    <row r="18361" customFormat="1" x14ac:dyDescent="0.3"/>
    <row r="18362" customFormat="1" x14ac:dyDescent="0.3"/>
    <row r="18363" customFormat="1" x14ac:dyDescent="0.3"/>
    <row r="18364" customFormat="1" x14ac:dyDescent="0.3"/>
    <row r="18365" customFormat="1" x14ac:dyDescent="0.3"/>
    <row r="18366" customFormat="1" x14ac:dyDescent="0.3"/>
    <row r="18367" customFormat="1" x14ac:dyDescent="0.3"/>
    <row r="18368" customFormat="1" x14ac:dyDescent="0.3"/>
    <row r="18369" customFormat="1" x14ac:dyDescent="0.3"/>
    <row r="18370" customFormat="1" x14ac:dyDescent="0.3"/>
    <row r="18371" customFormat="1" x14ac:dyDescent="0.3"/>
    <row r="18372" customFormat="1" x14ac:dyDescent="0.3"/>
    <row r="18373" customFormat="1" x14ac:dyDescent="0.3"/>
    <row r="18374" customFormat="1" x14ac:dyDescent="0.3"/>
    <row r="18375" customFormat="1" x14ac:dyDescent="0.3"/>
    <row r="18376" customFormat="1" x14ac:dyDescent="0.3"/>
    <row r="18377" customFormat="1" x14ac:dyDescent="0.3"/>
    <row r="18378" customFormat="1" x14ac:dyDescent="0.3"/>
    <row r="18379" customFormat="1" x14ac:dyDescent="0.3"/>
    <row r="18380" customFormat="1" x14ac:dyDescent="0.3"/>
    <row r="18381" customFormat="1" x14ac:dyDescent="0.3"/>
    <row r="18382" customFormat="1" x14ac:dyDescent="0.3"/>
    <row r="18383" customFormat="1" x14ac:dyDescent="0.3"/>
    <row r="18384" customFormat="1" x14ac:dyDescent="0.3"/>
    <row r="18385" customFormat="1" x14ac:dyDescent="0.3"/>
    <row r="18386" customFormat="1" x14ac:dyDescent="0.3"/>
    <row r="18387" customFormat="1" x14ac:dyDescent="0.3"/>
    <row r="18388" customFormat="1" x14ac:dyDescent="0.3"/>
    <row r="18389" customFormat="1" x14ac:dyDescent="0.3"/>
    <row r="18390" customFormat="1" x14ac:dyDescent="0.3"/>
    <row r="18391" customFormat="1" x14ac:dyDescent="0.3"/>
    <row r="18392" customFormat="1" x14ac:dyDescent="0.3"/>
    <row r="18393" customFormat="1" x14ac:dyDescent="0.3"/>
    <row r="18394" customFormat="1" x14ac:dyDescent="0.3"/>
    <row r="18395" customFormat="1" x14ac:dyDescent="0.3"/>
    <row r="18396" customFormat="1" x14ac:dyDescent="0.3"/>
    <row r="18397" customFormat="1" x14ac:dyDescent="0.3"/>
    <row r="18398" customFormat="1" x14ac:dyDescent="0.3"/>
    <row r="18399" customFormat="1" x14ac:dyDescent="0.3"/>
    <row r="18400" customFormat="1" x14ac:dyDescent="0.3"/>
    <row r="18401" customFormat="1" x14ac:dyDescent="0.3"/>
    <row r="18402" customFormat="1" x14ac:dyDescent="0.3"/>
    <row r="18403" customFormat="1" x14ac:dyDescent="0.3"/>
    <row r="18404" customFormat="1" x14ac:dyDescent="0.3"/>
    <row r="18405" customFormat="1" x14ac:dyDescent="0.3"/>
    <row r="18406" customFormat="1" x14ac:dyDescent="0.3"/>
    <row r="18407" customFormat="1" x14ac:dyDescent="0.3"/>
    <row r="18408" customFormat="1" x14ac:dyDescent="0.3"/>
    <row r="18409" customFormat="1" x14ac:dyDescent="0.3"/>
    <row r="18410" customFormat="1" x14ac:dyDescent="0.3"/>
    <row r="18411" customFormat="1" x14ac:dyDescent="0.3"/>
    <row r="18412" customFormat="1" x14ac:dyDescent="0.3"/>
    <row r="18413" customFormat="1" x14ac:dyDescent="0.3"/>
    <row r="18414" customFormat="1" x14ac:dyDescent="0.3"/>
    <row r="18415" customFormat="1" x14ac:dyDescent="0.3"/>
    <row r="18416" customFormat="1" x14ac:dyDescent="0.3"/>
    <row r="18417" customFormat="1" x14ac:dyDescent="0.3"/>
    <row r="18418" customFormat="1" x14ac:dyDescent="0.3"/>
    <row r="18419" customFormat="1" x14ac:dyDescent="0.3"/>
    <row r="18420" customFormat="1" x14ac:dyDescent="0.3"/>
    <row r="18421" customFormat="1" x14ac:dyDescent="0.3"/>
    <row r="18422" customFormat="1" x14ac:dyDescent="0.3"/>
    <row r="18423" customFormat="1" x14ac:dyDescent="0.3"/>
    <row r="18424" customFormat="1" x14ac:dyDescent="0.3"/>
    <row r="18425" customFormat="1" x14ac:dyDescent="0.3"/>
    <row r="18426" customFormat="1" x14ac:dyDescent="0.3"/>
    <row r="18427" customFormat="1" x14ac:dyDescent="0.3"/>
    <row r="18428" customFormat="1" x14ac:dyDescent="0.3"/>
    <row r="18429" customFormat="1" x14ac:dyDescent="0.3"/>
    <row r="18430" customFormat="1" x14ac:dyDescent="0.3"/>
    <row r="18431" customFormat="1" x14ac:dyDescent="0.3"/>
    <row r="18432" customFormat="1" x14ac:dyDescent="0.3"/>
    <row r="18433" customFormat="1" x14ac:dyDescent="0.3"/>
    <row r="18434" customFormat="1" x14ac:dyDescent="0.3"/>
    <row r="18435" customFormat="1" x14ac:dyDescent="0.3"/>
    <row r="18436" customFormat="1" x14ac:dyDescent="0.3"/>
    <row r="18437" customFormat="1" x14ac:dyDescent="0.3"/>
    <row r="18438" customFormat="1" x14ac:dyDescent="0.3"/>
    <row r="18439" customFormat="1" x14ac:dyDescent="0.3"/>
    <row r="18440" customFormat="1" x14ac:dyDescent="0.3"/>
    <row r="18441" customFormat="1" x14ac:dyDescent="0.3"/>
    <row r="18442" customFormat="1" x14ac:dyDescent="0.3"/>
    <row r="18443" customFormat="1" x14ac:dyDescent="0.3"/>
    <row r="18444" customFormat="1" x14ac:dyDescent="0.3"/>
    <row r="18445" customFormat="1" x14ac:dyDescent="0.3"/>
    <row r="18446" customFormat="1" x14ac:dyDescent="0.3"/>
    <row r="18447" customFormat="1" x14ac:dyDescent="0.3"/>
    <row r="18448" customFormat="1" x14ac:dyDescent="0.3"/>
    <row r="18449" customFormat="1" x14ac:dyDescent="0.3"/>
    <row r="18450" customFormat="1" x14ac:dyDescent="0.3"/>
    <row r="18451" customFormat="1" x14ac:dyDescent="0.3"/>
    <row r="18452" customFormat="1" x14ac:dyDescent="0.3"/>
    <row r="18453" customFormat="1" x14ac:dyDescent="0.3"/>
    <row r="18454" customFormat="1" x14ac:dyDescent="0.3"/>
    <row r="18455" customFormat="1" x14ac:dyDescent="0.3"/>
    <row r="18456" customFormat="1" x14ac:dyDescent="0.3"/>
    <row r="18457" customFormat="1" x14ac:dyDescent="0.3"/>
    <row r="18458" customFormat="1" x14ac:dyDescent="0.3"/>
    <row r="18459" customFormat="1" x14ac:dyDescent="0.3"/>
    <row r="18460" customFormat="1" x14ac:dyDescent="0.3"/>
    <row r="18461" customFormat="1" x14ac:dyDescent="0.3"/>
    <row r="18462" customFormat="1" x14ac:dyDescent="0.3"/>
    <row r="18463" customFormat="1" x14ac:dyDescent="0.3"/>
    <row r="18464" customFormat="1" x14ac:dyDescent="0.3"/>
    <row r="18465" customFormat="1" x14ac:dyDescent="0.3"/>
    <row r="18466" customFormat="1" x14ac:dyDescent="0.3"/>
    <row r="18467" customFormat="1" x14ac:dyDescent="0.3"/>
    <row r="18468" customFormat="1" x14ac:dyDescent="0.3"/>
    <row r="18469" customFormat="1" x14ac:dyDescent="0.3"/>
    <row r="18470" customFormat="1" x14ac:dyDescent="0.3"/>
    <row r="18471" customFormat="1" x14ac:dyDescent="0.3"/>
    <row r="18472" customFormat="1" x14ac:dyDescent="0.3"/>
    <row r="18473" customFormat="1" x14ac:dyDescent="0.3"/>
    <row r="18474" customFormat="1" x14ac:dyDescent="0.3"/>
    <row r="18475" customFormat="1" x14ac:dyDescent="0.3"/>
    <row r="18476" customFormat="1" x14ac:dyDescent="0.3"/>
    <row r="18477" customFormat="1" x14ac:dyDescent="0.3"/>
    <row r="18478" customFormat="1" x14ac:dyDescent="0.3"/>
    <row r="18479" customFormat="1" x14ac:dyDescent="0.3"/>
    <row r="18480" customFormat="1" x14ac:dyDescent="0.3"/>
    <row r="18481" customFormat="1" x14ac:dyDescent="0.3"/>
    <row r="18482" customFormat="1" x14ac:dyDescent="0.3"/>
    <row r="18483" customFormat="1" x14ac:dyDescent="0.3"/>
    <row r="18484" customFormat="1" x14ac:dyDescent="0.3"/>
    <row r="18485" customFormat="1" x14ac:dyDescent="0.3"/>
    <row r="18486" customFormat="1" x14ac:dyDescent="0.3"/>
    <row r="18487" customFormat="1" x14ac:dyDescent="0.3"/>
    <row r="18488" customFormat="1" x14ac:dyDescent="0.3"/>
    <row r="18489" customFormat="1" x14ac:dyDescent="0.3"/>
    <row r="18490" customFormat="1" x14ac:dyDescent="0.3"/>
    <row r="18491" customFormat="1" x14ac:dyDescent="0.3"/>
    <row r="18492" customFormat="1" x14ac:dyDescent="0.3"/>
    <row r="18493" customFormat="1" x14ac:dyDescent="0.3"/>
    <row r="18494" customFormat="1" x14ac:dyDescent="0.3"/>
    <row r="18495" customFormat="1" x14ac:dyDescent="0.3"/>
    <row r="18496" customFormat="1" x14ac:dyDescent="0.3"/>
    <row r="18497" customFormat="1" x14ac:dyDescent="0.3"/>
    <row r="18498" customFormat="1" x14ac:dyDescent="0.3"/>
    <row r="18499" customFormat="1" x14ac:dyDescent="0.3"/>
    <row r="18500" customFormat="1" x14ac:dyDescent="0.3"/>
    <row r="18501" customFormat="1" x14ac:dyDescent="0.3"/>
    <row r="18502" customFormat="1" x14ac:dyDescent="0.3"/>
    <row r="18503" customFormat="1" x14ac:dyDescent="0.3"/>
    <row r="18504" customFormat="1" x14ac:dyDescent="0.3"/>
    <row r="18505" customFormat="1" x14ac:dyDescent="0.3"/>
    <row r="18506" customFormat="1" x14ac:dyDescent="0.3"/>
    <row r="18507" customFormat="1" x14ac:dyDescent="0.3"/>
    <row r="18508" customFormat="1" x14ac:dyDescent="0.3"/>
    <row r="18509" customFormat="1" x14ac:dyDescent="0.3"/>
    <row r="18510" customFormat="1" x14ac:dyDescent="0.3"/>
    <row r="18511" customFormat="1" x14ac:dyDescent="0.3"/>
    <row r="18512" customFormat="1" x14ac:dyDescent="0.3"/>
    <row r="18513" customFormat="1" x14ac:dyDescent="0.3"/>
    <row r="18514" customFormat="1" x14ac:dyDescent="0.3"/>
    <row r="18515" customFormat="1" x14ac:dyDescent="0.3"/>
    <row r="18516" customFormat="1" x14ac:dyDescent="0.3"/>
    <row r="18517" customFormat="1" x14ac:dyDescent="0.3"/>
    <row r="18518" customFormat="1" x14ac:dyDescent="0.3"/>
    <row r="18519" customFormat="1" x14ac:dyDescent="0.3"/>
    <row r="18520" customFormat="1" x14ac:dyDescent="0.3"/>
    <row r="18521" customFormat="1" x14ac:dyDescent="0.3"/>
    <row r="18522" customFormat="1" x14ac:dyDescent="0.3"/>
    <row r="18523" customFormat="1" x14ac:dyDescent="0.3"/>
    <row r="18524" customFormat="1" x14ac:dyDescent="0.3"/>
    <row r="18525" customFormat="1" x14ac:dyDescent="0.3"/>
    <row r="18526" customFormat="1" x14ac:dyDescent="0.3"/>
    <row r="18527" customFormat="1" x14ac:dyDescent="0.3"/>
    <row r="18528" customFormat="1" x14ac:dyDescent="0.3"/>
    <row r="18529" customFormat="1" x14ac:dyDescent="0.3"/>
    <row r="18530" customFormat="1" x14ac:dyDescent="0.3"/>
    <row r="18531" customFormat="1" x14ac:dyDescent="0.3"/>
    <row r="18532" customFormat="1" x14ac:dyDescent="0.3"/>
    <row r="18533" customFormat="1" x14ac:dyDescent="0.3"/>
    <row r="18534" customFormat="1" x14ac:dyDescent="0.3"/>
    <row r="18535" customFormat="1" x14ac:dyDescent="0.3"/>
    <row r="18536" customFormat="1" x14ac:dyDescent="0.3"/>
    <row r="18537" customFormat="1" x14ac:dyDescent="0.3"/>
    <row r="18538" customFormat="1" x14ac:dyDescent="0.3"/>
    <row r="18539" customFormat="1" x14ac:dyDescent="0.3"/>
    <row r="18540" customFormat="1" x14ac:dyDescent="0.3"/>
    <row r="18541" customFormat="1" x14ac:dyDescent="0.3"/>
    <row r="18542" customFormat="1" x14ac:dyDescent="0.3"/>
    <row r="18543" customFormat="1" x14ac:dyDescent="0.3"/>
    <row r="18544" customFormat="1" x14ac:dyDescent="0.3"/>
    <row r="18545" customFormat="1" x14ac:dyDescent="0.3"/>
    <row r="18546" customFormat="1" x14ac:dyDescent="0.3"/>
    <row r="18547" customFormat="1" x14ac:dyDescent="0.3"/>
    <row r="18548" customFormat="1" x14ac:dyDescent="0.3"/>
    <row r="18549" customFormat="1" x14ac:dyDescent="0.3"/>
    <row r="18550" customFormat="1" x14ac:dyDescent="0.3"/>
    <row r="18551" customFormat="1" x14ac:dyDescent="0.3"/>
    <row r="18552" customFormat="1" x14ac:dyDescent="0.3"/>
    <row r="18553" customFormat="1" x14ac:dyDescent="0.3"/>
    <row r="18554" customFormat="1" x14ac:dyDescent="0.3"/>
    <row r="18555" customFormat="1" x14ac:dyDescent="0.3"/>
    <row r="18556" customFormat="1" x14ac:dyDescent="0.3"/>
    <row r="18557" customFormat="1" x14ac:dyDescent="0.3"/>
    <row r="18558" customFormat="1" x14ac:dyDescent="0.3"/>
    <row r="18559" customFormat="1" x14ac:dyDescent="0.3"/>
    <row r="18560" customFormat="1" x14ac:dyDescent="0.3"/>
    <row r="18561" customFormat="1" x14ac:dyDescent="0.3"/>
    <row r="18562" customFormat="1" x14ac:dyDescent="0.3"/>
    <row r="18563" customFormat="1" x14ac:dyDescent="0.3"/>
    <row r="18564" customFormat="1" x14ac:dyDescent="0.3"/>
    <row r="18565" customFormat="1" x14ac:dyDescent="0.3"/>
    <row r="18566" customFormat="1" x14ac:dyDescent="0.3"/>
    <row r="18567" customFormat="1" x14ac:dyDescent="0.3"/>
    <row r="18568" customFormat="1" x14ac:dyDescent="0.3"/>
    <row r="18569" customFormat="1" x14ac:dyDescent="0.3"/>
    <row r="18570" customFormat="1" x14ac:dyDescent="0.3"/>
    <row r="18571" customFormat="1" x14ac:dyDescent="0.3"/>
    <row r="18572" customFormat="1" x14ac:dyDescent="0.3"/>
    <row r="18573" customFormat="1" x14ac:dyDescent="0.3"/>
    <row r="18574" customFormat="1" x14ac:dyDescent="0.3"/>
    <row r="18575" customFormat="1" x14ac:dyDescent="0.3"/>
    <row r="18576" customFormat="1" x14ac:dyDescent="0.3"/>
    <row r="18577" customFormat="1" x14ac:dyDescent="0.3"/>
    <row r="18578" customFormat="1" x14ac:dyDescent="0.3"/>
    <row r="18579" customFormat="1" x14ac:dyDescent="0.3"/>
    <row r="18580" customFormat="1" x14ac:dyDescent="0.3"/>
    <row r="18581" customFormat="1" x14ac:dyDescent="0.3"/>
    <row r="18582" customFormat="1" x14ac:dyDescent="0.3"/>
    <row r="18583" customFormat="1" x14ac:dyDescent="0.3"/>
    <row r="18584" customFormat="1" x14ac:dyDescent="0.3"/>
    <row r="18585" customFormat="1" x14ac:dyDescent="0.3"/>
    <row r="18586" customFormat="1" x14ac:dyDescent="0.3"/>
    <row r="18587" customFormat="1" x14ac:dyDescent="0.3"/>
    <row r="18588" customFormat="1" x14ac:dyDescent="0.3"/>
    <row r="18589" customFormat="1" x14ac:dyDescent="0.3"/>
    <row r="18590" customFormat="1" x14ac:dyDescent="0.3"/>
    <row r="18591" customFormat="1" x14ac:dyDescent="0.3"/>
    <row r="18592" customFormat="1" x14ac:dyDescent="0.3"/>
    <row r="18593" customFormat="1" x14ac:dyDescent="0.3"/>
    <row r="18594" customFormat="1" x14ac:dyDescent="0.3"/>
    <row r="18595" customFormat="1" x14ac:dyDescent="0.3"/>
    <row r="18596" customFormat="1" x14ac:dyDescent="0.3"/>
    <row r="18597" customFormat="1" x14ac:dyDescent="0.3"/>
    <row r="18598" customFormat="1" x14ac:dyDescent="0.3"/>
    <row r="18599" customFormat="1" x14ac:dyDescent="0.3"/>
    <row r="18600" customFormat="1" x14ac:dyDescent="0.3"/>
    <row r="18601" customFormat="1" x14ac:dyDescent="0.3"/>
    <row r="18602" customFormat="1" x14ac:dyDescent="0.3"/>
    <row r="18603" customFormat="1" x14ac:dyDescent="0.3"/>
    <row r="18604" customFormat="1" x14ac:dyDescent="0.3"/>
    <row r="18605" customFormat="1" x14ac:dyDescent="0.3"/>
    <row r="18606" customFormat="1" x14ac:dyDescent="0.3"/>
    <row r="18607" customFormat="1" x14ac:dyDescent="0.3"/>
    <row r="18608" customFormat="1" x14ac:dyDescent="0.3"/>
    <row r="18609" customFormat="1" x14ac:dyDescent="0.3"/>
    <row r="18610" customFormat="1" x14ac:dyDescent="0.3"/>
    <row r="18611" customFormat="1" x14ac:dyDescent="0.3"/>
    <row r="18612" customFormat="1" x14ac:dyDescent="0.3"/>
    <row r="18613" customFormat="1" x14ac:dyDescent="0.3"/>
    <row r="18614" customFormat="1" x14ac:dyDescent="0.3"/>
    <row r="18615" customFormat="1" x14ac:dyDescent="0.3"/>
    <row r="18616" customFormat="1" x14ac:dyDescent="0.3"/>
    <row r="18617" customFormat="1" x14ac:dyDescent="0.3"/>
    <row r="18618" customFormat="1" x14ac:dyDescent="0.3"/>
    <row r="18619" customFormat="1" x14ac:dyDescent="0.3"/>
    <row r="18620" customFormat="1" x14ac:dyDescent="0.3"/>
    <row r="18621" customFormat="1" x14ac:dyDescent="0.3"/>
    <row r="18622" customFormat="1" x14ac:dyDescent="0.3"/>
    <row r="18623" customFormat="1" x14ac:dyDescent="0.3"/>
    <row r="18624" customFormat="1" x14ac:dyDescent="0.3"/>
    <row r="18625" customFormat="1" x14ac:dyDescent="0.3"/>
    <row r="18626" customFormat="1" x14ac:dyDescent="0.3"/>
    <row r="18627" customFormat="1" x14ac:dyDescent="0.3"/>
    <row r="18628" customFormat="1" x14ac:dyDescent="0.3"/>
    <row r="18629" customFormat="1" x14ac:dyDescent="0.3"/>
    <row r="18630" customFormat="1" x14ac:dyDescent="0.3"/>
    <row r="18631" customFormat="1" x14ac:dyDescent="0.3"/>
    <row r="18632" customFormat="1" x14ac:dyDescent="0.3"/>
    <row r="18633" customFormat="1" x14ac:dyDescent="0.3"/>
    <row r="18634" customFormat="1" x14ac:dyDescent="0.3"/>
    <row r="18635" customFormat="1" x14ac:dyDescent="0.3"/>
    <row r="18636" customFormat="1" x14ac:dyDescent="0.3"/>
    <row r="18637" customFormat="1" x14ac:dyDescent="0.3"/>
    <row r="18638" customFormat="1" x14ac:dyDescent="0.3"/>
    <row r="18639" customFormat="1" x14ac:dyDescent="0.3"/>
    <row r="18640" customFormat="1" x14ac:dyDescent="0.3"/>
    <row r="18641" customFormat="1" x14ac:dyDescent="0.3"/>
    <row r="18642" customFormat="1" x14ac:dyDescent="0.3"/>
    <row r="18643" customFormat="1" x14ac:dyDescent="0.3"/>
    <row r="18644" customFormat="1" x14ac:dyDescent="0.3"/>
    <row r="18645" customFormat="1" x14ac:dyDescent="0.3"/>
    <row r="18646" customFormat="1" x14ac:dyDescent="0.3"/>
    <row r="18647" customFormat="1" x14ac:dyDescent="0.3"/>
    <row r="18648" customFormat="1" x14ac:dyDescent="0.3"/>
    <row r="18649" customFormat="1" x14ac:dyDescent="0.3"/>
    <row r="18650" customFormat="1" x14ac:dyDescent="0.3"/>
    <row r="18651" customFormat="1" x14ac:dyDescent="0.3"/>
    <row r="18652" customFormat="1" x14ac:dyDescent="0.3"/>
    <row r="18653" customFormat="1" x14ac:dyDescent="0.3"/>
    <row r="18654" customFormat="1" x14ac:dyDescent="0.3"/>
    <row r="18655" customFormat="1" x14ac:dyDescent="0.3"/>
    <row r="18656" customFormat="1" x14ac:dyDescent="0.3"/>
    <row r="18657" customFormat="1" x14ac:dyDescent="0.3"/>
    <row r="18658" customFormat="1" x14ac:dyDescent="0.3"/>
    <row r="18659" customFormat="1" x14ac:dyDescent="0.3"/>
    <row r="18660" customFormat="1" x14ac:dyDescent="0.3"/>
    <row r="18661" customFormat="1" x14ac:dyDescent="0.3"/>
    <row r="18662" customFormat="1" x14ac:dyDescent="0.3"/>
    <row r="18663" customFormat="1" x14ac:dyDescent="0.3"/>
    <row r="18664" customFormat="1" x14ac:dyDescent="0.3"/>
    <row r="18665" customFormat="1" x14ac:dyDescent="0.3"/>
    <row r="18666" customFormat="1" x14ac:dyDescent="0.3"/>
    <row r="18667" customFormat="1" x14ac:dyDescent="0.3"/>
    <row r="18668" customFormat="1" x14ac:dyDescent="0.3"/>
    <row r="18669" customFormat="1" x14ac:dyDescent="0.3"/>
    <row r="18670" customFormat="1" x14ac:dyDescent="0.3"/>
    <row r="18671" customFormat="1" x14ac:dyDescent="0.3"/>
    <row r="18672" customFormat="1" x14ac:dyDescent="0.3"/>
    <row r="18673" customFormat="1" x14ac:dyDescent="0.3"/>
    <row r="18674" customFormat="1" x14ac:dyDescent="0.3"/>
    <row r="18675" customFormat="1" x14ac:dyDescent="0.3"/>
    <row r="18676" customFormat="1" x14ac:dyDescent="0.3"/>
    <row r="18677" customFormat="1" x14ac:dyDescent="0.3"/>
    <row r="18678" customFormat="1" x14ac:dyDescent="0.3"/>
    <row r="18679" customFormat="1" x14ac:dyDescent="0.3"/>
    <row r="18680" customFormat="1" x14ac:dyDescent="0.3"/>
    <row r="18681" customFormat="1" x14ac:dyDescent="0.3"/>
    <row r="18682" customFormat="1" x14ac:dyDescent="0.3"/>
    <row r="18683" customFormat="1" x14ac:dyDescent="0.3"/>
    <row r="18684" customFormat="1" x14ac:dyDescent="0.3"/>
    <row r="18685" customFormat="1" x14ac:dyDescent="0.3"/>
    <row r="18686" customFormat="1" x14ac:dyDescent="0.3"/>
    <row r="18687" customFormat="1" x14ac:dyDescent="0.3"/>
    <row r="18688" customFormat="1" x14ac:dyDescent="0.3"/>
    <row r="18689" customFormat="1" x14ac:dyDescent="0.3"/>
    <row r="18690" customFormat="1" x14ac:dyDescent="0.3"/>
    <row r="18691" customFormat="1" x14ac:dyDescent="0.3"/>
    <row r="18692" customFormat="1" x14ac:dyDescent="0.3"/>
    <row r="18693" customFormat="1" x14ac:dyDescent="0.3"/>
    <row r="18694" customFormat="1" x14ac:dyDescent="0.3"/>
    <row r="18695" customFormat="1" x14ac:dyDescent="0.3"/>
    <row r="18696" customFormat="1" x14ac:dyDescent="0.3"/>
    <row r="18697" customFormat="1" x14ac:dyDescent="0.3"/>
    <row r="18698" customFormat="1" x14ac:dyDescent="0.3"/>
    <row r="18699" customFormat="1" x14ac:dyDescent="0.3"/>
    <row r="18700" customFormat="1" x14ac:dyDescent="0.3"/>
    <row r="18701" customFormat="1" x14ac:dyDescent="0.3"/>
    <row r="18702" customFormat="1" x14ac:dyDescent="0.3"/>
    <row r="18703" customFormat="1" x14ac:dyDescent="0.3"/>
    <row r="18704" customFormat="1" x14ac:dyDescent="0.3"/>
    <row r="18705" customFormat="1" x14ac:dyDescent="0.3"/>
    <row r="18706" customFormat="1" x14ac:dyDescent="0.3"/>
    <row r="18707" customFormat="1" x14ac:dyDescent="0.3"/>
    <row r="18708" customFormat="1" x14ac:dyDescent="0.3"/>
    <row r="18709" customFormat="1" x14ac:dyDescent="0.3"/>
    <row r="18710" customFormat="1" x14ac:dyDescent="0.3"/>
    <row r="18711" customFormat="1" x14ac:dyDescent="0.3"/>
    <row r="18712" customFormat="1" x14ac:dyDescent="0.3"/>
    <row r="18713" customFormat="1" x14ac:dyDescent="0.3"/>
    <row r="18714" customFormat="1" x14ac:dyDescent="0.3"/>
    <row r="18715" customFormat="1" x14ac:dyDescent="0.3"/>
    <row r="18716" customFormat="1" x14ac:dyDescent="0.3"/>
    <row r="18717" customFormat="1" x14ac:dyDescent="0.3"/>
    <row r="18718" customFormat="1" x14ac:dyDescent="0.3"/>
    <row r="18719" customFormat="1" x14ac:dyDescent="0.3"/>
    <row r="18720" customFormat="1" x14ac:dyDescent="0.3"/>
    <row r="18721" customFormat="1" x14ac:dyDescent="0.3"/>
    <row r="18722" customFormat="1" x14ac:dyDescent="0.3"/>
    <row r="18723" customFormat="1" x14ac:dyDescent="0.3"/>
    <row r="18724" customFormat="1" x14ac:dyDescent="0.3"/>
    <row r="18725" customFormat="1" x14ac:dyDescent="0.3"/>
    <row r="18726" customFormat="1" x14ac:dyDescent="0.3"/>
    <row r="18727" customFormat="1" x14ac:dyDescent="0.3"/>
    <row r="18728" customFormat="1" x14ac:dyDescent="0.3"/>
    <row r="18729" customFormat="1" x14ac:dyDescent="0.3"/>
    <row r="18730" customFormat="1" x14ac:dyDescent="0.3"/>
    <row r="18731" customFormat="1" x14ac:dyDescent="0.3"/>
    <row r="18732" customFormat="1" x14ac:dyDescent="0.3"/>
    <row r="18733" customFormat="1" x14ac:dyDescent="0.3"/>
    <row r="18734" customFormat="1" x14ac:dyDescent="0.3"/>
    <row r="18735" customFormat="1" x14ac:dyDescent="0.3"/>
    <row r="18736" customFormat="1" x14ac:dyDescent="0.3"/>
    <row r="18737" customFormat="1" x14ac:dyDescent="0.3"/>
    <row r="18738" customFormat="1" x14ac:dyDescent="0.3"/>
    <row r="18739" customFormat="1" x14ac:dyDescent="0.3"/>
    <row r="18740" customFormat="1" x14ac:dyDescent="0.3"/>
    <row r="18741" customFormat="1" x14ac:dyDescent="0.3"/>
    <row r="18742" customFormat="1" x14ac:dyDescent="0.3"/>
    <row r="18743" customFormat="1" x14ac:dyDescent="0.3"/>
    <row r="18744" customFormat="1" x14ac:dyDescent="0.3"/>
    <row r="18745" customFormat="1" x14ac:dyDescent="0.3"/>
    <row r="18746" customFormat="1" x14ac:dyDescent="0.3"/>
    <row r="18747" customFormat="1" x14ac:dyDescent="0.3"/>
    <row r="18748" customFormat="1" x14ac:dyDescent="0.3"/>
    <row r="18749" customFormat="1" x14ac:dyDescent="0.3"/>
    <row r="18750" customFormat="1" x14ac:dyDescent="0.3"/>
    <row r="18751" customFormat="1" x14ac:dyDescent="0.3"/>
    <row r="18752" customFormat="1" x14ac:dyDescent="0.3"/>
    <row r="18753" customFormat="1" x14ac:dyDescent="0.3"/>
    <row r="18754" customFormat="1" x14ac:dyDescent="0.3"/>
    <row r="18755" customFormat="1" x14ac:dyDescent="0.3"/>
    <row r="18756" customFormat="1" x14ac:dyDescent="0.3"/>
    <row r="18757" customFormat="1" x14ac:dyDescent="0.3"/>
    <row r="18758" customFormat="1" x14ac:dyDescent="0.3"/>
    <row r="18759" customFormat="1" x14ac:dyDescent="0.3"/>
    <row r="18760" customFormat="1" x14ac:dyDescent="0.3"/>
    <row r="18761" customFormat="1" x14ac:dyDescent="0.3"/>
    <row r="18762" customFormat="1" x14ac:dyDescent="0.3"/>
    <row r="18763" customFormat="1" x14ac:dyDescent="0.3"/>
    <row r="18764" customFormat="1" x14ac:dyDescent="0.3"/>
    <row r="18765" customFormat="1" x14ac:dyDescent="0.3"/>
    <row r="18766" customFormat="1" x14ac:dyDescent="0.3"/>
    <row r="18767" customFormat="1" x14ac:dyDescent="0.3"/>
    <row r="18768" customFormat="1" x14ac:dyDescent="0.3"/>
    <row r="18769" customFormat="1" x14ac:dyDescent="0.3"/>
    <row r="18770" customFormat="1" x14ac:dyDescent="0.3"/>
    <row r="18771" customFormat="1" x14ac:dyDescent="0.3"/>
    <row r="18772" customFormat="1" x14ac:dyDescent="0.3"/>
    <row r="18773" customFormat="1" x14ac:dyDescent="0.3"/>
    <row r="18774" customFormat="1" x14ac:dyDescent="0.3"/>
    <row r="18775" customFormat="1" x14ac:dyDescent="0.3"/>
    <row r="18776" customFormat="1" x14ac:dyDescent="0.3"/>
    <row r="18777" customFormat="1" x14ac:dyDescent="0.3"/>
    <row r="18778" customFormat="1" x14ac:dyDescent="0.3"/>
    <row r="18779" customFormat="1" x14ac:dyDescent="0.3"/>
    <row r="18780" customFormat="1" x14ac:dyDescent="0.3"/>
    <row r="18781" customFormat="1" x14ac:dyDescent="0.3"/>
    <row r="18782" customFormat="1" x14ac:dyDescent="0.3"/>
    <row r="18783" customFormat="1" x14ac:dyDescent="0.3"/>
    <row r="18784" customFormat="1" x14ac:dyDescent="0.3"/>
    <row r="18785" customFormat="1" x14ac:dyDescent="0.3"/>
    <row r="18786" customFormat="1" x14ac:dyDescent="0.3"/>
    <row r="18787" customFormat="1" x14ac:dyDescent="0.3"/>
    <row r="18788" customFormat="1" x14ac:dyDescent="0.3"/>
    <row r="18789" customFormat="1" x14ac:dyDescent="0.3"/>
    <row r="18790" customFormat="1" x14ac:dyDescent="0.3"/>
    <row r="18791" customFormat="1" x14ac:dyDescent="0.3"/>
    <row r="18792" customFormat="1" x14ac:dyDescent="0.3"/>
    <row r="18793" customFormat="1" x14ac:dyDescent="0.3"/>
    <row r="18794" customFormat="1" x14ac:dyDescent="0.3"/>
    <row r="18795" customFormat="1" x14ac:dyDescent="0.3"/>
    <row r="18796" customFormat="1" x14ac:dyDescent="0.3"/>
    <row r="18797" customFormat="1" x14ac:dyDescent="0.3"/>
    <row r="18798" customFormat="1" x14ac:dyDescent="0.3"/>
    <row r="18799" customFormat="1" x14ac:dyDescent="0.3"/>
    <row r="18800" customFormat="1" x14ac:dyDescent="0.3"/>
    <row r="18801" customFormat="1" x14ac:dyDescent="0.3"/>
    <row r="18802" customFormat="1" x14ac:dyDescent="0.3"/>
    <row r="18803" customFormat="1" x14ac:dyDescent="0.3"/>
    <row r="18804" customFormat="1" x14ac:dyDescent="0.3"/>
    <row r="18805" customFormat="1" x14ac:dyDescent="0.3"/>
    <row r="18806" customFormat="1" x14ac:dyDescent="0.3"/>
    <row r="18807" customFormat="1" x14ac:dyDescent="0.3"/>
    <row r="18808" customFormat="1" x14ac:dyDescent="0.3"/>
    <row r="18809" customFormat="1" x14ac:dyDescent="0.3"/>
    <row r="18810" customFormat="1" x14ac:dyDescent="0.3"/>
    <row r="18811" customFormat="1" x14ac:dyDescent="0.3"/>
    <row r="18812" customFormat="1" x14ac:dyDescent="0.3"/>
    <row r="18813" customFormat="1" x14ac:dyDescent="0.3"/>
    <row r="18814" customFormat="1" x14ac:dyDescent="0.3"/>
    <row r="18815" customFormat="1" x14ac:dyDescent="0.3"/>
    <row r="18816" customFormat="1" x14ac:dyDescent="0.3"/>
    <row r="18817" customFormat="1" x14ac:dyDescent="0.3"/>
    <row r="18818" customFormat="1" x14ac:dyDescent="0.3"/>
    <row r="18819" customFormat="1" x14ac:dyDescent="0.3"/>
    <row r="18820" customFormat="1" x14ac:dyDescent="0.3"/>
    <row r="18821" customFormat="1" x14ac:dyDescent="0.3"/>
    <row r="18822" customFormat="1" x14ac:dyDescent="0.3"/>
    <row r="18823" customFormat="1" x14ac:dyDescent="0.3"/>
    <row r="18824" customFormat="1" x14ac:dyDescent="0.3"/>
    <row r="18825" customFormat="1" x14ac:dyDescent="0.3"/>
    <row r="18826" customFormat="1" x14ac:dyDescent="0.3"/>
    <row r="18827" customFormat="1" x14ac:dyDescent="0.3"/>
    <row r="18828" customFormat="1" x14ac:dyDescent="0.3"/>
    <row r="18829" customFormat="1" x14ac:dyDescent="0.3"/>
    <row r="18830" customFormat="1" x14ac:dyDescent="0.3"/>
    <row r="18831" customFormat="1" x14ac:dyDescent="0.3"/>
    <row r="18832" customFormat="1" x14ac:dyDescent="0.3"/>
    <row r="18833" customFormat="1" x14ac:dyDescent="0.3"/>
    <row r="18834" customFormat="1" x14ac:dyDescent="0.3"/>
    <row r="18835" customFormat="1" x14ac:dyDescent="0.3"/>
    <row r="18836" customFormat="1" x14ac:dyDescent="0.3"/>
    <row r="18837" customFormat="1" x14ac:dyDescent="0.3"/>
    <row r="18838" customFormat="1" x14ac:dyDescent="0.3"/>
    <row r="18839" customFormat="1" x14ac:dyDescent="0.3"/>
    <row r="18840" customFormat="1" x14ac:dyDescent="0.3"/>
    <row r="18841" customFormat="1" x14ac:dyDescent="0.3"/>
    <row r="18842" customFormat="1" x14ac:dyDescent="0.3"/>
    <row r="18843" customFormat="1" x14ac:dyDescent="0.3"/>
    <row r="18844" customFormat="1" x14ac:dyDescent="0.3"/>
    <row r="18845" customFormat="1" x14ac:dyDescent="0.3"/>
    <row r="18846" customFormat="1" x14ac:dyDescent="0.3"/>
    <row r="18847" customFormat="1" x14ac:dyDescent="0.3"/>
    <row r="18848" customFormat="1" x14ac:dyDescent="0.3"/>
    <row r="18849" customFormat="1" x14ac:dyDescent="0.3"/>
    <row r="18850" customFormat="1" x14ac:dyDescent="0.3"/>
    <row r="18851" customFormat="1" x14ac:dyDescent="0.3"/>
    <row r="18852" customFormat="1" x14ac:dyDescent="0.3"/>
    <row r="18853" customFormat="1" x14ac:dyDescent="0.3"/>
    <row r="18854" customFormat="1" x14ac:dyDescent="0.3"/>
    <row r="18855" customFormat="1" x14ac:dyDescent="0.3"/>
    <row r="18856" customFormat="1" x14ac:dyDescent="0.3"/>
    <row r="18857" customFormat="1" x14ac:dyDescent="0.3"/>
    <row r="18858" customFormat="1" x14ac:dyDescent="0.3"/>
    <row r="18859" customFormat="1" x14ac:dyDescent="0.3"/>
    <row r="18860" customFormat="1" x14ac:dyDescent="0.3"/>
    <row r="18861" customFormat="1" x14ac:dyDescent="0.3"/>
    <row r="18862" customFormat="1" x14ac:dyDescent="0.3"/>
    <row r="18863" customFormat="1" x14ac:dyDescent="0.3"/>
    <row r="18864" customFormat="1" x14ac:dyDescent="0.3"/>
    <row r="18865" customFormat="1" x14ac:dyDescent="0.3"/>
    <row r="18866" customFormat="1" x14ac:dyDescent="0.3"/>
    <row r="18867" customFormat="1" x14ac:dyDescent="0.3"/>
    <row r="18868" customFormat="1" x14ac:dyDescent="0.3"/>
    <row r="18869" customFormat="1" x14ac:dyDescent="0.3"/>
    <row r="18870" customFormat="1" x14ac:dyDescent="0.3"/>
    <row r="18871" customFormat="1" x14ac:dyDescent="0.3"/>
    <row r="18872" customFormat="1" x14ac:dyDescent="0.3"/>
    <row r="18873" customFormat="1" x14ac:dyDescent="0.3"/>
    <row r="18874" customFormat="1" x14ac:dyDescent="0.3"/>
    <row r="18875" customFormat="1" x14ac:dyDescent="0.3"/>
    <row r="18876" customFormat="1" x14ac:dyDescent="0.3"/>
    <row r="18877" customFormat="1" x14ac:dyDescent="0.3"/>
    <row r="18878" customFormat="1" x14ac:dyDescent="0.3"/>
    <row r="18879" customFormat="1" x14ac:dyDescent="0.3"/>
    <row r="18880" customFormat="1" x14ac:dyDescent="0.3"/>
    <row r="18881" customFormat="1" x14ac:dyDescent="0.3"/>
    <row r="18882" customFormat="1" x14ac:dyDescent="0.3"/>
    <row r="18883" customFormat="1" x14ac:dyDescent="0.3"/>
    <row r="18884" customFormat="1" x14ac:dyDescent="0.3"/>
    <row r="18885" customFormat="1" x14ac:dyDescent="0.3"/>
    <row r="18886" customFormat="1" x14ac:dyDescent="0.3"/>
    <row r="18887" customFormat="1" x14ac:dyDescent="0.3"/>
    <row r="18888" customFormat="1" x14ac:dyDescent="0.3"/>
    <row r="18889" customFormat="1" x14ac:dyDescent="0.3"/>
    <row r="18890" customFormat="1" x14ac:dyDescent="0.3"/>
    <row r="18891" customFormat="1" x14ac:dyDescent="0.3"/>
    <row r="18892" customFormat="1" x14ac:dyDescent="0.3"/>
    <row r="18893" customFormat="1" x14ac:dyDescent="0.3"/>
    <row r="18894" customFormat="1" x14ac:dyDescent="0.3"/>
    <row r="18895" customFormat="1" x14ac:dyDescent="0.3"/>
    <row r="18896" customFormat="1" x14ac:dyDescent="0.3"/>
    <row r="18897" customFormat="1" x14ac:dyDescent="0.3"/>
    <row r="18898" customFormat="1" x14ac:dyDescent="0.3"/>
    <row r="18899" customFormat="1" x14ac:dyDescent="0.3"/>
    <row r="18900" customFormat="1" x14ac:dyDescent="0.3"/>
    <row r="18901" customFormat="1" x14ac:dyDescent="0.3"/>
    <row r="18902" customFormat="1" x14ac:dyDescent="0.3"/>
    <row r="18903" customFormat="1" x14ac:dyDescent="0.3"/>
    <row r="18904" customFormat="1" x14ac:dyDescent="0.3"/>
    <row r="18905" customFormat="1" x14ac:dyDescent="0.3"/>
    <row r="18906" customFormat="1" x14ac:dyDescent="0.3"/>
    <row r="18907" customFormat="1" x14ac:dyDescent="0.3"/>
    <row r="18908" customFormat="1" x14ac:dyDescent="0.3"/>
    <row r="18909" customFormat="1" x14ac:dyDescent="0.3"/>
    <row r="18910" customFormat="1" x14ac:dyDescent="0.3"/>
    <row r="18911" customFormat="1" x14ac:dyDescent="0.3"/>
    <row r="18912" customFormat="1" x14ac:dyDescent="0.3"/>
    <row r="18913" customFormat="1" x14ac:dyDescent="0.3"/>
    <row r="18914" customFormat="1" x14ac:dyDescent="0.3"/>
    <row r="18915" customFormat="1" x14ac:dyDescent="0.3"/>
    <row r="18916" customFormat="1" x14ac:dyDescent="0.3"/>
    <row r="18917" customFormat="1" x14ac:dyDescent="0.3"/>
    <row r="18918" customFormat="1" x14ac:dyDescent="0.3"/>
    <row r="18919" customFormat="1" x14ac:dyDescent="0.3"/>
    <row r="18920" customFormat="1" x14ac:dyDescent="0.3"/>
    <row r="18921" customFormat="1" x14ac:dyDescent="0.3"/>
    <row r="18922" customFormat="1" x14ac:dyDescent="0.3"/>
    <row r="18923" customFormat="1" x14ac:dyDescent="0.3"/>
    <row r="18924" customFormat="1" x14ac:dyDescent="0.3"/>
    <row r="18925" customFormat="1" x14ac:dyDescent="0.3"/>
    <row r="18926" customFormat="1" x14ac:dyDescent="0.3"/>
    <row r="18927" customFormat="1" x14ac:dyDescent="0.3"/>
    <row r="18928" customFormat="1" x14ac:dyDescent="0.3"/>
    <row r="18929" customFormat="1" x14ac:dyDescent="0.3"/>
    <row r="18930" customFormat="1" x14ac:dyDescent="0.3"/>
    <row r="18931" customFormat="1" x14ac:dyDescent="0.3"/>
    <row r="18932" customFormat="1" x14ac:dyDescent="0.3"/>
    <row r="18933" customFormat="1" x14ac:dyDescent="0.3"/>
    <row r="18934" customFormat="1" x14ac:dyDescent="0.3"/>
    <row r="18935" customFormat="1" x14ac:dyDescent="0.3"/>
    <row r="18936" customFormat="1" x14ac:dyDescent="0.3"/>
    <row r="18937" customFormat="1" x14ac:dyDescent="0.3"/>
    <row r="18938" customFormat="1" x14ac:dyDescent="0.3"/>
    <row r="18939" customFormat="1" x14ac:dyDescent="0.3"/>
    <row r="18940" customFormat="1" x14ac:dyDescent="0.3"/>
    <row r="18941" customFormat="1" x14ac:dyDescent="0.3"/>
    <row r="18942" customFormat="1" x14ac:dyDescent="0.3"/>
    <row r="18943" customFormat="1" x14ac:dyDescent="0.3"/>
    <row r="18944" customFormat="1" x14ac:dyDescent="0.3"/>
    <row r="18945" customFormat="1" x14ac:dyDescent="0.3"/>
    <row r="18946" customFormat="1" x14ac:dyDescent="0.3"/>
    <row r="18947" customFormat="1" x14ac:dyDescent="0.3"/>
    <row r="18948" customFormat="1" x14ac:dyDescent="0.3"/>
    <row r="18949" customFormat="1" x14ac:dyDescent="0.3"/>
    <row r="18950" customFormat="1" x14ac:dyDescent="0.3"/>
    <row r="18951" customFormat="1" x14ac:dyDescent="0.3"/>
    <row r="18952" customFormat="1" x14ac:dyDescent="0.3"/>
    <row r="18953" customFormat="1" x14ac:dyDescent="0.3"/>
    <row r="18954" customFormat="1" x14ac:dyDescent="0.3"/>
    <row r="18955" customFormat="1" x14ac:dyDescent="0.3"/>
    <row r="18956" customFormat="1" x14ac:dyDescent="0.3"/>
    <row r="18957" customFormat="1" x14ac:dyDescent="0.3"/>
    <row r="18958" customFormat="1" x14ac:dyDescent="0.3"/>
    <row r="18959" customFormat="1" x14ac:dyDescent="0.3"/>
    <row r="18960" customFormat="1" x14ac:dyDescent="0.3"/>
    <row r="18961" customFormat="1" x14ac:dyDescent="0.3"/>
    <row r="18962" customFormat="1" x14ac:dyDescent="0.3"/>
    <row r="18963" customFormat="1" x14ac:dyDescent="0.3"/>
    <row r="18964" customFormat="1" x14ac:dyDescent="0.3"/>
    <row r="18965" customFormat="1" x14ac:dyDescent="0.3"/>
    <row r="18966" customFormat="1" x14ac:dyDescent="0.3"/>
    <row r="18967" customFormat="1" x14ac:dyDescent="0.3"/>
    <row r="18968" customFormat="1" x14ac:dyDescent="0.3"/>
    <row r="18969" customFormat="1" x14ac:dyDescent="0.3"/>
    <row r="18970" customFormat="1" x14ac:dyDescent="0.3"/>
    <row r="18971" customFormat="1" x14ac:dyDescent="0.3"/>
    <row r="18972" customFormat="1" x14ac:dyDescent="0.3"/>
    <row r="18973" customFormat="1" x14ac:dyDescent="0.3"/>
    <row r="18974" customFormat="1" x14ac:dyDescent="0.3"/>
    <row r="18975" customFormat="1" x14ac:dyDescent="0.3"/>
    <row r="18976" customFormat="1" x14ac:dyDescent="0.3"/>
    <row r="18977" customFormat="1" x14ac:dyDescent="0.3"/>
    <row r="18978" customFormat="1" x14ac:dyDescent="0.3"/>
    <row r="18979" customFormat="1" x14ac:dyDescent="0.3"/>
    <row r="18980" customFormat="1" x14ac:dyDescent="0.3"/>
    <row r="18981" customFormat="1" x14ac:dyDescent="0.3"/>
    <row r="18982" customFormat="1" x14ac:dyDescent="0.3"/>
    <row r="18983" customFormat="1" x14ac:dyDescent="0.3"/>
    <row r="18984" customFormat="1" x14ac:dyDescent="0.3"/>
    <row r="18985" customFormat="1" x14ac:dyDescent="0.3"/>
    <row r="18986" customFormat="1" x14ac:dyDescent="0.3"/>
    <row r="18987" customFormat="1" x14ac:dyDescent="0.3"/>
    <row r="18988" customFormat="1" x14ac:dyDescent="0.3"/>
    <row r="18989" customFormat="1" x14ac:dyDescent="0.3"/>
    <row r="18990" customFormat="1" x14ac:dyDescent="0.3"/>
    <row r="18991" customFormat="1" x14ac:dyDescent="0.3"/>
    <row r="18992" customFormat="1" x14ac:dyDescent="0.3"/>
    <row r="18993" customFormat="1" x14ac:dyDescent="0.3"/>
    <row r="18994" customFormat="1" x14ac:dyDescent="0.3"/>
    <row r="18995" customFormat="1" x14ac:dyDescent="0.3"/>
    <row r="18996" customFormat="1" x14ac:dyDescent="0.3"/>
    <row r="18997" customFormat="1" x14ac:dyDescent="0.3"/>
    <row r="18998" customFormat="1" x14ac:dyDescent="0.3"/>
    <row r="18999" customFormat="1" x14ac:dyDescent="0.3"/>
    <row r="19000" customFormat="1" x14ac:dyDescent="0.3"/>
    <row r="19001" customFormat="1" x14ac:dyDescent="0.3"/>
    <row r="19002" customFormat="1" x14ac:dyDescent="0.3"/>
    <row r="19003" customFormat="1" x14ac:dyDescent="0.3"/>
    <row r="19004" customFormat="1" x14ac:dyDescent="0.3"/>
    <row r="19005" customFormat="1" x14ac:dyDescent="0.3"/>
    <row r="19006" customFormat="1" x14ac:dyDescent="0.3"/>
    <row r="19007" customFormat="1" x14ac:dyDescent="0.3"/>
    <row r="19008" customFormat="1" x14ac:dyDescent="0.3"/>
    <row r="19009" customFormat="1" x14ac:dyDescent="0.3"/>
    <row r="19010" customFormat="1" x14ac:dyDescent="0.3"/>
    <row r="19011" customFormat="1" x14ac:dyDescent="0.3"/>
    <row r="19012" customFormat="1" x14ac:dyDescent="0.3"/>
    <row r="19013" customFormat="1" x14ac:dyDescent="0.3"/>
    <row r="19014" customFormat="1" x14ac:dyDescent="0.3"/>
    <row r="19015" customFormat="1" x14ac:dyDescent="0.3"/>
    <row r="19016" customFormat="1" x14ac:dyDescent="0.3"/>
    <row r="19017" customFormat="1" x14ac:dyDescent="0.3"/>
    <row r="19018" customFormat="1" x14ac:dyDescent="0.3"/>
    <row r="19019" customFormat="1" x14ac:dyDescent="0.3"/>
    <row r="19020" customFormat="1" x14ac:dyDescent="0.3"/>
    <row r="19021" customFormat="1" x14ac:dyDescent="0.3"/>
    <row r="19022" customFormat="1" x14ac:dyDescent="0.3"/>
    <row r="19023" customFormat="1" x14ac:dyDescent="0.3"/>
    <row r="19024" customFormat="1" x14ac:dyDescent="0.3"/>
    <row r="19025" customFormat="1" x14ac:dyDescent="0.3"/>
    <row r="19026" customFormat="1" x14ac:dyDescent="0.3"/>
    <row r="19027" customFormat="1" x14ac:dyDescent="0.3"/>
    <row r="19028" customFormat="1" x14ac:dyDescent="0.3"/>
    <row r="19029" customFormat="1" x14ac:dyDescent="0.3"/>
    <row r="19030" customFormat="1" x14ac:dyDescent="0.3"/>
    <row r="19031" customFormat="1" x14ac:dyDescent="0.3"/>
    <row r="19032" customFormat="1" x14ac:dyDescent="0.3"/>
    <row r="19033" customFormat="1" x14ac:dyDescent="0.3"/>
    <row r="19034" customFormat="1" x14ac:dyDescent="0.3"/>
    <row r="19035" customFormat="1" x14ac:dyDescent="0.3"/>
    <row r="19036" customFormat="1" x14ac:dyDescent="0.3"/>
    <row r="19037" customFormat="1" x14ac:dyDescent="0.3"/>
    <row r="19038" customFormat="1" x14ac:dyDescent="0.3"/>
    <row r="19039" customFormat="1" x14ac:dyDescent="0.3"/>
    <row r="19040" customFormat="1" x14ac:dyDescent="0.3"/>
    <row r="19041" customFormat="1" x14ac:dyDescent="0.3"/>
    <row r="19042" customFormat="1" x14ac:dyDescent="0.3"/>
    <row r="19043" customFormat="1" x14ac:dyDescent="0.3"/>
    <row r="19044" customFormat="1" x14ac:dyDescent="0.3"/>
    <row r="19045" customFormat="1" x14ac:dyDescent="0.3"/>
    <row r="19046" customFormat="1" x14ac:dyDescent="0.3"/>
    <row r="19047" customFormat="1" x14ac:dyDescent="0.3"/>
    <row r="19048" customFormat="1" x14ac:dyDescent="0.3"/>
    <row r="19049" customFormat="1" x14ac:dyDescent="0.3"/>
    <row r="19050" customFormat="1" x14ac:dyDescent="0.3"/>
    <row r="19051" customFormat="1" x14ac:dyDescent="0.3"/>
    <row r="19052" customFormat="1" x14ac:dyDescent="0.3"/>
    <row r="19053" customFormat="1" x14ac:dyDescent="0.3"/>
    <row r="19054" customFormat="1" x14ac:dyDescent="0.3"/>
    <row r="19055" customFormat="1" x14ac:dyDescent="0.3"/>
    <row r="19056" customFormat="1" x14ac:dyDescent="0.3"/>
    <row r="19057" customFormat="1" x14ac:dyDescent="0.3"/>
    <row r="19058" customFormat="1" x14ac:dyDescent="0.3"/>
    <row r="19059" customFormat="1" x14ac:dyDescent="0.3"/>
    <row r="19060" customFormat="1" x14ac:dyDescent="0.3"/>
    <row r="19061" customFormat="1" x14ac:dyDescent="0.3"/>
    <row r="19062" customFormat="1" x14ac:dyDescent="0.3"/>
    <row r="19063" customFormat="1" x14ac:dyDescent="0.3"/>
    <row r="19064" customFormat="1" x14ac:dyDescent="0.3"/>
    <row r="19065" customFormat="1" x14ac:dyDescent="0.3"/>
    <row r="19066" customFormat="1" x14ac:dyDescent="0.3"/>
    <row r="19067" customFormat="1" x14ac:dyDescent="0.3"/>
    <row r="19068" customFormat="1" x14ac:dyDescent="0.3"/>
    <row r="19069" customFormat="1" x14ac:dyDescent="0.3"/>
    <row r="19070" customFormat="1" x14ac:dyDescent="0.3"/>
    <row r="19071" customFormat="1" x14ac:dyDescent="0.3"/>
    <row r="19072" customFormat="1" x14ac:dyDescent="0.3"/>
    <row r="19073" customFormat="1" x14ac:dyDescent="0.3"/>
    <row r="19074" customFormat="1" x14ac:dyDescent="0.3"/>
    <row r="19075" customFormat="1" x14ac:dyDescent="0.3"/>
    <row r="19076" customFormat="1" x14ac:dyDescent="0.3"/>
    <row r="19077" customFormat="1" x14ac:dyDescent="0.3"/>
    <row r="19078" customFormat="1" x14ac:dyDescent="0.3"/>
    <row r="19079" customFormat="1" x14ac:dyDescent="0.3"/>
    <row r="19080" customFormat="1" x14ac:dyDescent="0.3"/>
    <row r="19081" customFormat="1" x14ac:dyDescent="0.3"/>
    <row r="19082" customFormat="1" x14ac:dyDescent="0.3"/>
    <row r="19083" customFormat="1" x14ac:dyDescent="0.3"/>
    <row r="19084" customFormat="1" x14ac:dyDescent="0.3"/>
    <row r="19085" customFormat="1" x14ac:dyDescent="0.3"/>
    <row r="19086" customFormat="1" x14ac:dyDescent="0.3"/>
    <row r="19087" customFormat="1" x14ac:dyDescent="0.3"/>
    <row r="19088" customFormat="1" x14ac:dyDescent="0.3"/>
    <row r="19089" customFormat="1" x14ac:dyDescent="0.3"/>
    <row r="19090" customFormat="1" x14ac:dyDescent="0.3"/>
    <row r="19091" customFormat="1" x14ac:dyDescent="0.3"/>
    <row r="19092" customFormat="1" x14ac:dyDescent="0.3"/>
    <row r="19093" customFormat="1" x14ac:dyDescent="0.3"/>
    <row r="19094" customFormat="1" x14ac:dyDescent="0.3"/>
    <row r="19095" customFormat="1" x14ac:dyDescent="0.3"/>
    <row r="19096" customFormat="1" x14ac:dyDescent="0.3"/>
    <row r="19097" customFormat="1" x14ac:dyDescent="0.3"/>
    <row r="19098" customFormat="1" x14ac:dyDescent="0.3"/>
    <row r="19099" customFormat="1" x14ac:dyDescent="0.3"/>
    <row r="19100" customFormat="1" x14ac:dyDescent="0.3"/>
    <row r="19101" customFormat="1" x14ac:dyDescent="0.3"/>
    <row r="19102" customFormat="1" x14ac:dyDescent="0.3"/>
    <row r="19103" customFormat="1" x14ac:dyDescent="0.3"/>
    <row r="19104" customFormat="1" x14ac:dyDescent="0.3"/>
    <row r="19105" customFormat="1" x14ac:dyDescent="0.3"/>
    <row r="19106" customFormat="1" x14ac:dyDescent="0.3"/>
    <row r="19107" customFormat="1" x14ac:dyDescent="0.3"/>
    <row r="19108" customFormat="1" x14ac:dyDescent="0.3"/>
    <row r="19109" customFormat="1" x14ac:dyDescent="0.3"/>
    <row r="19110" customFormat="1" x14ac:dyDescent="0.3"/>
    <row r="19111" customFormat="1" x14ac:dyDescent="0.3"/>
    <row r="19112" customFormat="1" x14ac:dyDescent="0.3"/>
    <row r="19113" customFormat="1" x14ac:dyDescent="0.3"/>
    <row r="19114" customFormat="1" x14ac:dyDescent="0.3"/>
    <row r="19115" customFormat="1" x14ac:dyDescent="0.3"/>
    <row r="19116" customFormat="1" x14ac:dyDescent="0.3"/>
    <row r="19117" customFormat="1" x14ac:dyDescent="0.3"/>
    <row r="19118" customFormat="1" x14ac:dyDescent="0.3"/>
    <row r="19119" customFormat="1" x14ac:dyDescent="0.3"/>
    <row r="19120" customFormat="1" x14ac:dyDescent="0.3"/>
    <row r="19121" customFormat="1" x14ac:dyDescent="0.3"/>
    <row r="19122" customFormat="1" x14ac:dyDescent="0.3"/>
    <row r="19123" customFormat="1" x14ac:dyDescent="0.3"/>
    <row r="19124" customFormat="1" x14ac:dyDescent="0.3"/>
    <row r="19125" customFormat="1" x14ac:dyDescent="0.3"/>
    <row r="19126" customFormat="1" x14ac:dyDescent="0.3"/>
    <row r="19127" customFormat="1" x14ac:dyDescent="0.3"/>
    <row r="19128" customFormat="1" x14ac:dyDescent="0.3"/>
    <row r="19129" customFormat="1" x14ac:dyDescent="0.3"/>
    <row r="19130" customFormat="1" x14ac:dyDescent="0.3"/>
    <row r="19131" customFormat="1" x14ac:dyDescent="0.3"/>
    <row r="19132" customFormat="1" x14ac:dyDescent="0.3"/>
    <row r="19133" customFormat="1" x14ac:dyDescent="0.3"/>
    <row r="19134" customFormat="1" x14ac:dyDescent="0.3"/>
    <row r="19135" customFormat="1" x14ac:dyDescent="0.3"/>
    <row r="19136" customFormat="1" x14ac:dyDescent="0.3"/>
    <row r="19137" customFormat="1" x14ac:dyDescent="0.3"/>
    <row r="19138" customFormat="1" x14ac:dyDescent="0.3"/>
    <row r="19139" customFormat="1" x14ac:dyDescent="0.3"/>
    <row r="19140" customFormat="1" x14ac:dyDescent="0.3"/>
    <row r="19141" customFormat="1" x14ac:dyDescent="0.3"/>
    <row r="19142" customFormat="1" x14ac:dyDescent="0.3"/>
    <row r="19143" customFormat="1" x14ac:dyDescent="0.3"/>
    <row r="19144" customFormat="1" x14ac:dyDescent="0.3"/>
    <row r="19145" customFormat="1" x14ac:dyDescent="0.3"/>
    <row r="19146" customFormat="1" x14ac:dyDescent="0.3"/>
    <row r="19147" customFormat="1" x14ac:dyDescent="0.3"/>
    <row r="19148" customFormat="1" x14ac:dyDescent="0.3"/>
    <row r="19149" customFormat="1" x14ac:dyDescent="0.3"/>
    <row r="19150" customFormat="1" x14ac:dyDescent="0.3"/>
    <row r="19151" customFormat="1" x14ac:dyDescent="0.3"/>
    <row r="19152" customFormat="1" x14ac:dyDescent="0.3"/>
    <row r="19153" customFormat="1" x14ac:dyDescent="0.3"/>
    <row r="19154" customFormat="1" x14ac:dyDescent="0.3"/>
    <row r="19155" customFormat="1" x14ac:dyDescent="0.3"/>
    <row r="19156" customFormat="1" x14ac:dyDescent="0.3"/>
    <row r="19157" customFormat="1" x14ac:dyDescent="0.3"/>
    <row r="19158" customFormat="1" x14ac:dyDescent="0.3"/>
    <row r="19159" customFormat="1" x14ac:dyDescent="0.3"/>
    <row r="19160" customFormat="1" x14ac:dyDescent="0.3"/>
    <row r="19161" customFormat="1" x14ac:dyDescent="0.3"/>
    <row r="19162" customFormat="1" x14ac:dyDescent="0.3"/>
    <row r="19163" customFormat="1" x14ac:dyDescent="0.3"/>
    <row r="19164" customFormat="1" x14ac:dyDescent="0.3"/>
    <row r="19165" customFormat="1" x14ac:dyDescent="0.3"/>
    <row r="19166" customFormat="1" x14ac:dyDescent="0.3"/>
    <row r="19167" customFormat="1" x14ac:dyDescent="0.3"/>
    <row r="19168" customFormat="1" x14ac:dyDescent="0.3"/>
    <row r="19169" customFormat="1" x14ac:dyDescent="0.3"/>
    <row r="19170" customFormat="1" x14ac:dyDescent="0.3"/>
    <row r="19171" customFormat="1" x14ac:dyDescent="0.3"/>
    <row r="19172" customFormat="1" x14ac:dyDescent="0.3"/>
    <row r="19173" customFormat="1" x14ac:dyDescent="0.3"/>
    <row r="19174" customFormat="1" x14ac:dyDescent="0.3"/>
    <row r="19175" customFormat="1" x14ac:dyDescent="0.3"/>
    <row r="19176" customFormat="1" x14ac:dyDescent="0.3"/>
    <row r="19177" customFormat="1" x14ac:dyDescent="0.3"/>
    <row r="19178" customFormat="1" x14ac:dyDescent="0.3"/>
    <row r="19179" customFormat="1" x14ac:dyDescent="0.3"/>
    <row r="19180" customFormat="1" x14ac:dyDescent="0.3"/>
    <row r="19181" customFormat="1" x14ac:dyDescent="0.3"/>
    <row r="19182" customFormat="1" x14ac:dyDescent="0.3"/>
    <row r="19183" customFormat="1" x14ac:dyDescent="0.3"/>
    <row r="19184" customFormat="1" x14ac:dyDescent="0.3"/>
    <row r="19185" customFormat="1" x14ac:dyDescent="0.3"/>
    <row r="19186" customFormat="1" x14ac:dyDescent="0.3"/>
    <row r="19187" customFormat="1" x14ac:dyDescent="0.3"/>
    <row r="19188" customFormat="1" x14ac:dyDescent="0.3"/>
    <row r="19189" customFormat="1" x14ac:dyDescent="0.3"/>
    <row r="19190" customFormat="1" x14ac:dyDescent="0.3"/>
    <row r="19191" customFormat="1" x14ac:dyDescent="0.3"/>
    <row r="19192" customFormat="1" x14ac:dyDescent="0.3"/>
    <row r="19193" customFormat="1" x14ac:dyDescent="0.3"/>
    <row r="19194" customFormat="1" x14ac:dyDescent="0.3"/>
    <row r="19195" customFormat="1" x14ac:dyDescent="0.3"/>
    <row r="19196" customFormat="1" x14ac:dyDescent="0.3"/>
    <row r="19197" customFormat="1" x14ac:dyDescent="0.3"/>
    <row r="19198" customFormat="1" x14ac:dyDescent="0.3"/>
    <row r="19199" customFormat="1" x14ac:dyDescent="0.3"/>
    <row r="19200" customFormat="1" x14ac:dyDescent="0.3"/>
    <row r="19201" customFormat="1" x14ac:dyDescent="0.3"/>
    <row r="19202" customFormat="1" x14ac:dyDescent="0.3"/>
    <row r="19203" customFormat="1" x14ac:dyDescent="0.3"/>
    <row r="19204" customFormat="1" x14ac:dyDescent="0.3"/>
    <row r="19205" customFormat="1" x14ac:dyDescent="0.3"/>
    <row r="19206" customFormat="1" x14ac:dyDescent="0.3"/>
    <row r="19207" customFormat="1" x14ac:dyDescent="0.3"/>
    <row r="19208" customFormat="1" x14ac:dyDescent="0.3"/>
    <row r="19209" customFormat="1" x14ac:dyDescent="0.3"/>
    <row r="19210" customFormat="1" x14ac:dyDescent="0.3"/>
    <row r="19211" customFormat="1" x14ac:dyDescent="0.3"/>
    <row r="19212" customFormat="1" x14ac:dyDescent="0.3"/>
    <row r="19213" customFormat="1" x14ac:dyDescent="0.3"/>
    <row r="19214" customFormat="1" x14ac:dyDescent="0.3"/>
    <row r="19215" customFormat="1" x14ac:dyDescent="0.3"/>
    <row r="19216" customFormat="1" x14ac:dyDescent="0.3"/>
    <row r="19217" customFormat="1" x14ac:dyDescent="0.3"/>
    <row r="19218" customFormat="1" x14ac:dyDescent="0.3"/>
    <row r="19219" customFormat="1" x14ac:dyDescent="0.3"/>
    <row r="19220" customFormat="1" x14ac:dyDescent="0.3"/>
    <row r="19221" customFormat="1" x14ac:dyDescent="0.3"/>
    <row r="19222" customFormat="1" x14ac:dyDescent="0.3"/>
    <row r="19223" customFormat="1" x14ac:dyDescent="0.3"/>
    <row r="19224" customFormat="1" x14ac:dyDescent="0.3"/>
    <row r="19225" customFormat="1" x14ac:dyDescent="0.3"/>
    <row r="19226" customFormat="1" x14ac:dyDescent="0.3"/>
    <row r="19227" customFormat="1" x14ac:dyDescent="0.3"/>
    <row r="19228" customFormat="1" x14ac:dyDescent="0.3"/>
    <row r="19229" customFormat="1" x14ac:dyDescent="0.3"/>
    <row r="19230" customFormat="1" x14ac:dyDescent="0.3"/>
    <row r="19231" customFormat="1" x14ac:dyDescent="0.3"/>
    <row r="19232" customFormat="1" x14ac:dyDescent="0.3"/>
    <row r="19233" customFormat="1" x14ac:dyDescent="0.3"/>
    <row r="19234" customFormat="1" x14ac:dyDescent="0.3"/>
    <row r="19235" customFormat="1" x14ac:dyDescent="0.3"/>
    <row r="19236" customFormat="1" x14ac:dyDescent="0.3"/>
    <row r="19237" customFormat="1" x14ac:dyDescent="0.3"/>
    <row r="19238" customFormat="1" x14ac:dyDescent="0.3"/>
    <row r="19239" customFormat="1" x14ac:dyDescent="0.3"/>
    <row r="19240" customFormat="1" x14ac:dyDescent="0.3"/>
    <row r="19241" customFormat="1" x14ac:dyDescent="0.3"/>
    <row r="19242" customFormat="1" x14ac:dyDescent="0.3"/>
    <row r="19243" customFormat="1" x14ac:dyDescent="0.3"/>
    <row r="19244" customFormat="1" x14ac:dyDescent="0.3"/>
    <row r="19245" customFormat="1" x14ac:dyDescent="0.3"/>
    <row r="19246" customFormat="1" x14ac:dyDescent="0.3"/>
    <row r="19247" customFormat="1" x14ac:dyDescent="0.3"/>
    <row r="19248" customFormat="1" x14ac:dyDescent="0.3"/>
    <row r="19249" customFormat="1" x14ac:dyDescent="0.3"/>
    <row r="19250" customFormat="1" x14ac:dyDescent="0.3"/>
    <row r="19251" customFormat="1" x14ac:dyDescent="0.3"/>
    <row r="19252" customFormat="1" x14ac:dyDescent="0.3"/>
    <row r="19253" customFormat="1" x14ac:dyDescent="0.3"/>
    <row r="19254" customFormat="1" x14ac:dyDescent="0.3"/>
    <row r="19255" customFormat="1" x14ac:dyDescent="0.3"/>
    <row r="19256" customFormat="1" x14ac:dyDescent="0.3"/>
    <row r="19257" customFormat="1" x14ac:dyDescent="0.3"/>
    <row r="19258" customFormat="1" x14ac:dyDescent="0.3"/>
    <row r="19259" customFormat="1" x14ac:dyDescent="0.3"/>
    <row r="19260" customFormat="1" x14ac:dyDescent="0.3"/>
    <row r="19261" customFormat="1" x14ac:dyDescent="0.3"/>
    <row r="19262" customFormat="1" x14ac:dyDescent="0.3"/>
    <row r="19263" customFormat="1" x14ac:dyDescent="0.3"/>
    <row r="19264" customFormat="1" x14ac:dyDescent="0.3"/>
    <row r="19265" customFormat="1" x14ac:dyDescent="0.3"/>
    <row r="19266" customFormat="1" x14ac:dyDescent="0.3"/>
    <row r="19267" customFormat="1" x14ac:dyDescent="0.3"/>
    <row r="19268" customFormat="1" x14ac:dyDescent="0.3"/>
    <row r="19269" customFormat="1" x14ac:dyDescent="0.3"/>
    <row r="19270" customFormat="1" x14ac:dyDescent="0.3"/>
    <row r="19271" customFormat="1" x14ac:dyDescent="0.3"/>
    <row r="19272" customFormat="1" x14ac:dyDescent="0.3"/>
    <row r="19273" customFormat="1" x14ac:dyDescent="0.3"/>
    <row r="19274" customFormat="1" x14ac:dyDescent="0.3"/>
    <row r="19275" customFormat="1" x14ac:dyDescent="0.3"/>
    <row r="19276" customFormat="1" x14ac:dyDescent="0.3"/>
    <row r="19277" customFormat="1" x14ac:dyDescent="0.3"/>
    <row r="19278" customFormat="1" x14ac:dyDescent="0.3"/>
    <row r="19279" customFormat="1" x14ac:dyDescent="0.3"/>
    <row r="19280" customFormat="1" x14ac:dyDescent="0.3"/>
    <row r="19281" customFormat="1" x14ac:dyDescent="0.3"/>
    <row r="19282" customFormat="1" x14ac:dyDescent="0.3"/>
    <row r="19283" customFormat="1" x14ac:dyDescent="0.3"/>
    <row r="19284" customFormat="1" x14ac:dyDescent="0.3"/>
    <row r="19285" customFormat="1" x14ac:dyDescent="0.3"/>
    <row r="19286" customFormat="1" x14ac:dyDescent="0.3"/>
    <row r="19287" customFormat="1" x14ac:dyDescent="0.3"/>
    <row r="19288" customFormat="1" x14ac:dyDescent="0.3"/>
    <row r="19289" customFormat="1" x14ac:dyDescent="0.3"/>
    <row r="19290" customFormat="1" x14ac:dyDescent="0.3"/>
    <row r="19291" customFormat="1" x14ac:dyDescent="0.3"/>
    <row r="19292" customFormat="1" x14ac:dyDescent="0.3"/>
    <row r="19293" customFormat="1" x14ac:dyDescent="0.3"/>
    <row r="19294" customFormat="1" x14ac:dyDescent="0.3"/>
    <row r="19295" customFormat="1" x14ac:dyDescent="0.3"/>
    <row r="19296" customFormat="1" x14ac:dyDescent="0.3"/>
    <row r="19297" customFormat="1" x14ac:dyDescent="0.3"/>
    <row r="19298" customFormat="1" x14ac:dyDescent="0.3"/>
    <row r="19299" customFormat="1" x14ac:dyDescent="0.3"/>
    <row r="19300" customFormat="1" x14ac:dyDescent="0.3"/>
    <row r="19301" customFormat="1" x14ac:dyDescent="0.3"/>
    <row r="19302" customFormat="1" x14ac:dyDescent="0.3"/>
    <row r="19303" customFormat="1" x14ac:dyDescent="0.3"/>
    <row r="19304" customFormat="1" x14ac:dyDescent="0.3"/>
    <row r="19305" customFormat="1" x14ac:dyDescent="0.3"/>
    <row r="19306" customFormat="1" x14ac:dyDescent="0.3"/>
    <row r="19307" customFormat="1" x14ac:dyDescent="0.3"/>
    <row r="19308" customFormat="1" x14ac:dyDescent="0.3"/>
    <row r="19309" customFormat="1" x14ac:dyDescent="0.3"/>
    <row r="19310" customFormat="1" x14ac:dyDescent="0.3"/>
    <row r="19311" customFormat="1" x14ac:dyDescent="0.3"/>
    <row r="19312" customFormat="1" x14ac:dyDescent="0.3"/>
    <row r="19313" customFormat="1" x14ac:dyDescent="0.3"/>
    <row r="19314" customFormat="1" x14ac:dyDescent="0.3"/>
    <row r="19315" customFormat="1" x14ac:dyDescent="0.3"/>
    <row r="19316" customFormat="1" x14ac:dyDescent="0.3"/>
    <row r="19317" customFormat="1" x14ac:dyDescent="0.3"/>
    <row r="19318" customFormat="1" x14ac:dyDescent="0.3"/>
    <row r="19319" customFormat="1" x14ac:dyDescent="0.3"/>
    <row r="19320" customFormat="1" x14ac:dyDescent="0.3"/>
    <row r="19321" customFormat="1" x14ac:dyDescent="0.3"/>
    <row r="19322" customFormat="1" x14ac:dyDescent="0.3"/>
    <row r="19323" customFormat="1" x14ac:dyDescent="0.3"/>
    <row r="19324" customFormat="1" x14ac:dyDescent="0.3"/>
    <row r="19325" customFormat="1" x14ac:dyDescent="0.3"/>
    <row r="19326" customFormat="1" x14ac:dyDescent="0.3"/>
    <row r="19327" customFormat="1" x14ac:dyDescent="0.3"/>
    <row r="19328" customFormat="1" x14ac:dyDescent="0.3"/>
    <row r="19329" customFormat="1" x14ac:dyDescent="0.3"/>
    <row r="19330" customFormat="1" x14ac:dyDescent="0.3"/>
    <row r="19331" customFormat="1" x14ac:dyDescent="0.3"/>
    <row r="19332" customFormat="1" x14ac:dyDescent="0.3"/>
    <row r="19333" customFormat="1" x14ac:dyDescent="0.3"/>
    <row r="19334" customFormat="1" x14ac:dyDescent="0.3"/>
    <row r="19335" customFormat="1" x14ac:dyDescent="0.3"/>
    <row r="19336" customFormat="1" x14ac:dyDescent="0.3"/>
    <row r="19337" customFormat="1" x14ac:dyDescent="0.3"/>
    <row r="19338" customFormat="1" x14ac:dyDescent="0.3"/>
    <row r="19339" customFormat="1" x14ac:dyDescent="0.3"/>
    <row r="19340" customFormat="1" x14ac:dyDescent="0.3"/>
    <row r="19341" customFormat="1" x14ac:dyDescent="0.3"/>
    <row r="19342" customFormat="1" x14ac:dyDescent="0.3"/>
    <row r="19343" customFormat="1" x14ac:dyDescent="0.3"/>
    <row r="19344" customFormat="1" x14ac:dyDescent="0.3"/>
    <row r="19345" customFormat="1" x14ac:dyDescent="0.3"/>
    <row r="19346" customFormat="1" x14ac:dyDescent="0.3"/>
    <row r="19347" customFormat="1" x14ac:dyDescent="0.3"/>
    <row r="19348" customFormat="1" x14ac:dyDescent="0.3"/>
    <row r="19349" customFormat="1" x14ac:dyDescent="0.3"/>
    <row r="19350" customFormat="1" x14ac:dyDescent="0.3"/>
    <row r="19351" customFormat="1" x14ac:dyDescent="0.3"/>
    <row r="19352" customFormat="1" x14ac:dyDescent="0.3"/>
    <row r="19353" customFormat="1" x14ac:dyDescent="0.3"/>
    <row r="19354" customFormat="1" x14ac:dyDescent="0.3"/>
    <row r="19355" customFormat="1" x14ac:dyDescent="0.3"/>
    <row r="19356" customFormat="1" x14ac:dyDescent="0.3"/>
    <row r="19357" customFormat="1" x14ac:dyDescent="0.3"/>
    <row r="19358" customFormat="1" x14ac:dyDescent="0.3"/>
    <row r="19359" customFormat="1" x14ac:dyDescent="0.3"/>
    <row r="19360" customFormat="1" x14ac:dyDescent="0.3"/>
    <row r="19361" customFormat="1" x14ac:dyDescent="0.3"/>
    <row r="19362" customFormat="1" x14ac:dyDescent="0.3"/>
    <row r="19363" customFormat="1" x14ac:dyDescent="0.3"/>
    <row r="19364" customFormat="1" x14ac:dyDescent="0.3"/>
    <row r="19365" customFormat="1" x14ac:dyDescent="0.3"/>
    <row r="19366" customFormat="1" x14ac:dyDescent="0.3"/>
    <row r="19367" customFormat="1" x14ac:dyDescent="0.3"/>
    <row r="19368" customFormat="1" x14ac:dyDescent="0.3"/>
    <row r="19369" customFormat="1" x14ac:dyDescent="0.3"/>
    <row r="19370" customFormat="1" x14ac:dyDescent="0.3"/>
    <row r="19371" customFormat="1" x14ac:dyDescent="0.3"/>
    <row r="19372" customFormat="1" x14ac:dyDescent="0.3"/>
    <row r="19373" customFormat="1" x14ac:dyDescent="0.3"/>
    <row r="19374" customFormat="1" x14ac:dyDescent="0.3"/>
    <row r="19375" customFormat="1" x14ac:dyDescent="0.3"/>
    <row r="19376" customFormat="1" x14ac:dyDescent="0.3"/>
    <row r="19377" customFormat="1" x14ac:dyDescent="0.3"/>
    <row r="19378" customFormat="1" x14ac:dyDescent="0.3"/>
    <row r="19379" customFormat="1" x14ac:dyDescent="0.3"/>
    <row r="19380" customFormat="1" x14ac:dyDescent="0.3"/>
    <row r="19381" customFormat="1" x14ac:dyDescent="0.3"/>
    <row r="19382" customFormat="1" x14ac:dyDescent="0.3"/>
    <row r="19383" customFormat="1" x14ac:dyDescent="0.3"/>
    <row r="19384" customFormat="1" x14ac:dyDescent="0.3"/>
    <row r="19385" customFormat="1" x14ac:dyDescent="0.3"/>
    <row r="19386" customFormat="1" x14ac:dyDescent="0.3"/>
    <row r="19387" customFormat="1" x14ac:dyDescent="0.3"/>
    <row r="19388" customFormat="1" x14ac:dyDescent="0.3"/>
    <row r="19389" customFormat="1" x14ac:dyDescent="0.3"/>
    <row r="19390" customFormat="1" x14ac:dyDescent="0.3"/>
    <row r="19391" customFormat="1" x14ac:dyDescent="0.3"/>
    <row r="19392" customFormat="1" x14ac:dyDescent="0.3"/>
    <row r="19393" customFormat="1" x14ac:dyDescent="0.3"/>
    <row r="19394" customFormat="1" x14ac:dyDescent="0.3"/>
    <row r="19395" customFormat="1" x14ac:dyDescent="0.3"/>
    <row r="19396" customFormat="1" x14ac:dyDescent="0.3"/>
    <row r="19397" customFormat="1" x14ac:dyDescent="0.3"/>
    <row r="19398" customFormat="1" x14ac:dyDescent="0.3"/>
    <row r="19399" customFormat="1" x14ac:dyDescent="0.3"/>
    <row r="19400" customFormat="1" x14ac:dyDescent="0.3"/>
    <row r="19401" customFormat="1" x14ac:dyDescent="0.3"/>
    <row r="19402" customFormat="1" x14ac:dyDescent="0.3"/>
    <row r="19403" customFormat="1" x14ac:dyDescent="0.3"/>
    <row r="19404" customFormat="1" x14ac:dyDescent="0.3"/>
    <row r="19405" customFormat="1" x14ac:dyDescent="0.3"/>
    <row r="19406" customFormat="1" x14ac:dyDescent="0.3"/>
    <row r="19407" customFormat="1" x14ac:dyDescent="0.3"/>
    <row r="19408" customFormat="1" x14ac:dyDescent="0.3"/>
    <row r="19409" customFormat="1" x14ac:dyDescent="0.3"/>
    <row r="19410" customFormat="1" x14ac:dyDescent="0.3"/>
    <row r="19411" customFormat="1" x14ac:dyDescent="0.3"/>
    <row r="19412" customFormat="1" x14ac:dyDescent="0.3"/>
    <row r="19413" customFormat="1" x14ac:dyDescent="0.3"/>
    <row r="19414" customFormat="1" x14ac:dyDescent="0.3"/>
    <row r="19415" customFormat="1" x14ac:dyDescent="0.3"/>
    <row r="19416" customFormat="1" x14ac:dyDescent="0.3"/>
    <row r="19417" customFormat="1" x14ac:dyDescent="0.3"/>
    <row r="19418" customFormat="1" x14ac:dyDescent="0.3"/>
    <row r="19419" customFormat="1" x14ac:dyDescent="0.3"/>
    <row r="19420" customFormat="1" x14ac:dyDescent="0.3"/>
    <row r="19421" customFormat="1" x14ac:dyDescent="0.3"/>
    <row r="19422" customFormat="1" x14ac:dyDescent="0.3"/>
    <row r="19423" customFormat="1" x14ac:dyDescent="0.3"/>
    <row r="19424" customFormat="1" x14ac:dyDescent="0.3"/>
    <row r="19425" customFormat="1" x14ac:dyDescent="0.3"/>
    <row r="19426" customFormat="1" x14ac:dyDescent="0.3"/>
    <row r="19427" customFormat="1" x14ac:dyDescent="0.3"/>
    <row r="19428" customFormat="1" x14ac:dyDescent="0.3"/>
    <row r="19429" customFormat="1" x14ac:dyDescent="0.3"/>
    <row r="19430" customFormat="1" x14ac:dyDescent="0.3"/>
    <row r="19431" customFormat="1" x14ac:dyDescent="0.3"/>
    <row r="19432" customFormat="1" x14ac:dyDescent="0.3"/>
    <row r="19433" customFormat="1" x14ac:dyDescent="0.3"/>
    <row r="19434" customFormat="1" x14ac:dyDescent="0.3"/>
    <row r="19435" customFormat="1" x14ac:dyDescent="0.3"/>
    <row r="19436" customFormat="1" x14ac:dyDescent="0.3"/>
    <row r="19437" customFormat="1" x14ac:dyDescent="0.3"/>
    <row r="19438" customFormat="1" x14ac:dyDescent="0.3"/>
    <row r="19439" customFormat="1" x14ac:dyDescent="0.3"/>
    <row r="19440" customFormat="1" x14ac:dyDescent="0.3"/>
    <row r="19441" customFormat="1" x14ac:dyDescent="0.3"/>
    <row r="19442" customFormat="1" x14ac:dyDescent="0.3"/>
    <row r="19443" customFormat="1" x14ac:dyDescent="0.3"/>
    <row r="19444" customFormat="1" x14ac:dyDescent="0.3"/>
    <row r="19445" customFormat="1" x14ac:dyDescent="0.3"/>
    <row r="19446" customFormat="1" x14ac:dyDescent="0.3"/>
    <row r="19447" customFormat="1" x14ac:dyDescent="0.3"/>
    <row r="19448" customFormat="1" x14ac:dyDescent="0.3"/>
    <row r="19449" customFormat="1" x14ac:dyDescent="0.3"/>
    <row r="19450" customFormat="1" x14ac:dyDescent="0.3"/>
    <row r="19451" customFormat="1" x14ac:dyDescent="0.3"/>
    <row r="19452" customFormat="1" x14ac:dyDescent="0.3"/>
    <row r="19453" customFormat="1" x14ac:dyDescent="0.3"/>
    <row r="19454" customFormat="1" x14ac:dyDescent="0.3"/>
    <row r="19455" customFormat="1" x14ac:dyDescent="0.3"/>
    <row r="19456" customFormat="1" x14ac:dyDescent="0.3"/>
    <row r="19457" customFormat="1" x14ac:dyDescent="0.3"/>
    <row r="19458" customFormat="1" x14ac:dyDescent="0.3"/>
    <row r="19459" customFormat="1" x14ac:dyDescent="0.3"/>
    <row r="19460" customFormat="1" x14ac:dyDescent="0.3"/>
    <row r="19461" customFormat="1" x14ac:dyDescent="0.3"/>
    <row r="19462" customFormat="1" x14ac:dyDescent="0.3"/>
    <row r="19463" customFormat="1" x14ac:dyDescent="0.3"/>
    <row r="19464" customFormat="1" x14ac:dyDescent="0.3"/>
    <row r="19465" customFormat="1" x14ac:dyDescent="0.3"/>
    <row r="19466" customFormat="1" x14ac:dyDescent="0.3"/>
    <row r="19467" customFormat="1" x14ac:dyDescent="0.3"/>
    <row r="19468" customFormat="1" x14ac:dyDescent="0.3"/>
    <row r="19469" customFormat="1" x14ac:dyDescent="0.3"/>
    <row r="19470" customFormat="1" x14ac:dyDescent="0.3"/>
    <row r="19471" customFormat="1" x14ac:dyDescent="0.3"/>
    <row r="19472" customFormat="1" x14ac:dyDescent="0.3"/>
    <row r="19473" customFormat="1" x14ac:dyDescent="0.3"/>
    <row r="19474" customFormat="1" x14ac:dyDescent="0.3"/>
    <row r="19475" customFormat="1" x14ac:dyDescent="0.3"/>
    <row r="19476" customFormat="1" x14ac:dyDescent="0.3"/>
    <row r="19477" customFormat="1" x14ac:dyDescent="0.3"/>
    <row r="19478" customFormat="1" x14ac:dyDescent="0.3"/>
    <row r="19479" customFormat="1" x14ac:dyDescent="0.3"/>
    <row r="19480" customFormat="1" x14ac:dyDescent="0.3"/>
    <row r="19481" customFormat="1" x14ac:dyDescent="0.3"/>
    <row r="19482" customFormat="1" x14ac:dyDescent="0.3"/>
    <row r="19483" customFormat="1" x14ac:dyDescent="0.3"/>
    <row r="19484" customFormat="1" x14ac:dyDescent="0.3"/>
    <row r="19485" customFormat="1" x14ac:dyDescent="0.3"/>
    <row r="19486" customFormat="1" x14ac:dyDescent="0.3"/>
    <row r="19487" customFormat="1" x14ac:dyDescent="0.3"/>
    <row r="19488" customFormat="1" x14ac:dyDescent="0.3"/>
    <row r="19489" customFormat="1" x14ac:dyDescent="0.3"/>
    <row r="19490" customFormat="1" x14ac:dyDescent="0.3"/>
    <row r="19491" customFormat="1" x14ac:dyDescent="0.3"/>
    <row r="19492" customFormat="1" x14ac:dyDescent="0.3"/>
    <row r="19493" customFormat="1" x14ac:dyDescent="0.3"/>
    <row r="19494" customFormat="1" x14ac:dyDescent="0.3"/>
    <row r="19495" customFormat="1" x14ac:dyDescent="0.3"/>
    <row r="19496" customFormat="1" x14ac:dyDescent="0.3"/>
    <row r="19497" customFormat="1" x14ac:dyDescent="0.3"/>
    <row r="19498" customFormat="1" x14ac:dyDescent="0.3"/>
    <row r="19499" customFormat="1" x14ac:dyDescent="0.3"/>
    <row r="19500" customFormat="1" x14ac:dyDescent="0.3"/>
    <row r="19501" customFormat="1" x14ac:dyDescent="0.3"/>
    <row r="19502" customFormat="1" x14ac:dyDescent="0.3"/>
    <row r="19503" customFormat="1" x14ac:dyDescent="0.3"/>
    <row r="19504" customFormat="1" x14ac:dyDescent="0.3"/>
    <row r="19505" customFormat="1" x14ac:dyDescent="0.3"/>
    <row r="19506" customFormat="1" x14ac:dyDescent="0.3"/>
    <row r="19507" customFormat="1" x14ac:dyDescent="0.3"/>
    <row r="19508" customFormat="1" x14ac:dyDescent="0.3"/>
    <row r="19509" customFormat="1" x14ac:dyDescent="0.3"/>
    <row r="19510" customFormat="1" x14ac:dyDescent="0.3"/>
    <row r="19511" customFormat="1" x14ac:dyDescent="0.3"/>
    <row r="19512" customFormat="1" x14ac:dyDescent="0.3"/>
    <row r="19513" customFormat="1" x14ac:dyDescent="0.3"/>
    <row r="19514" customFormat="1" x14ac:dyDescent="0.3"/>
    <row r="19515" customFormat="1" x14ac:dyDescent="0.3"/>
    <row r="19516" customFormat="1" x14ac:dyDescent="0.3"/>
    <row r="19517" customFormat="1" x14ac:dyDescent="0.3"/>
    <row r="19518" customFormat="1" x14ac:dyDescent="0.3"/>
    <row r="19519" customFormat="1" x14ac:dyDescent="0.3"/>
    <row r="19520" customFormat="1" x14ac:dyDescent="0.3"/>
    <row r="19521" customFormat="1" x14ac:dyDescent="0.3"/>
    <row r="19522" customFormat="1" x14ac:dyDescent="0.3"/>
    <row r="19523" customFormat="1" x14ac:dyDescent="0.3"/>
    <row r="19524" customFormat="1" x14ac:dyDescent="0.3"/>
    <row r="19525" customFormat="1" x14ac:dyDescent="0.3"/>
    <row r="19526" customFormat="1" x14ac:dyDescent="0.3"/>
    <row r="19527" customFormat="1" x14ac:dyDescent="0.3"/>
    <row r="19528" customFormat="1" x14ac:dyDescent="0.3"/>
    <row r="19529" customFormat="1" x14ac:dyDescent="0.3"/>
    <row r="19530" customFormat="1" x14ac:dyDescent="0.3"/>
    <row r="19531" customFormat="1" x14ac:dyDescent="0.3"/>
    <row r="19532" customFormat="1" x14ac:dyDescent="0.3"/>
    <row r="19533" customFormat="1" x14ac:dyDescent="0.3"/>
    <row r="19534" customFormat="1" x14ac:dyDescent="0.3"/>
    <row r="19535" customFormat="1" x14ac:dyDescent="0.3"/>
    <row r="19536" customFormat="1" x14ac:dyDescent="0.3"/>
    <row r="19537" customFormat="1" x14ac:dyDescent="0.3"/>
    <row r="19538" customFormat="1" x14ac:dyDescent="0.3"/>
    <row r="19539" customFormat="1" x14ac:dyDescent="0.3"/>
    <row r="19540" customFormat="1" x14ac:dyDescent="0.3"/>
    <row r="19541" customFormat="1" x14ac:dyDescent="0.3"/>
    <row r="19542" customFormat="1" x14ac:dyDescent="0.3"/>
    <row r="19543" customFormat="1" x14ac:dyDescent="0.3"/>
    <row r="19544" customFormat="1" x14ac:dyDescent="0.3"/>
    <row r="19545" customFormat="1" x14ac:dyDescent="0.3"/>
    <row r="19546" customFormat="1" x14ac:dyDescent="0.3"/>
    <row r="19547" customFormat="1" x14ac:dyDescent="0.3"/>
    <row r="19548" customFormat="1" x14ac:dyDescent="0.3"/>
    <row r="19549" customFormat="1" x14ac:dyDescent="0.3"/>
    <row r="19550" customFormat="1" x14ac:dyDescent="0.3"/>
    <row r="19551" customFormat="1" x14ac:dyDescent="0.3"/>
    <row r="19552" customFormat="1" x14ac:dyDescent="0.3"/>
    <row r="19553" customFormat="1" x14ac:dyDescent="0.3"/>
    <row r="19554" customFormat="1" x14ac:dyDescent="0.3"/>
    <row r="19555" customFormat="1" x14ac:dyDescent="0.3"/>
    <row r="19556" customFormat="1" x14ac:dyDescent="0.3"/>
    <row r="19557" customFormat="1" x14ac:dyDescent="0.3"/>
    <row r="19558" customFormat="1" x14ac:dyDescent="0.3"/>
    <row r="19559" customFormat="1" x14ac:dyDescent="0.3"/>
    <row r="19560" customFormat="1" x14ac:dyDescent="0.3"/>
    <row r="19561" customFormat="1" x14ac:dyDescent="0.3"/>
    <row r="19562" customFormat="1" x14ac:dyDescent="0.3"/>
    <row r="19563" customFormat="1" x14ac:dyDescent="0.3"/>
    <row r="19564" customFormat="1" x14ac:dyDescent="0.3"/>
    <row r="19565" customFormat="1" x14ac:dyDescent="0.3"/>
    <row r="19566" customFormat="1" x14ac:dyDescent="0.3"/>
    <row r="19567" customFormat="1" x14ac:dyDescent="0.3"/>
    <row r="19568" customFormat="1" x14ac:dyDescent="0.3"/>
    <row r="19569" customFormat="1" x14ac:dyDescent="0.3"/>
    <row r="19570" customFormat="1" x14ac:dyDescent="0.3"/>
    <row r="19571" customFormat="1" x14ac:dyDescent="0.3"/>
    <row r="19572" customFormat="1" x14ac:dyDescent="0.3"/>
    <row r="19573" customFormat="1" x14ac:dyDescent="0.3"/>
    <row r="19574" customFormat="1" x14ac:dyDescent="0.3"/>
    <row r="19575" customFormat="1" x14ac:dyDescent="0.3"/>
    <row r="19576" customFormat="1" x14ac:dyDescent="0.3"/>
    <row r="19577" customFormat="1" x14ac:dyDescent="0.3"/>
    <row r="19578" customFormat="1" x14ac:dyDescent="0.3"/>
    <row r="19579" customFormat="1" x14ac:dyDescent="0.3"/>
    <row r="19580" customFormat="1" x14ac:dyDescent="0.3"/>
    <row r="19581" customFormat="1" x14ac:dyDescent="0.3"/>
    <row r="19582" customFormat="1" x14ac:dyDescent="0.3"/>
    <row r="19583" customFormat="1" x14ac:dyDescent="0.3"/>
    <row r="19584" customFormat="1" x14ac:dyDescent="0.3"/>
    <row r="19585" customFormat="1" x14ac:dyDescent="0.3"/>
    <row r="19586" customFormat="1" x14ac:dyDescent="0.3"/>
    <row r="19587" customFormat="1" x14ac:dyDescent="0.3"/>
    <row r="19588" customFormat="1" x14ac:dyDescent="0.3"/>
    <row r="19589" customFormat="1" x14ac:dyDescent="0.3"/>
    <row r="19590" customFormat="1" x14ac:dyDescent="0.3"/>
    <row r="19591" customFormat="1" x14ac:dyDescent="0.3"/>
    <row r="19592" customFormat="1" x14ac:dyDescent="0.3"/>
    <row r="19593" customFormat="1" x14ac:dyDescent="0.3"/>
    <row r="19594" customFormat="1" x14ac:dyDescent="0.3"/>
    <row r="19595" customFormat="1" x14ac:dyDescent="0.3"/>
    <row r="19596" customFormat="1" x14ac:dyDescent="0.3"/>
    <row r="19597" customFormat="1" x14ac:dyDescent="0.3"/>
    <row r="19598" customFormat="1" x14ac:dyDescent="0.3"/>
    <row r="19599" customFormat="1" x14ac:dyDescent="0.3"/>
    <row r="19600" customFormat="1" x14ac:dyDescent="0.3"/>
    <row r="19601" customFormat="1" x14ac:dyDescent="0.3"/>
    <row r="19602" customFormat="1" x14ac:dyDescent="0.3"/>
    <row r="19603" customFormat="1" x14ac:dyDescent="0.3"/>
    <row r="19604" customFormat="1" x14ac:dyDescent="0.3"/>
    <row r="19605" customFormat="1" x14ac:dyDescent="0.3"/>
    <row r="19606" customFormat="1" x14ac:dyDescent="0.3"/>
    <row r="19607" customFormat="1" x14ac:dyDescent="0.3"/>
    <row r="19608" customFormat="1" x14ac:dyDescent="0.3"/>
    <row r="19609" customFormat="1" x14ac:dyDescent="0.3"/>
    <row r="19610" customFormat="1" x14ac:dyDescent="0.3"/>
    <row r="19611" customFormat="1" x14ac:dyDescent="0.3"/>
    <row r="19612" customFormat="1" x14ac:dyDescent="0.3"/>
    <row r="19613" customFormat="1" x14ac:dyDescent="0.3"/>
    <row r="19614" customFormat="1" x14ac:dyDescent="0.3"/>
    <row r="19615" customFormat="1" x14ac:dyDescent="0.3"/>
    <row r="19616" customFormat="1" x14ac:dyDescent="0.3"/>
    <row r="19617" customFormat="1" x14ac:dyDescent="0.3"/>
    <row r="19618" customFormat="1" x14ac:dyDescent="0.3"/>
    <row r="19619" customFormat="1" x14ac:dyDescent="0.3"/>
    <row r="19620" customFormat="1" x14ac:dyDescent="0.3"/>
    <row r="19621" customFormat="1" x14ac:dyDescent="0.3"/>
    <row r="19622" customFormat="1" x14ac:dyDescent="0.3"/>
    <row r="19623" customFormat="1" x14ac:dyDescent="0.3"/>
    <row r="19624" customFormat="1" x14ac:dyDescent="0.3"/>
    <row r="19625" customFormat="1" x14ac:dyDescent="0.3"/>
    <row r="19626" customFormat="1" x14ac:dyDescent="0.3"/>
    <row r="19627" customFormat="1" x14ac:dyDescent="0.3"/>
    <row r="19628" customFormat="1" x14ac:dyDescent="0.3"/>
    <row r="19629" customFormat="1" x14ac:dyDescent="0.3"/>
    <row r="19630" customFormat="1" x14ac:dyDescent="0.3"/>
    <row r="19631" customFormat="1" x14ac:dyDescent="0.3"/>
    <row r="19632" customFormat="1" x14ac:dyDescent="0.3"/>
    <row r="19633" customFormat="1" x14ac:dyDescent="0.3"/>
    <row r="19634" customFormat="1" x14ac:dyDescent="0.3"/>
    <row r="19635" customFormat="1" x14ac:dyDescent="0.3"/>
    <row r="19636" customFormat="1" x14ac:dyDescent="0.3"/>
    <row r="19637" customFormat="1" x14ac:dyDescent="0.3"/>
    <row r="19638" customFormat="1" x14ac:dyDescent="0.3"/>
    <row r="19639" customFormat="1" x14ac:dyDescent="0.3"/>
    <row r="19640" customFormat="1" x14ac:dyDescent="0.3"/>
    <row r="19641" customFormat="1" x14ac:dyDescent="0.3"/>
    <row r="19642" customFormat="1" x14ac:dyDescent="0.3"/>
    <row r="19643" customFormat="1" x14ac:dyDescent="0.3"/>
    <row r="19644" customFormat="1" x14ac:dyDescent="0.3"/>
    <row r="19645" customFormat="1" x14ac:dyDescent="0.3"/>
    <row r="19646" customFormat="1" x14ac:dyDescent="0.3"/>
    <row r="19647" customFormat="1" x14ac:dyDescent="0.3"/>
    <row r="19648" customFormat="1" x14ac:dyDescent="0.3"/>
    <row r="19649" customFormat="1" x14ac:dyDescent="0.3"/>
    <row r="19650" customFormat="1" x14ac:dyDescent="0.3"/>
    <row r="19651" customFormat="1" x14ac:dyDescent="0.3"/>
    <row r="19652" customFormat="1" x14ac:dyDescent="0.3"/>
    <row r="19653" customFormat="1" x14ac:dyDescent="0.3"/>
    <row r="19654" customFormat="1" x14ac:dyDescent="0.3"/>
    <row r="19655" customFormat="1" x14ac:dyDescent="0.3"/>
    <row r="19656" customFormat="1" x14ac:dyDescent="0.3"/>
    <row r="19657" customFormat="1" x14ac:dyDescent="0.3"/>
    <row r="19658" customFormat="1" x14ac:dyDescent="0.3"/>
    <row r="19659" customFormat="1" x14ac:dyDescent="0.3"/>
    <row r="19660" customFormat="1" x14ac:dyDescent="0.3"/>
    <row r="19661" customFormat="1" x14ac:dyDescent="0.3"/>
    <row r="19662" customFormat="1" x14ac:dyDescent="0.3"/>
    <row r="19663" customFormat="1" x14ac:dyDescent="0.3"/>
    <row r="19664" customFormat="1" x14ac:dyDescent="0.3"/>
    <row r="19665" customFormat="1" x14ac:dyDescent="0.3"/>
    <row r="19666" customFormat="1" x14ac:dyDescent="0.3"/>
    <row r="19667" customFormat="1" x14ac:dyDescent="0.3"/>
    <row r="19668" customFormat="1" x14ac:dyDescent="0.3"/>
    <row r="19669" customFormat="1" x14ac:dyDescent="0.3"/>
    <row r="19670" customFormat="1" x14ac:dyDescent="0.3"/>
    <row r="19671" customFormat="1" x14ac:dyDescent="0.3"/>
    <row r="19672" customFormat="1" x14ac:dyDescent="0.3"/>
    <row r="19673" customFormat="1" x14ac:dyDescent="0.3"/>
    <row r="19674" customFormat="1" x14ac:dyDescent="0.3"/>
    <row r="19675" customFormat="1" x14ac:dyDescent="0.3"/>
    <row r="19676" customFormat="1" x14ac:dyDescent="0.3"/>
    <row r="19677" customFormat="1" x14ac:dyDescent="0.3"/>
    <row r="19678" customFormat="1" x14ac:dyDescent="0.3"/>
    <row r="19679" customFormat="1" x14ac:dyDescent="0.3"/>
    <row r="19680" customFormat="1" x14ac:dyDescent="0.3"/>
    <row r="19681" customFormat="1" x14ac:dyDescent="0.3"/>
    <row r="19682" customFormat="1" x14ac:dyDescent="0.3"/>
    <row r="19683" customFormat="1" x14ac:dyDescent="0.3"/>
    <row r="19684" customFormat="1" x14ac:dyDescent="0.3"/>
    <row r="19685" customFormat="1" x14ac:dyDescent="0.3"/>
    <row r="19686" customFormat="1" x14ac:dyDescent="0.3"/>
    <row r="19687" customFormat="1" x14ac:dyDescent="0.3"/>
    <row r="19688" customFormat="1" x14ac:dyDescent="0.3"/>
    <row r="19689" customFormat="1" x14ac:dyDescent="0.3"/>
    <row r="19690" customFormat="1" x14ac:dyDescent="0.3"/>
    <row r="19691" customFormat="1" x14ac:dyDescent="0.3"/>
    <row r="19692" customFormat="1" x14ac:dyDescent="0.3"/>
    <row r="19693" customFormat="1" x14ac:dyDescent="0.3"/>
    <row r="19694" customFormat="1" x14ac:dyDescent="0.3"/>
    <row r="19695" customFormat="1" x14ac:dyDescent="0.3"/>
    <row r="19696" customFormat="1" x14ac:dyDescent="0.3"/>
    <row r="19697" customFormat="1" x14ac:dyDescent="0.3"/>
    <row r="19698" customFormat="1" x14ac:dyDescent="0.3"/>
    <row r="19699" customFormat="1" x14ac:dyDescent="0.3"/>
    <row r="19700" customFormat="1" x14ac:dyDescent="0.3"/>
    <row r="19701" customFormat="1" x14ac:dyDescent="0.3"/>
    <row r="19702" customFormat="1" x14ac:dyDescent="0.3"/>
    <row r="19703" customFormat="1" x14ac:dyDescent="0.3"/>
    <row r="19704" customFormat="1" x14ac:dyDescent="0.3"/>
    <row r="19705" customFormat="1" x14ac:dyDescent="0.3"/>
    <row r="19706" customFormat="1" x14ac:dyDescent="0.3"/>
    <row r="19707" customFormat="1" x14ac:dyDescent="0.3"/>
    <row r="19708" customFormat="1" x14ac:dyDescent="0.3"/>
    <row r="19709" customFormat="1" x14ac:dyDescent="0.3"/>
    <row r="19710" customFormat="1" x14ac:dyDescent="0.3"/>
    <row r="19711" customFormat="1" x14ac:dyDescent="0.3"/>
    <row r="19712" customFormat="1" x14ac:dyDescent="0.3"/>
    <row r="19713" customFormat="1" x14ac:dyDescent="0.3"/>
    <row r="19714" customFormat="1" x14ac:dyDescent="0.3"/>
    <row r="19715" customFormat="1" x14ac:dyDescent="0.3"/>
    <row r="19716" customFormat="1" x14ac:dyDescent="0.3"/>
    <row r="19717" customFormat="1" x14ac:dyDescent="0.3"/>
    <row r="19718" customFormat="1" x14ac:dyDescent="0.3"/>
    <row r="19719" customFormat="1" x14ac:dyDescent="0.3"/>
    <row r="19720" customFormat="1" x14ac:dyDescent="0.3"/>
    <row r="19721" customFormat="1" x14ac:dyDescent="0.3"/>
    <row r="19722" customFormat="1" x14ac:dyDescent="0.3"/>
    <row r="19723" customFormat="1" x14ac:dyDescent="0.3"/>
    <row r="19724" customFormat="1" x14ac:dyDescent="0.3"/>
    <row r="19725" customFormat="1" x14ac:dyDescent="0.3"/>
    <row r="19726" customFormat="1" x14ac:dyDescent="0.3"/>
    <row r="19727" customFormat="1" x14ac:dyDescent="0.3"/>
    <row r="19728" customFormat="1" x14ac:dyDescent="0.3"/>
    <row r="19729" customFormat="1" x14ac:dyDescent="0.3"/>
    <row r="19730" customFormat="1" x14ac:dyDescent="0.3"/>
    <row r="19731" customFormat="1" x14ac:dyDescent="0.3"/>
    <row r="19732" customFormat="1" x14ac:dyDescent="0.3"/>
    <row r="19733" customFormat="1" x14ac:dyDescent="0.3"/>
    <row r="19734" customFormat="1" x14ac:dyDescent="0.3"/>
    <row r="19735" customFormat="1" x14ac:dyDescent="0.3"/>
    <row r="19736" customFormat="1" x14ac:dyDescent="0.3"/>
    <row r="19737" customFormat="1" x14ac:dyDescent="0.3"/>
    <row r="19738" customFormat="1" x14ac:dyDescent="0.3"/>
    <row r="19739" customFormat="1" x14ac:dyDescent="0.3"/>
    <row r="19740" customFormat="1" x14ac:dyDescent="0.3"/>
    <row r="19741" customFormat="1" x14ac:dyDescent="0.3"/>
    <row r="19742" customFormat="1" x14ac:dyDescent="0.3"/>
    <row r="19743" customFormat="1" x14ac:dyDescent="0.3"/>
    <row r="19744" customFormat="1" x14ac:dyDescent="0.3"/>
    <row r="19745" customFormat="1" x14ac:dyDescent="0.3"/>
    <row r="19746" customFormat="1" x14ac:dyDescent="0.3"/>
    <row r="19747" customFormat="1" x14ac:dyDescent="0.3"/>
    <row r="19748" customFormat="1" x14ac:dyDescent="0.3"/>
    <row r="19749" customFormat="1" x14ac:dyDescent="0.3"/>
    <row r="19750" customFormat="1" x14ac:dyDescent="0.3"/>
    <row r="19751" customFormat="1" x14ac:dyDescent="0.3"/>
    <row r="19752" customFormat="1" x14ac:dyDescent="0.3"/>
    <row r="19753" customFormat="1" x14ac:dyDescent="0.3"/>
    <row r="19754" customFormat="1" x14ac:dyDescent="0.3"/>
    <row r="19755" customFormat="1" x14ac:dyDescent="0.3"/>
    <row r="19756" customFormat="1" x14ac:dyDescent="0.3"/>
    <row r="19757" customFormat="1" x14ac:dyDescent="0.3"/>
    <row r="19758" customFormat="1" x14ac:dyDescent="0.3"/>
    <row r="19759" customFormat="1" x14ac:dyDescent="0.3"/>
    <row r="19760" customFormat="1" x14ac:dyDescent="0.3"/>
    <row r="19761" customFormat="1" x14ac:dyDescent="0.3"/>
    <row r="19762" customFormat="1" x14ac:dyDescent="0.3"/>
    <row r="19763" customFormat="1" x14ac:dyDescent="0.3"/>
    <row r="19764" customFormat="1" x14ac:dyDescent="0.3"/>
    <row r="19765" customFormat="1" x14ac:dyDescent="0.3"/>
    <row r="19766" customFormat="1" x14ac:dyDescent="0.3"/>
    <row r="19767" customFormat="1" x14ac:dyDescent="0.3"/>
    <row r="19768" customFormat="1" x14ac:dyDescent="0.3"/>
    <row r="19769" customFormat="1" x14ac:dyDescent="0.3"/>
    <row r="19770" customFormat="1" x14ac:dyDescent="0.3"/>
    <row r="19771" customFormat="1" x14ac:dyDescent="0.3"/>
    <row r="19772" customFormat="1" x14ac:dyDescent="0.3"/>
    <row r="19773" customFormat="1" x14ac:dyDescent="0.3"/>
    <row r="19774" customFormat="1" x14ac:dyDescent="0.3"/>
    <row r="19775" customFormat="1" x14ac:dyDescent="0.3"/>
    <row r="19776" customFormat="1" x14ac:dyDescent="0.3"/>
    <row r="19777" customFormat="1" x14ac:dyDescent="0.3"/>
    <row r="19778" customFormat="1" x14ac:dyDescent="0.3"/>
    <row r="19779" customFormat="1" x14ac:dyDescent="0.3"/>
    <row r="19780" customFormat="1" x14ac:dyDescent="0.3"/>
    <row r="19781" customFormat="1" x14ac:dyDescent="0.3"/>
    <row r="19782" customFormat="1" x14ac:dyDescent="0.3"/>
    <row r="19783" customFormat="1" x14ac:dyDescent="0.3"/>
    <row r="19784" customFormat="1" x14ac:dyDescent="0.3"/>
    <row r="19785" customFormat="1" x14ac:dyDescent="0.3"/>
    <row r="19786" customFormat="1" x14ac:dyDescent="0.3"/>
    <row r="19787" customFormat="1" x14ac:dyDescent="0.3"/>
    <row r="19788" customFormat="1" x14ac:dyDescent="0.3"/>
    <row r="19789" customFormat="1" x14ac:dyDescent="0.3"/>
    <row r="19790" customFormat="1" x14ac:dyDescent="0.3"/>
    <row r="19791" customFormat="1" x14ac:dyDescent="0.3"/>
    <row r="19792" customFormat="1" x14ac:dyDescent="0.3"/>
    <row r="19793" customFormat="1" x14ac:dyDescent="0.3"/>
    <row r="19794" customFormat="1" x14ac:dyDescent="0.3"/>
    <row r="19795" customFormat="1" x14ac:dyDescent="0.3"/>
    <row r="19796" customFormat="1" x14ac:dyDescent="0.3"/>
    <row r="19797" customFormat="1" x14ac:dyDescent="0.3"/>
    <row r="19798" customFormat="1" x14ac:dyDescent="0.3"/>
    <row r="19799" customFormat="1" x14ac:dyDescent="0.3"/>
    <row r="19800" customFormat="1" x14ac:dyDescent="0.3"/>
    <row r="19801" customFormat="1" x14ac:dyDescent="0.3"/>
    <row r="19802" customFormat="1" x14ac:dyDescent="0.3"/>
    <row r="19803" customFormat="1" x14ac:dyDescent="0.3"/>
    <row r="19804" customFormat="1" x14ac:dyDescent="0.3"/>
    <row r="19805" customFormat="1" x14ac:dyDescent="0.3"/>
    <row r="19806" customFormat="1" x14ac:dyDescent="0.3"/>
    <row r="19807" customFormat="1" x14ac:dyDescent="0.3"/>
    <row r="19808" customFormat="1" x14ac:dyDescent="0.3"/>
    <row r="19809" customFormat="1" x14ac:dyDescent="0.3"/>
    <row r="19810" customFormat="1" x14ac:dyDescent="0.3"/>
    <row r="19811" customFormat="1" x14ac:dyDescent="0.3"/>
    <row r="19812" customFormat="1" x14ac:dyDescent="0.3"/>
    <row r="19813" customFormat="1" x14ac:dyDescent="0.3"/>
    <row r="19814" customFormat="1" x14ac:dyDescent="0.3"/>
    <row r="19815" customFormat="1" x14ac:dyDescent="0.3"/>
    <row r="19816" customFormat="1" x14ac:dyDescent="0.3"/>
    <row r="19817" customFormat="1" x14ac:dyDescent="0.3"/>
    <row r="19818" customFormat="1" x14ac:dyDescent="0.3"/>
    <row r="19819" customFormat="1" x14ac:dyDescent="0.3"/>
    <row r="19820" customFormat="1" x14ac:dyDescent="0.3"/>
    <row r="19821" customFormat="1" x14ac:dyDescent="0.3"/>
    <row r="19822" customFormat="1" x14ac:dyDescent="0.3"/>
    <row r="19823" customFormat="1" x14ac:dyDescent="0.3"/>
    <row r="19824" customFormat="1" x14ac:dyDescent="0.3"/>
    <row r="19825" customFormat="1" x14ac:dyDescent="0.3"/>
    <row r="19826" customFormat="1" x14ac:dyDescent="0.3"/>
    <row r="19827" customFormat="1" x14ac:dyDescent="0.3"/>
    <row r="19828" customFormat="1" x14ac:dyDescent="0.3"/>
    <row r="19829" customFormat="1" x14ac:dyDescent="0.3"/>
    <row r="19830" customFormat="1" x14ac:dyDescent="0.3"/>
    <row r="19831" customFormat="1" x14ac:dyDescent="0.3"/>
    <row r="19832" customFormat="1" x14ac:dyDescent="0.3"/>
    <row r="19833" customFormat="1" x14ac:dyDescent="0.3"/>
    <row r="19834" customFormat="1" x14ac:dyDescent="0.3"/>
    <row r="19835" customFormat="1" x14ac:dyDescent="0.3"/>
    <row r="19836" customFormat="1" x14ac:dyDescent="0.3"/>
    <row r="19837" customFormat="1" x14ac:dyDescent="0.3"/>
    <row r="19838" customFormat="1" x14ac:dyDescent="0.3"/>
    <row r="19839" customFormat="1" x14ac:dyDescent="0.3"/>
    <row r="19840" customFormat="1" x14ac:dyDescent="0.3"/>
    <row r="19841" customFormat="1" x14ac:dyDescent="0.3"/>
    <row r="19842" customFormat="1" x14ac:dyDescent="0.3"/>
    <row r="19843" customFormat="1" x14ac:dyDescent="0.3"/>
    <row r="19844" customFormat="1" x14ac:dyDescent="0.3"/>
    <row r="19845" customFormat="1" x14ac:dyDescent="0.3"/>
    <row r="19846" customFormat="1" x14ac:dyDescent="0.3"/>
    <row r="19847" customFormat="1" x14ac:dyDescent="0.3"/>
    <row r="19848" customFormat="1" x14ac:dyDescent="0.3"/>
    <row r="19849" customFormat="1" x14ac:dyDescent="0.3"/>
    <row r="19850" customFormat="1" x14ac:dyDescent="0.3"/>
    <row r="19851" customFormat="1" x14ac:dyDescent="0.3"/>
    <row r="19852" customFormat="1" x14ac:dyDescent="0.3"/>
    <row r="19853" customFormat="1" x14ac:dyDescent="0.3"/>
    <row r="19854" customFormat="1" x14ac:dyDescent="0.3"/>
    <row r="19855" customFormat="1" x14ac:dyDescent="0.3"/>
    <row r="19856" customFormat="1" x14ac:dyDescent="0.3"/>
    <row r="19857" customFormat="1" x14ac:dyDescent="0.3"/>
    <row r="19858" customFormat="1" x14ac:dyDescent="0.3"/>
    <row r="19859" customFormat="1" x14ac:dyDescent="0.3"/>
    <row r="19860" customFormat="1" x14ac:dyDescent="0.3"/>
    <row r="19861" customFormat="1" x14ac:dyDescent="0.3"/>
    <row r="19862" customFormat="1" x14ac:dyDescent="0.3"/>
    <row r="19863" customFormat="1" x14ac:dyDescent="0.3"/>
    <row r="19864" customFormat="1" x14ac:dyDescent="0.3"/>
    <row r="19865" customFormat="1" x14ac:dyDescent="0.3"/>
    <row r="19866" customFormat="1" x14ac:dyDescent="0.3"/>
    <row r="19867" customFormat="1" x14ac:dyDescent="0.3"/>
    <row r="19868" customFormat="1" x14ac:dyDescent="0.3"/>
    <row r="19869" customFormat="1" x14ac:dyDescent="0.3"/>
    <row r="19870" customFormat="1" x14ac:dyDescent="0.3"/>
    <row r="19871" customFormat="1" x14ac:dyDescent="0.3"/>
    <row r="19872" customFormat="1" x14ac:dyDescent="0.3"/>
    <row r="19873" customFormat="1" x14ac:dyDescent="0.3"/>
    <row r="19874" customFormat="1" x14ac:dyDescent="0.3"/>
    <row r="19875" customFormat="1" x14ac:dyDescent="0.3"/>
    <row r="19876" customFormat="1" x14ac:dyDescent="0.3"/>
    <row r="19877" customFormat="1" x14ac:dyDescent="0.3"/>
    <row r="19878" customFormat="1" x14ac:dyDescent="0.3"/>
    <row r="19879" customFormat="1" x14ac:dyDescent="0.3"/>
    <row r="19880" customFormat="1" x14ac:dyDescent="0.3"/>
    <row r="19881" customFormat="1" x14ac:dyDescent="0.3"/>
    <row r="19882" customFormat="1" x14ac:dyDescent="0.3"/>
    <row r="19883" customFormat="1" x14ac:dyDescent="0.3"/>
    <row r="19884" customFormat="1" x14ac:dyDescent="0.3"/>
    <row r="19885" customFormat="1" x14ac:dyDescent="0.3"/>
    <row r="19886" customFormat="1" x14ac:dyDescent="0.3"/>
    <row r="19887" customFormat="1" x14ac:dyDescent="0.3"/>
    <row r="19888" customFormat="1" x14ac:dyDescent="0.3"/>
    <row r="19889" customFormat="1" x14ac:dyDescent="0.3"/>
    <row r="19890" customFormat="1" x14ac:dyDescent="0.3"/>
    <row r="19891" customFormat="1" x14ac:dyDescent="0.3"/>
    <row r="19892" customFormat="1" x14ac:dyDescent="0.3"/>
    <row r="19893" customFormat="1" x14ac:dyDescent="0.3"/>
    <row r="19894" customFormat="1" x14ac:dyDescent="0.3"/>
    <row r="19895" customFormat="1" x14ac:dyDescent="0.3"/>
    <row r="19896" customFormat="1" x14ac:dyDescent="0.3"/>
    <row r="19897" customFormat="1" x14ac:dyDescent="0.3"/>
    <row r="19898" customFormat="1" x14ac:dyDescent="0.3"/>
    <row r="19899" customFormat="1" x14ac:dyDescent="0.3"/>
    <row r="19900" customFormat="1" x14ac:dyDescent="0.3"/>
    <row r="19901" customFormat="1" x14ac:dyDescent="0.3"/>
    <row r="19902" customFormat="1" x14ac:dyDescent="0.3"/>
    <row r="19903" customFormat="1" x14ac:dyDescent="0.3"/>
    <row r="19904" customFormat="1" x14ac:dyDescent="0.3"/>
    <row r="19905" customFormat="1" x14ac:dyDescent="0.3"/>
    <row r="19906" customFormat="1" x14ac:dyDescent="0.3"/>
    <row r="19907" customFormat="1" x14ac:dyDescent="0.3"/>
    <row r="19908" customFormat="1" x14ac:dyDescent="0.3"/>
    <row r="19909" customFormat="1" x14ac:dyDescent="0.3"/>
    <row r="19910" customFormat="1" x14ac:dyDescent="0.3"/>
    <row r="19911" customFormat="1" x14ac:dyDescent="0.3"/>
    <row r="19912" customFormat="1" x14ac:dyDescent="0.3"/>
    <row r="19913" customFormat="1" x14ac:dyDescent="0.3"/>
    <row r="19914" customFormat="1" x14ac:dyDescent="0.3"/>
    <row r="19915" customFormat="1" x14ac:dyDescent="0.3"/>
    <row r="19916" customFormat="1" x14ac:dyDescent="0.3"/>
    <row r="19917" customFormat="1" x14ac:dyDescent="0.3"/>
    <row r="19918" customFormat="1" x14ac:dyDescent="0.3"/>
    <row r="19919" customFormat="1" x14ac:dyDescent="0.3"/>
    <row r="19920" customFormat="1" x14ac:dyDescent="0.3"/>
    <row r="19921" customFormat="1" x14ac:dyDescent="0.3"/>
    <row r="19922" customFormat="1" x14ac:dyDescent="0.3"/>
    <row r="19923" customFormat="1" x14ac:dyDescent="0.3"/>
    <row r="19924" customFormat="1" x14ac:dyDescent="0.3"/>
    <row r="19925" customFormat="1" x14ac:dyDescent="0.3"/>
    <row r="19926" customFormat="1" x14ac:dyDescent="0.3"/>
    <row r="19927" customFormat="1" x14ac:dyDescent="0.3"/>
    <row r="19928" customFormat="1" x14ac:dyDescent="0.3"/>
    <row r="19929" customFormat="1" x14ac:dyDescent="0.3"/>
    <row r="19930" customFormat="1" x14ac:dyDescent="0.3"/>
    <row r="19931" customFormat="1" x14ac:dyDescent="0.3"/>
    <row r="19932" customFormat="1" x14ac:dyDescent="0.3"/>
    <row r="19933" customFormat="1" x14ac:dyDescent="0.3"/>
    <row r="19934" customFormat="1" x14ac:dyDescent="0.3"/>
    <row r="19935" customFormat="1" x14ac:dyDescent="0.3"/>
    <row r="19936" customFormat="1" x14ac:dyDescent="0.3"/>
    <row r="19937" customFormat="1" x14ac:dyDescent="0.3"/>
    <row r="19938" customFormat="1" x14ac:dyDescent="0.3"/>
    <row r="19939" customFormat="1" x14ac:dyDescent="0.3"/>
    <row r="19940" customFormat="1" x14ac:dyDescent="0.3"/>
    <row r="19941" customFormat="1" x14ac:dyDescent="0.3"/>
    <row r="19942" customFormat="1" x14ac:dyDescent="0.3"/>
    <row r="19943" customFormat="1" x14ac:dyDescent="0.3"/>
    <row r="19944" customFormat="1" x14ac:dyDescent="0.3"/>
    <row r="19945" customFormat="1" x14ac:dyDescent="0.3"/>
    <row r="19946" customFormat="1" x14ac:dyDescent="0.3"/>
    <row r="19947" customFormat="1" x14ac:dyDescent="0.3"/>
    <row r="19948" customFormat="1" x14ac:dyDescent="0.3"/>
    <row r="19949" customFormat="1" x14ac:dyDescent="0.3"/>
    <row r="19950" customFormat="1" x14ac:dyDescent="0.3"/>
    <row r="19951" customFormat="1" x14ac:dyDescent="0.3"/>
    <row r="19952" customFormat="1" x14ac:dyDescent="0.3"/>
    <row r="19953" customFormat="1" x14ac:dyDescent="0.3"/>
    <row r="19954" customFormat="1" x14ac:dyDescent="0.3"/>
    <row r="19955" customFormat="1" x14ac:dyDescent="0.3"/>
    <row r="19956" customFormat="1" x14ac:dyDescent="0.3"/>
    <row r="19957" customFormat="1" x14ac:dyDescent="0.3"/>
    <row r="19958" customFormat="1" x14ac:dyDescent="0.3"/>
    <row r="19959" customFormat="1" x14ac:dyDescent="0.3"/>
    <row r="19960" customFormat="1" x14ac:dyDescent="0.3"/>
    <row r="19961" customFormat="1" x14ac:dyDescent="0.3"/>
    <row r="19962" customFormat="1" x14ac:dyDescent="0.3"/>
    <row r="19963" customFormat="1" x14ac:dyDescent="0.3"/>
    <row r="19964" customFormat="1" x14ac:dyDescent="0.3"/>
    <row r="19965" customFormat="1" x14ac:dyDescent="0.3"/>
    <row r="19966" customFormat="1" x14ac:dyDescent="0.3"/>
    <row r="19967" customFormat="1" x14ac:dyDescent="0.3"/>
    <row r="19968" customFormat="1" x14ac:dyDescent="0.3"/>
    <row r="19969" customFormat="1" x14ac:dyDescent="0.3"/>
    <row r="19970" customFormat="1" x14ac:dyDescent="0.3"/>
    <row r="19971" customFormat="1" x14ac:dyDescent="0.3"/>
    <row r="19972" customFormat="1" x14ac:dyDescent="0.3"/>
    <row r="19973" customFormat="1" x14ac:dyDescent="0.3"/>
    <row r="19974" customFormat="1" x14ac:dyDescent="0.3"/>
    <row r="19975" customFormat="1" x14ac:dyDescent="0.3"/>
    <row r="19976" customFormat="1" x14ac:dyDescent="0.3"/>
    <row r="19977" customFormat="1" x14ac:dyDescent="0.3"/>
    <row r="19978" customFormat="1" x14ac:dyDescent="0.3"/>
    <row r="19979" customFormat="1" x14ac:dyDescent="0.3"/>
    <row r="19980" customFormat="1" x14ac:dyDescent="0.3"/>
    <row r="19981" customFormat="1" x14ac:dyDescent="0.3"/>
    <row r="19982" customFormat="1" x14ac:dyDescent="0.3"/>
    <row r="19983" customFormat="1" x14ac:dyDescent="0.3"/>
    <row r="19984" customFormat="1" x14ac:dyDescent="0.3"/>
    <row r="19985" customFormat="1" x14ac:dyDescent="0.3"/>
    <row r="19986" customFormat="1" x14ac:dyDescent="0.3"/>
    <row r="19987" customFormat="1" x14ac:dyDescent="0.3"/>
    <row r="19988" customFormat="1" x14ac:dyDescent="0.3"/>
    <row r="19989" customFormat="1" x14ac:dyDescent="0.3"/>
    <row r="19990" customFormat="1" x14ac:dyDescent="0.3"/>
    <row r="19991" customFormat="1" x14ac:dyDescent="0.3"/>
    <row r="19992" customFormat="1" x14ac:dyDescent="0.3"/>
    <row r="19993" customFormat="1" x14ac:dyDescent="0.3"/>
    <row r="19994" customFormat="1" x14ac:dyDescent="0.3"/>
    <row r="19995" customFormat="1" x14ac:dyDescent="0.3"/>
    <row r="19996" customFormat="1" x14ac:dyDescent="0.3"/>
    <row r="19997" customFormat="1" x14ac:dyDescent="0.3"/>
    <row r="19998" customFormat="1" x14ac:dyDescent="0.3"/>
    <row r="19999" customFormat="1" x14ac:dyDescent="0.3"/>
    <row r="20000" customFormat="1" x14ac:dyDescent="0.3"/>
    <row r="20001" customFormat="1" x14ac:dyDescent="0.3"/>
    <row r="20002" customFormat="1" x14ac:dyDescent="0.3"/>
    <row r="20003" customFormat="1" x14ac:dyDescent="0.3"/>
    <row r="20004" customFormat="1" x14ac:dyDescent="0.3"/>
    <row r="20005" customFormat="1" x14ac:dyDescent="0.3"/>
    <row r="20006" customFormat="1" x14ac:dyDescent="0.3"/>
    <row r="20007" customFormat="1" x14ac:dyDescent="0.3"/>
    <row r="20008" customFormat="1" x14ac:dyDescent="0.3"/>
    <row r="20009" customFormat="1" x14ac:dyDescent="0.3"/>
    <row r="20010" customFormat="1" x14ac:dyDescent="0.3"/>
    <row r="20011" customFormat="1" x14ac:dyDescent="0.3"/>
    <row r="20012" customFormat="1" x14ac:dyDescent="0.3"/>
    <row r="20013" customFormat="1" x14ac:dyDescent="0.3"/>
    <row r="20014" customFormat="1" x14ac:dyDescent="0.3"/>
    <row r="20015" customFormat="1" x14ac:dyDescent="0.3"/>
    <row r="20016" customFormat="1" x14ac:dyDescent="0.3"/>
    <row r="20017" customFormat="1" x14ac:dyDescent="0.3"/>
    <row r="20018" customFormat="1" x14ac:dyDescent="0.3"/>
    <row r="20019" customFormat="1" x14ac:dyDescent="0.3"/>
    <row r="20020" customFormat="1" x14ac:dyDescent="0.3"/>
    <row r="20021" customFormat="1" x14ac:dyDescent="0.3"/>
    <row r="20022" customFormat="1" x14ac:dyDescent="0.3"/>
    <row r="20023" customFormat="1" x14ac:dyDescent="0.3"/>
    <row r="20024" customFormat="1" x14ac:dyDescent="0.3"/>
    <row r="20025" customFormat="1" x14ac:dyDescent="0.3"/>
    <row r="20026" customFormat="1" x14ac:dyDescent="0.3"/>
    <row r="20027" customFormat="1" x14ac:dyDescent="0.3"/>
    <row r="20028" customFormat="1" x14ac:dyDescent="0.3"/>
    <row r="20029" customFormat="1" x14ac:dyDescent="0.3"/>
    <row r="20030" customFormat="1" x14ac:dyDescent="0.3"/>
    <row r="20031" customFormat="1" x14ac:dyDescent="0.3"/>
    <row r="20032" customFormat="1" x14ac:dyDescent="0.3"/>
    <row r="20033" customFormat="1" x14ac:dyDescent="0.3"/>
    <row r="20034" customFormat="1" x14ac:dyDescent="0.3"/>
    <row r="20035" customFormat="1" x14ac:dyDescent="0.3"/>
    <row r="20036" customFormat="1" x14ac:dyDescent="0.3"/>
    <row r="20037" customFormat="1" x14ac:dyDescent="0.3"/>
    <row r="20038" customFormat="1" x14ac:dyDescent="0.3"/>
    <row r="20039" customFormat="1" x14ac:dyDescent="0.3"/>
    <row r="20040" customFormat="1" x14ac:dyDescent="0.3"/>
    <row r="20041" customFormat="1" x14ac:dyDescent="0.3"/>
    <row r="20042" customFormat="1" x14ac:dyDescent="0.3"/>
    <row r="20043" customFormat="1" x14ac:dyDescent="0.3"/>
    <row r="20044" customFormat="1" x14ac:dyDescent="0.3"/>
    <row r="20045" customFormat="1" x14ac:dyDescent="0.3"/>
    <row r="20046" customFormat="1" x14ac:dyDescent="0.3"/>
    <row r="20047" customFormat="1" x14ac:dyDescent="0.3"/>
    <row r="20048" customFormat="1" x14ac:dyDescent="0.3"/>
    <row r="20049" customFormat="1" x14ac:dyDescent="0.3"/>
    <row r="20050" customFormat="1" x14ac:dyDescent="0.3"/>
    <row r="20051" customFormat="1" x14ac:dyDescent="0.3"/>
    <row r="20052" customFormat="1" x14ac:dyDescent="0.3"/>
    <row r="20053" customFormat="1" x14ac:dyDescent="0.3"/>
    <row r="20054" customFormat="1" x14ac:dyDescent="0.3"/>
    <row r="20055" customFormat="1" x14ac:dyDescent="0.3"/>
    <row r="20056" customFormat="1" x14ac:dyDescent="0.3"/>
    <row r="20057" customFormat="1" x14ac:dyDescent="0.3"/>
    <row r="20058" customFormat="1" x14ac:dyDescent="0.3"/>
    <row r="20059" customFormat="1" x14ac:dyDescent="0.3"/>
    <row r="20060" customFormat="1" x14ac:dyDescent="0.3"/>
    <row r="20061" customFormat="1" x14ac:dyDescent="0.3"/>
    <row r="20062" customFormat="1" x14ac:dyDescent="0.3"/>
    <row r="20063" customFormat="1" x14ac:dyDescent="0.3"/>
    <row r="20064" customFormat="1" x14ac:dyDescent="0.3"/>
    <row r="20065" customFormat="1" x14ac:dyDescent="0.3"/>
    <row r="20066" customFormat="1" x14ac:dyDescent="0.3"/>
    <row r="20067" customFormat="1" x14ac:dyDescent="0.3"/>
    <row r="20068" customFormat="1" x14ac:dyDescent="0.3"/>
    <row r="20069" customFormat="1" x14ac:dyDescent="0.3"/>
    <row r="20070" customFormat="1" x14ac:dyDescent="0.3"/>
    <row r="20071" customFormat="1" x14ac:dyDescent="0.3"/>
    <row r="20072" customFormat="1" x14ac:dyDescent="0.3"/>
    <row r="20073" customFormat="1" x14ac:dyDescent="0.3"/>
    <row r="20074" customFormat="1" x14ac:dyDescent="0.3"/>
    <row r="20075" customFormat="1" x14ac:dyDescent="0.3"/>
    <row r="20076" customFormat="1" x14ac:dyDescent="0.3"/>
    <row r="20077" customFormat="1" x14ac:dyDescent="0.3"/>
    <row r="20078" customFormat="1" x14ac:dyDescent="0.3"/>
    <row r="20079" customFormat="1" x14ac:dyDescent="0.3"/>
    <row r="20080" customFormat="1" x14ac:dyDescent="0.3"/>
    <row r="20081" customFormat="1" x14ac:dyDescent="0.3"/>
    <row r="20082" customFormat="1" x14ac:dyDescent="0.3"/>
    <row r="20083" customFormat="1" x14ac:dyDescent="0.3"/>
    <row r="20084" customFormat="1" x14ac:dyDescent="0.3"/>
    <row r="20085" customFormat="1" x14ac:dyDescent="0.3"/>
    <row r="20086" customFormat="1" x14ac:dyDescent="0.3"/>
    <row r="20087" customFormat="1" x14ac:dyDescent="0.3"/>
    <row r="20088" customFormat="1" x14ac:dyDescent="0.3"/>
    <row r="20089" customFormat="1" x14ac:dyDescent="0.3"/>
    <row r="20090" customFormat="1" x14ac:dyDescent="0.3"/>
    <row r="20091" customFormat="1" x14ac:dyDescent="0.3"/>
    <row r="20092" customFormat="1" x14ac:dyDescent="0.3"/>
    <row r="20093" customFormat="1" x14ac:dyDescent="0.3"/>
    <row r="20094" customFormat="1" x14ac:dyDescent="0.3"/>
    <row r="20095" customFormat="1" x14ac:dyDescent="0.3"/>
    <row r="20096" customFormat="1" x14ac:dyDescent="0.3"/>
    <row r="20097" customFormat="1" x14ac:dyDescent="0.3"/>
    <row r="20098" customFormat="1" x14ac:dyDescent="0.3"/>
    <row r="20099" customFormat="1" x14ac:dyDescent="0.3"/>
    <row r="20100" customFormat="1" x14ac:dyDescent="0.3"/>
    <row r="20101" customFormat="1" x14ac:dyDescent="0.3"/>
    <row r="20102" customFormat="1" x14ac:dyDescent="0.3"/>
    <row r="20103" customFormat="1" x14ac:dyDescent="0.3"/>
    <row r="20104" customFormat="1" x14ac:dyDescent="0.3"/>
    <row r="20105" customFormat="1" x14ac:dyDescent="0.3"/>
    <row r="20106" customFormat="1" x14ac:dyDescent="0.3"/>
    <row r="20107" customFormat="1" x14ac:dyDescent="0.3"/>
    <row r="20108" customFormat="1" x14ac:dyDescent="0.3"/>
    <row r="20109" customFormat="1" x14ac:dyDescent="0.3"/>
    <row r="20110" customFormat="1" x14ac:dyDescent="0.3"/>
    <row r="20111" customFormat="1" x14ac:dyDescent="0.3"/>
    <row r="20112" customFormat="1" x14ac:dyDescent="0.3"/>
    <row r="20113" customFormat="1" x14ac:dyDescent="0.3"/>
    <row r="20114" customFormat="1" x14ac:dyDescent="0.3"/>
    <row r="20115" customFormat="1" x14ac:dyDescent="0.3"/>
    <row r="20116" customFormat="1" x14ac:dyDescent="0.3"/>
    <row r="20117" customFormat="1" x14ac:dyDescent="0.3"/>
    <row r="20118" customFormat="1" x14ac:dyDescent="0.3"/>
    <row r="20119" customFormat="1" x14ac:dyDescent="0.3"/>
    <row r="20120" customFormat="1" x14ac:dyDescent="0.3"/>
    <row r="20121" customFormat="1" x14ac:dyDescent="0.3"/>
    <row r="20122" customFormat="1" x14ac:dyDescent="0.3"/>
    <row r="20123" customFormat="1" x14ac:dyDescent="0.3"/>
    <row r="20124" customFormat="1" x14ac:dyDescent="0.3"/>
    <row r="20125" customFormat="1" x14ac:dyDescent="0.3"/>
    <row r="20126" customFormat="1" x14ac:dyDescent="0.3"/>
    <row r="20127" customFormat="1" x14ac:dyDescent="0.3"/>
    <row r="20128" customFormat="1" x14ac:dyDescent="0.3"/>
    <row r="20129" customFormat="1" x14ac:dyDescent="0.3"/>
    <row r="20130" customFormat="1" x14ac:dyDescent="0.3"/>
    <row r="20131" customFormat="1" x14ac:dyDescent="0.3"/>
    <row r="20132" customFormat="1" x14ac:dyDescent="0.3"/>
    <row r="20133" customFormat="1" x14ac:dyDescent="0.3"/>
    <row r="20134" customFormat="1" x14ac:dyDescent="0.3"/>
    <row r="20135" customFormat="1" x14ac:dyDescent="0.3"/>
    <row r="20136" customFormat="1" x14ac:dyDescent="0.3"/>
    <row r="20137" customFormat="1" x14ac:dyDescent="0.3"/>
    <row r="20138" customFormat="1" x14ac:dyDescent="0.3"/>
    <row r="20139" customFormat="1" x14ac:dyDescent="0.3"/>
    <row r="20140" customFormat="1" x14ac:dyDescent="0.3"/>
    <row r="20141" customFormat="1" x14ac:dyDescent="0.3"/>
    <row r="20142" customFormat="1" x14ac:dyDescent="0.3"/>
    <row r="20143" customFormat="1" x14ac:dyDescent="0.3"/>
    <row r="20144" customFormat="1" x14ac:dyDescent="0.3"/>
    <row r="20145" customFormat="1" x14ac:dyDescent="0.3"/>
    <row r="20146" customFormat="1" x14ac:dyDescent="0.3"/>
    <row r="20147" customFormat="1" x14ac:dyDescent="0.3"/>
    <row r="20148" customFormat="1" x14ac:dyDescent="0.3"/>
    <row r="20149" customFormat="1" x14ac:dyDescent="0.3"/>
    <row r="20150" customFormat="1" x14ac:dyDescent="0.3"/>
    <row r="20151" customFormat="1" x14ac:dyDescent="0.3"/>
    <row r="20152" customFormat="1" x14ac:dyDescent="0.3"/>
    <row r="20153" customFormat="1" x14ac:dyDescent="0.3"/>
    <row r="20154" customFormat="1" x14ac:dyDescent="0.3"/>
    <row r="20155" customFormat="1" x14ac:dyDescent="0.3"/>
    <row r="20156" customFormat="1" x14ac:dyDescent="0.3"/>
    <row r="20157" customFormat="1" x14ac:dyDescent="0.3"/>
    <row r="20158" customFormat="1" x14ac:dyDescent="0.3"/>
    <row r="20159" customFormat="1" x14ac:dyDescent="0.3"/>
    <row r="20160" customFormat="1" x14ac:dyDescent="0.3"/>
    <row r="20161" customFormat="1" x14ac:dyDescent="0.3"/>
    <row r="20162" customFormat="1" x14ac:dyDescent="0.3"/>
    <row r="20163" customFormat="1" x14ac:dyDescent="0.3"/>
    <row r="20164" customFormat="1" x14ac:dyDescent="0.3"/>
    <row r="20165" customFormat="1" x14ac:dyDescent="0.3"/>
    <row r="20166" customFormat="1" x14ac:dyDescent="0.3"/>
    <row r="20167" customFormat="1" x14ac:dyDescent="0.3"/>
    <row r="20168" customFormat="1" x14ac:dyDescent="0.3"/>
    <row r="20169" customFormat="1" x14ac:dyDescent="0.3"/>
    <row r="20170" customFormat="1" x14ac:dyDescent="0.3"/>
    <row r="20171" customFormat="1" x14ac:dyDescent="0.3"/>
    <row r="20172" customFormat="1" x14ac:dyDescent="0.3"/>
    <row r="20173" customFormat="1" x14ac:dyDescent="0.3"/>
    <row r="20174" customFormat="1" x14ac:dyDescent="0.3"/>
    <row r="20175" customFormat="1" x14ac:dyDescent="0.3"/>
    <row r="20176" customFormat="1" x14ac:dyDescent="0.3"/>
    <row r="20177" customFormat="1" x14ac:dyDescent="0.3"/>
    <row r="20178" customFormat="1" x14ac:dyDescent="0.3"/>
    <row r="20179" customFormat="1" x14ac:dyDescent="0.3"/>
    <row r="20180" customFormat="1" x14ac:dyDescent="0.3"/>
    <row r="20181" customFormat="1" x14ac:dyDescent="0.3"/>
    <row r="20182" customFormat="1" x14ac:dyDescent="0.3"/>
    <row r="20183" customFormat="1" x14ac:dyDescent="0.3"/>
    <row r="20184" customFormat="1" x14ac:dyDescent="0.3"/>
    <row r="20185" customFormat="1" x14ac:dyDescent="0.3"/>
    <row r="20186" customFormat="1" x14ac:dyDescent="0.3"/>
    <row r="20187" customFormat="1" x14ac:dyDescent="0.3"/>
    <row r="20188" customFormat="1" x14ac:dyDescent="0.3"/>
    <row r="20189" customFormat="1" x14ac:dyDescent="0.3"/>
    <row r="20190" customFormat="1" x14ac:dyDescent="0.3"/>
    <row r="20191" customFormat="1" x14ac:dyDescent="0.3"/>
    <row r="20192" customFormat="1" x14ac:dyDescent="0.3"/>
    <row r="20193" customFormat="1" x14ac:dyDescent="0.3"/>
    <row r="20194" customFormat="1" x14ac:dyDescent="0.3"/>
    <row r="20195" customFormat="1" x14ac:dyDescent="0.3"/>
    <row r="20196" customFormat="1" x14ac:dyDescent="0.3"/>
    <row r="20197" customFormat="1" x14ac:dyDescent="0.3"/>
    <row r="20198" customFormat="1" x14ac:dyDescent="0.3"/>
    <row r="20199" customFormat="1" x14ac:dyDescent="0.3"/>
    <row r="20200" customFormat="1" x14ac:dyDescent="0.3"/>
    <row r="20201" customFormat="1" x14ac:dyDescent="0.3"/>
    <row r="20202" customFormat="1" x14ac:dyDescent="0.3"/>
    <row r="20203" customFormat="1" x14ac:dyDescent="0.3"/>
    <row r="20204" customFormat="1" x14ac:dyDescent="0.3"/>
    <row r="20205" customFormat="1" x14ac:dyDescent="0.3"/>
    <row r="20206" customFormat="1" x14ac:dyDescent="0.3"/>
    <row r="20207" customFormat="1" x14ac:dyDescent="0.3"/>
    <row r="20208" customFormat="1" x14ac:dyDescent="0.3"/>
    <row r="20209" customFormat="1" x14ac:dyDescent="0.3"/>
    <row r="20210" customFormat="1" x14ac:dyDescent="0.3"/>
    <row r="20211" customFormat="1" x14ac:dyDescent="0.3"/>
    <row r="20212" customFormat="1" x14ac:dyDescent="0.3"/>
    <row r="20213" customFormat="1" x14ac:dyDescent="0.3"/>
    <row r="20214" customFormat="1" x14ac:dyDescent="0.3"/>
    <row r="20215" customFormat="1" x14ac:dyDescent="0.3"/>
    <row r="20216" customFormat="1" x14ac:dyDescent="0.3"/>
    <row r="20217" customFormat="1" x14ac:dyDescent="0.3"/>
    <row r="20218" customFormat="1" x14ac:dyDescent="0.3"/>
    <row r="20219" customFormat="1" x14ac:dyDescent="0.3"/>
    <row r="20220" customFormat="1" x14ac:dyDescent="0.3"/>
    <row r="20221" customFormat="1" x14ac:dyDescent="0.3"/>
    <row r="20222" customFormat="1" x14ac:dyDescent="0.3"/>
    <row r="20223" customFormat="1" x14ac:dyDescent="0.3"/>
    <row r="20224" customFormat="1" x14ac:dyDescent="0.3"/>
    <row r="20225" customFormat="1" x14ac:dyDescent="0.3"/>
    <row r="20226" customFormat="1" x14ac:dyDescent="0.3"/>
    <row r="20227" customFormat="1" x14ac:dyDescent="0.3"/>
    <row r="20228" customFormat="1" x14ac:dyDescent="0.3"/>
    <row r="20229" customFormat="1" x14ac:dyDescent="0.3"/>
    <row r="20230" customFormat="1" x14ac:dyDescent="0.3"/>
    <row r="20231" customFormat="1" x14ac:dyDescent="0.3"/>
    <row r="20232" customFormat="1" x14ac:dyDescent="0.3"/>
    <row r="20233" customFormat="1" x14ac:dyDescent="0.3"/>
    <row r="20234" customFormat="1" x14ac:dyDescent="0.3"/>
    <row r="20235" customFormat="1" x14ac:dyDescent="0.3"/>
    <row r="20236" customFormat="1" x14ac:dyDescent="0.3"/>
    <row r="20237" customFormat="1" x14ac:dyDescent="0.3"/>
    <row r="20238" customFormat="1" x14ac:dyDescent="0.3"/>
    <row r="20239" customFormat="1" x14ac:dyDescent="0.3"/>
    <row r="20240" customFormat="1" x14ac:dyDescent="0.3"/>
    <row r="20241" customFormat="1" x14ac:dyDescent="0.3"/>
    <row r="20242" customFormat="1" x14ac:dyDescent="0.3"/>
    <row r="20243" customFormat="1" x14ac:dyDescent="0.3"/>
    <row r="20244" customFormat="1" x14ac:dyDescent="0.3"/>
    <row r="20245" customFormat="1" x14ac:dyDescent="0.3"/>
    <row r="20246" customFormat="1" x14ac:dyDescent="0.3"/>
    <row r="20247" customFormat="1" x14ac:dyDescent="0.3"/>
    <row r="20248" customFormat="1" x14ac:dyDescent="0.3"/>
    <row r="20249" customFormat="1" x14ac:dyDescent="0.3"/>
    <row r="20250" customFormat="1" x14ac:dyDescent="0.3"/>
    <row r="20251" customFormat="1" x14ac:dyDescent="0.3"/>
    <row r="20252" customFormat="1" x14ac:dyDescent="0.3"/>
    <row r="20253" customFormat="1" x14ac:dyDescent="0.3"/>
    <row r="20254" customFormat="1" x14ac:dyDescent="0.3"/>
    <row r="20255" customFormat="1" x14ac:dyDescent="0.3"/>
    <row r="20256" customFormat="1" x14ac:dyDescent="0.3"/>
    <row r="20257" customFormat="1" x14ac:dyDescent="0.3"/>
    <row r="20258" customFormat="1" x14ac:dyDescent="0.3"/>
    <row r="20259" customFormat="1" x14ac:dyDescent="0.3"/>
    <row r="20260" customFormat="1" x14ac:dyDescent="0.3"/>
    <row r="20261" customFormat="1" x14ac:dyDescent="0.3"/>
    <row r="20262" customFormat="1" x14ac:dyDescent="0.3"/>
    <row r="20263" customFormat="1" x14ac:dyDescent="0.3"/>
    <row r="20264" customFormat="1" x14ac:dyDescent="0.3"/>
    <row r="20265" customFormat="1" x14ac:dyDescent="0.3"/>
    <row r="20266" customFormat="1" x14ac:dyDescent="0.3"/>
    <row r="20267" customFormat="1" x14ac:dyDescent="0.3"/>
    <row r="20268" customFormat="1" x14ac:dyDescent="0.3"/>
    <row r="20269" customFormat="1" x14ac:dyDescent="0.3"/>
    <row r="20270" customFormat="1" x14ac:dyDescent="0.3"/>
    <row r="20271" customFormat="1" x14ac:dyDescent="0.3"/>
    <row r="20272" customFormat="1" x14ac:dyDescent="0.3"/>
    <row r="20273" customFormat="1" x14ac:dyDescent="0.3"/>
    <row r="20274" customFormat="1" x14ac:dyDescent="0.3"/>
    <row r="20275" customFormat="1" x14ac:dyDescent="0.3"/>
    <row r="20276" customFormat="1" x14ac:dyDescent="0.3"/>
    <row r="20277" customFormat="1" x14ac:dyDescent="0.3"/>
    <row r="20278" customFormat="1" x14ac:dyDescent="0.3"/>
    <row r="20279" customFormat="1" x14ac:dyDescent="0.3"/>
    <row r="20280" customFormat="1" x14ac:dyDescent="0.3"/>
    <row r="20281" customFormat="1" x14ac:dyDescent="0.3"/>
    <row r="20282" customFormat="1" x14ac:dyDescent="0.3"/>
    <row r="20283" customFormat="1" x14ac:dyDescent="0.3"/>
    <row r="20284" customFormat="1" x14ac:dyDescent="0.3"/>
    <row r="20285" customFormat="1" x14ac:dyDescent="0.3"/>
    <row r="20286" customFormat="1" x14ac:dyDescent="0.3"/>
    <row r="20287" customFormat="1" x14ac:dyDescent="0.3"/>
    <row r="20288" customFormat="1" x14ac:dyDescent="0.3"/>
    <row r="20289" customFormat="1" x14ac:dyDescent="0.3"/>
    <row r="20290" customFormat="1" x14ac:dyDescent="0.3"/>
    <row r="20291" customFormat="1" x14ac:dyDescent="0.3"/>
    <row r="20292" customFormat="1" x14ac:dyDescent="0.3"/>
    <row r="20293" customFormat="1" x14ac:dyDescent="0.3"/>
    <row r="20294" customFormat="1" x14ac:dyDescent="0.3"/>
    <row r="20295" customFormat="1" x14ac:dyDescent="0.3"/>
    <row r="20296" customFormat="1" x14ac:dyDescent="0.3"/>
    <row r="20297" customFormat="1" x14ac:dyDescent="0.3"/>
    <row r="20298" customFormat="1" x14ac:dyDescent="0.3"/>
    <row r="20299" customFormat="1" x14ac:dyDescent="0.3"/>
    <row r="20300" customFormat="1" x14ac:dyDescent="0.3"/>
    <row r="20301" customFormat="1" x14ac:dyDescent="0.3"/>
    <row r="20302" customFormat="1" x14ac:dyDescent="0.3"/>
    <row r="20303" customFormat="1" x14ac:dyDescent="0.3"/>
    <row r="20304" customFormat="1" x14ac:dyDescent="0.3"/>
    <row r="20305" customFormat="1" x14ac:dyDescent="0.3"/>
    <row r="20306" customFormat="1" x14ac:dyDescent="0.3"/>
    <row r="20307" customFormat="1" x14ac:dyDescent="0.3"/>
    <row r="20308" customFormat="1" x14ac:dyDescent="0.3"/>
    <row r="20309" customFormat="1" x14ac:dyDescent="0.3"/>
    <row r="20310" customFormat="1" x14ac:dyDescent="0.3"/>
    <row r="20311" customFormat="1" x14ac:dyDescent="0.3"/>
    <row r="20312" customFormat="1" x14ac:dyDescent="0.3"/>
    <row r="20313" customFormat="1" x14ac:dyDescent="0.3"/>
    <row r="20314" customFormat="1" x14ac:dyDescent="0.3"/>
    <row r="20315" customFormat="1" x14ac:dyDescent="0.3"/>
    <row r="20316" customFormat="1" x14ac:dyDescent="0.3"/>
    <row r="20317" customFormat="1" x14ac:dyDescent="0.3"/>
    <row r="20318" customFormat="1" x14ac:dyDescent="0.3"/>
    <row r="20319" customFormat="1" x14ac:dyDescent="0.3"/>
    <row r="20320" customFormat="1" x14ac:dyDescent="0.3"/>
    <row r="20321" customFormat="1" x14ac:dyDescent="0.3"/>
    <row r="20322" customFormat="1" x14ac:dyDescent="0.3"/>
    <row r="20323" customFormat="1" x14ac:dyDescent="0.3"/>
    <row r="20324" customFormat="1" x14ac:dyDescent="0.3"/>
    <row r="20325" customFormat="1" x14ac:dyDescent="0.3"/>
    <row r="20326" customFormat="1" x14ac:dyDescent="0.3"/>
    <row r="20327" customFormat="1" x14ac:dyDescent="0.3"/>
    <row r="20328" customFormat="1" x14ac:dyDescent="0.3"/>
    <row r="20329" customFormat="1" x14ac:dyDescent="0.3"/>
    <row r="20330" customFormat="1" x14ac:dyDescent="0.3"/>
    <row r="20331" customFormat="1" x14ac:dyDescent="0.3"/>
    <row r="20332" customFormat="1" x14ac:dyDescent="0.3"/>
    <row r="20333" customFormat="1" x14ac:dyDescent="0.3"/>
    <row r="20334" customFormat="1" x14ac:dyDescent="0.3"/>
    <row r="20335" customFormat="1" x14ac:dyDescent="0.3"/>
    <row r="20336" customFormat="1" x14ac:dyDescent="0.3"/>
    <row r="20337" customFormat="1" x14ac:dyDescent="0.3"/>
    <row r="20338" customFormat="1" x14ac:dyDescent="0.3"/>
    <row r="20339" customFormat="1" x14ac:dyDescent="0.3"/>
    <row r="20340" customFormat="1" x14ac:dyDescent="0.3"/>
    <row r="20341" customFormat="1" x14ac:dyDescent="0.3"/>
    <row r="20342" customFormat="1" x14ac:dyDescent="0.3"/>
    <row r="20343" customFormat="1" x14ac:dyDescent="0.3"/>
    <row r="20344" customFormat="1" x14ac:dyDescent="0.3"/>
    <row r="20345" customFormat="1" x14ac:dyDescent="0.3"/>
    <row r="20346" customFormat="1" x14ac:dyDescent="0.3"/>
    <row r="20347" customFormat="1" x14ac:dyDescent="0.3"/>
    <row r="20348" customFormat="1" x14ac:dyDescent="0.3"/>
    <row r="20349" customFormat="1" x14ac:dyDescent="0.3"/>
    <row r="20350" customFormat="1" x14ac:dyDescent="0.3"/>
    <row r="20351" customFormat="1" x14ac:dyDescent="0.3"/>
    <row r="20352" customFormat="1" x14ac:dyDescent="0.3"/>
    <row r="20353" customFormat="1" x14ac:dyDescent="0.3"/>
    <row r="20354" customFormat="1" x14ac:dyDescent="0.3"/>
    <row r="20355" customFormat="1" x14ac:dyDescent="0.3"/>
    <row r="20356" customFormat="1" x14ac:dyDescent="0.3"/>
    <row r="20357" customFormat="1" x14ac:dyDescent="0.3"/>
    <row r="20358" customFormat="1" x14ac:dyDescent="0.3"/>
    <row r="20359" customFormat="1" x14ac:dyDescent="0.3"/>
    <row r="20360" customFormat="1" x14ac:dyDescent="0.3"/>
    <row r="20361" customFormat="1" x14ac:dyDescent="0.3"/>
    <row r="20362" customFormat="1" x14ac:dyDescent="0.3"/>
    <row r="20363" customFormat="1" x14ac:dyDescent="0.3"/>
    <row r="20364" customFormat="1" x14ac:dyDescent="0.3"/>
    <row r="20365" customFormat="1" x14ac:dyDescent="0.3"/>
    <row r="20366" customFormat="1" x14ac:dyDescent="0.3"/>
    <row r="20367" customFormat="1" x14ac:dyDescent="0.3"/>
    <row r="20368" customFormat="1" x14ac:dyDescent="0.3"/>
    <row r="20369" customFormat="1" x14ac:dyDescent="0.3"/>
    <row r="20370" customFormat="1" x14ac:dyDescent="0.3"/>
    <row r="20371" customFormat="1" x14ac:dyDescent="0.3"/>
    <row r="20372" customFormat="1" x14ac:dyDescent="0.3"/>
    <row r="20373" customFormat="1" x14ac:dyDescent="0.3"/>
    <row r="20374" customFormat="1" x14ac:dyDescent="0.3"/>
    <row r="20375" customFormat="1" x14ac:dyDescent="0.3"/>
    <row r="20376" customFormat="1" x14ac:dyDescent="0.3"/>
    <row r="20377" customFormat="1" x14ac:dyDescent="0.3"/>
    <row r="20378" customFormat="1" x14ac:dyDescent="0.3"/>
    <row r="20379" customFormat="1" x14ac:dyDescent="0.3"/>
    <row r="20380" customFormat="1" x14ac:dyDescent="0.3"/>
    <row r="20381" customFormat="1" x14ac:dyDescent="0.3"/>
    <row r="20382" customFormat="1" x14ac:dyDescent="0.3"/>
    <row r="20383" customFormat="1" x14ac:dyDescent="0.3"/>
    <row r="20384" customFormat="1" x14ac:dyDescent="0.3"/>
    <row r="20385" customFormat="1" x14ac:dyDescent="0.3"/>
    <row r="20386" customFormat="1" x14ac:dyDescent="0.3"/>
    <row r="20387" customFormat="1" x14ac:dyDescent="0.3"/>
    <row r="20388" customFormat="1" x14ac:dyDescent="0.3"/>
    <row r="20389" customFormat="1" x14ac:dyDescent="0.3"/>
    <row r="20390" customFormat="1" x14ac:dyDescent="0.3"/>
    <row r="20391" customFormat="1" x14ac:dyDescent="0.3"/>
    <row r="20392" customFormat="1" x14ac:dyDescent="0.3"/>
    <row r="20393" customFormat="1" x14ac:dyDescent="0.3"/>
    <row r="20394" customFormat="1" x14ac:dyDescent="0.3"/>
    <row r="20395" customFormat="1" x14ac:dyDescent="0.3"/>
    <row r="20396" customFormat="1" x14ac:dyDescent="0.3"/>
    <row r="20397" customFormat="1" x14ac:dyDescent="0.3"/>
    <row r="20398" customFormat="1" x14ac:dyDescent="0.3"/>
    <row r="20399" customFormat="1" x14ac:dyDescent="0.3"/>
    <row r="20400" customFormat="1" x14ac:dyDescent="0.3"/>
    <row r="20401" customFormat="1" x14ac:dyDescent="0.3"/>
    <row r="20402" customFormat="1" x14ac:dyDescent="0.3"/>
    <row r="20403" customFormat="1" x14ac:dyDescent="0.3"/>
    <row r="20404" customFormat="1" x14ac:dyDescent="0.3"/>
    <row r="20405" customFormat="1" x14ac:dyDescent="0.3"/>
    <row r="20406" customFormat="1" x14ac:dyDescent="0.3"/>
    <row r="20407" customFormat="1" x14ac:dyDescent="0.3"/>
    <row r="20408" customFormat="1" x14ac:dyDescent="0.3"/>
    <row r="20409" customFormat="1" x14ac:dyDescent="0.3"/>
    <row r="20410" customFormat="1" x14ac:dyDescent="0.3"/>
    <row r="20411" customFormat="1" x14ac:dyDescent="0.3"/>
    <row r="20412" customFormat="1" x14ac:dyDescent="0.3"/>
    <row r="20413" customFormat="1" x14ac:dyDescent="0.3"/>
    <row r="20414" customFormat="1" x14ac:dyDescent="0.3"/>
    <row r="20415" customFormat="1" x14ac:dyDescent="0.3"/>
    <row r="20416" customFormat="1" x14ac:dyDescent="0.3"/>
    <row r="20417" customFormat="1" x14ac:dyDescent="0.3"/>
    <row r="20418" customFormat="1" x14ac:dyDescent="0.3"/>
    <row r="20419" customFormat="1" x14ac:dyDescent="0.3"/>
    <row r="20420" customFormat="1" x14ac:dyDescent="0.3"/>
    <row r="20421" customFormat="1" x14ac:dyDescent="0.3"/>
    <row r="20422" customFormat="1" x14ac:dyDescent="0.3"/>
    <row r="20423" customFormat="1" x14ac:dyDescent="0.3"/>
    <row r="20424" customFormat="1" x14ac:dyDescent="0.3"/>
    <row r="20425" customFormat="1" x14ac:dyDescent="0.3"/>
    <row r="20426" customFormat="1" x14ac:dyDescent="0.3"/>
    <row r="20427" customFormat="1" x14ac:dyDescent="0.3"/>
    <row r="20428" customFormat="1" x14ac:dyDescent="0.3"/>
    <row r="20429" customFormat="1" x14ac:dyDescent="0.3"/>
    <row r="20430" customFormat="1" x14ac:dyDescent="0.3"/>
    <row r="20431" customFormat="1" x14ac:dyDescent="0.3"/>
    <row r="20432" customFormat="1" x14ac:dyDescent="0.3"/>
    <row r="20433" customFormat="1" x14ac:dyDescent="0.3"/>
    <row r="20434" customFormat="1" x14ac:dyDescent="0.3"/>
    <row r="20435" customFormat="1" x14ac:dyDescent="0.3"/>
    <row r="20436" customFormat="1" x14ac:dyDescent="0.3"/>
    <row r="20437" customFormat="1" x14ac:dyDescent="0.3"/>
    <row r="20438" customFormat="1" x14ac:dyDescent="0.3"/>
    <row r="20439" customFormat="1" x14ac:dyDescent="0.3"/>
    <row r="20440" customFormat="1" x14ac:dyDescent="0.3"/>
    <row r="20441" customFormat="1" x14ac:dyDescent="0.3"/>
    <row r="20442" customFormat="1" x14ac:dyDescent="0.3"/>
    <row r="20443" customFormat="1" x14ac:dyDescent="0.3"/>
    <row r="20444" customFormat="1" x14ac:dyDescent="0.3"/>
    <row r="20445" customFormat="1" x14ac:dyDescent="0.3"/>
    <row r="20446" customFormat="1" x14ac:dyDescent="0.3"/>
    <row r="20447" customFormat="1" x14ac:dyDescent="0.3"/>
    <row r="20448" customFormat="1" x14ac:dyDescent="0.3"/>
    <row r="20449" customFormat="1" x14ac:dyDescent="0.3"/>
    <row r="20450" customFormat="1" x14ac:dyDescent="0.3"/>
    <row r="20451" customFormat="1" x14ac:dyDescent="0.3"/>
    <row r="20452" customFormat="1" x14ac:dyDescent="0.3"/>
    <row r="20453" customFormat="1" x14ac:dyDescent="0.3"/>
    <row r="20454" customFormat="1" x14ac:dyDescent="0.3"/>
    <row r="20455" customFormat="1" x14ac:dyDescent="0.3"/>
    <row r="20456" customFormat="1" x14ac:dyDescent="0.3"/>
    <row r="20457" customFormat="1" x14ac:dyDescent="0.3"/>
    <row r="20458" customFormat="1" x14ac:dyDescent="0.3"/>
    <row r="20459" customFormat="1" x14ac:dyDescent="0.3"/>
    <row r="20460" customFormat="1" x14ac:dyDescent="0.3"/>
    <row r="20461" customFormat="1" x14ac:dyDescent="0.3"/>
    <row r="20462" customFormat="1" x14ac:dyDescent="0.3"/>
    <row r="20463" customFormat="1" x14ac:dyDescent="0.3"/>
    <row r="20464" customFormat="1" x14ac:dyDescent="0.3"/>
    <row r="20465" customFormat="1" x14ac:dyDescent="0.3"/>
    <row r="20466" customFormat="1" x14ac:dyDescent="0.3"/>
    <row r="20467" customFormat="1" x14ac:dyDescent="0.3"/>
    <row r="20468" customFormat="1" x14ac:dyDescent="0.3"/>
    <row r="20469" customFormat="1" x14ac:dyDescent="0.3"/>
    <row r="20470" customFormat="1" x14ac:dyDescent="0.3"/>
    <row r="20471" customFormat="1" x14ac:dyDescent="0.3"/>
    <row r="20472" customFormat="1" x14ac:dyDescent="0.3"/>
    <row r="20473" customFormat="1" x14ac:dyDescent="0.3"/>
    <row r="20474" customFormat="1" x14ac:dyDescent="0.3"/>
    <row r="20475" customFormat="1" x14ac:dyDescent="0.3"/>
    <row r="20476" customFormat="1" x14ac:dyDescent="0.3"/>
    <row r="20477" customFormat="1" x14ac:dyDescent="0.3"/>
    <row r="20478" customFormat="1" x14ac:dyDescent="0.3"/>
    <row r="20479" customFormat="1" x14ac:dyDescent="0.3"/>
    <row r="20480" customFormat="1" x14ac:dyDescent="0.3"/>
    <row r="20481" customFormat="1" x14ac:dyDescent="0.3"/>
    <row r="20482" customFormat="1" x14ac:dyDescent="0.3"/>
    <row r="20483" customFormat="1" x14ac:dyDescent="0.3"/>
    <row r="20484" customFormat="1" x14ac:dyDescent="0.3"/>
    <row r="20485" customFormat="1" x14ac:dyDescent="0.3"/>
    <row r="20486" customFormat="1" x14ac:dyDescent="0.3"/>
    <row r="20487" customFormat="1" x14ac:dyDescent="0.3"/>
    <row r="20488" customFormat="1" x14ac:dyDescent="0.3"/>
    <row r="20489" customFormat="1" x14ac:dyDescent="0.3"/>
    <row r="20490" customFormat="1" x14ac:dyDescent="0.3"/>
    <row r="20491" customFormat="1" x14ac:dyDescent="0.3"/>
    <row r="20492" customFormat="1" x14ac:dyDescent="0.3"/>
    <row r="20493" customFormat="1" x14ac:dyDescent="0.3"/>
    <row r="20494" customFormat="1" x14ac:dyDescent="0.3"/>
    <row r="20495" customFormat="1" x14ac:dyDescent="0.3"/>
    <row r="20496" customFormat="1" x14ac:dyDescent="0.3"/>
    <row r="20497" customFormat="1" x14ac:dyDescent="0.3"/>
    <row r="20498" customFormat="1" x14ac:dyDescent="0.3"/>
    <row r="20499" customFormat="1" x14ac:dyDescent="0.3"/>
    <row r="20500" customFormat="1" x14ac:dyDescent="0.3"/>
    <row r="20501" customFormat="1" x14ac:dyDescent="0.3"/>
    <row r="20502" customFormat="1" x14ac:dyDescent="0.3"/>
    <row r="20503" customFormat="1" x14ac:dyDescent="0.3"/>
    <row r="20504" customFormat="1" x14ac:dyDescent="0.3"/>
    <row r="20505" customFormat="1" x14ac:dyDescent="0.3"/>
    <row r="20506" customFormat="1" x14ac:dyDescent="0.3"/>
    <row r="20507" customFormat="1" x14ac:dyDescent="0.3"/>
    <row r="20508" customFormat="1" x14ac:dyDescent="0.3"/>
    <row r="20509" customFormat="1" x14ac:dyDescent="0.3"/>
    <row r="20510" customFormat="1" x14ac:dyDescent="0.3"/>
    <row r="20511" customFormat="1" x14ac:dyDescent="0.3"/>
    <row r="20512" customFormat="1" x14ac:dyDescent="0.3"/>
    <row r="20513" customFormat="1" x14ac:dyDescent="0.3"/>
    <row r="20514" customFormat="1" x14ac:dyDescent="0.3"/>
    <row r="20515" customFormat="1" x14ac:dyDescent="0.3"/>
    <row r="20516" customFormat="1" x14ac:dyDescent="0.3"/>
    <row r="20517" customFormat="1" x14ac:dyDescent="0.3"/>
    <row r="20518" customFormat="1" x14ac:dyDescent="0.3"/>
    <row r="20519" customFormat="1" x14ac:dyDescent="0.3"/>
    <row r="20520" customFormat="1" x14ac:dyDescent="0.3"/>
    <row r="20521" customFormat="1" x14ac:dyDescent="0.3"/>
    <row r="20522" customFormat="1" x14ac:dyDescent="0.3"/>
    <row r="20523" customFormat="1" x14ac:dyDescent="0.3"/>
    <row r="20524" customFormat="1" x14ac:dyDescent="0.3"/>
    <row r="20525" customFormat="1" x14ac:dyDescent="0.3"/>
    <row r="20526" customFormat="1" x14ac:dyDescent="0.3"/>
    <row r="20527" customFormat="1" x14ac:dyDescent="0.3"/>
    <row r="20528" customFormat="1" x14ac:dyDescent="0.3"/>
    <row r="20529" customFormat="1" x14ac:dyDescent="0.3"/>
    <row r="20530" customFormat="1" x14ac:dyDescent="0.3"/>
    <row r="20531" customFormat="1" x14ac:dyDescent="0.3"/>
    <row r="20532" customFormat="1" x14ac:dyDescent="0.3"/>
    <row r="20533" customFormat="1" x14ac:dyDescent="0.3"/>
    <row r="20534" customFormat="1" x14ac:dyDescent="0.3"/>
    <row r="20535" customFormat="1" x14ac:dyDescent="0.3"/>
    <row r="20536" customFormat="1" x14ac:dyDescent="0.3"/>
    <row r="20537" customFormat="1" x14ac:dyDescent="0.3"/>
    <row r="20538" customFormat="1" x14ac:dyDescent="0.3"/>
    <row r="20539" customFormat="1" x14ac:dyDescent="0.3"/>
    <row r="20540" customFormat="1" x14ac:dyDescent="0.3"/>
    <row r="20541" customFormat="1" x14ac:dyDescent="0.3"/>
    <row r="20542" customFormat="1" x14ac:dyDescent="0.3"/>
    <row r="20543" customFormat="1" x14ac:dyDescent="0.3"/>
    <row r="20544" customFormat="1" x14ac:dyDescent="0.3"/>
    <row r="20545" customFormat="1" x14ac:dyDescent="0.3"/>
    <row r="20546" customFormat="1" x14ac:dyDescent="0.3"/>
    <row r="20547" customFormat="1" x14ac:dyDescent="0.3"/>
    <row r="20548" customFormat="1" x14ac:dyDescent="0.3"/>
    <row r="20549" customFormat="1" x14ac:dyDescent="0.3"/>
    <row r="20550" customFormat="1" x14ac:dyDescent="0.3"/>
    <row r="20551" customFormat="1" x14ac:dyDescent="0.3"/>
    <row r="20552" customFormat="1" x14ac:dyDescent="0.3"/>
    <row r="20553" customFormat="1" x14ac:dyDescent="0.3"/>
    <row r="20554" customFormat="1" x14ac:dyDescent="0.3"/>
    <row r="20555" customFormat="1" x14ac:dyDescent="0.3"/>
    <row r="20556" customFormat="1" x14ac:dyDescent="0.3"/>
    <row r="20557" customFormat="1" x14ac:dyDescent="0.3"/>
    <row r="20558" customFormat="1" x14ac:dyDescent="0.3"/>
    <row r="20559" customFormat="1" x14ac:dyDescent="0.3"/>
    <row r="20560" customFormat="1" x14ac:dyDescent="0.3"/>
    <row r="20561" customFormat="1" x14ac:dyDescent="0.3"/>
    <row r="20562" customFormat="1" x14ac:dyDescent="0.3"/>
    <row r="20563" customFormat="1" x14ac:dyDescent="0.3"/>
    <row r="20564" customFormat="1" x14ac:dyDescent="0.3"/>
    <row r="20565" customFormat="1" x14ac:dyDescent="0.3"/>
    <row r="20566" customFormat="1" x14ac:dyDescent="0.3"/>
    <row r="20567" customFormat="1" x14ac:dyDescent="0.3"/>
    <row r="20568" customFormat="1" x14ac:dyDescent="0.3"/>
    <row r="20569" customFormat="1" x14ac:dyDescent="0.3"/>
    <row r="20570" customFormat="1" x14ac:dyDescent="0.3"/>
    <row r="20571" customFormat="1" x14ac:dyDescent="0.3"/>
    <row r="20572" customFormat="1" x14ac:dyDescent="0.3"/>
    <row r="20573" customFormat="1" x14ac:dyDescent="0.3"/>
    <row r="20574" customFormat="1" x14ac:dyDescent="0.3"/>
    <row r="20575" customFormat="1" x14ac:dyDescent="0.3"/>
    <row r="20576" customFormat="1" x14ac:dyDescent="0.3"/>
    <row r="20577" customFormat="1" x14ac:dyDescent="0.3"/>
    <row r="20578" customFormat="1" x14ac:dyDescent="0.3"/>
    <row r="20579" customFormat="1" x14ac:dyDescent="0.3"/>
    <row r="20580" customFormat="1" x14ac:dyDescent="0.3"/>
    <row r="20581" customFormat="1" x14ac:dyDescent="0.3"/>
    <row r="20582" customFormat="1" x14ac:dyDescent="0.3"/>
    <row r="20583" customFormat="1" x14ac:dyDescent="0.3"/>
    <row r="20584" customFormat="1" x14ac:dyDescent="0.3"/>
    <row r="20585" customFormat="1" x14ac:dyDescent="0.3"/>
    <row r="20586" customFormat="1" x14ac:dyDescent="0.3"/>
    <row r="20587" customFormat="1" x14ac:dyDescent="0.3"/>
    <row r="20588" customFormat="1" x14ac:dyDescent="0.3"/>
    <row r="20589" customFormat="1" x14ac:dyDescent="0.3"/>
    <row r="20590" customFormat="1" x14ac:dyDescent="0.3"/>
    <row r="20591" customFormat="1" x14ac:dyDescent="0.3"/>
    <row r="20592" customFormat="1" x14ac:dyDescent="0.3"/>
    <row r="20593" customFormat="1" x14ac:dyDescent="0.3"/>
    <row r="20594" customFormat="1" x14ac:dyDescent="0.3"/>
    <row r="20595" customFormat="1" x14ac:dyDescent="0.3"/>
    <row r="20596" customFormat="1" x14ac:dyDescent="0.3"/>
    <row r="20597" customFormat="1" x14ac:dyDescent="0.3"/>
    <row r="20598" customFormat="1" x14ac:dyDescent="0.3"/>
    <row r="20599" customFormat="1" x14ac:dyDescent="0.3"/>
    <row r="20600" customFormat="1" x14ac:dyDescent="0.3"/>
    <row r="20601" customFormat="1" x14ac:dyDescent="0.3"/>
    <row r="20602" customFormat="1" x14ac:dyDescent="0.3"/>
    <row r="20603" customFormat="1" x14ac:dyDescent="0.3"/>
    <row r="20604" customFormat="1" x14ac:dyDescent="0.3"/>
    <row r="20605" customFormat="1" x14ac:dyDescent="0.3"/>
    <row r="20606" customFormat="1" x14ac:dyDescent="0.3"/>
    <row r="20607" customFormat="1" x14ac:dyDescent="0.3"/>
    <row r="20608" customFormat="1" x14ac:dyDescent="0.3"/>
    <row r="20609" customFormat="1" x14ac:dyDescent="0.3"/>
    <row r="20610" customFormat="1" x14ac:dyDescent="0.3"/>
    <row r="20611" customFormat="1" x14ac:dyDescent="0.3"/>
    <row r="20612" customFormat="1" x14ac:dyDescent="0.3"/>
    <row r="20613" customFormat="1" x14ac:dyDescent="0.3"/>
    <row r="20614" customFormat="1" x14ac:dyDescent="0.3"/>
    <row r="20615" customFormat="1" x14ac:dyDescent="0.3"/>
    <row r="20616" customFormat="1" x14ac:dyDescent="0.3"/>
    <row r="20617" customFormat="1" x14ac:dyDescent="0.3"/>
    <row r="20618" customFormat="1" x14ac:dyDescent="0.3"/>
    <row r="20619" customFormat="1" x14ac:dyDescent="0.3"/>
    <row r="20620" customFormat="1" x14ac:dyDescent="0.3"/>
    <row r="20621" customFormat="1" x14ac:dyDescent="0.3"/>
    <row r="20622" customFormat="1" x14ac:dyDescent="0.3"/>
    <row r="20623" customFormat="1" x14ac:dyDescent="0.3"/>
    <row r="20624" customFormat="1" x14ac:dyDescent="0.3"/>
    <row r="20625" customFormat="1" x14ac:dyDescent="0.3"/>
    <row r="20626" customFormat="1" x14ac:dyDescent="0.3"/>
    <row r="20627" customFormat="1" x14ac:dyDescent="0.3"/>
    <row r="20628" customFormat="1" x14ac:dyDescent="0.3"/>
    <row r="20629" customFormat="1" x14ac:dyDescent="0.3"/>
    <row r="20630" customFormat="1" x14ac:dyDescent="0.3"/>
    <row r="20631" customFormat="1" x14ac:dyDescent="0.3"/>
    <row r="20632" customFormat="1" x14ac:dyDescent="0.3"/>
    <row r="20633" customFormat="1" x14ac:dyDescent="0.3"/>
    <row r="20634" customFormat="1" x14ac:dyDescent="0.3"/>
    <row r="20635" customFormat="1" x14ac:dyDescent="0.3"/>
    <row r="20636" customFormat="1" x14ac:dyDescent="0.3"/>
    <row r="20637" customFormat="1" x14ac:dyDescent="0.3"/>
    <row r="20638" customFormat="1" x14ac:dyDescent="0.3"/>
    <row r="20639" customFormat="1" x14ac:dyDescent="0.3"/>
    <row r="20640" customFormat="1" x14ac:dyDescent="0.3"/>
    <row r="20641" customFormat="1" x14ac:dyDescent="0.3"/>
    <row r="20642" customFormat="1" x14ac:dyDescent="0.3"/>
    <row r="20643" customFormat="1" x14ac:dyDescent="0.3"/>
    <row r="20644" customFormat="1" x14ac:dyDescent="0.3"/>
    <row r="20645" customFormat="1" x14ac:dyDescent="0.3"/>
    <row r="20646" customFormat="1" x14ac:dyDescent="0.3"/>
    <row r="20647" customFormat="1" x14ac:dyDescent="0.3"/>
    <row r="20648" customFormat="1" x14ac:dyDescent="0.3"/>
    <row r="20649" customFormat="1" x14ac:dyDescent="0.3"/>
    <row r="20650" customFormat="1" x14ac:dyDescent="0.3"/>
    <row r="20651" customFormat="1" x14ac:dyDescent="0.3"/>
    <row r="20652" customFormat="1" x14ac:dyDescent="0.3"/>
    <row r="20653" customFormat="1" x14ac:dyDescent="0.3"/>
    <row r="20654" customFormat="1" x14ac:dyDescent="0.3"/>
    <row r="20655" customFormat="1" x14ac:dyDescent="0.3"/>
    <row r="20656" customFormat="1" x14ac:dyDescent="0.3"/>
    <row r="20657" customFormat="1" x14ac:dyDescent="0.3"/>
    <row r="20658" customFormat="1" x14ac:dyDescent="0.3"/>
    <row r="20659" customFormat="1" x14ac:dyDescent="0.3"/>
    <row r="20660" customFormat="1" x14ac:dyDescent="0.3"/>
    <row r="20661" customFormat="1" x14ac:dyDescent="0.3"/>
    <row r="20662" customFormat="1" x14ac:dyDescent="0.3"/>
    <row r="20663" customFormat="1" x14ac:dyDescent="0.3"/>
    <row r="20664" customFormat="1" x14ac:dyDescent="0.3"/>
    <row r="20665" customFormat="1" x14ac:dyDescent="0.3"/>
    <row r="20666" customFormat="1" x14ac:dyDescent="0.3"/>
    <row r="20667" customFormat="1" x14ac:dyDescent="0.3"/>
    <row r="20668" customFormat="1" x14ac:dyDescent="0.3"/>
    <row r="20669" customFormat="1" x14ac:dyDescent="0.3"/>
    <row r="20670" customFormat="1" x14ac:dyDescent="0.3"/>
    <row r="20671" customFormat="1" x14ac:dyDescent="0.3"/>
    <row r="20672" customFormat="1" x14ac:dyDescent="0.3"/>
    <row r="20673" customFormat="1" x14ac:dyDescent="0.3"/>
    <row r="20674" customFormat="1" x14ac:dyDescent="0.3"/>
    <row r="20675" customFormat="1" x14ac:dyDescent="0.3"/>
    <row r="20676" customFormat="1" x14ac:dyDescent="0.3"/>
    <row r="20677" customFormat="1" x14ac:dyDescent="0.3"/>
    <row r="20678" customFormat="1" x14ac:dyDescent="0.3"/>
    <row r="20679" customFormat="1" x14ac:dyDescent="0.3"/>
    <row r="20680" customFormat="1" x14ac:dyDescent="0.3"/>
    <row r="20681" customFormat="1" x14ac:dyDescent="0.3"/>
    <row r="20682" customFormat="1" x14ac:dyDescent="0.3"/>
    <row r="20683" customFormat="1" x14ac:dyDescent="0.3"/>
    <row r="20684" customFormat="1" x14ac:dyDescent="0.3"/>
    <row r="20685" customFormat="1" x14ac:dyDescent="0.3"/>
    <row r="20686" customFormat="1" x14ac:dyDescent="0.3"/>
    <row r="20687" customFormat="1" x14ac:dyDescent="0.3"/>
    <row r="20688" customFormat="1" x14ac:dyDescent="0.3"/>
    <row r="20689" customFormat="1" x14ac:dyDescent="0.3"/>
    <row r="20690" customFormat="1" x14ac:dyDescent="0.3"/>
    <row r="20691" customFormat="1" x14ac:dyDescent="0.3"/>
    <row r="20692" customFormat="1" x14ac:dyDescent="0.3"/>
    <row r="20693" customFormat="1" x14ac:dyDescent="0.3"/>
    <row r="20694" customFormat="1" x14ac:dyDescent="0.3"/>
    <row r="20695" customFormat="1" x14ac:dyDescent="0.3"/>
    <row r="20696" customFormat="1" x14ac:dyDescent="0.3"/>
    <row r="20697" customFormat="1" x14ac:dyDescent="0.3"/>
    <row r="20698" customFormat="1" x14ac:dyDescent="0.3"/>
    <row r="20699" customFormat="1" x14ac:dyDescent="0.3"/>
    <row r="20700" customFormat="1" x14ac:dyDescent="0.3"/>
    <row r="20701" customFormat="1" x14ac:dyDescent="0.3"/>
    <row r="20702" customFormat="1" x14ac:dyDescent="0.3"/>
    <row r="20703" customFormat="1" x14ac:dyDescent="0.3"/>
    <row r="20704" customFormat="1" x14ac:dyDescent="0.3"/>
    <row r="20705" customFormat="1" x14ac:dyDescent="0.3"/>
    <row r="20706" customFormat="1" x14ac:dyDescent="0.3"/>
    <row r="20707" customFormat="1" x14ac:dyDescent="0.3"/>
    <row r="20708" customFormat="1" x14ac:dyDescent="0.3"/>
    <row r="20709" customFormat="1" x14ac:dyDescent="0.3"/>
    <row r="20710" customFormat="1" x14ac:dyDescent="0.3"/>
    <row r="20711" customFormat="1" x14ac:dyDescent="0.3"/>
    <row r="20712" customFormat="1" x14ac:dyDescent="0.3"/>
    <row r="20713" customFormat="1" x14ac:dyDescent="0.3"/>
    <row r="20714" customFormat="1" x14ac:dyDescent="0.3"/>
    <row r="20715" customFormat="1" x14ac:dyDescent="0.3"/>
    <row r="20716" customFormat="1" x14ac:dyDescent="0.3"/>
    <row r="20717" customFormat="1" x14ac:dyDescent="0.3"/>
    <row r="20718" customFormat="1" x14ac:dyDescent="0.3"/>
    <row r="20719" customFormat="1" x14ac:dyDescent="0.3"/>
    <row r="20720" customFormat="1" x14ac:dyDescent="0.3"/>
    <row r="20721" customFormat="1" x14ac:dyDescent="0.3"/>
    <row r="20722" customFormat="1" x14ac:dyDescent="0.3"/>
    <row r="20723" customFormat="1" x14ac:dyDescent="0.3"/>
    <row r="20724" customFormat="1" x14ac:dyDescent="0.3"/>
    <row r="20725" customFormat="1" x14ac:dyDescent="0.3"/>
    <row r="20726" customFormat="1" x14ac:dyDescent="0.3"/>
    <row r="20727" customFormat="1" x14ac:dyDescent="0.3"/>
    <row r="20728" customFormat="1" x14ac:dyDescent="0.3"/>
    <row r="20729" customFormat="1" x14ac:dyDescent="0.3"/>
    <row r="20730" customFormat="1" x14ac:dyDescent="0.3"/>
    <row r="20731" customFormat="1" x14ac:dyDescent="0.3"/>
    <row r="20732" customFormat="1" x14ac:dyDescent="0.3"/>
    <row r="20733" customFormat="1" x14ac:dyDescent="0.3"/>
    <row r="20734" customFormat="1" x14ac:dyDescent="0.3"/>
    <row r="20735" customFormat="1" x14ac:dyDescent="0.3"/>
    <row r="20736" customFormat="1" x14ac:dyDescent="0.3"/>
    <row r="20737" customFormat="1" x14ac:dyDescent="0.3"/>
    <row r="20738" customFormat="1" x14ac:dyDescent="0.3"/>
    <row r="20739" customFormat="1" x14ac:dyDescent="0.3"/>
    <row r="20740" customFormat="1" x14ac:dyDescent="0.3"/>
    <row r="20741" customFormat="1" x14ac:dyDescent="0.3"/>
    <row r="20742" customFormat="1" x14ac:dyDescent="0.3"/>
    <row r="20743" customFormat="1" x14ac:dyDescent="0.3"/>
    <row r="20744" customFormat="1" x14ac:dyDescent="0.3"/>
    <row r="20745" customFormat="1" x14ac:dyDescent="0.3"/>
    <row r="20746" customFormat="1" x14ac:dyDescent="0.3"/>
    <row r="20747" customFormat="1" x14ac:dyDescent="0.3"/>
    <row r="20748" customFormat="1" x14ac:dyDescent="0.3"/>
    <row r="20749" customFormat="1" x14ac:dyDescent="0.3"/>
    <row r="20750" customFormat="1" x14ac:dyDescent="0.3"/>
    <row r="20751" customFormat="1" x14ac:dyDescent="0.3"/>
    <row r="20752" customFormat="1" x14ac:dyDescent="0.3"/>
    <row r="20753" customFormat="1" x14ac:dyDescent="0.3"/>
    <row r="20754" customFormat="1" x14ac:dyDescent="0.3"/>
    <row r="20755" customFormat="1" x14ac:dyDescent="0.3"/>
    <row r="20756" customFormat="1" x14ac:dyDescent="0.3"/>
    <row r="20757" customFormat="1" x14ac:dyDescent="0.3"/>
    <row r="20758" customFormat="1" x14ac:dyDescent="0.3"/>
    <row r="20759" customFormat="1" x14ac:dyDescent="0.3"/>
    <row r="20760" customFormat="1" x14ac:dyDescent="0.3"/>
    <row r="20761" customFormat="1" x14ac:dyDescent="0.3"/>
    <row r="20762" customFormat="1" x14ac:dyDescent="0.3"/>
    <row r="20763" customFormat="1" x14ac:dyDescent="0.3"/>
    <row r="20764" customFormat="1" x14ac:dyDescent="0.3"/>
    <row r="20765" customFormat="1" x14ac:dyDescent="0.3"/>
    <row r="20766" customFormat="1" x14ac:dyDescent="0.3"/>
    <row r="20767" customFormat="1" x14ac:dyDescent="0.3"/>
    <row r="20768" customFormat="1" x14ac:dyDescent="0.3"/>
    <row r="20769" customFormat="1" x14ac:dyDescent="0.3"/>
    <row r="20770" customFormat="1" x14ac:dyDescent="0.3"/>
    <row r="20771" customFormat="1" x14ac:dyDescent="0.3"/>
    <row r="20772" customFormat="1" x14ac:dyDescent="0.3"/>
    <row r="20773" customFormat="1" x14ac:dyDescent="0.3"/>
    <row r="20774" customFormat="1" x14ac:dyDescent="0.3"/>
    <row r="20775" customFormat="1" x14ac:dyDescent="0.3"/>
    <row r="20776" customFormat="1" x14ac:dyDescent="0.3"/>
    <row r="20777" customFormat="1" x14ac:dyDescent="0.3"/>
    <row r="20778" customFormat="1" x14ac:dyDescent="0.3"/>
    <row r="20779" customFormat="1" x14ac:dyDescent="0.3"/>
    <row r="20780" customFormat="1" x14ac:dyDescent="0.3"/>
    <row r="20781" customFormat="1" x14ac:dyDescent="0.3"/>
    <row r="20782" customFormat="1" x14ac:dyDescent="0.3"/>
    <row r="20783" customFormat="1" x14ac:dyDescent="0.3"/>
    <row r="20784" customFormat="1" x14ac:dyDescent="0.3"/>
    <row r="20785" customFormat="1" x14ac:dyDescent="0.3"/>
    <row r="20786" customFormat="1" x14ac:dyDescent="0.3"/>
    <row r="20787" customFormat="1" x14ac:dyDescent="0.3"/>
    <row r="20788" customFormat="1" x14ac:dyDescent="0.3"/>
    <row r="20789" customFormat="1" x14ac:dyDescent="0.3"/>
    <row r="20790" customFormat="1" x14ac:dyDescent="0.3"/>
    <row r="20791" customFormat="1" x14ac:dyDescent="0.3"/>
    <row r="20792" customFormat="1" x14ac:dyDescent="0.3"/>
    <row r="20793" customFormat="1" x14ac:dyDescent="0.3"/>
    <row r="20794" customFormat="1" x14ac:dyDescent="0.3"/>
    <row r="20795" customFormat="1" x14ac:dyDescent="0.3"/>
    <row r="20796" customFormat="1" x14ac:dyDescent="0.3"/>
    <row r="20797" customFormat="1" x14ac:dyDescent="0.3"/>
    <row r="20798" customFormat="1" x14ac:dyDescent="0.3"/>
    <row r="20799" customFormat="1" x14ac:dyDescent="0.3"/>
    <row r="20800" customFormat="1" x14ac:dyDescent="0.3"/>
    <row r="20801" customFormat="1" x14ac:dyDescent="0.3"/>
    <row r="20802" customFormat="1" x14ac:dyDescent="0.3"/>
    <row r="20803" customFormat="1" x14ac:dyDescent="0.3"/>
    <row r="20804" customFormat="1" x14ac:dyDescent="0.3"/>
    <row r="20805" customFormat="1" x14ac:dyDescent="0.3"/>
    <row r="20806" customFormat="1" x14ac:dyDescent="0.3"/>
    <row r="20807" customFormat="1" x14ac:dyDescent="0.3"/>
    <row r="20808" customFormat="1" x14ac:dyDescent="0.3"/>
    <row r="20809" customFormat="1" x14ac:dyDescent="0.3"/>
    <row r="20810" customFormat="1" x14ac:dyDescent="0.3"/>
    <row r="20811" customFormat="1" x14ac:dyDescent="0.3"/>
    <row r="20812" customFormat="1" x14ac:dyDescent="0.3"/>
    <row r="20813" customFormat="1" x14ac:dyDescent="0.3"/>
    <row r="20814" customFormat="1" x14ac:dyDescent="0.3"/>
    <row r="20815" customFormat="1" x14ac:dyDescent="0.3"/>
    <row r="20816" customFormat="1" x14ac:dyDescent="0.3"/>
    <row r="20817" customFormat="1" x14ac:dyDescent="0.3"/>
    <row r="20818" customFormat="1" x14ac:dyDescent="0.3"/>
    <row r="20819" customFormat="1" x14ac:dyDescent="0.3"/>
    <row r="20820" customFormat="1" x14ac:dyDescent="0.3"/>
    <row r="20821" customFormat="1" x14ac:dyDescent="0.3"/>
    <row r="20822" customFormat="1" x14ac:dyDescent="0.3"/>
    <row r="20823" customFormat="1" x14ac:dyDescent="0.3"/>
    <row r="20824" customFormat="1" x14ac:dyDescent="0.3"/>
    <row r="20825" customFormat="1" x14ac:dyDescent="0.3"/>
    <row r="20826" customFormat="1" x14ac:dyDescent="0.3"/>
    <row r="20827" customFormat="1" x14ac:dyDescent="0.3"/>
    <row r="20828" customFormat="1" x14ac:dyDescent="0.3"/>
    <row r="20829" customFormat="1" x14ac:dyDescent="0.3"/>
    <row r="20830" customFormat="1" x14ac:dyDescent="0.3"/>
    <row r="20831" customFormat="1" x14ac:dyDescent="0.3"/>
    <row r="20832" customFormat="1" x14ac:dyDescent="0.3"/>
    <row r="20833" customFormat="1" x14ac:dyDescent="0.3"/>
    <row r="20834" customFormat="1" x14ac:dyDescent="0.3"/>
    <row r="20835" customFormat="1" x14ac:dyDescent="0.3"/>
    <row r="20836" customFormat="1" x14ac:dyDescent="0.3"/>
    <row r="20837" customFormat="1" x14ac:dyDescent="0.3"/>
    <row r="20838" customFormat="1" x14ac:dyDescent="0.3"/>
    <row r="20839" customFormat="1" x14ac:dyDescent="0.3"/>
    <row r="20840" customFormat="1" x14ac:dyDescent="0.3"/>
    <row r="20841" customFormat="1" x14ac:dyDescent="0.3"/>
    <row r="20842" customFormat="1" x14ac:dyDescent="0.3"/>
    <row r="20843" customFormat="1" x14ac:dyDescent="0.3"/>
    <row r="20844" customFormat="1" x14ac:dyDescent="0.3"/>
    <row r="20845" customFormat="1" x14ac:dyDescent="0.3"/>
    <row r="20846" customFormat="1" x14ac:dyDescent="0.3"/>
    <row r="20847" customFormat="1" x14ac:dyDescent="0.3"/>
    <row r="20848" customFormat="1" x14ac:dyDescent="0.3"/>
    <row r="20849" customFormat="1" x14ac:dyDescent="0.3"/>
    <row r="20850" customFormat="1" x14ac:dyDescent="0.3"/>
    <row r="20851" customFormat="1" x14ac:dyDescent="0.3"/>
    <row r="20852" customFormat="1" x14ac:dyDescent="0.3"/>
    <row r="20853" customFormat="1" x14ac:dyDescent="0.3"/>
    <row r="20854" customFormat="1" x14ac:dyDescent="0.3"/>
    <row r="20855" customFormat="1" x14ac:dyDescent="0.3"/>
    <row r="20856" customFormat="1" x14ac:dyDescent="0.3"/>
    <row r="20857" customFormat="1" x14ac:dyDescent="0.3"/>
    <row r="20858" customFormat="1" x14ac:dyDescent="0.3"/>
    <row r="20859" customFormat="1" x14ac:dyDescent="0.3"/>
    <row r="20860" customFormat="1" x14ac:dyDescent="0.3"/>
    <row r="20861" customFormat="1" x14ac:dyDescent="0.3"/>
    <row r="20862" customFormat="1" x14ac:dyDescent="0.3"/>
    <row r="20863" customFormat="1" x14ac:dyDescent="0.3"/>
    <row r="20864" customFormat="1" x14ac:dyDescent="0.3"/>
    <row r="20865" customFormat="1" x14ac:dyDescent="0.3"/>
    <row r="20866" customFormat="1" x14ac:dyDescent="0.3"/>
    <row r="20867" customFormat="1" x14ac:dyDescent="0.3"/>
    <row r="20868" customFormat="1" x14ac:dyDescent="0.3"/>
    <row r="20869" customFormat="1" x14ac:dyDescent="0.3"/>
    <row r="20870" customFormat="1" x14ac:dyDescent="0.3"/>
    <row r="20871" customFormat="1" x14ac:dyDescent="0.3"/>
    <row r="20872" customFormat="1" x14ac:dyDescent="0.3"/>
    <row r="20873" customFormat="1" x14ac:dyDescent="0.3"/>
    <row r="20874" customFormat="1" x14ac:dyDescent="0.3"/>
    <row r="20875" customFormat="1" x14ac:dyDescent="0.3"/>
    <row r="20876" customFormat="1" x14ac:dyDescent="0.3"/>
    <row r="20877" customFormat="1" x14ac:dyDescent="0.3"/>
    <row r="20878" customFormat="1" x14ac:dyDescent="0.3"/>
    <row r="20879" customFormat="1" x14ac:dyDescent="0.3"/>
    <row r="20880" customFormat="1" x14ac:dyDescent="0.3"/>
    <row r="20881" customFormat="1" x14ac:dyDescent="0.3"/>
    <row r="20882" customFormat="1" x14ac:dyDescent="0.3"/>
    <row r="20883" customFormat="1" x14ac:dyDescent="0.3"/>
    <row r="20884" customFormat="1" x14ac:dyDescent="0.3"/>
    <row r="20885" customFormat="1" x14ac:dyDescent="0.3"/>
    <row r="20886" customFormat="1" x14ac:dyDescent="0.3"/>
    <row r="20887" customFormat="1" x14ac:dyDescent="0.3"/>
    <row r="20888" customFormat="1" x14ac:dyDescent="0.3"/>
    <row r="20889" customFormat="1" x14ac:dyDescent="0.3"/>
    <row r="20890" customFormat="1" x14ac:dyDescent="0.3"/>
    <row r="20891" customFormat="1" x14ac:dyDescent="0.3"/>
    <row r="20892" customFormat="1" x14ac:dyDescent="0.3"/>
    <row r="20893" customFormat="1" x14ac:dyDescent="0.3"/>
    <row r="20894" customFormat="1" x14ac:dyDescent="0.3"/>
    <row r="20895" customFormat="1" x14ac:dyDescent="0.3"/>
    <row r="20896" customFormat="1" x14ac:dyDescent="0.3"/>
    <row r="20897" customFormat="1" x14ac:dyDescent="0.3"/>
    <row r="20898" customFormat="1" x14ac:dyDescent="0.3"/>
    <row r="20899" customFormat="1" x14ac:dyDescent="0.3"/>
    <row r="20900" customFormat="1" x14ac:dyDescent="0.3"/>
    <row r="20901" customFormat="1" x14ac:dyDescent="0.3"/>
    <row r="20902" customFormat="1" x14ac:dyDescent="0.3"/>
    <row r="20903" customFormat="1" x14ac:dyDescent="0.3"/>
    <row r="20904" customFormat="1" x14ac:dyDescent="0.3"/>
    <row r="20905" customFormat="1" x14ac:dyDescent="0.3"/>
    <row r="20906" customFormat="1" x14ac:dyDescent="0.3"/>
    <row r="20907" customFormat="1" x14ac:dyDescent="0.3"/>
    <row r="20908" customFormat="1" x14ac:dyDescent="0.3"/>
    <row r="20909" customFormat="1" x14ac:dyDescent="0.3"/>
    <row r="20910" customFormat="1" x14ac:dyDescent="0.3"/>
    <row r="20911" customFormat="1" x14ac:dyDescent="0.3"/>
    <row r="20912" customFormat="1" x14ac:dyDescent="0.3"/>
    <row r="20913" customFormat="1" x14ac:dyDescent="0.3"/>
    <row r="20914" customFormat="1" x14ac:dyDescent="0.3"/>
    <row r="20915" customFormat="1" x14ac:dyDescent="0.3"/>
    <row r="20916" customFormat="1" x14ac:dyDescent="0.3"/>
    <row r="20917" customFormat="1" x14ac:dyDescent="0.3"/>
    <row r="20918" customFormat="1" x14ac:dyDescent="0.3"/>
    <row r="20919" customFormat="1" x14ac:dyDescent="0.3"/>
    <row r="20920" customFormat="1" x14ac:dyDescent="0.3"/>
    <row r="20921" customFormat="1" x14ac:dyDescent="0.3"/>
    <row r="20922" customFormat="1" x14ac:dyDescent="0.3"/>
    <row r="20923" customFormat="1" x14ac:dyDescent="0.3"/>
    <row r="20924" customFormat="1" x14ac:dyDescent="0.3"/>
    <row r="20925" customFormat="1" x14ac:dyDescent="0.3"/>
    <row r="20926" customFormat="1" x14ac:dyDescent="0.3"/>
    <row r="20927" customFormat="1" x14ac:dyDescent="0.3"/>
    <row r="20928" customFormat="1" x14ac:dyDescent="0.3"/>
    <row r="20929" customFormat="1" x14ac:dyDescent="0.3"/>
    <row r="20930" customFormat="1" x14ac:dyDescent="0.3"/>
    <row r="20931" customFormat="1" x14ac:dyDescent="0.3"/>
    <row r="20932" customFormat="1" x14ac:dyDescent="0.3"/>
    <row r="20933" customFormat="1" x14ac:dyDescent="0.3"/>
    <row r="20934" customFormat="1" x14ac:dyDescent="0.3"/>
    <row r="20935" customFormat="1" x14ac:dyDescent="0.3"/>
    <row r="20936" customFormat="1" x14ac:dyDescent="0.3"/>
    <row r="20937" customFormat="1" x14ac:dyDescent="0.3"/>
    <row r="20938" customFormat="1" x14ac:dyDescent="0.3"/>
    <row r="20939" customFormat="1" x14ac:dyDescent="0.3"/>
    <row r="20940" customFormat="1" x14ac:dyDescent="0.3"/>
    <row r="20941" customFormat="1" x14ac:dyDescent="0.3"/>
    <row r="20942" customFormat="1" x14ac:dyDescent="0.3"/>
    <row r="20943" customFormat="1" x14ac:dyDescent="0.3"/>
    <row r="20944" customFormat="1" x14ac:dyDescent="0.3"/>
    <row r="20945" customFormat="1" x14ac:dyDescent="0.3"/>
    <row r="20946" customFormat="1" x14ac:dyDescent="0.3"/>
    <row r="20947" customFormat="1" x14ac:dyDescent="0.3"/>
    <row r="20948" customFormat="1" x14ac:dyDescent="0.3"/>
    <row r="20949" customFormat="1" x14ac:dyDescent="0.3"/>
    <row r="20950" customFormat="1" x14ac:dyDescent="0.3"/>
    <row r="20951" customFormat="1" x14ac:dyDescent="0.3"/>
    <row r="20952" customFormat="1" x14ac:dyDescent="0.3"/>
    <row r="20953" customFormat="1" x14ac:dyDescent="0.3"/>
    <row r="20954" customFormat="1" x14ac:dyDescent="0.3"/>
    <row r="20955" customFormat="1" x14ac:dyDescent="0.3"/>
    <row r="20956" customFormat="1" x14ac:dyDescent="0.3"/>
    <row r="20957" customFormat="1" x14ac:dyDescent="0.3"/>
    <row r="20958" customFormat="1" x14ac:dyDescent="0.3"/>
    <row r="20959" customFormat="1" x14ac:dyDescent="0.3"/>
    <row r="20960" customFormat="1" x14ac:dyDescent="0.3"/>
    <row r="20961" customFormat="1" x14ac:dyDescent="0.3"/>
    <row r="20962" customFormat="1" x14ac:dyDescent="0.3"/>
    <row r="20963" customFormat="1" x14ac:dyDescent="0.3"/>
    <row r="20964" customFormat="1" x14ac:dyDescent="0.3"/>
    <row r="20965" customFormat="1" x14ac:dyDescent="0.3"/>
    <row r="20966" customFormat="1" x14ac:dyDescent="0.3"/>
    <row r="20967" customFormat="1" x14ac:dyDescent="0.3"/>
    <row r="20968" customFormat="1" x14ac:dyDescent="0.3"/>
    <row r="20969" customFormat="1" x14ac:dyDescent="0.3"/>
    <row r="20970" customFormat="1" x14ac:dyDescent="0.3"/>
    <row r="20971" customFormat="1" x14ac:dyDescent="0.3"/>
    <row r="20972" customFormat="1" x14ac:dyDescent="0.3"/>
    <row r="20973" customFormat="1" x14ac:dyDescent="0.3"/>
    <row r="20974" customFormat="1" x14ac:dyDescent="0.3"/>
    <row r="20975" customFormat="1" x14ac:dyDescent="0.3"/>
    <row r="20976" customFormat="1" x14ac:dyDescent="0.3"/>
    <row r="20977" customFormat="1" x14ac:dyDescent="0.3"/>
    <row r="20978" customFormat="1" x14ac:dyDescent="0.3"/>
    <row r="20979" customFormat="1" x14ac:dyDescent="0.3"/>
    <row r="20980" customFormat="1" x14ac:dyDescent="0.3"/>
    <row r="20981" customFormat="1" x14ac:dyDescent="0.3"/>
    <row r="20982" customFormat="1" x14ac:dyDescent="0.3"/>
    <row r="20983" customFormat="1" x14ac:dyDescent="0.3"/>
    <row r="20984" customFormat="1" x14ac:dyDescent="0.3"/>
    <row r="20985" customFormat="1" x14ac:dyDescent="0.3"/>
    <row r="20986" customFormat="1" x14ac:dyDescent="0.3"/>
    <row r="20987" customFormat="1" x14ac:dyDescent="0.3"/>
    <row r="20988" customFormat="1" x14ac:dyDescent="0.3"/>
    <row r="20989" customFormat="1" x14ac:dyDescent="0.3"/>
    <row r="20990" customFormat="1" x14ac:dyDescent="0.3"/>
    <row r="20991" customFormat="1" x14ac:dyDescent="0.3"/>
    <row r="20992" customFormat="1" x14ac:dyDescent="0.3"/>
    <row r="20993" customFormat="1" x14ac:dyDescent="0.3"/>
    <row r="20994" customFormat="1" x14ac:dyDescent="0.3"/>
    <row r="20995" customFormat="1" x14ac:dyDescent="0.3"/>
    <row r="20996" customFormat="1" x14ac:dyDescent="0.3"/>
    <row r="20997" customFormat="1" x14ac:dyDescent="0.3"/>
    <row r="20998" customFormat="1" x14ac:dyDescent="0.3"/>
    <row r="20999" customFormat="1" x14ac:dyDescent="0.3"/>
    <row r="21000" customFormat="1" x14ac:dyDescent="0.3"/>
    <row r="21001" customFormat="1" x14ac:dyDescent="0.3"/>
    <row r="21002" customFormat="1" x14ac:dyDescent="0.3"/>
    <row r="21003" customFormat="1" x14ac:dyDescent="0.3"/>
    <row r="21004" customFormat="1" x14ac:dyDescent="0.3"/>
    <row r="21005" customFormat="1" x14ac:dyDescent="0.3"/>
    <row r="21006" customFormat="1" x14ac:dyDescent="0.3"/>
    <row r="21007" customFormat="1" x14ac:dyDescent="0.3"/>
    <row r="21008" customFormat="1" x14ac:dyDescent="0.3"/>
    <row r="21009" customFormat="1" x14ac:dyDescent="0.3"/>
    <row r="21010" customFormat="1" x14ac:dyDescent="0.3"/>
    <row r="21011" customFormat="1" x14ac:dyDescent="0.3"/>
    <row r="21012" customFormat="1" x14ac:dyDescent="0.3"/>
    <row r="21013" customFormat="1" x14ac:dyDescent="0.3"/>
    <row r="21014" customFormat="1" x14ac:dyDescent="0.3"/>
    <row r="21015" customFormat="1" x14ac:dyDescent="0.3"/>
    <row r="21016" customFormat="1" x14ac:dyDescent="0.3"/>
    <row r="21017" customFormat="1" x14ac:dyDescent="0.3"/>
    <row r="21018" customFormat="1" x14ac:dyDescent="0.3"/>
    <row r="21019" customFormat="1" x14ac:dyDescent="0.3"/>
    <row r="21020" customFormat="1" x14ac:dyDescent="0.3"/>
    <row r="21021" customFormat="1" x14ac:dyDescent="0.3"/>
    <row r="21022" customFormat="1" x14ac:dyDescent="0.3"/>
    <row r="21023" customFormat="1" x14ac:dyDescent="0.3"/>
    <row r="21024" customFormat="1" x14ac:dyDescent="0.3"/>
    <row r="21025" customFormat="1" x14ac:dyDescent="0.3"/>
    <row r="21026" customFormat="1" x14ac:dyDescent="0.3"/>
    <row r="21027" customFormat="1" x14ac:dyDescent="0.3"/>
    <row r="21028" customFormat="1" x14ac:dyDescent="0.3"/>
    <row r="21029" customFormat="1" x14ac:dyDescent="0.3"/>
    <row r="21030" customFormat="1" x14ac:dyDescent="0.3"/>
    <row r="21031" customFormat="1" x14ac:dyDescent="0.3"/>
    <row r="21032" customFormat="1" x14ac:dyDescent="0.3"/>
    <row r="21033" customFormat="1" x14ac:dyDescent="0.3"/>
    <row r="21034" customFormat="1" x14ac:dyDescent="0.3"/>
    <row r="21035" customFormat="1" x14ac:dyDescent="0.3"/>
    <row r="21036" customFormat="1" x14ac:dyDescent="0.3"/>
    <row r="21037" customFormat="1" x14ac:dyDescent="0.3"/>
    <row r="21038" customFormat="1" x14ac:dyDescent="0.3"/>
    <row r="21039" customFormat="1" x14ac:dyDescent="0.3"/>
    <row r="21040" customFormat="1" x14ac:dyDescent="0.3"/>
    <row r="21041" customFormat="1" x14ac:dyDescent="0.3"/>
    <row r="21042" customFormat="1" x14ac:dyDescent="0.3"/>
    <row r="21043" customFormat="1" x14ac:dyDescent="0.3"/>
    <row r="21044" customFormat="1" x14ac:dyDescent="0.3"/>
    <row r="21045" customFormat="1" x14ac:dyDescent="0.3"/>
    <row r="21046" customFormat="1" x14ac:dyDescent="0.3"/>
    <row r="21047" customFormat="1" x14ac:dyDescent="0.3"/>
    <row r="21048" customFormat="1" x14ac:dyDescent="0.3"/>
    <row r="21049" customFormat="1" x14ac:dyDescent="0.3"/>
    <row r="21050" customFormat="1" x14ac:dyDescent="0.3"/>
    <row r="21051" customFormat="1" x14ac:dyDescent="0.3"/>
    <row r="21052" customFormat="1" x14ac:dyDescent="0.3"/>
    <row r="21053" customFormat="1" x14ac:dyDescent="0.3"/>
    <row r="21054" customFormat="1" x14ac:dyDescent="0.3"/>
    <row r="21055" customFormat="1" x14ac:dyDescent="0.3"/>
    <row r="21056" customFormat="1" x14ac:dyDescent="0.3"/>
    <row r="21057" customFormat="1" x14ac:dyDescent="0.3"/>
    <row r="21058" customFormat="1" x14ac:dyDescent="0.3"/>
    <row r="21059" customFormat="1" x14ac:dyDescent="0.3"/>
    <row r="21060" customFormat="1" x14ac:dyDescent="0.3"/>
    <row r="21061" customFormat="1" x14ac:dyDescent="0.3"/>
    <row r="21062" customFormat="1" x14ac:dyDescent="0.3"/>
    <row r="21063" customFormat="1" x14ac:dyDescent="0.3"/>
    <row r="21064" customFormat="1" x14ac:dyDescent="0.3"/>
    <row r="21065" customFormat="1" x14ac:dyDescent="0.3"/>
    <row r="21066" customFormat="1" x14ac:dyDescent="0.3"/>
    <row r="21067" customFormat="1" x14ac:dyDescent="0.3"/>
    <row r="21068" customFormat="1" x14ac:dyDescent="0.3"/>
    <row r="21069" customFormat="1" x14ac:dyDescent="0.3"/>
    <row r="21070" customFormat="1" x14ac:dyDescent="0.3"/>
    <row r="21071" customFormat="1" x14ac:dyDescent="0.3"/>
    <row r="21072" customFormat="1" x14ac:dyDescent="0.3"/>
    <row r="21073" customFormat="1" x14ac:dyDescent="0.3"/>
    <row r="21074" customFormat="1" x14ac:dyDescent="0.3"/>
    <row r="21075" customFormat="1" x14ac:dyDescent="0.3"/>
    <row r="21076" customFormat="1" x14ac:dyDescent="0.3"/>
    <row r="21077" customFormat="1" x14ac:dyDescent="0.3"/>
    <row r="21078" customFormat="1" x14ac:dyDescent="0.3"/>
    <row r="21079" customFormat="1" x14ac:dyDescent="0.3"/>
    <row r="21080" customFormat="1" x14ac:dyDescent="0.3"/>
    <row r="21081" customFormat="1" x14ac:dyDescent="0.3"/>
    <row r="21082" customFormat="1" x14ac:dyDescent="0.3"/>
    <row r="21083" customFormat="1" x14ac:dyDescent="0.3"/>
    <row r="21084" customFormat="1" x14ac:dyDescent="0.3"/>
    <row r="21085" customFormat="1" x14ac:dyDescent="0.3"/>
    <row r="21086" customFormat="1" x14ac:dyDescent="0.3"/>
    <row r="21087" customFormat="1" x14ac:dyDescent="0.3"/>
    <row r="21088" customFormat="1" x14ac:dyDescent="0.3"/>
    <row r="21089" customFormat="1" x14ac:dyDescent="0.3"/>
    <row r="21090" customFormat="1" x14ac:dyDescent="0.3"/>
    <row r="21091" customFormat="1" x14ac:dyDescent="0.3"/>
    <row r="21092" customFormat="1" x14ac:dyDescent="0.3"/>
    <row r="21093" customFormat="1" x14ac:dyDescent="0.3"/>
    <row r="21094" customFormat="1" x14ac:dyDescent="0.3"/>
    <row r="21095" customFormat="1" x14ac:dyDescent="0.3"/>
    <row r="21096" customFormat="1" x14ac:dyDescent="0.3"/>
    <row r="21097" customFormat="1" x14ac:dyDescent="0.3"/>
    <row r="21098" customFormat="1" x14ac:dyDescent="0.3"/>
    <row r="21099" customFormat="1" x14ac:dyDescent="0.3"/>
    <row r="21100" customFormat="1" x14ac:dyDescent="0.3"/>
    <row r="21101" customFormat="1" x14ac:dyDescent="0.3"/>
    <row r="21102" customFormat="1" x14ac:dyDescent="0.3"/>
    <row r="21103" customFormat="1" x14ac:dyDescent="0.3"/>
    <row r="21104" customFormat="1" x14ac:dyDescent="0.3"/>
    <row r="21105" customFormat="1" x14ac:dyDescent="0.3"/>
    <row r="21106" customFormat="1" x14ac:dyDescent="0.3"/>
    <row r="21107" customFormat="1" x14ac:dyDescent="0.3"/>
    <row r="21108" customFormat="1" x14ac:dyDescent="0.3"/>
    <row r="21109" customFormat="1" x14ac:dyDescent="0.3"/>
    <row r="21110" customFormat="1" x14ac:dyDescent="0.3"/>
    <row r="21111" customFormat="1" x14ac:dyDescent="0.3"/>
    <row r="21112" customFormat="1" x14ac:dyDescent="0.3"/>
    <row r="21113" customFormat="1" x14ac:dyDescent="0.3"/>
    <row r="21114" customFormat="1" x14ac:dyDescent="0.3"/>
    <row r="21115" customFormat="1" x14ac:dyDescent="0.3"/>
    <row r="21116" customFormat="1" x14ac:dyDescent="0.3"/>
    <row r="21117" customFormat="1" x14ac:dyDescent="0.3"/>
    <row r="21118" customFormat="1" x14ac:dyDescent="0.3"/>
    <row r="21119" customFormat="1" x14ac:dyDescent="0.3"/>
    <row r="21120" customFormat="1" x14ac:dyDescent="0.3"/>
    <row r="21121" customFormat="1" x14ac:dyDescent="0.3"/>
    <row r="21122" customFormat="1" x14ac:dyDescent="0.3"/>
    <row r="21123" customFormat="1" x14ac:dyDescent="0.3"/>
    <row r="21124" customFormat="1" x14ac:dyDescent="0.3"/>
    <row r="21125" customFormat="1" x14ac:dyDescent="0.3"/>
    <row r="21126" customFormat="1" x14ac:dyDescent="0.3"/>
    <row r="21127" customFormat="1" x14ac:dyDescent="0.3"/>
    <row r="21128" customFormat="1" x14ac:dyDescent="0.3"/>
    <row r="21129" customFormat="1" x14ac:dyDescent="0.3"/>
    <row r="21130" customFormat="1" x14ac:dyDescent="0.3"/>
    <row r="21131" customFormat="1" x14ac:dyDescent="0.3"/>
    <row r="21132" customFormat="1" x14ac:dyDescent="0.3"/>
    <row r="21133" customFormat="1" x14ac:dyDescent="0.3"/>
    <row r="21134" customFormat="1" x14ac:dyDescent="0.3"/>
    <row r="21135" customFormat="1" x14ac:dyDescent="0.3"/>
    <row r="21136" customFormat="1" x14ac:dyDescent="0.3"/>
    <row r="21137" customFormat="1" x14ac:dyDescent="0.3"/>
    <row r="21138" customFormat="1" x14ac:dyDescent="0.3"/>
    <row r="21139" customFormat="1" x14ac:dyDescent="0.3"/>
    <row r="21140" customFormat="1" x14ac:dyDescent="0.3"/>
    <row r="21141" customFormat="1" x14ac:dyDescent="0.3"/>
    <row r="21142" customFormat="1" x14ac:dyDescent="0.3"/>
    <row r="21143" customFormat="1" x14ac:dyDescent="0.3"/>
    <row r="21144" customFormat="1" x14ac:dyDescent="0.3"/>
    <row r="21145" customFormat="1" x14ac:dyDescent="0.3"/>
    <row r="21146" customFormat="1" x14ac:dyDescent="0.3"/>
    <row r="21147" customFormat="1" x14ac:dyDescent="0.3"/>
    <row r="21148" customFormat="1" x14ac:dyDescent="0.3"/>
    <row r="21149" customFormat="1" x14ac:dyDescent="0.3"/>
    <row r="21150" customFormat="1" x14ac:dyDescent="0.3"/>
    <row r="21151" customFormat="1" x14ac:dyDescent="0.3"/>
    <row r="21152" customFormat="1" x14ac:dyDescent="0.3"/>
    <row r="21153" customFormat="1" x14ac:dyDescent="0.3"/>
    <row r="21154" customFormat="1" x14ac:dyDescent="0.3"/>
    <row r="21155" customFormat="1" x14ac:dyDescent="0.3"/>
    <row r="21156" customFormat="1" x14ac:dyDescent="0.3"/>
    <row r="21157" customFormat="1" x14ac:dyDescent="0.3"/>
    <row r="21158" customFormat="1" x14ac:dyDescent="0.3"/>
    <row r="21159" customFormat="1" x14ac:dyDescent="0.3"/>
    <row r="21160" customFormat="1" x14ac:dyDescent="0.3"/>
    <row r="21161" customFormat="1" x14ac:dyDescent="0.3"/>
    <row r="21162" customFormat="1" x14ac:dyDescent="0.3"/>
    <row r="21163" customFormat="1" x14ac:dyDescent="0.3"/>
    <row r="21164" customFormat="1" x14ac:dyDescent="0.3"/>
    <row r="21165" customFormat="1" x14ac:dyDescent="0.3"/>
    <row r="21166" customFormat="1" x14ac:dyDescent="0.3"/>
    <row r="21167" customFormat="1" x14ac:dyDescent="0.3"/>
    <row r="21168" customFormat="1" x14ac:dyDescent="0.3"/>
    <row r="21169" customFormat="1" x14ac:dyDescent="0.3"/>
    <row r="21170" customFormat="1" x14ac:dyDescent="0.3"/>
    <row r="21171" customFormat="1" x14ac:dyDescent="0.3"/>
    <row r="21172" customFormat="1" x14ac:dyDescent="0.3"/>
    <row r="21173" customFormat="1" x14ac:dyDescent="0.3"/>
    <row r="21174" customFormat="1" x14ac:dyDescent="0.3"/>
    <row r="21175" customFormat="1" x14ac:dyDescent="0.3"/>
    <row r="21176" customFormat="1" x14ac:dyDescent="0.3"/>
    <row r="21177" customFormat="1" x14ac:dyDescent="0.3"/>
    <row r="21178" customFormat="1" x14ac:dyDescent="0.3"/>
    <row r="21179" customFormat="1" x14ac:dyDescent="0.3"/>
    <row r="21180" customFormat="1" x14ac:dyDescent="0.3"/>
    <row r="21181" customFormat="1" x14ac:dyDescent="0.3"/>
    <row r="21182" customFormat="1" x14ac:dyDescent="0.3"/>
    <row r="21183" customFormat="1" x14ac:dyDescent="0.3"/>
    <row r="21184" customFormat="1" x14ac:dyDescent="0.3"/>
    <row r="21185" customFormat="1" x14ac:dyDescent="0.3"/>
    <row r="21186" customFormat="1" x14ac:dyDescent="0.3"/>
    <row r="21187" customFormat="1" x14ac:dyDescent="0.3"/>
    <row r="21188" customFormat="1" x14ac:dyDescent="0.3"/>
    <row r="21189" customFormat="1" x14ac:dyDescent="0.3"/>
    <row r="21190" customFormat="1" x14ac:dyDescent="0.3"/>
    <row r="21191" customFormat="1" x14ac:dyDescent="0.3"/>
    <row r="21192" customFormat="1" x14ac:dyDescent="0.3"/>
    <row r="21193" customFormat="1" x14ac:dyDescent="0.3"/>
    <row r="21194" customFormat="1" x14ac:dyDescent="0.3"/>
    <row r="21195" customFormat="1" x14ac:dyDescent="0.3"/>
    <row r="21196" customFormat="1" x14ac:dyDescent="0.3"/>
    <row r="21197" customFormat="1" x14ac:dyDescent="0.3"/>
    <row r="21198" customFormat="1" x14ac:dyDescent="0.3"/>
    <row r="21199" customFormat="1" x14ac:dyDescent="0.3"/>
    <row r="21200" customFormat="1" x14ac:dyDescent="0.3"/>
    <row r="21201" customFormat="1" x14ac:dyDescent="0.3"/>
    <row r="21202" customFormat="1" x14ac:dyDescent="0.3"/>
    <row r="21203" customFormat="1" x14ac:dyDescent="0.3"/>
    <row r="21204" customFormat="1" x14ac:dyDescent="0.3"/>
    <row r="21205" customFormat="1" x14ac:dyDescent="0.3"/>
    <row r="21206" customFormat="1" x14ac:dyDescent="0.3"/>
    <row r="21207" customFormat="1" x14ac:dyDescent="0.3"/>
    <row r="21208" customFormat="1" x14ac:dyDescent="0.3"/>
    <row r="21209" customFormat="1" x14ac:dyDescent="0.3"/>
    <row r="21210" customFormat="1" x14ac:dyDescent="0.3"/>
    <row r="21211" customFormat="1" x14ac:dyDescent="0.3"/>
    <row r="21212" customFormat="1" x14ac:dyDescent="0.3"/>
    <row r="21213" customFormat="1" x14ac:dyDescent="0.3"/>
    <row r="21214" customFormat="1" x14ac:dyDescent="0.3"/>
    <row r="21215" customFormat="1" x14ac:dyDescent="0.3"/>
    <row r="21216" customFormat="1" x14ac:dyDescent="0.3"/>
    <row r="21217" customFormat="1" x14ac:dyDescent="0.3"/>
    <row r="21218" customFormat="1" x14ac:dyDescent="0.3"/>
    <row r="21219" customFormat="1" x14ac:dyDescent="0.3"/>
    <row r="21220" customFormat="1" x14ac:dyDescent="0.3"/>
    <row r="21221" customFormat="1" x14ac:dyDescent="0.3"/>
    <row r="21222" customFormat="1" x14ac:dyDescent="0.3"/>
    <row r="21223" customFormat="1" x14ac:dyDescent="0.3"/>
    <row r="21224" customFormat="1" x14ac:dyDescent="0.3"/>
    <row r="21225" customFormat="1" x14ac:dyDescent="0.3"/>
    <row r="21226" customFormat="1" x14ac:dyDescent="0.3"/>
    <row r="21227" customFormat="1" x14ac:dyDescent="0.3"/>
    <row r="21228" customFormat="1" x14ac:dyDescent="0.3"/>
    <row r="21229" customFormat="1" x14ac:dyDescent="0.3"/>
    <row r="21230" customFormat="1" x14ac:dyDescent="0.3"/>
    <row r="21231" customFormat="1" x14ac:dyDescent="0.3"/>
    <row r="21232" customFormat="1" x14ac:dyDescent="0.3"/>
    <row r="21233" customFormat="1" x14ac:dyDescent="0.3"/>
    <row r="21234" customFormat="1" x14ac:dyDescent="0.3"/>
    <row r="21235" customFormat="1" x14ac:dyDescent="0.3"/>
    <row r="21236" customFormat="1" x14ac:dyDescent="0.3"/>
    <row r="21237" customFormat="1" x14ac:dyDescent="0.3"/>
    <row r="21238" customFormat="1" x14ac:dyDescent="0.3"/>
    <row r="21239" customFormat="1" x14ac:dyDescent="0.3"/>
    <row r="21240" customFormat="1" x14ac:dyDescent="0.3"/>
    <row r="21241" customFormat="1" x14ac:dyDescent="0.3"/>
    <row r="21242" customFormat="1" x14ac:dyDescent="0.3"/>
    <row r="21243" customFormat="1" x14ac:dyDescent="0.3"/>
    <row r="21244" customFormat="1" x14ac:dyDescent="0.3"/>
    <row r="21245" customFormat="1" x14ac:dyDescent="0.3"/>
    <row r="21246" customFormat="1" x14ac:dyDescent="0.3"/>
    <row r="21247" customFormat="1" x14ac:dyDescent="0.3"/>
    <row r="21248" customFormat="1" x14ac:dyDescent="0.3"/>
    <row r="21249" customFormat="1" x14ac:dyDescent="0.3"/>
    <row r="21250" customFormat="1" x14ac:dyDescent="0.3"/>
    <row r="21251" customFormat="1" x14ac:dyDescent="0.3"/>
    <row r="21252" customFormat="1" x14ac:dyDescent="0.3"/>
    <row r="21253" customFormat="1" x14ac:dyDescent="0.3"/>
    <row r="21254" customFormat="1" x14ac:dyDescent="0.3"/>
    <row r="21255" customFormat="1" x14ac:dyDescent="0.3"/>
    <row r="21256" customFormat="1" x14ac:dyDescent="0.3"/>
    <row r="21257" customFormat="1" x14ac:dyDescent="0.3"/>
    <row r="21258" customFormat="1" x14ac:dyDescent="0.3"/>
    <row r="21259" customFormat="1" x14ac:dyDescent="0.3"/>
    <row r="21260" customFormat="1" x14ac:dyDescent="0.3"/>
    <row r="21261" customFormat="1" x14ac:dyDescent="0.3"/>
    <row r="21262" customFormat="1" x14ac:dyDescent="0.3"/>
    <row r="21263" customFormat="1" x14ac:dyDescent="0.3"/>
    <row r="21264" customFormat="1" x14ac:dyDescent="0.3"/>
    <row r="21265" customFormat="1" x14ac:dyDescent="0.3"/>
    <row r="21266" customFormat="1" x14ac:dyDescent="0.3"/>
    <row r="21267" customFormat="1" x14ac:dyDescent="0.3"/>
    <row r="21268" customFormat="1" x14ac:dyDescent="0.3"/>
    <row r="21269" customFormat="1" x14ac:dyDescent="0.3"/>
    <row r="21270" customFormat="1" x14ac:dyDescent="0.3"/>
    <row r="21271" customFormat="1" x14ac:dyDescent="0.3"/>
    <row r="21272" customFormat="1" x14ac:dyDescent="0.3"/>
    <row r="21273" customFormat="1" x14ac:dyDescent="0.3"/>
    <row r="21274" customFormat="1" x14ac:dyDescent="0.3"/>
    <row r="21275" customFormat="1" x14ac:dyDescent="0.3"/>
    <row r="21276" customFormat="1" x14ac:dyDescent="0.3"/>
    <row r="21277" customFormat="1" x14ac:dyDescent="0.3"/>
    <row r="21278" customFormat="1" x14ac:dyDescent="0.3"/>
    <row r="21279" customFormat="1" x14ac:dyDescent="0.3"/>
    <row r="21280" customFormat="1" x14ac:dyDescent="0.3"/>
    <row r="21281" customFormat="1" x14ac:dyDescent="0.3"/>
    <row r="21282" customFormat="1" x14ac:dyDescent="0.3"/>
    <row r="21283" customFormat="1" x14ac:dyDescent="0.3"/>
    <row r="21284" customFormat="1" x14ac:dyDescent="0.3"/>
    <row r="21285" customFormat="1" x14ac:dyDescent="0.3"/>
    <row r="21286" customFormat="1" x14ac:dyDescent="0.3"/>
    <row r="21287" customFormat="1" x14ac:dyDescent="0.3"/>
    <row r="21288" customFormat="1" x14ac:dyDescent="0.3"/>
    <row r="21289" customFormat="1" x14ac:dyDescent="0.3"/>
    <row r="21290" customFormat="1" x14ac:dyDescent="0.3"/>
    <row r="21291" customFormat="1" x14ac:dyDescent="0.3"/>
    <row r="21292" customFormat="1" x14ac:dyDescent="0.3"/>
    <row r="21293" customFormat="1" x14ac:dyDescent="0.3"/>
    <row r="21294" customFormat="1" x14ac:dyDescent="0.3"/>
    <row r="21295" customFormat="1" x14ac:dyDescent="0.3"/>
    <row r="21296" customFormat="1" x14ac:dyDescent="0.3"/>
    <row r="21297" customFormat="1" x14ac:dyDescent="0.3"/>
    <row r="21298" customFormat="1" x14ac:dyDescent="0.3"/>
    <row r="21299" customFormat="1" x14ac:dyDescent="0.3"/>
    <row r="21300" customFormat="1" x14ac:dyDescent="0.3"/>
    <row r="21301" customFormat="1" x14ac:dyDescent="0.3"/>
    <row r="21302" customFormat="1" x14ac:dyDescent="0.3"/>
    <row r="21303" customFormat="1" x14ac:dyDescent="0.3"/>
    <row r="21304" customFormat="1" x14ac:dyDescent="0.3"/>
    <row r="21305" customFormat="1" x14ac:dyDescent="0.3"/>
    <row r="21306" customFormat="1" x14ac:dyDescent="0.3"/>
    <row r="21307" customFormat="1" x14ac:dyDescent="0.3"/>
    <row r="21308" customFormat="1" x14ac:dyDescent="0.3"/>
    <row r="21309" customFormat="1" x14ac:dyDescent="0.3"/>
    <row r="21310" customFormat="1" x14ac:dyDescent="0.3"/>
    <row r="21311" customFormat="1" x14ac:dyDescent="0.3"/>
    <row r="21312" customFormat="1" x14ac:dyDescent="0.3"/>
    <row r="21313" customFormat="1" x14ac:dyDescent="0.3"/>
    <row r="21314" customFormat="1" x14ac:dyDescent="0.3"/>
    <row r="21315" customFormat="1" x14ac:dyDescent="0.3"/>
    <row r="21316" customFormat="1" x14ac:dyDescent="0.3"/>
    <row r="21317" customFormat="1" x14ac:dyDescent="0.3"/>
    <row r="21318" customFormat="1" x14ac:dyDescent="0.3"/>
    <row r="21319" customFormat="1" x14ac:dyDescent="0.3"/>
    <row r="21320" customFormat="1" x14ac:dyDescent="0.3"/>
    <row r="21321" customFormat="1" x14ac:dyDescent="0.3"/>
    <row r="21322" customFormat="1" x14ac:dyDescent="0.3"/>
    <row r="21323" customFormat="1" x14ac:dyDescent="0.3"/>
    <row r="21324" customFormat="1" x14ac:dyDescent="0.3"/>
    <row r="21325" customFormat="1" x14ac:dyDescent="0.3"/>
    <row r="21326" customFormat="1" x14ac:dyDescent="0.3"/>
    <row r="21327" customFormat="1" x14ac:dyDescent="0.3"/>
    <row r="21328" customFormat="1" x14ac:dyDescent="0.3"/>
    <row r="21329" customFormat="1" x14ac:dyDescent="0.3"/>
    <row r="21330" customFormat="1" x14ac:dyDescent="0.3"/>
    <row r="21331" customFormat="1" x14ac:dyDescent="0.3"/>
    <row r="21332" customFormat="1" x14ac:dyDescent="0.3"/>
    <row r="21333" customFormat="1" x14ac:dyDescent="0.3"/>
    <row r="21334" customFormat="1" x14ac:dyDescent="0.3"/>
    <row r="21335" customFormat="1" x14ac:dyDescent="0.3"/>
    <row r="21336" customFormat="1" x14ac:dyDescent="0.3"/>
    <row r="21337" customFormat="1" x14ac:dyDescent="0.3"/>
    <row r="21338" customFormat="1" x14ac:dyDescent="0.3"/>
    <row r="21339" customFormat="1" x14ac:dyDescent="0.3"/>
    <row r="21340" customFormat="1" x14ac:dyDescent="0.3"/>
    <row r="21341" customFormat="1" x14ac:dyDescent="0.3"/>
    <row r="21342" customFormat="1" x14ac:dyDescent="0.3"/>
    <row r="21343" customFormat="1" x14ac:dyDescent="0.3"/>
    <row r="21344" customFormat="1" x14ac:dyDescent="0.3"/>
    <row r="21345" customFormat="1" x14ac:dyDescent="0.3"/>
    <row r="21346" customFormat="1" x14ac:dyDescent="0.3"/>
    <row r="21347" customFormat="1" x14ac:dyDescent="0.3"/>
    <row r="21348" customFormat="1" x14ac:dyDescent="0.3"/>
    <row r="21349" customFormat="1" x14ac:dyDescent="0.3"/>
    <row r="21350" customFormat="1" x14ac:dyDescent="0.3"/>
    <row r="21351" customFormat="1" x14ac:dyDescent="0.3"/>
    <row r="21352" customFormat="1" x14ac:dyDescent="0.3"/>
    <row r="21353" customFormat="1" x14ac:dyDescent="0.3"/>
    <row r="21354" customFormat="1" x14ac:dyDescent="0.3"/>
    <row r="21355" customFormat="1" x14ac:dyDescent="0.3"/>
    <row r="21356" customFormat="1" x14ac:dyDescent="0.3"/>
    <row r="21357" customFormat="1" x14ac:dyDescent="0.3"/>
    <row r="21358" customFormat="1" x14ac:dyDescent="0.3"/>
    <row r="21359" customFormat="1" x14ac:dyDescent="0.3"/>
    <row r="21360" customFormat="1" x14ac:dyDescent="0.3"/>
    <row r="21361" customFormat="1" x14ac:dyDescent="0.3"/>
    <row r="21362" customFormat="1" x14ac:dyDescent="0.3"/>
    <row r="21363" customFormat="1" x14ac:dyDescent="0.3"/>
    <row r="21364" customFormat="1" x14ac:dyDescent="0.3"/>
    <row r="21365" customFormat="1" x14ac:dyDescent="0.3"/>
    <row r="21366" customFormat="1" x14ac:dyDescent="0.3"/>
    <row r="21367" customFormat="1" x14ac:dyDescent="0.3"/>
    <row r="21368" customFormat="1" x14ac:dyDescent="0.3"/>
    <row r="21369" customFormat="1" x14ac:dyDescent="0.3"/>
    <row r="21370" customFormat="1" x14ac:dyDescent="0.3"/>
    <row r="21371" customFormat="1" x14ac:dyDescent="0.3"/>
    <row r="21372" customFormat="1" x14ac:dyDescent="0.3"/>
    <row r="21373" customFormat="1" x14ac:dyDescent="0.3"/>
    <row r="21374" customFormat="1" x14ac:dyDescent="0.3"/>
    <row r="21375" customFormat="1" x14ac:dyDescent="0.3"/>
    <row r="21376" customFormat="1" x14ac:dyDescent="0.3"/>
    <row r="21377" customFormat="1" x14ac:dyDescent="0.3"/>
    <row r="21378" customFormat="1" x14ac:dyDescent="0.3"/>
    <row r="21379" customFormat="1" x14ac:dyDescent="0.3"/>
    <row r="21380" customFormat="1" x14ac:dyDescent="0.3"/>
    <row r="21381" customFormat="1" x14ac:dyDescent="0.3"/>
    <row r="21382" customFormat="1" x14ac:dyDescent="0.3"/>
    <row r="21383" customFormat="1" x14ac:dyDescent="0.3"/>
    <row r="21384" customFormat="1" x14ac:dyDescent="0.3"/>
    <row r="21385" customFormat="1" x14ac:dyDescent="0.3"/>
    <row r="21386" customFormat="1" x14ac:dyDescent="0.3"/>
    <row r="21387" customFormat="1" x14ac:dyDescent="0.3"/>
    <row r="21388" customFormat="1" x14ac:dyDescent="0.3"/>
    <row r="21389" customFormat="1" x14ac:dyDescent="0.3"/>
    <row r="21390" customFormat="1" x14ac:dyDescent="0.3"/>
    <row r="21391" customFormat="1" x14ac:dyDescent="0.3"/>
    <row r="21392" customFormat="1" x14ac:dyDescent="0.3"/>
    <row r="21393" customFormat="1" x14ac:dyDescent="0.3"/>
    <row r="21394" customFormat="1" x14ac:dyDescent="0.3"/>
    <row r="21395" customFormat="1" x14ac:dyDescent="0.3"/>
    <row r="21396" customFormat="1" x14ac:dyDescent="0.3"/>
    <row r="21397" customFormat="1" x14ac:dyDescent="0.3"/>
    <row r="21398" customFormat="1" x14ac:dyDescent="0.3"/>
    <row r="21399" customFormat="1" x14ac:dyDescent="0.3"/>
    <row r="21400" customFormat="1" x14ac:dyDescent="0.3"/>
    <row r="21401" customFormat="1" x14ac:dyDescent="0.3"/>
    <row r="21402" customFormat="1" x14ac:dyDescent="0.3"/>
    <row r="21403" customFormat="1" x14ac:dyDescent="0.3"/>
    <row r="21404" customFormat="1" x14ac:dyDescent="0.3"/>
    <row r="21405" customFormat="1" x14ac:dyDescent="0.3"/>
    <row r="21406" customFormat="1" x14ac:dyDescent="0.3"/>
    <row r="21407" customFormat="1" x14ac:dyDescent="0.3"/>
    <row r="21408" customFormat="1" x14ac:dyDescent="0.3"/>
    <row r="21409" customFormat="1" x14ac:dyDescent="0.3"/>
    <row r="21410" customFormat="1" x14ac:dyDescent="0.3"/>
    <row r="21411" customFormat="1" x14ac:dyDescent="0.3"/>
    <row r="21412" customFormat="1" x14ac:dyDescent="0.3"/>
    <row r="21413" customFormat="1" x14ac:dyDescent="0.3"/>
    <row r="21414" customFormat="1" x14ac:dyDescent="0.3"/>
    <row r="21415" customFormat="1" x14ac:dyDescent="0.3"/>
    <row r="21416" customFormat="1" x14ac:dyDescent="0.3"/>
    <row r="21417" customFormat="1" x14ac:dyDescent="0.3"/>
    <row r="21418" customFormat="1" x14ac:dyDescent="0.3"/>
    <row r="21419" customFormat="1" x14ac:dyDescent="0.3"/>
    <row r="21420" customFormat="1" x14ac:dyDescent="0.3"/>
    <row r="21421" customFormat="1" x14ac:dyDescent="0.3"/>
    <row r="21422" customFormat="1" x14ac:dyDescent="0.3"/>
    <row r="21423" customFormat="1" x14ac:dyDescent="0.3"/>
    <row r="21424" customFormat="1" x14ac:dyDescent="0.3"/>
    <row r="21425" customFormat="1" x14ac:dyDescent="0.3"/>
    <row r="21426" customFormat="1" x14ac:dyDescent="0.3"/>
    <row r="21427" customFormat="1" x14ac:dyDescent="0.3"/>
    <row r="21428" customFormat="1" x14ac:dyDescent="0.3"/>
    <row r="21429" customFormat="1" x14ac:dyDescent="0.3"/>
    <row r="21430" customFormat="1" x14ac:dyDescent="0.3"/>
    <row r="21431" customFormat="1" x14ac:dyDescent="0.3"/>
    <row r="21432" customFormat="1" x14ac:dyDescent="0.3"/>
    <row r="21433" customFormat="1" x14ac:dyDescent="0.3"/>
    <row r="21434" customFormat="1" x14ac:dyDescent="0.3"/>
    <row r="21435" customFormat="1" x14ac:dyDescent="0.3"/>
    <row r="21436" customFormat="1" x14ac:dyDescent="0.3"/>
    <row r="21437" customFormat="1" x14ac:dyDescent="0.3"/>
    <row r="21438" customFormat="1" x14ac:dyDescent="0.3"/>
    <row r="21439" customFormat="1" x14ac:dyDescent="0.3"/>
    <row r="21440" customFormat="1" x14ac:dyDescent="0.3"/>
    <row r="21441" customFormat="1" x14ac:dyDescent="0.3"/>
    <row r="21442" customFormat="1" x14ac:dyDescent="0.3"/>
    <row r="21443" customFormat="1" x14ac:dyDescent="0.3"/>
    <row r="21444" customFormat="1" x14ac:dyDescent="0.3"/>
    <row r="21445" customFormat="1" x14ac:dyDescent="0.3"/>
    <row r="21446" customFormat="1" x14ac:dyDescent="0.3"/>
    <row r="21447" customFormat="1" x14ac:dyDescent="0.3"/>
    <row r="21448" customFormat="1" x14ac:dyDescent="0.3"/>
    <row r="21449" customFormat="1" x14ac:dyDescent="0.3"/>
    <row r="21450" customFormat="1" x14ac:dyDescent="0.3"/>
    <row r="21451" customFormat="1" x14ac:dyDescent="0.3"/>
    <row r="21452" customFormat="1" x14ac:dyDescent="0.3"/>
    <row r="21453" customFormat="1" x14ac:dyDescent="0.3"/>
    <row r="21454" customFormat="1" x14ac:dyDescent="0.3"/>
    <row r="21455" customFormat="1" x14ac:dyDescent="0.3"/>
    <row r="21456" customFormat="1" x14ac:dyDescent="0.3"/>
    <row r="21457" customFormat="1" x14ac:dyDescent="0.3"/>
    <row r="21458" customFormat="1" x14ac:dyDescent="0.3"/>
    <row r="21459" customFormat="1" x14ac:dyDescent="0.3"/>
    <row r="21460" customFormat="1" x14ac:dyDescent="0.3"/>
    <row r="21461" customFormat="1" x14ac:dyDescent="0.3"/>
    <row r="21462" customFormat="1" x14ac:dyDescent="0.3"/>
    <row r="21463" customFormat="1" x14ac:dyDescent="0.3"/>
    <row r="21464" customFormat="1" x14ac:dyDescent="0.3"/>
    <row r="21465" customFormat="1" x14ac:dyDescent="0.3"/>
    <row r="21466" customFormat="1" x14ac:dyDescent="0.3"/>
    <row r="21467" customFormat="1" x14ac:dyDescent="0.3"/>
    <row r="21468" customFormat="1" x14ac:dyDescent="0.3"/>
    <row r="21469" customFormat="1" x14ac:dyDescent="0.3"/>
    <row r="21470" customFormat="1" x14ac:dyDescent="0.3"/>
    <row r="21471" customFormat="1" x14ac:dyDescent="0.3"/>
    <row r="21472" customFormat="1" x14ac:dyDescent="0.3"/>
    <row r="21473" customFormat="1" x14ac:dyDescent="0.3"/>
    <row r="21474" customFormat="1" x14ac:dyDescent="0.3"/>
    <row r="21475" customFormat="1" x14ac:dyDescent="0.3"/>
    <row r="21476" customFormat="1" x14ac:dyDescent="0.3"/>
    <row r="21477" customFormat="1" x14ac:dyDescent="0.3"/>
    <row r="21478" customFormat="1" x14ac:dyDescent="0.3"/>
    <row r="21479" customFormat="1" x14ac:dyDescent="0.3"/>
    <row r="21480" customFormat="1" x14ac:dyDescent="0.3"/>
    <row r="21481" customFormat="1" x14ac:dyDescent="0.3"/>
    <row r="21482" customFormat="1" x14ac:dyDescent="0.3"/>
    <row r="21483" customFormat="1" x14ac:dyDescent="0.3"/>
    <row r="21484" customFormat="1" x14ac:dyDescent="0.3"/>
    <row r="21485" customFormat="1" x14ac:dyDescent="0.3"/>
    <row r="21486" customFormat="1" x14ac:dyDescent="0.3"/>
    <row r="21487" customFormat="1" x14ac:dyDescent="0.3"/>
    <row r="21488" customFormat="1" x14ac:dyDescent="0.3"/>
    <row r="21489" customFormat="1" x14ac:dyDescent="0.3"/>
    <row r="21490" customFormat="1" x14ac:dyDescent="0.3"/>
    <row r="21491" customFormat="1" x14ac:dyDescent="0.3"/>
    <row r="21492" customFormat="1" x14ac:dyDescent="0.3"/>
    <row r="21493" customFormat="1" x14ac:dyDescent="0.3"/>
    <row r="21494" customFormat="1" x14ac:dyDescent="0.3"/>
    <row r="21495" customFormat="1" x14ac:dyDescent="0.3"/>
    <row r="21496" customFormat="1" x14ac:dyDescent="0.3"/>
    <row r="21497" customFormat="1" x14ac:dyDescent="0.3"/>
    <row r="21498" customFormat="1" x14ac:dyDescent="0.3"/>
    <row r="21499" customFormat="1" x14ac:dyDescent="0.3"/>
    <row r="21500" customFormat="1" x14ac:dyDescent="0.3"/>
    <row r="21501" customFormat="1" x14ac:dyDescent="0.3"/>
    <row r="21502" customFormat="1" x14ac:dyDescent="0.3"/>
    <row r="21503" customFormat="1" x14ac:dyDescent="0.3"/>
    <row r="21504" customFormat="1" x14ac:dyDescent="0.3"/>
    <row r="21505" customFormat="1" x14ac:dyDescent="0.3"/>
    <row r="21506" customFormat="1" x14ac:dyDescent="0.3"/>
    <row r="21507" customFormat="1" x14ac:dyDescent="0.3"/>
    <row r="21508" customFormat="1" x14ac:dyDescent="0.3"/>
    <row r="21509" customFormat="1" x14ac:dyDescent="0.3"/>
    <row r="21510" customFormat="1" x14ac:dyDescent="0.3"/>
    <row r="21511" customFormat="1" x14ac:dyDescent="0.3"/>
    <row r="21512" customFormat="1" x14ac:dyDescent="0.3"/>
    <row r="21513" customFormat="1" x14ac:dyDescent="0.3"/>
    <row r="21514" customFormat="1" x14ac:dyDescent="0.3"/>
    <row r="21515" customFormat="1" x14ac:dyDescent="0.3"/>
    <row r="21516" customFormat="1" x14ac:dyDescent="0.3"/>
    <row r="21517" customFormat="1" x14ac:dyDescent="0.3"/>
    <row r="21518" customFormat="1" x14ac:dyDescent="0.3"/>
    <row r="21519" customFormat="1" x14ac:dyDescent="0.3"/>
    <row r="21520" customFormat="1" x14ac:dyDescent="0.3"/>
    <row r="21521" customFormat="1" x14ac:dyDescent="0.3"/>
    <row r="21522" customFormat="1" x14ac:dyDescent="0.3"/>
    <row r="21523" customFormat="1" x14ac:dyDescent="0.3"/>
    <row r="21524" customFormat="1" x14ac:dyDescent="0.3"/>
    <row r="21525" customFormat="1" x14ac:dyDescent="0.3"/>
    <row r="21526" customFormat="1" x14ac:dyDescent="0.3"/>
    <row r="21527" customFormat="1" x14ac:dyDescent="0.3"/>
    <row r="21528" customFormat="1" x14ac:dyDescent="0.3"/>
    <row r="21529" customFormat="1" x14ac:dyDescent="0.3"/>
    <row r="21530" customFormat="1" x14ac:dyDescent="0.3"/>
    <row r="21531" customFormat="1" x14ac:dyDescent="0.3"/>
    <row r="21532" customFormat="1" x14ac:dyDescent="0.3"/>
    <row r="21533" customFormat="1" x14ac:dyDescent="0.3"/>
    <row r="21534" customFormat="1" x14ac:dyDescent="0.3"/>
    <row r="21535" customFormat="1" x14ac:dyDescent="0.3"/>
    <row r="21536" customFormat="1" x14ac:dyDescent="0.3"/>
    <row r="21537" customFormat="1" x14ac:dyDescent="0.3"/>
    <row r="21538" customFormat="1" x14ac:dyDescent="0.3"/>
    <row r="21539" customFormat="1" x14ac:dyDescent="0.3"/>
    <row r="21540" customFormat="1" x14ac:dyDescent="0.3"/>
    <row r="21541" customFormat="1" x14ac:dyDescent="0.3"/>
    <row r="21542" customFormat="1" x14ac:dyDescent="0.3"/>
    <row r="21543" customFormat="1" x14ac:dyDescent="0.3"/>
    <row r="21544" customFormat="1" x14ac:dyDescent="0.3"/>
    <row r="21545" customFormat="1" x14ac:dyDescent="0.3"/>
    <row r="21546" customFormat="1" x14ac:dyDescent="0.3"/>
    <row r="21547" customFormat="1" x14ac:dyDescent="0.3"/>
    <row r="21548" customFormat="1" x14ac:dyDescent="0.3"/>
    <row r="21549" customFormat="1" x14ac:dyDescent="0.3"/>
    <row r="21550" customFormat="1" x14ac:dyDescent="0.3"/>
    <row r="21551" customFormat="1" x14ac:dyDescent="0.3"/>
    <row r="21552" customFormat="1" x14ac:dyDescent="0.3"/>
    <row r="21553" customFormat="1" x14ac:dyDescent="0.3"/>
    <row r="21554" customFormat="1" x14ac:dyDescent="0.3"/>
    <row r="21555" customFormat="1" x14ac:dyDescent="0.3"/>
    <row r="21556" customFormat="1" x14ac:dyDescent="0.3"/>
    <row r="21557" customFormat="1" x14ac:dyDescent="0.3"/>
    <row r="21558" customFormat="1" x14ac:dyDescent="0.3"/>
    <row r="21559" customFormat="1" x14ac:dyDescent="0.3"/>
    <row r="21560" customFormat="1" x14ac:dyDescent="0.3"/>
    <row r="21561" customFormat="1" x14ac:dyDescent="0.3"/>
    <row r="21562" customFormat="1" x14ac:dyDescent="0.3"/>
    <row r="21563" customFormat="1" x14ac:dyDescent="0.3"/>
    <row r="21564" customFormat="1" x14ac:dyDescent="0.3"/>
    <row r="21565" customFormat="1" x14ac:dyDescent="0.3"/>
    <row r="21566" customFormat="1" x14ac:dyDescent="0.3"/>
    <row r="21567" customFormat="1" x14ac:dyDescent="0.3"/>
    <row r="21568" customFormat="1" x14ac:dyDescent="0.3"/>
    <row r="21569" customFormat="1" x14ac:dyDescent="0.3"/>
    <row r="21570" customFormat="1" x14ac:dyDescent="0.3"/>
    <row r="21571" customFormat="1" x14ac:dyDescent="0.3"/>
    <row r="21572" customFormat="1" x14ac:dyDescent="0.3"/>
    <row r="21573" customFormat="1" x14ac:dyDescent="0.3"/>
    <row r="21574" customFormat="1" x14ac:dyDescent="0.3"/>
    <row r="21575" customFormat="1" x14ac:dyDescent="0.3"/>
    <row r="21576" customFormat="1" x14ac:dyDescent="0.3"/>
    <row r="21577" customFormat="1" x14ac:dyDescent="0.3"/>
    <row r="21578" customFormat="1" x14ac:dyDescent="0.3"/>
    <row r="21579" customFormat="1" x14ac:dyDescent="0.3"/>
    <row r="21580" customFormat="1" x14ac:dyDescent="0.3"/>
    <row r="21581" customFormat="1" x14ac:dyDescent="0.3"/>
    <row r="21582" customFormat="1" x14ac:dyDescent="0.3"/>
    <row r="21583" customFormat="1" x14ac:dyDescent="0.3"/>
    <row r="21584" customFormat="1" x14ac:dyDescent="0.3"/>
    <row r="21585" customFormat="1" x14ac:dyDescent="0.3"/>
    <row r="21586" customFormat="1" x14ac:dyDescent="0.3"/>
    <row r="21587" customFormat="1" x14ac:dyDescent="0.3"/>
    <row r="21588" customFormat="1" x14ac:dyDescent="0.3"/>
    <row r="21589" customFormat="1" x14ac:dyDescent="0.3"/>
    <row r="21590" customFormat="1" x14ac:dyDescent="0.3"/>
    <row r="21591" customFormat="1" x14ac:dyDescent="0.3"/>
    <row r="21592" customFormat="1" x14ac:dyDescent="0.3"/>
    <row r="21593" customFormat="1" x14ac:dyDescent="0.3"/>
    <row r="21594" customFormat="1" x14ac:dyDescent="0.3"/>
    <row r="21595" customFormat="1" x14ac:dyDescent="0.3"/>
    <row r="21596" customFormat="1" x14ac:dyDescent="0.3"/>
    <row r="21597" customFormat="1" x14ac:dyDescent="0.3"/>
    <row r="21598" customFormat="1" x14ac:dyDescent="0.3"/>
    <row r="21599" customFormat="1" x14ac:dyDescent="0.3"/>
    <row r="21600" customFormat="1" x14ac:dyDescent="0.3"/>
    <row r="21601" customFormat="1" x14ac:dyDescent="0.3"/>
    <row r="21602" customFormat="1" x14ac:dyDescent="0.3"/>
    <row r="21603" customFormat="1" x14ac:dyDescent="0.3"/>
    <row r="21604" customFormat="1" x14ac:dyDescent="0.3"/>
    <row r="21605" customFormat="1" x14ac:dyDescent="0.3"/>
    <row r="21606" customFormat="1" x14ac:dyDescent="0.3"/>
    <row r="21607" customFormat="1" x14ac:dyDescent="0.3"/>
    <row r="21608" customFormat="1" x14ac:dyDescent="0.3"/>
    <row r="21609" customFormat="1" x14ac:dyDescent="0.3"/>
    <row r="21610" customFormat="1" x14ac:dyDescent="0.3"/>
    <row r="21611" customFormat="1" x14ac:dyDescent="0.3"/>
    <row r="21612" customFormat="1" x14ac:dyDescent="0.3"/>
    <row r="21613" customFormat="1" x14ac:dyDescent="0.3"/>
    <row r="21614" customFormat="1" x14ac:dyDescent="0.3"/>
    <row r="21615" customFormat="1" x14ac:dyDescent="0.3"/>
    <row r="21616" customFormat="1" x14ac:dyDescent="0.3"/>
    <row r="21617" customFormat="1" x14ac:dyDescent="0.3"/>
    <row r="21618" customFormat="1" x14ac:dyDescent="0.3"/>
    <row r="21619" customFormat="1" x14ac:dyDescent="0.3"/>
    <row r="21620" customFormat="1" x14ac:dyDescent="0.3"/>
    <row r="21621" customFormat="1" x14ac:dyDescent="0.3"/>
    <row r="21622" customFormat="1" x14ac:dyDescent="0.3"/>
    <row r="21623" customFormat="1" x14ac:dyDescent="0.3"/>
    <row r="21624" customFormat="1" x14ac:dyDescent="0.3"/>
    <row r="21625" customFormat="1" x14ac:dyDescent="0.3"/>
    <row r="21626" customFormat="1" x14ac:dyDescent="0.3"/>
    <row r="21627" customFormat="1" x14ac:dyDescent="0.3"/>
    <row r="21628" customFormat="1" x14ac:dyDescent="0.3"/>
    <row r="21629" customFormat="1" x14ac:dyDescent="0.3"/>
    <row r="21630" customFormat="1" x14ac:dyDescent="0.3"/>
    <row r="21631" customFormat="1" x14ac:dyDescent="0.3"/>
    <row r="21632" customFormat="1" x14ac:dyDescent="0.3"/>
    <row r="21633" customFormat="1" x14ac:dyDescent="0.3"/>
    <row r="21634" customFormat="1" x14ac:dyDescent="0.3"/>
    <row r="21635" customFormat="1" x14ac:dyDescent="0.3"/>
    <row r="21636" customFormat="1" x14ac:dyDescent="0.3"/>
    <row r="21637" customFormat="1" x14ac:dyDescent="0.3"/>
    <row r="21638" customFormat="1" x14ac:dyDescent="0.3"/>
    <row r="21639" customFormat="1" x14ac:dyDescent="0.3"/>
    <row r="21640" customFormat="1" x14ac:dyDescent="0.3"/>
    <row r="21641" customFormat="1" x14ac:dyDescent="0.3"/>
    <row r="21642" customFormat="1" x14ac:dyDescent="0.3"/>
    <row r="21643" customFormat="1" x14ac:dyDescent="0.3"/>
    <row r="21644" customFormat="1" x14ac:dyDescent="0.3"/>
    <row r="21645" customFormat="1" x14ac:dyDescent="0.3"/>
    <row r="21646" customFormat="1" x14ac:dyDescent="0.3"/>
    <row r="21647" customFormat="1" x14ac:dyDescent="0.3"/>
    <row r="21648" customFormat="1" x14ac:dyDescent="0.3"/>
    <row r="21649" customFormat="1" x14ac:dyDescent="0.3"/>
    <row r="21650" customFormat="1" x14ac:dyDescent="0.3"/>
    <row r="21651" customFormat="1" x14ac:dyDescent="0.3"/>
    <row r="21652" customFormat="1" x14ac:dyDescent="0.3"/>
    <row r="21653" customFormat="1" x14ac:dyDescent="0.3"/>
    <row r="21654" customFormat="1" x14ac:dyDescent="0.3"/>
    <row r="21655" customFormat="1" x14ac:dyDescent="0.3"/>
    <row r="21656" customFormat="1" x14ac:dyDescent="0.3"/>
    <row r="21657" customFormat="1" x14ac:dyDescent="0.3"/>
    <row r="21658" customFormat="1" x14ac:dyDescent="0.3"/>
    <row r="21659" customFormat="1" x14ac:dyDescent="0.3"/>
    <row r="21660" customFormat="1" x14ac:dyDescent="0.3"/>
    <row r="21661" customFormat="1" x14ac:dyDescent="0.3"/>
    <row r="21662" customFormat="1" x14ac:dyDescent="0.3"/>
    <row r="21663" customFormat="1" x14ac:dyDescent="0.3"/>
    <row r="21664" customFormat="1" x14ac:dyDescent="0.3"/>
    <row r="21665" customFormat="1" x14ac:dyDescent="0.3"/>
    <row r="21666" customFormat="1" x14ac:dyDescent="0.3"/>
    <row r="21667" customFormat="1" x14ac:dyDescent="0.3"/>
    <row r="21668" customFormat="1" x14ac:dyDescent="0.3"/>
    <row r="21669" customFormat="1" x14ac:dyDescent="0.3"/>
    <row r="21670" customFormat="1" x14ac:dyDescent="0.3"/>
    <row r="21671" customFormat="1" x14ac:dyDescent="0.3"/>
    <row r="21672" customFormat="1" x14ac:dyDescent="0.3"/>
    <row r="21673" customFormat="1" x14ac:dyDescent="0.3"/>
    <row r="21674" customFormat="1" x14ac:dyDescent="0.3"/>
    <row r="21675" customFormat="1" x14ac:dyDescent="0.3"/>
    <row r="21676" customFormat="1" x14ac:dyDescent="0.3"/>
    <row r="21677" customFormat="1" x14ac:dyDescent="0.3"/>
    <row r="21678" customFormat="1" x14ac:dyDescent="0.3"/>
    <row r="21679" customFormat="1" x14ac:dyDescent="0.3"/>
    <row r="21680" customFormat="1" x14ac:dyDescent="0.3"/>
    <row r="21681" customFormat="1" x14ac:dyDescent="0.3"/>
    <row r="21682" customFormat="1" x14ac:dyDescent="0.3"/>
    <row r="21683" customFormat="1" x14ac:dyDescent="0.3"/>
    <row r="21684" customFormat="1" x14ac:dyDescent="0.3"/>
    <row r="21685" customFormat="1" x14ac:dyDescent="0.3"/>
    <row r="21686" customFormat="1" x14ac:dyDescent="0.3"/>
    <row r="21687" customFormat="1" x14ac:dyDescent="0.3"/>
    <row r="21688" customFormat="1" x14ac:dyDescent="0.3"/>
    <row r="21689" customFormat="1" x14ac:dyDescent="0.3"/>
    <row r="21690" customFormat="1" x14ac:dyDescent="0.3"/>
    <row r="21691" customFormat="1" x14ac:dyDescent="0.3"/>
    <row r="21692" customFormat="1" x14ac:dyDescent="0.3"/>
    <row r="21693" customFormat="1" x14ac:dyDescent="0.3"/>
    <row r="21694" customFormat="1" x14ac:dyDescent="0.3"/>
    <row r="21695" customFormat="1" x14ac:dyDescent="0.3"/>
    <row r="21696" customFormat="1" x14ac:dyDescent="0.3"/>
    <row r="21697" customFormat="1" x14ac:dyDescent="0.3"/>
    <row r="21698" customFormat="1" x14ac:dyDescent="0.3"/>
    <row r="21699" customFormat="1" x14ac:dyDescent="0.3"/>
    <row r="21700" customFormat="1" x14ac:dyDescent="0.3"/>
    <row r="21701" customFormat="1" x14ac:dyDescent="0.3"/>
    <row r="21702" customFormat="1" x14ac:dyDescent="0.3"/>
    <row r="21703" customFormat="1" x14ac:dyDescent="0.3"/>
    <row r="21704" customFormat="1" x14ac:dyDescent="0.3"/>
    <row r="21705" customFormat="1" x14ac:dyDescent="0.3"/>
    <row r="21706" customFormat="1" x14ac:dyDescent="0.3"/>
    <row r="21707" customFormat="1" x14ac:dyDescent="0.3"/>
    <row r="21708" customFormat="1" x14ac:dyDescent="0.3"/>
    <row r="21709" customFormat="1" x14ac:dyDescent="0.3"/>
    <row r="21710" customFormat="1" x14ac:dyDescent="0.3"/>
    <row r="21711" customFormat="1" x14ac:dyDescent="0.3"/>
    <row r="21712" customFormat="1" x14ac:dyDescent="0.3"/>
    <row r="21713" customFormat="1" x14ac:dyDescent="0.3"/>
    <row r="21714" customFormat="1" x14ac:dyDescent="0.3"/>
    <row r="21715" customFormat="1" x14ac:dyDescent="0.3"/>
    <row r="21716" customFormat="1" x14ac:dyDescent="0.3"/>
    <row r="21717" customFormat="1" x14ac:dyDescent="0.3"/>
    <row r="21718" customFormat="1" x14ac:dyDescent="0.3"/>
    <row r="21719" customFormat="1" x14ac:dyDescent="0.3"/>
    <row r="21720" customFormat="1" x14ac:dyDescent="0.3"/>
    <row r="21721" customFormat="1" x14ac:dyDescent="0.3"/>
    <row r="21722" customFormat="1" x14ac:dyDescent="0.3"/>
    <row r="21723" customFormat="1" x14ac:dyDescent="0.3"/>
    <row r="21724" customFormat="1" x14ac:dyDescent="0.3"/>
    <row r="21725" customFormat="1" x14ac:dyDescent="0.3"/>
    <row r="21726" customFormat="1" x14ac:dyDescent="0.3"/>
    <row r="21727" customFormat="1" x14ac:dyDescent="0.3"/>
    <row r="21728" customFormat="1" x14ac:dyDescent="0.3"/>
    <row r="21729" customFormat="1" x14ac:dyDescent="0.3"/>
    <row r="21730" customFormat="1" x14ac:dyDescent="0.3"/>
    <row r="21731" customFormat="1" x14ac:dyDescent="0.3"/>
    <row r="21732" customFormat="1" x14ac:dyDescent="0.3"/>
    <row r="21733" customFormat="1" x14ac:dyDescent="0.3"/>
    <row r="21734" customFormat="1" x14ac:dyDescent="0.3"/>
    <row r="21735" customFormat="1" x14ac:dyDescent="0.3"/>
    <row r="21736" customFormat="1" x14ac:dyDescent="0.3"/>
    <row r="21737" customFormat="1" x14ac:dyDescent="0.3"/>
    <row r="21738" customFormat="1" x14ac:dyDescent="0.3"/>
    <row r="21739" customFormat="1" x14ac:dyDescent="0.3"/>
    <row r="21740" customFormat="1" x14ac:dyDescent="0.3"/>
    <row r="21741" customFormat="1" x14ac:dyDescent="0.3"/>
    <row r="21742" customFormat="1" x14ac:dyDescent="0.3"/>
    <row r="21743" customFormat="1" x14ac:dyDescent="0.3"/>
    <row r="21744" customFormat="1" x14ac:dyDescent="0.3"/>
    <row r="21745" customFormat="1" x14ac:dyDescent="0.3"/>
    <row r="21746" customFormat="1" x14ac:dyDescent="0.3"/>
    <row r="21747" customFormat="1" x14ac:dyDescent="0.3"/>
    <row r="21748" customFormat="1" x14ac:dyDescent="0.3"/>
    <row r="21749" customFormat="1" x14ac:dyDescent="0.3"/>
    <row r="21750" customFormat="1" x14ac:dyDescent="0.3"/>
    <row r="21751" customFormat="1" x14ac:dyDescent="0.3"/>
    <row r="21752" customFormat="1" x14ac:dyDescent="0.3"/>
    <row r="21753" customFormat="1" x14ac:dyDescent="0.3"/>
    <row r="21754" customFormat="1" x14ac:dyDescent="0.3"/>
    <row r="21755" customFormat="1" x14ac:dyDescent="0.3"/>
    <row r="21756" customFormat="1" x14ac:dyDescent="0.3"/>
    <row r="21757" customFormat="1" x14ac:dyDescent="0.3"/>
    <row r="21758" customFormat="1" x14ac:dyDescent="0.3"/>
    <row r="21759" customFormat="1" x14ac:dyDescent="0.3"/>
    <row r="21760" customFormat="1" x14ac:dyDescent="0.3"/>
    <row r="21761" customFormat="1" x14ac:dyDescent="0.3"/>
    <row r="21762" customFormat="1" x14ac:dyDescent="0.3"/>
    <row r="21763" customFormat="1" x14ac:dyDescent="0.3"/>
    <row r="21764" customFormat="1" x14ac:dyDescent="0.3"/>
    <row r="21765" customFormat="1" x14ac:dyDescent="0.3"/>
    <row r="21766" customFormat="1" x14ac:dyDescent="0.3"/>
    <row r="21767" customFormat="1" x14ac:dyDescent="0.3"/>
    <row r="21768" customFormat="1" x14ac:dyDescent="0.3"/>
    <row r="21769" customFormat="1" x14ac:dyDescent="0.3"/>
    <row r="21770" customFormat="1" x14ac:dyDescent="0.3"/>
    <row r="21771" customFormat="1" x14ac:dyDescent="0.3"/>
    <row r="21772" customFormat="1" x14ac:dyDescent="0.3"/>
    <row r="21773" customFormat="1" x14ac:dyDescent="0.3"/>
    <row r="21774" customFormat="1" x14ac:dyDescent="0.3"/>
    <row r="21775" customFormat="1" x14ac:dyDescent="0.3"/>
    <row r="21776" customFormat="1" x14ac:dyDescent="0.3"/>
    <row r="21777" customFormat="1" x14ac:dyDescent="0.3"/>
    <row r="21778" customFormat="1" x14ac:dyDescent="0.3"/>
    <row r="21779" customFormat="1" x14ac:dyDescent="0.3"/>
    <row r="21780" customFormat="1" x14ac:dyDescent="0.3"/>
    <row r="21781" customFormat="1" x14ac:dyDescent="0.3"/>
    <row r="21782" customFormat="1" x14ac:dyDescent="0.3"/>
    <row r="21783" customFormat="1" x14ac:dyDescent="0.3"/>
    <row r="21784" customFormat="1" x14ac:dyDescent="0.3"/>
    <row r="21785" customFormat="1" x14ac:dyDescent="0.3"/>
    <row r="21786" customFormat="1" x14ac:dyDescent="0.3"/>
    <row r="21787" customFormat="1" x14ac:dyDescent="0.3"/>
    <row r="21788" customFormat="1" x14ac:dyDescent="0.3"/>
    <row r="21789" customFormat="1" x14ac:dyDescent="0.3"/>
    <row r="21790" customFormat="1" x14ac:dyDescent="0.3"/>
    <row r="21791" customFormat="1" x14ac:dyDescent="0.3"/>
    <row r="21792" customFormat="1" x14ac:dyDescent="0.3"/>
    <row r="21793" customFormat="1" x14ac:dyDescent="0.3"/>
    <row r="21794" customFormat="1" x14ac:dyDescent="0.3"/>
    <row r="21795" customFormat="1" x14ac:dyDescent="0.3"/>
    <row r="21796" customFormat="1" x14ac:dyDescent="0.3"/>
    <row r="21797" customFormat="1" x14ac:dyDescent="0.3"/>
    <row r="21798" customFormat="1" x14ac:dyDescent="0.3"/>
    <row r="21799" customFormat="1" x14ac:dyDescent="0.3"/>
    <row r="21800" customFormat="1" x14ac:dyDescent="0.3"/>
    <row r="21801" customFormat="1" x14ac:dyDescent="0.3"/>
    <row r="21802" customFormat="1" x14ac:dyDescent="0.3"/>
    <row r="21803" customFormat="1" x14ac:dyDescent="0.3"/>
    <row r="21804" customFormat="1" x14ac:dyDescent="0.3"/>
    <row r="21805" customFormat="1" x14ac:dyDescent="0.3"/>
    <row r="21806" customFormat="1" x14ac:dyDescent="0.3"/>
    <row r="21807" customFormat="1" x14ac:dyDescent="0.3"/>
    <row r="21808" customFormat="1" x14ac:dyDescent="0.3"/>
    <row r="21809" customFormat="1" x14ac:dyDescent="0.3"/>
    <row r="21810" customFormat="1" x14ac:dyDescent="0.3"/>
    <row r="21811" customFormat="1" x14ac:dyDescent="0.3"/>
    <row r="21812" customFormat="1" x14ac:dyDescent="0.3"/>
    <row r="21813" customFormat="1" x14ac:dyDescent="0.3"/>
    <row r="21814" customFormat="1" x14ac:dyDescent="0.3"/>
    <row r="21815" customFormat="1" x14ac:dyDescent="0.3"/>
    <row r="21816" customFormat="1" x14ac:dyDescent="0.3"/>
    <row r="21817" customFormat="1" x14ac:dyDescent="0.3"/>
    <row r="21818" customFormat="1" x14ac:dyDescent="0.3"/>
    <row r="21819" customFormat="1" x14ac:dyDescent="0.3"/>
    <row r="21820" customFormat="1" x14ac:dyDescent="0.3"/>
    <row r="21821" customFormat="1" x14ac:dyDescent="0.3"/>
    <row r="21822" customFormat="1" x14ac:dyDescent="0.3"/>
    <row r="21823" customFormat="1" x14ac:dyDescent="0.3"/>
    <row r="21824" customFormat="1" x14ac:dyDescent="0.3"/>
    <row r="21825" customFormat="1" x14ac:dyDescent="0.3"/>
    <row r="21826" customFormat="1" x14ac:dyDescent="0.3"/>
    <row r="21827" customFormat="1" x14ac:dyDescent="0.3"/>
    <row r="21828" customFormat="1" x14ac:dyDescent="0.3"/>
    <row r="21829" customFormat="1" x14ac:dyDescent="0.3"/>
    <row r="21830" customFormat="1" x14ac:dyDescent="0.3"/>
    <row r="21831" customFormat="1" x14ac:dyDescent="0.3"/>
    <row r="21832" customFormat="1" x14ac:dyDescent="0.3"/>
    <row r="21833" customFormat="1" x14ac:dyDescent="0.3"/>
    <row r="21834" customFormat="1" x14ac:dyDescent="0.3"/>
    <row r="21835" customFormat="1" x14ac:dyDescent="0.3"/>
    <row r="21836" customFormat="1" x14ac:dyDescent="0.3"/>
    <row r="21837" customFormat="1" x14ac:dyDescent="0.3"/>
    <row r="21838" customFormat="1" x14ac:dyDescent="0.3"/>
    <row r="21839" customFormat="1" x14ac:dyDescent="0.3"/>
    <row r="21840" customFormat="1" x14ac:dyDescent="0.3"/>
    <row r="21841" customFormat="1" x14ac:dyDescent="0.3"/>
    <row r="21842" customFormat="1" x14ac:dyDescent="0.3"/>
    <row r="21843" customFormat="1" x14ac:dyDescent="0.3"/>
    <row r="21844" customFormat="1" x14ac:dyDescent="0.3"/>
    <row r="21845" customFormat="1" x14ac:dyDescent="0.3"/>
    <row r="21846" customFormat="1" x14ac:dyDescent="0.3"/>
    <row r="21847" customFormat="1" x14ac:dyDescent="0.3"/>
    <row r="21848" customFormat="1" x14ac:dyDescent="0.3"/>
    <row r="21849" customFormat="1" x14ac:dyDescent="0.3"/>
    <row r="21850" customFormat="1" x14ac:dyDescent="0.3"/>
    <row r="21851" customFormat="1" x14ac:dyDescent="0.3"/>
    <row r="21852" customFormat="1" x14ac:dyDescent="0.3"/>
    <row r="21853" customFormat="1" x14ac:dyDescent="0.3"/>
    <row r="21854" customFormat="1" x14ac:dyDescent="0.3"/>
    <row r="21855" customFormat="1" x14ac:dyDescent="0.3"/>
    <row r="21856" customFormat="1" x14ac:dyDescent="0.3"/>
    <row r="21857" customFormat="1" x14ac:dyDescent="0.3"/>
    <row r="21858" customFormat="1" x14ac:dyDescent="0.3"/>
    <row r="21859" customFormat="1" x14ac:dyDescent="0.3"/>
    <row r="21860" customFormat="1" x14ac:dyDescent="0.3"/>
    <row r="21861" customFormat="1" x14ac:dyDescent="0.3"/>
    <row r="21862" customFormat="1" x14ac:dyDescent="0.3"/>
    <row r="21863" customFormat="1" x14ac:dyDescent="0.3"/>
    <row r="21864" customFormat="1" x14ac:dyDescent="0.3"/>
    <row r="21865" customFormat="1" x14ac:dyDescent="0.3"/>
    <row r="21866" customFormat="1" x14ac:dyDescent="0.3"/>
    <row r="21867" customFormat="1" x14ac:dyDescent="0.3"/>
    <row r="21868" customFormat="1" x14ac:dyDescent="0.3"/>
    <row r="21869" customFormat="1" x14ac:dyDescent="0.3"/>
    <row r="21870" customFormat="1" x14ac:dyDescent="0.3"/>
    <row r="21871" customFormat="1" x14ac:dyDescent="0.3"/>
    <row r="21872" customFormat="1" x14ac:dyDescent="0.3"/>
    <row r="21873" customFormat="1" x14ac:dyDescent="0.3"/>
    <row r="21874" customFormat="1" x14ac:dyDescent="0.3"/>
    <row r="21875" customFormat="1" x14ac:dyDescent="0.3"/>
    <row r="21876" customFormat="1" x14ac:dyDescent="0.3"/>
    <row r="21877" customFormat="1" x14ac:dyDescent="0.3"/>
    <row r="21878" customFormat="1" x14ac:dyDescent="0.3"/>
    <row r="21879" customFormat="1" x14ac:dyDescent="0.3"/>
    <row r="21880" customFormat="1" x14ac:dyDescent="0.3"/>
    <row r="21881" customFormat="1" x14ac:dyDescent="0.3"/>
    <row r="21882" customFormat="1" x14ac:dyDescent="0.3"/>
    <row r="21883" customFormat="1" x14ac:dyDescent="0.3"/>
    <row r="21884" customFormat="1" x14ac:dyDescent="0.3"/>
    <row r="21885" customFormat="1" x14ac:dyDescent="0.3"/>
    <row r="21886" customFormat="1" x14ac:dyDescent="0.3"/>
    <row r="21887" customFormat="1" x14ac:dyDescent="0.3"/>
    <row r="21888" customFormat="1" x14ac:dyDescent="0.3"/>
    <row r="21889" customFormat="1" x14ac:dyDescent="0.3"/>
    <row r="21890" customFormat="1" x14ac:dyDescent="0.3"/>
    <row r="21891" customFormat="1" x14ac:dyDescent="0.3"/>
    <row r="21892" customFormat="1" x14ac:dyDescent="0.3"/>
    <row r="21893" customFormat="1" x14ac:dyDescent="0.3"/>
    <row r="21894" customFormat="1" x14ac:dyDescent="0.3"/>
    <row r="21895" customFormat="1" x14ac:dyDescent="0.3"/>
    <row r="21896" customFormat="1" x14ac:dyDescent="0.3"/>
    <row r="21897" customFormat="1" x14ac:dyDescent="0.3"/>
    <row r="21898" customFormat="1" x14ac:dyDescent="0.3"/>
    <row r="21899" customFormat="1" x14ac:dyDescent="0.3"/>
    <row r="21900" customFormat="1" x14ac:dyDescent="0.3"/>
    <row r="21901" customFormat="1" x14ac:dyDescent="0.3"/>
    <row r="21902" customFormat="1" x14ac:dyDescent="0.3"/>
    <row r="21903" customFormat="1" x14ac:dyDescent="0.3"/>
    <row r="21904" customFormat="1" x14ac:dyDescent="0.3"/>
    <row r="21905" customFormat="1" x14ac:dyDescent="0.3"/>
    <row r="21906" customFormat="1" x14ac:dyDescent="0.3"/>
    <row r="21907" customFormat="1" x14ac:dyDescent="0.3"/>
    <row r="21908" customFormat="1" x14ac:dyDescent="0.3"/>
    <row r="21909" customFormat="1" x14ac:dyDescent="0.3"/>
    <row r="21910" customFormat="1" x14ac:dyDescent="0.3"/>
    <row r="21911" customFormat="1" x14ac:dyDescent="0.3"/>
    <row r="21912" customFormat="1" x14ac:dyDescent="0.3"/>
    <row r="21913" customFormat="1" x14ac:dyDescent="0.3"/>
    <row r="21914" customFormat="1" x14ac:dyDescent="0.3"/>
    <row r="21915" customFormat="1" x14ac:dyDescent="0.3"/>
    <row r="21916" customFormat="1" x14ac:dyDescent="0.3"/>
    <row r="21917" customFormat="1" x14ac:dyDescent="0.3"/>
    <row r="21918" customFormat="1" x14ac:dyDescent="0.3"/>
    <row r="21919" customFormat="1" x14ac:dyDescent="0.3"/>
    <row r="21920" customFormat="1" x14ac:dyDescent="0.3"/>
    <row r="21921" customFormat="1" x14ac:dyDescent="0.3"/>
    <row r="21922" customFormat="1" x14ac:dyDescent="0.3"/>
    <row r="21923" customFormat="1" x14ac:dyDescent="0.3"/>
    <row r="21924" customFormat="1" x14ac:dyDescent="0.3"/>
    <row r="21925" customFormat="1" x14ac:dyDescent="0.3"/>
    <row r="21926" customFormat="1" x14ac:dyDescent="0.3"/>
    <row r="21927" customFormat="1" x14ac:dyDescent="0.3"/>
    <row r="21928" customFormat="1" x14ac:dyDescent="0.3"/>
    <row r="21929" customFormat="1" x14ac:dyDescent="0.3"/>
    <row r="21930" customFormat="1" x14ac:dyDescent="0.3"/>
    <row r="21931" customFormat="1" x14ac:dyDescent="0.3"/>
    <row r="21932" customFormat="1" x14ac:dyDescent="0.3"/>
    <row r="21933" customFormat="1" x14ac:dyDescent="0.3"/>
    <row r="21934" customFormat="1" x14ac:dyDescent="0.3"/>
    <row r="21935" customFormat="1" x14ac:dyDescent="0.3"/>
    <row r="21936" customFormat="1" x14ac:dyDescent="0.3"/>
    <row r="21937" customFormat="1" x14ac:dyDescent="0.3"/>
    <row r="21938" customFormat="1" x14ac:dyDescent="0.3"/>
    <row r="21939" customFormat="1" x14ac:dyDescent="0.3"/>
    <row r="21940" customFormat="1" x14ac:dyDescent="0.3"/>
    <row r="21941" customFormat="1" x14ac:dyDescent="0.3"/>
    <row r="21942" customFormat="1" x14ac:dyDescent="0.3"/>
    <row r="21943" customFormat="1" x14ac:dyDescent="0.3"/>
    <row r="21944" customFormat="1" x14ac:dyDescent="0.3"/>
    <row r="21945" customFormat="1" x14ac:dyDescent="0.3"/>
    <row r="21946" customFormat="1" x14ac:dyDescent="0.3"/>
    <row r="21947" customFormat="1" x14ac:dyDescent="0.3"/>
    <row r="21948" customFormat="1" x14ac:dyDescent="0.3"/>
    <row r="21949" customFormat="1" x14ac:dyDescent="0.3"/>
    <row r="21950" customFormat="1" x14ac:dyDescent="0.3"/>
    <row r="21951" customFormat="1" x14ac:dyDescent="0.3"/>
    <row r="21952" customFormat="1" x14ac:dyDescent="0.3"/>
    <row r="21953" customFormat="1" x14ac:dyDescent="0.3"/>
    <row r="21954" customFormat="1" x14ac:dyDescent="0.3"/>
    <row r="21955" customFormat="1" x14ac:dyDescent="0.3"/>
    <row r="21956" customFormat="1" x14ac:dyDescent="0.3"/>
    <row r="21957" customFormat="1" x14ac:dyDescent="0.3"/>
    <row r="21958" customFormat="1" x14ac:dyDescent="0.3"/>
    <row r="21959" customFormat="1" x14ac:dyDescent="0.3"/>
    <row r="21960" customFormat="1" x14ac:dyDescent="0.3"/>
    <row r="21961" customFormat="1" x14ac:dyDescent="0.3"/>
    <row r="21962" customFormat="1" x14ac:dyDescent="0.3"/>
    <row r="21963" customFormat="1" x14ac:dyDescent="0.3"/>
    <row r="21964" customFormat="1" x14ac:dyDescent="0.3"/>
    <row r="21965" customFormat="1" x14ac:dyDescent="0.3"/>
    <row r="21966" customFormat="1" x14ac:dyDescent="0.3"/>
    <row r="21967" customFormat="1" x14ac:dyDescent="0.3"/>
    <row r="21968" customFormat="1" x14ac:dyDescent="0.3"/>
    <row r="21969" customFormat="1" x14ac:dyDescent="0.3"/>
    <row r="21970" customFormat="1" x14ac:dyDescent="0.3"/>
    <row r="21971" customFormat="1" x14ac:dyDescent="0.3"/>
    <row r="21972" customFormat="1" x14ac:dyDescent="0.3"/>
    <row r="21973" customFormat="1" x14ac:dyDescent="0.3"/>
    <row r="21974" customFormat="1" x14ac:dyDescent="0.3"/>
    <row r="21975" customFormat="1" x14ac:dyDescent="0.3"/>
    <row r="21976" customFormat="1" x14ac:dyDescent="0.3"/>
    <row r="21977" customFormat="1" x14ac:dyDescent="0.3"/>
    <row r="21978" customFormat="1" x14ac:dyDescent="0.3"/>
    <row r="21979" customFormat="1" x14ac:dyDescent="0.3"/>
    <row r="21980" customFormat="1" x14ac:dyDescent="0.3"/>
    <row r="21981" customFormat="1" x14ac:dyDescent="0.3"/>
    <row r="21982" customFormat="1" x14ac:dyDescent="0.3"/>
    <row r="21983" customFormat="1" x14ac:dyDescent="0.3"/>
    <row r="21984" customFormat="1" x14ac:dyDescent="0.3"/>
    <row r="21985" customFormat="1" x14ac:dyDescent="0.3"/>
    <row r="21986" customFormat="1" x14ac:dyDescent="0.3"/>
    <row r="21987" customFormat="1" x14ac:dyDescent="0.3"/>
    <row r="21988" customFormat="1" x14ac:dyDescent="0.3"/>
    <row r="21989" customFormat="1" x14ac:dyDescent="0.3"/>
    <row r="21990" customFormat="1" x14ac:dyDescent="0.3"/>
    <row r="21991" customFormat="1" x14ac:dyDescent="0.3"/>
    <row r="21992" customFormat="1" x14ac:dyDescent="0.3"/>
    <row r="21993" customFormat="1" x14ac:dyDescent="0.3"/>
    <row r="21994" customFormat="1" x14ac:dyDescent="0.3"/>
    <row r="21995" customFormat="1" x14ac:dyDescent="0.3"/>
    <row r="21996" customFormat="1" x14ac:dyDescent="0.3"/>
    <row r="21997" customFormat="1" x14ac:dyDescent="0.3"/>
    <row r="21998" customFormat="1" x14ac:dyDescent="0.3"/>
    <row r="21999" customFormat="1" x14ac:dyDescent="0.3"/>
    <row r="22000" customFormat="1" x14ac:dyDescent="0.3"/>
    <row r="22001" customFormat="1" x14ac:dyDescent="0.3"/>
    <row r="22002" customFormat="1" x14ac:dyDescent="0.3"/>
    <row r="22003" customFormat="1" x14ac:dyDescent="0.3"/>
    <row r="22004" customFormat="1" x14ac:dyDescent="0.3"/>
    <row r="22005" customFormat="1" x14ac:dyDescent="0.3"/>
    <row r="22006" customFormat="1" x14ac:dyDescent="0.3"/>
    <row r="22007" customFormat="1" x14ac:dyDescent="0.3"/>
    <row r="22008" customFormat="1" x14ac:dyDescent="0.3"/>
    <row r="22009" customFormat="1" x14ac:dyDescent="0.3"/>
    <row r="22010" customFormat="1" x14ac:dyDescent="0.3"/>
    <row r="22011" customFormat="1" x14ac:dyDescent="0.3"/>
    <row r="22012" customFormat="1" x14ac:dyDescent="0.3"/>
    <row r="22013" customFormat="1" x14ac:dyDescent="0.3"/>
    <row r="22014" customFormat="1" x14ac:dyDescent="0.3"/>
    <row r="22015" customFormat="1" x14ac:dyDescent="0.3"/>
    <row r="22016" customFormat="1" x14ac:dyDescent="0.3"/>
    <row r="22017" customFormat="1" x14ac:dyDescent="0.3"/>
    <row r="22018" customFormat="1" x14ac:dyDescent="0.3"/>
    <row r="22019" customFormat="1" x14ac:dyDescent="0.3"/>
    <row r="22020" customFormat="1" x14ac:dyDescent="0.3"/>
    <row r="22021" customFormat="1" x14ac:dyDescent="0.3"/>
    <row r="22022" customFormat="1" x14ac:dyDescent="0.3"/>
    <row r="22023" customFormat="1" x14ac:dyDescent="0.3"/>
    <row r="22024" customFormat="1" x14ac:dyDescent="0.3"/>
    <row r="22025" customFormat="1" x14ac:dyDescent="0.3"/>
    <row r="22026" customFormat="1" x14ac:dyDescent="0.3"/>
    <row r="22027" customFormat="1" x14ac:dyDescent="0.3"/>
    <row r="22028" customFormat="1" x14ac:dyDescent="0.3"/>
    <row r="22029" customFormat="1" x14ac:dyDescent="0.3"/>
    <row r="22030" customFormat="1" x14ac:dyDescent="0.3"/>
    <row r="22031" customFormat="1" x14ac:dyDescent="0.3"/>
    <row r="22032" customFormat="1" x14ac:dyDescent="0.3"/>
    <row r="22033" customFormat="1" x14ac:dyDescent="0.3"/>
    <row r="22034" customFormat="1" x14ac:dyDescent="0.3"/>
    <row r="22035" customFormat="1" x14ac:dyDescent="0.3"/>
    <row r="22036" customFormat="1" x14ac:dyDescent="0.3"/>
    <row r="22037" customFormat="1" x14ac:dyDescent="0.3"/>
    <row r="22038" customFormat="1" x14ac:dyDescent="0.3"/>
    <row r="22039" customFormat="1" x14ac:dyDescent="0.3"/>
    <row r="22040" customFormat="1" x14ac:dyDescent="0.3"/>
    <row r="22041" customFormat="1" x14ac:dyDescent="0.3"/>
    <row r="22042" customFormat="1" x14ac:dyDescent="0.3"/>
    <row r="22043" customFormat="1" x14ac:dyDescent="0.3"/>
    <row r="22044" customFormat="1" x14ac:dyDescent="0.3"/>
    <row r="22045" customFormat="1" x14ac:dyDescent="0.3"/>
    <row r="22046" customFormat="1" x14ac:dyDescent="0.3"/>
    <row r="22047" customFormat="1" x14ac:dyDescent="0.3"/>
    <row r="22048" customFormat="1" x14ac:dyDescent="0.3"/>
    <row r="22049" customFormat="1" x14ac:dyDescent="0.3"/>
    <row r="22050" customFormat="1" x14ac:dyDescent="0.3"/>
    <row r="22051" customFormat="1" x14ac:dyDescent="0.3"/>
    <row r="22052" customFormat="1" x14ac:dyDescent="0.3"/>
    <row r="22053" customFormat="1" x14ac:dyDescent="0.3"/>
    <row r="22054" customFormat="1" x14ac:dyDescent="0.3"/>
    <row r="22055" customFormat="1" x14ac:dyDescent="0.3"/>
    <row r="22056" customFormat="1" x14ac:dyDescent="0.3"/>
    <row r="22057" customFormat="1" x14ac:dyDescent="0.3"/>
    <row r="22058" customFormat="1" x14ac:dyDescent="0.3"/>
    <row r="22059" customFormat="1" x14ac:dyDescent="0.3"/>
    <row r="22060" customFormat="1" x14ac:dyDescent="0.3"/>
    <row r="22061" customFormat="1" x14ac:dyDescent="0.3"/>
    <row r="22062" customFormat="1" x14ac:dyDescent="0.3"/>
    <row r="22063" customFormat="1" x14ac:dyDescent="0.3"/>
    <row r="22064" customFormat="1" x14ac:dyDescent="0.3"/>
    <row r="22065" customFormat="1" x14ac:dyDescent="0.3"/>
    <row r="22066" customFormat="1" x14ac:dyDescent="0.3"/>
    <row r="22067" customFormat="1" x14ac:dyDescent="0.3"/>
    <row r="22068" customFormat="1" x14ac:dyDescent="0.3"/>
    <row r="22069" customFormat="1" x14ac:dyDescent="0.3"/>
    <row r="22070" customFormat="1" x14ac:dyDescent="0.3"/>
    <row r="22071" customFormat="1" x14ac:dyDescent="0.3"/>
    <row r="22072" customFormat="1" x14ac:dyDescent="0.3"/>
    <row r="22073" customFormat="1" x14ac:dyDescent="0.3"/>
    <row r="22074" customFormat="1" x14ac:dyDescent="0.3"/>
    <row r="22075" customFormat="1" x14ac:dyDescent="0.3"/>
    <row r="22076" customFormat="1" x14ac:dyDescent="0.3"/>
    <row r="22077" customFormat="1" x14ac:dyDescent="0.3"/>
    <row r="22078" customFormat="1" x14ac:dyDescent="0.3"/>
    <row r="22079" customFormat="1" x14ac:dyDescent="0.3"/>
    <row r="22080" customFormat="1" x14ac:dyDescent="0.3"/>
    <row r="22081" customFormat="1" x14ac:dyDescent="0.3"/>
    <row r="22082" customFormat="1" x14ac:dyDescent="0.3"/>
    <row r="22083" customFormat="1" x14ac:dyDescent="0.3"/>
    <row r="22084" customFormat="1" x14ac:dyDescent="0.3"/>
    <row r="22085" customFormat="1" x14ac:dyDescent="0.3"/>
    <row r="22086" customFormat="1" x14ac:dyDescent="0.3"/>
    <row r="22087" customFormat="1" x14ac:dyDescent="0.3"/>
    <row r="22088" customFormat="1" x14ac:dyDescent="0.3"/>
    <row r="22089" customFormat="1" x14ac:dyDescent="0.3"/>
    <row r="22090" customFormat="1" x14ac:dyDescent="0.3"/>
    <row r="22091" customFormat="1" x14ac:dyDescent="0.3"/>
    <row r="22092" customFormat="1" x14ac:dyDescent="0.3"/>
    <row r="22093" customFormat="1" x14ac:dyDescent="0.3"/>
    <row r="22094" customFormat="1" x14ac:dyDescent="0.3"/>
    <row r="22095" customFormat="1" x14ac:dyDescent="0.3"/>
    <row r="22096" customFormat="1" x14ac:dyDescent="0.3"/>
    <row r="22097" customFormat="1" x14ac:dyDescent="0.3"/>
    <row r="22098" customFormat="1" x14ac:dyDescent="0.3"/>
    <row r="22099" customFormat="1" x14ac:dyDescent="0.3"/>
    <row r="22100" customFormat="1" x14ac:dyDescent="0.3"/>
    <row r="22101" customFormat="1" x14ac:dyDescent="0.3"/>
    <row r="22102" customFormat="1" x14ac:dyDescent="0.3"/>
    <row r="22103" customFormat="1" x14ac:dyDescent="0.3"/>
    <row r="22104" customFormat="1" x14ac:dyDescent="0.3"/>
    <row r="22105" customFormat="1" x14ac:dyDescent="0.3"/>
    <row r="22106" customFormat="1" x14ac:dyDescent="0.3"/>
    <row r="22107" customFormat="1" x14ac:dyDescent="0.3"/>
    <row r="22108" customFormat="1" x14ac:dyDescent="0.3"/>
    <row r="22109" customFormat="1" x14ac:dyDescent="0.3"/>
    <row r="22110" customFormat="1" x14ac:dyDescent="0.3"/>
    <row r="22111" customFormat="1" x14ac:dyDescent="0.3"/>
    <row r="22112" customFormat="1" x14ac:dyDescent="0.3"/>
    <row r="22113" customFormat="1" x14ac:dyDescent="0.3"/>
    <row r="22114" customFormat="1" x14ac:dyDescent="0.3"/>
    <row r="22115" customFormat="1" x14ac:dyDescent="0.3"/>
    <row r="22116" customFormat="1" x14ac:dyDescent="0.3"/>
    <row r="22117" customFormat="1" x14ac:dyDescent="0.3"/>
    <row r="22118" customFormat="1" x14ac:dyDescent="0.3"/>
    <row r="22119" customFormat="1" x14ac:dyDescent="0.3"/>
    <row r="22120" customFormat="1" x14ac:dyDescent="0.3"/>
    <row r="22121" customFormat="1" x14ac:dyDescent="0.3"/>
    <row r="22122" customFormat="1" x14ac:dyDescent="0.3"/>
    <row r="22123" customFormat="1" x14ac:dyDescent="0.3"/>
    <row r="22124" customFormat="1" x14ac:dyDescent="0.3"/>
    <row r="22125" customFormat="1" x14ac:dyDescent="0.3"/>
    <row r="22126" customFormat="1" x14ac:dyDescent="0.3"/>
    <row r="22127" customFormat="1" x14ac:dyDescent="0.3"/>
    <row r="22128" customFormat="1" x14ac:dyDescent="0.3"/>
    <row r="22129" customFormat="1" x14ac:dyDescent="0.3"/>
    <row r="22130" customFormat="1" x14ac:dyDescent="0.3"/>
    <row r="22131" customFormat="1" x14ac:dyDescent="0.3"/>
    <row r="22132" customFormat="1" x14ac:dyDescent="0.3"/>
    <row r="22133" customFormat="1" x14ac:dyDescent="0.3"/>
    <row r="22134" customFormat="1" x14ac:dyDescent="0.3"/>
    <row r="22135" customFormat="1" x14ac:dyDescent="0.3"/>
    <row r="22136" customFormat="1" x14ac:dyDescent="0.3"/>
    <row r="22137" customFormat="1" x14ac:dyDescent="0.3"/>
    <row r="22138" customFormat="1" x14ac:dyDescent="0.3"/>
    <row r="22139" customFormat="1" x14ac:dyDescent="0.3"/>
    <row r="22140" customFormat="1" x14ac:dyDescent="0.3"/>
    <row r="22141" customFormat="1" x14ac:dyDescent="0.3"/>
    <row r="22142" customFormat="1" x14ac:dyDescent="0.3"/>
    <row r="22143" customFormat="1" x14ac:dyDescent="0.3"/>
    <row r="22144" customFormat="1" x14ac:dyDescent="0.3"/>
    <row r="22145" customFormat="1" x14ac:dyDescent="0.3"/>
    <row r="22146" customFormat="1" x14ac:dyDescent="0.3"/>
    <row r="22147" customFormat="1" x14ac:dyDescent="0.3"/>
    <row r="22148" customFormat="1" x14ac:dyDescent="0.3"/>
    <row r="22149" customFormat="1" x14ac:dyDescent="0.3"/>
    <row r="22150" customFormat="1" x14ac:dyDescent="0.3"/>
    <row r="22151" customFormat="1" x14ac:dyDescent="0.3"/>
    <row r="22152" customFormat="1" x14ac:dyDescent="0.3"/>
    <row r="22153" customFormat="1" x14ac:dyDescent="0.3"/>
    <row r="22154" customFormat="1" x14ac:dyDescent="0.3"/>
    <row r="22155" customFormat="1" x14ac:dyDescent="0.3"/>
    <row r="22156" customFormat="1" x14ac:dyDescent="0.3"/>
    <row r="22157" customFormat="1" x14ac:dyDescent="0.3"/>
    <row r="22158" customFormat="1" x14ac:dyDescent="0.3"/>
    <row r="22159" customFormat="1" x14ac:dyDescent="0.3"/>
    <row r="22160" customFormat="1" x14ac:dyDescent="0.3"/>
    <row r="22161" customFormat="1" x14ac:dyDescent="0.3"/>
    <row r="22162" customFormat="1" x14ac:dyDescent="0.3"/>
    <row r="22163" customFormat="1" x14ac:dyDescent="0.3"/>
    <row r="22164" customFormat="1" x14ac:dyDescent="0.3"/>
    <row r="22165" customFormat="1" x14ac:dyDescent="0.3"/>
    <row r="22166" customFormat="1" x14ac:dyDescent="0.3"/>
    <row r="22167" customFormat="1" x14ac:dyDescent="0.3"/>
    <row r="22168" customFormat="1" x14ac:dyDescent="0.3"/>
    <row r="22169" customFormat="1" x14ac:dyDescent="0.3"/>
    <row r="22170" customFormat="1" x14ac:dyDescent="0.3"/>
    <row r="22171" customFormat="1" x14ac:dyDescent="0.3"/>
    <row r="22172" customFormat="1" x14ac:dyDescent="0.3"/>
    <row r="22173" customFormat="1" x14ac:dyDescent="0.3"/>
    <row r="22174" customFormat="1" x14ac:dyDescent="0.3"/>
    <row r="22175" customFormat="1" x14ac:dyDescent="0.3"/>
    <row r="22176" customFormat="1" x14ac:dyDescent="0.3"/>
    <row r="22177" customFormat="1" x14ac:dyDescent="0.3"/>
    <row r="22178" customFormat="1" x14ac:dyDescent="0.3"/>
    <row r="22179" customFormat="1" x14ac:dyDescent="0.3"/>
    <row r="22180" customFormat="1" x14ac:dyDescent="0.3"/>
    <row r="22181" customFormat="1" x14ac:dyDescent="0.3"/>
    <row r="22182" customFormat="1" x14ac:dyDescent="0.3"/>
    <row r="22183" customFormat="1" x14ac:dyDescent="0.3"/>
    <row r="22184" customFormat="1" x14ac:dyDescent="0.3"/>
    <row r="22185" customFormat="1" x14ac:dyDescent="0.3"/>
    <row r="22186" customFormat="1" x14ac:dyDescent="0.3"/>
    <row r="22187" customFormat="1" x14ac:dyDescent="0.3"/>
    <row r="22188" customFormat="1" x14ac:dyDescent="0.3"/>
    <row r="22189" customFormat="1" x14ac:dyDescent="0.3"/>
    <row r="22190" customFormat="1" x14ac:dyDescent="0.3"/>
    <row r="22191" customFormat="1" x14ac:dyDescent="0.3"/>
    <row r="22192" customFormat="1" x14ac:dyDescent="0.3"/>
    <row r="22193" customFormat="1" x14ac:dyDescent="0.3"/>
    <row r="22194" customFormat="1" x14ac:dyDescent="0.3"/>
    <row r="22195" customFormat="1" x14ac:dyDescent="0.3"/>
    <row r="22196" customFormat="1" x14ac:dyDescent="0.3"/>
    <row r="22197" customFormat="1" x14ac:dyDescent="0.3"/>
    <row r="22198" customFormat="1" x14ac:dyDescent="0.3"/>
    <row r="22199" customFormat="1" x14ac:dyDescent="0.3"/>
    <row r="22200" customFormat="1" x14ac:dyDescent="0.3"/>
    <row r="22201" customFormat="1" x14ac:dyDescent="0.3"/>
    <row r="22202" customFormat="1" x14ac:dyDescent="0.3"/>
    <row r="22203" customFormat="1" x14ac:dyDescent="0.3"/>
    <row r="22204" customFormat="1" x14ac:dyDescent="0.3"/>
    <row r="22205" customFormat="1" x14ac:dyDescent="0.3"/>
    <row r="22206" customFormat="1" x14ac:dyDescent="0.3"/>
    <row r="22207" customFormat="1" x14ac:dyDescent="0.3"/>
    <row r="22208" customFormat="1" x14ac:dyDescent="0.3"/>
    <row r="22209" customFormat="1" x14ac:dyDescent="0.3"/>
    <row r="22210" customFormat="1" x14ac:dyDescent="0.3"/>
    <row r="22211" customFormat="1" x14ac:dyDescent="0.3"/>
    <row r="22212" customFormat="1" x14ac:dyDescent="0.3"/>
    <row r="22213" customFormat="1" x14ac:dyDescent="0.3"/>
    <row r="22214" customFormat="1" x14ac:dyDescent="0.3"/>
    <row r="22215" customFormat="1" x14ac:dyDescent="0.3"/>
    <row r="22216" customFormat="1" x14ac:dyDescent="0.3"/>
    <row r="22217" customFormat="1" x14ac:dyDescent="0.3"/>
    <row r="22218" customFormat="1" x14ac:dyDescent="0.3"/>
    <row r="22219" customFormat="1" x14ac:dyDescent="0.3"/>
    <row r="22220" customFormat="1" x14ac:dyDescent="0.3"/>
    <row r="22221" customFormat="1" x14ac:dyDescent="0.3"/>
    <row r="22222" customFormat="1" x14ac:dyDescent="0.3"/>
    <row r="22223" customFormat="1" x14ac:dyDescent="0.3"/>
    <row r="22224" customFormat="1" x14ac:dyDescent="0.3"/>
    <row r="22225" customFormat="1" x14ac:dyDescent="0.3"/>
    <row r="22226" customFormat="1" x14ac:dyDescent="0.3"/>
    <row r="22227" customFormat="1" x14ac:dyDescent="0.3"/>
    <row r="22228" customFormat="1" x14ac:dyDescent="0.3"/>
    <row r="22229" customFormat="1" x14ac:dyDescent="0.3"/>
    <row r="22230" customFormat="1" x14ac:dyDescent="0.3"/>
    <row r="22231" customFormat="1" x14ac:dyDescent="0.3"/>
    <row r="22232" customFormat="1" x14ac:dyDescent="0.3"/>
    <row r="22233" customFormat="1" x14ac:dyDescent="0.3"/>
    <row r="22234" customFormat="1" x14ac:dyDescent="0.3"/>
    <row r="22235" customFormat="1" x14ac:dyDescent="0.3"/>
    <row r="22236" customFormat="1" x14ac:dyDescent="0.3"/>
    <row r="22237" customFormat="1" x14ac:dyDescent="0.3"/>
    <row r="22238" customFormat="1" x14ac:dyDescent="0.3"/>
    <row r="22239" customFormat="1" x14ac:dyDescent="0.3"/>
    <row r="22240" customFormat="1" x14ac:dyDescent="0.3"/>
    <row r="22241" customFormat="1" x14ac:dyDescent="0.3"/>
    <row r="22242" customFormat="1" x14ac:dyDescent="0.3"/>
    <row r="22243" customFormat="1" x14ac:dyDescent="0.3"/>
    <row r="22244" customFormat="1" x14ac:dyDescent="0.3"/>
    <row r="22245" customFormat="1" x14ac:dyDescent="0.3"/>
    <row r="22246" customFormat="1" x14ac:dyDescent="0.3"/>
    <row r="22247" customFormat="1" x14ac:dyDescent="0.3"/>
    <row r="22248" customFormat="1" x14ac:dyDescent="0.3"/>
    <row r="22249" customFormat="1" x14ac:dyDescent="0.3"/>
    <row r="22250" customFormat="1" x14ac:dyDescent="0.3"/>
    <row r="22251" customFormat="1" x14ac:dyDescent="0.3"/>
    <row r="22252" customFormat="1" x14ac:dyDescent="0.3"/>
    <row r="22253" customFormat="1" x14ac:dyDescent="0.3"/>
    <row r="22254" customFormat="1" x14ac:dyDescent="0.3"/>
    <row r="22255" customFormat="1" x14ac:dyDescent="0.3"/>
    <row r="22256" customFormat="1" x14ac:dyDescent="0.3"/>
    <row r="22257" customFormat="1" x14ac:dyDescent="0.3"/>
    <row r="22258" customFormat="1" x14ac:dyDescent="0.3"/>
    <row r="22259" customFormat="1" x14ac:dyDescent="0.3"/>
    <row r="22260" customFormat="1" x14ac:dyDescent="0.3"/>
    <row r="22261" customFormat="1" x14ac:dyDescent="0.3"/>
    <row r="22262" customFormat="1" x14ac:dyDescent="0.3"/>
    <row r="22263" customFormat="1" x14ac:dyDescent="0.3"/>
    <row r="22264" customFormat="1" x14ac:dyDescent="0.3"/>
    <row r="22265" customFormat="1" x14ac:dyDescent="0.3"/>
    <row r="22266" customFormat="1" x14ac:dyDescent="0.3"/>
    <row r="22267" customFormat="1" x14ac:dyDescent="0.3"/>
    <row r="22268" customFormat="1" x14ac:dyDescent="0.3"/>
    <row r="22269" customFormat="1" x14ac:dyDescent="0.3"/>
    <row r="22270" customFormat="1" x14ac:dyDescent="0.3"/>
    <row r="22271" customFormat="1" x14ac:dyDescent="0.3"/>
    <row r="22272" customFormat="1" x14ac:dyDescent="0.3"/>
    <row r="22273" customFormat="1" x14ac:dyDescent="0.3"/>
    <row r="22274" customFormat="1" x14ac:dyDescent="0.3"/>
    <row r="22275" customFormat="1" x14ac:dyDescent="0.3"/>
    <row r="22276" customFormat="1" x14ac:dyDescent="0.3"/>
    <row r="22277" customFormat="1" x14ac:dyDescent="0.3"/>
    <row r="22278" customFormat="1" x14ac:dyDescent="0.3"/>
    <row r="22279" customFormat="1" x14ac:dyDescent="0.3"/>
    <row r="22280" customFormat="1" x14ac:dyDescent="0.3"/>
    <row r="22281" customFormat="1" x14ac:dyDescent="0.3"/>
    <row r="22282" customFormat="1" x14ac:dyDescent="0.3"/>
    <row r="22283" customFormat="1" x14ac:dyDescent="0.3"/>
    <row r="22284" customFormat="1" x14ac:dyDescent="0.3"/>
    <row r="22285" customFormat="1" x14ac:dyDescent="0.3"/>
    <row r="22286" customFormat="1" x14ac:dyDescent="0.3"/>
    <row r="22287" customFormat="1" x14ac:dyDescent="0.3"/>
    <row r="22288" customFormat="1" x14ac:dyDescent="0.3"/>
    <row r="22289" customFormat="1" x14ac:dyDescent="0.3"/>
    <row r="22290" customFormat="1" x14ac:dyDescent="0.3"/>
    <row r="22291" customFormat="1" x14ac:dyDescent="0.3"/>
    <row r="22292" customFormat="1" x14ac:dyDescent="0.3"/>
    <row r="22293" customFormat="1" x14ac:dyDescent="0.3"/>
    <row r="22294" customFormat="1" x14ac:dyDescent="0.3"/>
    <row r="22295" customFormat="1" x14ac:dyDescent="0.3"/>
    <row r="22296" customFormat="1" x14ac:dyDescent="0.3"/>
    <row r="22297" customFormat="1" x14ac:dyDescent="0.3"/>
    <row r="22298" customFormat="1" x14ac:dyDescent="0.3"/>
    <row r="22299" customFormat="1" x14ac:dyDescent="0.3"/>
    <row r="22300" customFormat="1" x14ac:dyDescent="0.3"/>
    <row r="22301" customFormat="1" x14ac:dyDescent="0.3"/>
    <row r="22302" customFormat="1" x14ac:dyDescent="0.3"/>
    <row r="22303" customFormat="1" x14ac:dyDescent="0.3"/>
    <row r="22304" customFormat="1" x14ac:dyDescent="0.3"/>
    <row r="22305" customFormat="1" x14ac:dyDescent="0.3"/>
    <row r="22306" customFormat="1" x14ac:dyDescent="0.3"/>
    <row r="22307" customFormat="1" x14ac:dyDescent="0.3"/>
    <row r="22308" customFormat="1" x14ac:dyDescent="0.3"/>
    <row r="22309" customFormat="1" x14ac:dyDescent="0.3"/>
    <row r="22310" customFormat="1" x14ac:dyDescent="0.3"/>
    <row r="22311" customFormat="1" x14ac:dyDescent="0.3"/>
    <row r="22312" customFormat="1" x14ac:dyDescent="0.3"/>
    <row r="22313" customFormat="1" x14ac:dyDescent="0.3"/>
    <row r="22314" customFormat="1" x14ac:dyDescent="0.3"/>
    <row r="22315" customFormat="1" x14ac:dyDescent="0.3"/>
    <row r="22316" customFormat="1" x14ac:dyDescent="0.3"/>
    <row r="22317" customFormat="1" x14ac:dyDescent="0.3"/>
    <row r="22318" customFormat="1" x14ac:dyDescent="0.3"/>
    <row r="22319" customFormat="1" x14ac:dyDescent="0.3"/>
    <row r="22320" customFormat="1" x14ac:dyDescent="0.3"/>
    <row r="22321" customFormat="1" x14ac:dyDescent="0.3"/>
    <row r="22322" customFormat="1" x14ac:dyDescent="0.3"/>
    <row r="22323" customFormat="1" x14ac:dyDescent="0.3"/>
    <row r="22324" customFormat="1" x14ac:dyDescent="0.3"/>
    <row r="22325" customFormat="1" x14ac:dyDescent="0.3"/>
    <row r="22326" customFormat="1" x14ac:dyDescent="0.3"/>
    <row r="22327" customFormat="1" x14ac:dyDescent="0.3"/>
    <row r="22328" customFormat="1" x14ac:dyDescent="0.3"/>
    <row r="22329" customFormat="1" x14ac:dyDescent="0.3"/>
    <row r="22330" customFormat="1" x14ac:dyDescent="0.3"/>
    <row r="22331" customFormat="1" x14ac:dyDescent="0.3"/>
    <row r="22332" customFormat="1" x14ac:dyDescent="0.3"/>
    <row r="22333" customFormat="1" x14ac:dyDescent="0.3"/>
    <row r="22334" customFormat="1" x14ac:dyDescent="0.3"/>
    <row r="22335" customFormat="1" x14ac:dyDescent="0.3"/>
    <row r="22336" customFormat="1" x14ac:dyDescent="0.3"/>
    <row r="22337" customFormat="1" x14ac:dyDescent="0.3"/>
    <row r="22338" customFormat="1" x14ac:dyDescent="0.3"/>
    <row r="22339" customFormat="1" x14ac:dyDescent="0.3"/>
    <row r="22340" customFormat="1" x14ac:dyDescent="0.3"/>
    <row r="22341" customFormat="1" x14ac:dyDescent="0.3"/>
    <row r="22342" customFormat="1" x14ac:dyDescent="0.3"/>
    <row r="22343" customFormat="1" x14ac:dyDescent="0.3"/>
    <row r="22344" customFormat="1" x14ac:dyDescent="0.3"/>
    <row r="22345" customFormat="1" x14ac:dyDescent="0.3"/>
    <row r="22346" customFormat="1" x14ac:dyDescent="0.3"/>
    <row r="22347" customFormat="1" x14ac:dyDescent="0.3"/>
    <row r="22348" customFormat="1" x14ac:dyDescent="0.3"/>
    <row r="22349" customFormat="1" x14ac:dyDescent="0.3"/>
    <row r="22350" customFormat="1" x14ac:dyDescent="0.3"/>
    <row r="22351" customFormat="1" x14ac:dyDescent="0.3"/>
    <row r="22352" customFormat="1" x14ac:dyDescent="0.3"/>
    <row r="22353" customFormat="1" x14ac:dyDescent="0.3"/>
    <row r="22354" customFormat="1" x14ac:dyDescent="0.3"/>
    <row r="22355" customFormat="1" x14ac:dyDescent="0.3"/>
    <row r="22356" customFormat="1" x14ac:dyDescent="0.3"/>
    <row r="22357" customFormat="1" x14ac:dyDescent="0.3"/>
    <row r="22358" customFormat="1" x14ac:dyDescent="0.3"/>
    <row r="22359" customFormat="1" x14ac:dyDescent="0.3"/>
    <row r="22360" customFormat="1" x14ac:dyDescent="0.3"/>
    <row r="22361" customFormat="1" x14ac:dyDescent="0.3"/>
    <row r="22362" customFormat="1" x14ac:dyDescent="0.3"/>
    <row r="22363" customFormat="1" x14ac:dyDescent="0.3"/>
    <row r="22364" customFormat="1" x14ac:dyDescent="0.3"/>
    <row r="22365" customFormat="1" x14ac:dyDescent="0.3"/>
    <row r="22366" customFormat="1" x14ac:dyDescent="0.3"/>
    <row r="22367" customFormat="1" x14ac:dyDescent="0.3"/>
    <row r="22368" customFormat="1" x14ac:dyDescent="0.3"/>
    <row r="22369" customFormat="1" x14ac:dyDescent="0.3"/>
    <row r="22370" customFormat="1" x14ac:dyDescent="0.3"/>
    <row r="22371" customFormat="1" x14ac:dyDescent="0.3"/>
    <row r="22372" customFormat="1" x14ac:dyDescent="0.3"/>
    <row r="22373" customFormat="1" x14ac:dyDescent="0.3"/>
    <row r="22374" customFormat="1" x14ac:dyDescent="0.3"/>
    <row r="22375" customFormat="1" x14ac:dyDescent="0.3"/>
    <row r="22376" customFormat="1" x14ac:dyDescent="0.3"/>
    <row r="22377" customFormat="1" x14ac:dyDescent="0.3"/>
    <row r="22378" customFormat="1" x14ac:dyDescent="0.3"/>
    <row r="22379" customFormat="1" x14ac:dyDescent="0.3"/>
    <row r="22380" customFormat="1" x14ac:dyDescent="0.3"/>
    <row r="22381" customFormat="1" x14ac:dyDescent="0.3"/>
    <row r="22382" customFormat="1" x14ac:dyDescent="0.3"/>
    <row r="22383" customFormat="1" x14ac:dyDescent="0.3"/>
    <row r="22384" customFormat="1" x14ac:dyDescent="0.3"/>
    <row r="22385" customFormat="1" x14ac:dyDescent="0.3"/>
    <row r="22386" customFormat="1" x14ac:dyDescent="0.3"/>
    <row r="22387" customFormat="1" x14ac:dyDescent="0.3"/>
    <row r="22388" customFormat="1" x14ac:dyDescent="0.3"/>
    <row r="22389" customFormat="1" x14ac:dyDescent="0.3"/>
    <row r="22390" customFormat="1" x14ac:dyDescent="0.3"/>
    <row r="22391" customFormat="1" x14ac:dyDescent="0.3"/>
    <row r="22392" customFormat="1" x14ac:dyDescent="0.3"/>
    <row r="22393" customFormat="1" x14ac:dyDescent="0.3"/>
    <row r="22394" customFormat="1" x14ac:dyDescent="0.3"/>
    <row r="22395" customFormat="1" x14ac:dyDescent="0.3"/>
    <row r="22396" customFormat="1" x14ac:dyDescent="0.3"/>
    <row r="22397" customFormat="1" x14ac:dyDescent="0.3"/>
    <row r="22398" customFormat="1" x14ac:dyDescent="0.3"/>
    <row r="22399" customFormat="1" x14ac:dyDescent="0.3"/>
    <row r="22400" customFormat="1" x14ac:dyDescent="0.3"/>
    <row r="22401" customFormat="1" x14ac:dyDescent="0.3"/>
    <row r="22402" customFormat="1" x14ac:dyDescent="0.3"/>
    <row r="22403" customFormat="1" x14ac:dyDescent="0.3"/>
    <row r="22404" customFormat="1" x14ac:dyDescent="0.3"/>
    <row r="22405" customFormat="1" x14ac:dyDescent="0.3"/>
    <row r="22406" customFormat="1" x14ac:dyDescent="0.3"/>
    <row r="22407" customFormat="1" x14ac:dyDescent="0.3"/>
    <row r="22408" customFormat="1" x14ac:dyDescent="0.3"/>
    <row r="22409" customFormat="1" x14ac:dyDescent="0.3"/>
    <row r="22410" customFormat="1" x14ac:dyDescent="0.3"/>
    <row r="22411" customFormat="1" x14ac:dyDescent="0.3"/>
    <row r="22412" customFormat="1" x14ac:dyDescent="0.3"/>
    <row r="22413" customFormat="1" x14ac:dyDescent="0.3"/>
    <row r="22414" customFormat="1" x14ac:dyDescent="0.3"/>
    <row r="22415" customFormat="1" x14ac:dyDescent="0.3"/>
    <row r="22416" customFormat="1" x14ac:dyDescent="0.3"/>
    <row r="22417" customFormat="1" x14ac:dyDescent="0.3"/>
    <row r="22418" customFormat="1" x14ac:dyDescent="0.3"/>
    <row r="22419" customFormat="1" x14ac:dyDescent="0.3"/>
    <row r="22420" customFormat="1" x14ac:dyDescent="0.3"/>
    <row r="22421" customFormat="1" x14ac:dyDescent="0.3"/>
    <row r="22422" customFormat="1" x14ac:dyDescent="0.3"/>
    <row r="22423" customFormat="1" x14ac:dyDescent="0.3"/>
    <row r="22424" customFormat="1" x14ac:dyDescent="0.3"/>
    <row r="22425" customFormat="1" x14ac:dyDescent="0.3"/>
    <row r="22426" customFormat="1" x14ac:dyDescent="0.3"/>
    <row r="22427" customFormat="1" x14ac:dyDescent="0.3"/>
    <row r="22428" customFormat="1" x14ac:dyDescent="0.3"/>
    <row r="22429" customFormat="1" x14ac:dyDescent="0.3"/>
    <row r="22430" customFormat="1" x14ac:dyDescent="0.3"/>
    <row r="22431" customFormat="1" x14ac:dyDescent="0.3"/>
    <row r="22432" customFormat="1" x14ac:dyDescent="0.3"/>
    <row r="22433" customFormat="1" x14ac:dyDescent="0.3"/>
    <row r="22434" customFormat="1" x14ac:dyDescent="0.3"/>
    <row r="22435" customFormat="1" x14ac:dyDescent="0.3"/>
    <row r="22436" customFormat="1" x14ac:dyDescent="0.3"/>
    <row r="22437" customFormat="1" x14ac:dyDescent="0.3"/>
    <row r="22438" customFormat="1" x14ac:dyDescent="0.3"/>
    <row r="22439" customFormat="1" x14ac:dyDescent="0.3"/>
    <row r="22440" customFormat="1" x14ac:dyDescent="0.3"/>
    <row r="22441" customFormat="1" x14ac:dyDescent="0.3"/>
    <row r="22442" customFormat="1" x14ac:dyDescent="0.3"/>
    <row r="22443" customFormat="1" x14ac:dyDescent="0.3"/>
    <row r="22444" customFormat="1" x14ac:dyDescent="0.3"/>
    <row r="22445" customFormat="1" x14ac:dyDescent="0.3"/>
    <row r="22446" customFormat="1" x14ac:dyDescent="0.3"/>
    <row r="22447" customFormat="1" x14ac:dyDescent="0.3"/>
    <row r="22448" customFormat="1" x14ac:dyDescent="0.3"/>
    <row r="22449" customFormat="1" x14ac:dyDescent="0.3"/>
    <row r="22450" customFormat="1" x14ac:dyDescent="0.3"/>
    <row r="22451" customFormat="1" x14ac:dyDescent="0.3"/>
    <row r="22452" customFormat="1" x14ac:dyDescent="0.3"/>
    <row r="22453" customFormat="1" x14ac:dyDescent="0.3"/>
    <row r="22454" customFormat="1" x14ac:dyDescent="0.3"/>
    <row r="22455" customFormat="1" x14ac:dyDescent="0.3"/>
    <row r="22456" customFormat="1" x14ac:dyDescent="0.3"/>
    <row r="22457" customFormat="1" x14ac:dyDescent="0.3"/>
    <row r="22458" customFormat="1" x14ac:dyDescent="0.3"/>
    <row r="22459" customFormat="1" x14ac:dyDescent="0.3"/>
    <row r="22460" customFormat="1" x14ac:dyDescent="0.3"/>
    <row r="22461" customFormat="1" x14ac:dyDescent="0.3"/>
    <row r="22462" customFormat="1" x14ac:dyDescent="0.3"/>
    <row r="22463" customFormat="1" x14ac:dyDescent="0.3"/>
    <row r="22464" customFormat="1" x14ac:dyDescent="0.3"/>
    <row r="22465" customFormat="1" x14ac:dyDescent="0.3"/>
    <row r="22466" customFormat="1" x14ac:dyDescent="0.3"/>
    <row r="22467" customFormat="1" x14ac:dyDescent="0.3"/>
    <row r="22468" customFormat="1" x14ac:dyDescent="0.3"/>
    <row r="22469" customFormat="1" x14ac:dyDescent="0.3"/>
    <row r="22470" customFormat="1" x14ac:dyDescent="0.3"/>
    <row r="22471" customFormat="1" x14ac:dyDescent="0.3"/>
    <row r="22472" customFormat="1" x14ac:dyDescent="0.3"/>
    <row r="22473" customFormat="1" x14ac:dyDescent="0.3"/>
    <row r="22474" customFormat="1" x14ac:dyDescent="0.3"/>
    <row r="22475" customFormat="1" x14ac:dyDescent="0.3"/>
    <row r="22476" customFormat="1" x14ac:dyDescent="0.3"/>
    <row r="22477" customFormat="1" x14ac:dyDescent="0.3"/>
    <row r="22478" customFormat="1" x14ac:dyDescent="0.3"/>
    <row r="22479" customFormat="1" x14ac:dyDescent="0.3"/>
    <row r="22480" customFormat="1" x14ac:dyDescent="0.3"/>
    <row r="22481" customFormat="1" x14ac:dyDescent="0.3"/>
    <row r="22482" customFormat="1" x14ac:dyDescent="0.3"/>
    <row r="22483" customFormat="1" x14ac:dyDescent="0.3"/>
    <row r="22484" customFormat="1" x14ac:dyDescent="0.3"/>
    <row r="22485" customFormat="1" x14ac:dyDescent="0.3"/>
    <row r="22486" customFormat="1" x14ac:dyDescent="0.3"/>
    <row r="22487" customFormat="1" x14ac:dyDescent="0.3"/>
    <row r="22488" customFormat="1" x14ac:dyDescent="0.3"/>
    <row r="22489" customFormat="1" x14ac:dyDescent="0.3"/>
    <row r="22490" customFormat="1" x14ac:dyDescent="0.3"/>
    <row r="22491" customFormat="1" x14ac:dyDescent="0.3"/>
    <row r="22492" customFormat="1" x14ac:dyDescent="0.3"/>
    <row r="22493" customFormat="1" x14ac:dyDescent="0.3"/>
    <row r="22494" customFormat="1" x14ac:dyDescent="0.3"/>
    <row r="22495" customFormat="1" x14ac:dyDescent="0.3"/>
    <row r="22496" customFormat="1" x14ac:dyDescent="0.3"/>
    <row r="22497" customFormat="1" x14ac:dyDescent="0.3"/>
    <row r="22498" customFormat="1" x14ac:dyDescent="0.3"/>
    <row r="22499" customFormat="1" x14ac:dyDescent="0.3"/>
    <row r="22500" customFormat="1" x14ac:dyDescent="0.3"/>
    <row r="22501" customFormat="1" x14ac:dyDescent="0.3"/>
    <row r="22502" customFormat="1" x14ac:dyDescent="0.3"/>
    <row r="22503" customFormat="1" x14ac:dyDescent="0.3"/>
    <row r="22504" customFormat="1" x14ac:dyDescent="0.3"/>
    <row r="22505" customFormat="1" x14ac:dyDescent="0.3"/>
    <row r="22506" customFormat="1" x14ac:dyDescent="0.3"/>
    <row r="22507" customFormat="1" x14ac:dyDescent="0.3"/>
    <row r="22508" customFormat="1" x14ac:dyDescent="0.3"/>
    <row r="22509" customFormat="1" x14ac:dyDescent="0.3"/>
    <row r="22510" customFormat="1" x14ac:dyDescent="0.3"/>
    <row r="22511" customFormat="1" x14ac:dyDescent="0.3"/>
    <row r="22512" customFormat="1" x14ac:dyDescent="0.3"/>
    <row r="22513" customFormat="1" x14ac:dyDescent="0.3"/>
    <row r="22514" customFormat="1" x14ac:dyDescent="0.3"/>
    <row r="22515" customFormat="1" x14ac:dyDescent="0.3"/>
    <row r="22516" customFormat="1" x14ac:dyDescent="0.3"/>
    <row r="22517" customFormat="1" x14ac:dyDescent="0.3"/>
    <row r="22518" customFormat="1" x14ac:dyDescent="0.3"/>
    <row r="22519" customFormat="1" x14ac:dyDescent="0.3"/>
    <row r="22520" customFormat="1" x14ac:dyDescent="0.3"/>
    <row r="22521" customFormat="1" x14ac:dyDescent="0.3"/>
    <row r="22522" customFormat="1" x14ac:dyDescent="0.3"/>
    <row r="22523" customFormat="1" x14ac:dyDescent="0.3"/>
    <row r="22524" customFormat="1" x14ac:dyDescent="0.3"/>
    <row r="22525" customFormat="1" x14ac:dyDescent="0.3"/>
    <row r="22526" customFormat="1" x14ac:dyDescent="0.3"/>
    <row r="22527" customFormat="1" x14ac:dyDescent="0.3"/>
    <row r="22528" customFormat="1" x14ac:dyDescent="0.3"/>
    <row r="22529" customFormat="1" x14ac:dyDescent="0.3"/>
    <row r="22530" customFormat="1" x14ac:dyDescent="0.3"/>
    <row r="22531" customFormat="1" x14ac:dyDescent="0.3"/>
    <row r="22532" customFormat="1" x14ac:dyDescent="0.3"/>
    <row r="22533" customFormat="1" x14ac:dyDescent="0.3"/>
    <row r="22534" customFormat="1" x14ac:dyDescent="0.3"/>
    <row r="22535" customFormat="1" x14ac:dyDescent="0.3"/>
    <row r="22536" customFormat="1" x14ac:dyDescent="0.3"/>
    <row r="22537" customFormat="1" x14ac:dyDescent="0.3"/>
    <row r="22538" customFormat="1" x14ac:dyDescent="0.3"/>
    <row r="22539" customFormat="1" x14ac:dyDescent="0.3"/>
    <row r="22540" customFormat="1" x14ac:dyDescent="0.3"/>
    <row r="22541" customFormat="1" x14ac:dyDescent="0.3"/>
    <row r="22542" customFormat="1" x14ac:dyDescent="0.3"/>
    <row r="22543" customFormat="1" x14ac:dyDescent="0.3"/>
    <row r="22544" customFormat="1" x14ac:dyDescent="0.3"/>
    <row r="22545" customFormat="1" x14ac:dyDescent="0.3"/>
    <row r="22546" customFormat="1" x14ac:dyDescent="0.3"/>
    <row r="22547" customFormat="1" x14ac:dyDescent="0.3"/>
    <row r="22548" customFormat="1" x14ac:dyDescent="0.3"/>
    <row r="22549" customFormat="1" x14ac:dyDescent="0.3"/>
    <row r="22550" customFormat="1" x14ac:dyDescent="0.3"/>
    <row r="22551" customFormat="1" x14ac:dyDescent="0.3"/>
    <row r="22552" customFormat="1" x14ac:dyDescent="0.3"/>
    <row r="22553" customFormat="1" x14ac:dyDescent="0.3"/>
    <row r="22554" customFormat="1" x14ac:dyDescent="0.3"/>
    <row r="22555" customFormat="1" x14ac:dyDescent="0.3"/>
    <row r="22556" customFormat="1" x14ac:dyDescent="0.3"/>
    <row r="22557" customFormat="1" x14ac:dyDescent="0.3"/>
    <row r="22558" customFormat="1" x14ac:dyDescent="0.3"/>
    <row r="22559" customFormat="1" x14ac:dyDescent="0.3"/>
    <row r="22560" customFormat="1" x14ac:dyDescent="0.3"/>
    <row r="22561" customFormat="1" x14ac:dyDescent="0.3"/>
    <row r="22562" customFormat="1" x14ac:dyDescent="0.3"/>
    <row r="22563" customFormat="1" x14ac:dyDescent="0.3"/>
    <row r="22564" customFormat="1" x14ac:dyDescent="0.3"/>
    <row r="22565" customFormat="1" x14ac:dyDescent="0.3"/>
    <row r="22566" customFormat="1" x14ac:dyDescent="0.3"/>
    <row r="22567" customFormat="1" x14ac:dyDescent="0.3"/>
    <row r="22568" customFormat="1" x14ac:dyDescent="0.3"/>
    <row r="22569" customFormat="1" x14ac:dyDescent="0.3"/>
    <row r="22570" customFormat="1" x14ac:dyDescent="0.3"/>
    <row r="22571" customFormat="1" x14ac:dyDescent="0.3"/>
    <row r="22572" customFormat="1" x14ac:dyDescent="0.3"/>
    <row r="22573" customFormat="1" x14ac:dyDescent="0.3"/>
    <row r="22574" customFormat="1" x14ac:dyDescent="0.3"/>
    <row r="22575" customFormat="1" x14ac:dyDescent="0.3"/>
    <row r="22576" customFormat="1" x14ac:dyDescent="0.3"/>
    <row r="22577" customFormat="1" x14ac:dyDescent="0.3"/>
    <row r="22578" customFormat="1" x14ac:dyDescent="0.3"/>
    <row r="22579" customFormat="1" x14ac:dyDescent="0.3"/>
    <row r="22580" customFormat="1" x14ac:dyDescent="0.3"/>
    <row r="22581" customFormat="1" x14ac:dyDescent="0.3"/>
    <row r="22582" customFormat="1" x14ac:dyDescent="0.3"/>
    <row r="22583" customFormat="1" x14ac:dyDescent="0.3"/>
    <row r="22584" customFormat="1" x14ac:dyDescent="0.3"/>
    <row r="22585" customFormat="1" x14ac:dyDescent="0.3"/>
    <row r="22586" customFormat="1" x14ac:dyDescent="0.3"/>
    <row r="22587" customFormat="1" x14ac:dyDescent="0.3"/>
    <row r="22588" customFormat="1" x14ac:dyDescent="0.3"/>
    <row r="22589" customFormat="1" x14ac:dyDescent="0.3"/>
    <row r="22590" customFormat="1" x14ac:dyDescent="0.3"/>
    <row r="22591" customFormat="1" x14ac:dyDescent="0.3"/>
    <row r="22592" customFormat="1" x14ac:dyDescent="0.3"/>
    <row r="22593" customFormat="1" x14ac:dyDescent="0.3"/>
    <row r="22594" customFormat="1" x14ac:dyDescent="0.3"/>
    <row r="22595" customFormat="1" x14ac:dyDescent="0.3"/>
    <row r="22596" customFormat="1" x14ac:dyDescent="0.3"/>
    <row r="22597" customFormat="1" x14ac:dyDescent="0.3"/>
    <row r="22598" customFormat="1" x14ac:dyDescent="0.3"/>
    <row r="22599" customFormat="1" x14ac:dyDescent="0.3"/>
    <row r="22600" customFormat="1" x14ac:dyDescent="0.3"/>
    <row r="22601" customFormat="1" x14ac:dyDescent="0.3"/>
    <row r="22602" customFormat="1" x14ac:dyDescent="0.3"/>
    <row r="22603" customFormat="1" x14ac:dyDescent="0.3"/>
    <row r="22604" customFormat="1" x14ac:dyDescent="0.3"/>
    <row r="22605" customFormat="1" x14ac:dyDescent="0.3"/>
    <row r="22606" customFormat="1" x14ac:dyDescent="0.3"/>
    <row r="22607" customFormat="1" x14ac:dyDescent="0.3"/>
    <row r="22608" customFormat="1" x14ac:dyDescent="0.3"/>
    <row r="22609" customFormat="1" x14ac:dyDescent="0.3"/>
    <row r="22610" customFormat="1" x14ac:dyDescent="0.3"/>
    <row r="22611" customFormat="1" x14ac:dyDescent="0.3"/>
    <row r="22612" customFormat="1" x14ac:dyDescent="0.3"/>
    <row r="22613" customFormat="1" x14ac:dyDescent="0.3"/>
    <row r="22614" customFormat="1" x14ac:dyDescent="0.3"/>
    <row r="22615" customFormat="1" x14ac:dyDescent="0.3"/>
    <row r="22616" customFormat="1" x14ac:dyDescent="0.3"/>
    <row r="22617" customFormat="1" x14ac:dyDescent="0.3"/>
    <row r="22618" customFormat="1" x14ac:dyDescent="0.3"/>
    <row r="22619" customFormat="1" x14ac:dyDescent="0.3"/>
    <row r="22620" customFormat="1" x14ac:dyDescent="0.3"/>
    <row r="22621" customFormat="1" x14ac:dyDescent="0.3"/>
    <row r="22622" customFormat="1" x14ac:dyDescent="0.3"/>
    <row r="22623" customFormat="1" x14ac:dyDescent="0.3"/>
    <row r="22624" customFormat="1" x14ac:dyDescent="0.3"/>
    <row r="22625" customFormat="1" x14ac:dyDescent="0.3"/>
    <row r="22626" customFormat="1" x14ac:dyDescent="0.3"/>
    <row r="22627" customFormat="1" x14ac:dyDescent="0.3"/>
    <row r="22628" customFormat="1" x14ac:dyDescent="0.3"/>
    <row r="22629" customFormat="1" x14ac:dyDescent="0.3"/>
    <row r="22630" customFormat="1" x14ac:dyDescent="0.3"/>
    <row r="22631" customFormat="1" x14ac:dyDescent="0.3"/>
    <row r="22632" customFormat="1" x14ac:dyDescent="0.3"/>
    <row r="22633" customFormat="1" x14ac:dyDescent="0.3"/>
    <row r="22634" customFormat="1" x14ac:dyDescent="0.3"/>
    <row r="22635" customFormat="1" x14ac:dyDescent="0.3"/>
    <row r="22636" customFormat="1" x14ac:dyDescent="0.3"/>
    <row r="22637" customFormat="1" x14ac:dyDescent="0.3"/>
    <row r="22638" customFormat="1" x14ac:dyDescent="0.3"/>
    <row r="22639" customFormat="1" x14ac:dyDescent="0.3"/>
    <row r="22640" customFormat="1" x14ac:dyDescent="0.3"/>
    <row r="22641" customFormat="1" x14ac:dyDescent="0.3"/>
    <row r="22642" customFormat="1" x14ac:dyDescent="0.3"/>
    <row r="22643" customFormat="1" x14ac:dyDescent="0.3"/>
    <row r="22644" customFormat="1" x14ac:dyDescent="0.3"/>
    <row r="22645" customFormat="1" x14ac:dyDescent="0.3"/>
    <row r="22646" customFormat="1" x14ac:dyDescent="0.3"/>
    <row r="22647" customFormat="1" x14ac:dyDescent="0.3"/>
    <row r="22648" customFormat="1" x14ac:dyDescent="0.3"/>
    <row r="22649" customFormat="1" x14ac:dyDescent="0.3"/>
    <row r="22650" customFormat="1" x14ac:dyDescent="0.3"/>
    <row r="22651" customFormat="1" x14ac:dyDescent="0.3"/>
    <row r="22652" customFormat="1" x14ac:dyDescent="0.3"/>
    <row r="22653" customFormat="1" x14ac:dyDescent="0.3"/>
    <row r="22654" customFormat="1" x14ac:dyDescent="0.3"/>
    <row r="22655" customFormat="1" x14ac:dyDescent="0.3"/>
    <row r="22656" customFormat="1" x14ac:dyDescent="0.3"/>
    <row r="22657" customFormat="1" x14ac:dyDescent="0.3"/>
    <row r="22658" customFormat="1" x14ac:dyDescent="0.3"/>
    <row r="22659" customFormat="1" x14ac:dyDescent="0.3"/>
    <row r="22660" customFormat="1" x14ac:dyDescent="0.3"/>
    <row r="22661" customFormat="1" x14ac:dyDescent="0.3"/>
    <row r="22662" customFormat="1" x14ac:dyDescent="0.3"/>
    <row r="22663" customFormat="1" x14ac:dyDescent="0.3"/>
    <row r="22664" customFormat="1" x14ac:dyDescent="0.3"/>
    <row r="22665" customFormat="1" x14ac:dyDescent="0.3"/>
    <row r="22666" customFormat="1" x14ac:dyDescent="0.3"/>
    <row r="22667" customFormat="1" x14ac:dyDescent="0.3"/>
    <row r="22668" customFormat="1" x14ac:dyDescent="0.3"/>
    <row r="22669" customFormat="1" x14ac:dyDescent="0.3"/>
    <row r="22670" customFormat="1" x14ac:dyDescent="0.3"/>
    <row r="22671" customFormat="1" x14ac:dyDescent="0.3"/>
    <row r="22672" customFormat="1" x14ac:dyDescent="0.3"/>
    <row r="22673" customFormat="1" x14ac:dyDescent="0.3"/>
    <row r="22674" customFormat="1" x14ac:dyDescent="0.3"/>
    <row r="22675" customFormat="1" x14ac:dyDescent="0.3"/>
    <row r="22676" customFormat="1" x14ac:dyDescent="0.3"/>
    <row r="22677" customFormat="1" x14ac:dyDescent="0.3"/>
    <row r="22678" customFormat="1" x14ac:dyDescent="0.3"/>
    <row r="22679" customFormat="1" x14ac:dyDescent="0.3"/>
    <row r="22680" customFormat="1" x14ac:dyDescent="0.3"/>
    <row r="22681" customFormat="1" x14ac:dyDescent="0.3"/>
    <row r="22682" customFormat="1" x14ac:dyDescent="0.3"/>
    <row r="22683" customFormat="1" x14ac:dyDescent="0.3"/>
    <row r="22684" customFormat="1" x14ac:dyDescent="0.3"/>
    <row r="22685" customFormat="1" x14ac:dyDescent="0.3"/>
    <row r="22686" customFormat="1" x14ac:dyDescent="0.3"/>
    <row r="22687" customFormat="1" x14ac:dyDescent="0.3"/>
    <row r="22688" customFormat="1" x14ac:dyDescent="0.3"/>
    <row r="22689" customFormat="1" x14ac:dyDescent="0.3"/>
    <row r="22690" customFormat="1" x14ac:dyDescent="0.3"/>
    <row r="22691" customFormat="1" x14ac:dyDescent="0.3"/>
    <row r="22692" customFormat="1" x14ac:dyDescent="0.3"/>
    <row r="22693" customFormat="1" x14ac:dyDescent="0.3"/>
    <row r="22694" customFormat="1" x14ac:dyDescent="0.3"/>
    <row r="22695" customFormat="1" x14ac:dyDescent="0.3"/>
    <row r="22696" customFormat="1" x14ac:dyDescent="0.3"/>
    <row r="22697" customFormat="1" x14ac:dyDescent="0.3"/>
    <row r="22698" customFormat="1" x14ac:dyDescent="0.3"/>
    <row r="22699" customFormat="1" x14ac:dyDescent="0.3"/>
    <row r="22700" customFormat="1" x14ac:dyDescent="0.3"/>
    <row r="22701" customFormat="1" x14ac:dyDescent="0.3"/>
    <row r="22702" customFormat="1" x14ac:dyDescent="0.3"/>
    <row r="22703" customFormat="1" x14ac:dyDescent="0.3"/>
    <row r="22704" customFormat="1" x14ac:dyDescent="0.3"/>
    <row r="22705" customFormat="1" x14ac:dyDescent="0.3"/>
    <row r="22706" customFormat="1" x14ac:dyDescent="0.3"/>
    <row r="22707" customFormat="1" x14ac:dyDescent="0.3"/>
    <row r="22708" customFormat="1" x14ac:dyDescent="0.3"/>
    <row r="22709" customFormat="1" x14ac:dyDescent="0.3"/>
    <row r="22710" customFormat="1" x14ac:dyDescent="0.3"/>
    <row r="22711" customFormat="1" x14ac:dyDescent="0.3"/>
    <row r="22712" customFormat="1" x14ac:dyDescent="0.3"/>
    <row r="22713" customFormat="1" x14ac:dyDescent="0.3"/>
    <row r="22714" customFormat="1" x14ac:dyDescent="0.3"/>
    <row r="22715" customFormat="1" x14ac:dyDescent="0.3"/>
    <row r="22716" customFormat="1" x14ac:dyDescent="0.3"/>
    <row r="22717" customFormat="1" x14ac:dyDescent="0.3"/>
    <row r="22718" customFormat="1" x14ac:dyDescent="0.3"/>
    <row r="22719" customFormat="1" x14ac:dyDescent="0.3"/>
    <row r="22720" customFormat="1" x14ac:dyDescent="0.3"/>
    <row r="22721" customFormat="1" x14ac:dyDescent="0.3"/>
    <row r="22722" customFormat="1" x14ac:dyDescent="0.3"/>
    <row r="22723" customFormat="1" x14ac:dyDescent="0.3"/>
    <row r="22724" customFormat="1" x14ac:dyDescent="0.3"/>
    <row r="22725" customFormat="1" x14ac:dyDescent="0.3"/>
    <row r="22726" customFormat="1" x14ac:dyDescent="0.3"/>
    <row r="22727" customFormat="1" x14ac:dyDescent="0.3"/>
    <row r="22728" customFormat="1" x14ac:dyDescent="0.3"/>
    <row r="22729" customFormat="1" x14ac:dyDescent="0.3"/>
    <row r="22730" customFormat="1" x14ac:dyDescent="0.3"/>
    <row r="22731" customFormat="1" x14ac:dyDescent="0.3"/>
    <row r="22732" customFormat="1" x14ac:dyDescent="0.3"/>
    <row r="22733" customFormat="1" x14ac:dyDescent="0.3"/>
    <row r="22734" customFormat="1" x14ac:dyDescent="0.3"/>
    <row r="22735" customFormat="1" x14ac:dyDescent="0.3"/>
    <row r="22736" customFormat="1" x14ac:dyDescent="0.3"/>
    <row r="22737" customFormat="1" x14ac:dyDescent="0.3"/>
    <row r="22738" customFormat="1" x14ac:dyDescent="0.3"/>
    <row r="22739" customFormat="1" x14ac:dyDescent="0.3"/>
    <row r="22740" customFormat="1" x14ac:dyDescent="0.3"/>
    <row r="22741" customFormat="1" x14ac:dyDescent="0.3"/>
    <row r="22742" customFormat="1" x14ac:dyDescent="0.3"/>
    <row r="22743" customFormat="1" x14ac:dyDescent="0.3"/>
    <row r="22744" customFormat="1" x14ac:dyDescent="0.3"/>
    <row r="22745" customFormat="1" x14ac:dyDescent="0.3"/>
    <row r="22746" customFormat="1" x14ac:dyDescent="0.3"/>
    <row r="22747" customFormat="1" x14ac:dyDescent="0.3"/>
    <row r="22748" customFormat="1" x14ac:dyDescent="0.3"/>
    <row r="22749" customFormat="1" x14ac:dyDescent="0.3"/>
    <row r="22750" customFormat="1" x14ac:dyDescent="0.3"/>
    <row r="22751" customFormat="1" x14ac:dyDescent="0.3"/>
    <row r="22752" customFormat="1" x14ac:dyDescent="0.3"/>
    <row r="22753" customFormat="1" x14ac:dyDescent="0.3"/>
    <row r="22754" customFormat="1" x14ac:dyDescent="0.3"/>
    <row r="22755" customFormat="1" x14ac:dyDescent="0.3"/>
    <row r="22756" customFormat="1" x14ac:dyDescent="0.3"/>
    <row r="22757" customFormat="1" x14ac:dyDescent="0.3"/>
    <row r="22758" customFormat="1" x14ac:dyDescent="0.3"/>
    <row r="22759" customFormat="1" x14ac:dyDescent="0.3"/>
    <row r="22760" customFormat="1" x14ac:dyDescent="0.3"/>
    <row r="22761" customFormat="1" x14ac:dyDescent="0.3"/>
    <row r="22762" customFormat="1" x14ac:dyDescent="0.3"/>
    <row r="22763" customFormat="1" x14ac:dyDescent="0.3"/>
    <row r="22764" customFormat="1" x14ac:dyDescent="0.3"/>
    <row r="22765" customFormat="1" x14ac:dyDescent="0.3"/>
    <row r="22766" customFormat="1" x14ac:dyDescent="0.3"/>
    <row r="22767" customFormat="1" x14ac:dyDescent="0.3"/>
    <row r="22768" customFormat="1" x14ac:dyDescent="0.3"/>
    <row r="22769" customFormat="1" x14ac:dyDescent="0.3"/>
    <row r="22770" customFormat="1" x14ac:dyDescent="0.3"/>
    <row r="22771" customFormat="1" x14ac:dyDescent="0.3"/>
    <row r="22772" customFormat="1" x14ac:dyDescent="0.3"/>
    <row r="22773" customFormat="1" x14ac:dyDescent="0.3"/>
    <row r="22774" customFormat="1" x14ac:dyDescent="0.3"/>
    <row r="22775" customFormat="1" x14ac:dyDescent="0.3"/>
    <row r="22776" customFormat="1" x14ac:dyDescent="0.3"/>
    <row r="22777" customFormat="1" x14ac:dyDescent="0.3"/>
    <row r="22778" customFormat="1" x14ac:dyDescent="0.3"/>
    <row r="22779" customFormat="1" x14ac:dyDescent="0.3"/>
    <row r="22780" customFormat="1" x14ac:dyDescent="0.3"/>
    <row r="22781" customFormat="1" x14ac:dyDescent="0.3"/>
    <row r="22782" customFormat="1" x14ac:dyDescent="0.3"/>
    <row r="22783" customFormat="1" x14ac:dyDescent="0.3"/>
    <row r="22784" customFormat="1" x14ac:dyDescent="0.3"/>
    <row r="22785" customFormat="1" x14ac:dyDescent="0.3"/>
    <row r="22786" customFormat="1" x14ac:dyDescent="0.3"/>
    <row r="22787" customFormat="1" x14ac:dyDescent="0.3"/>
    <row r="22788" customFormat="1" x14ac:dyDescent="0.3"/>
    <row r="22789" customFormat="1" x14ac:dyDescent="0.3"/>
    <row r="22790" customFormat="1" x14ac:dyDescent="0.3"/>
    <row r="22791" customFormat="1" x14ac:dyDescent="0.3"/>
    <row r="22792" customFormat="1" x14ac:dyDescent="0.3"/>
    <row r="22793" customFormat="1" x14ac:dyDescent="0.3"/>
    <row r="22794" customFormat="1" x14ac:dyDescent="0.3"/>
    <row r="22795" customFormat="1" x14ac:dyDescent="0.3"/>
    <row r="22796" customFormat="1" x14ac:dyDescent="0.3"/>
    <row r="22797" customFormat="1" x14ac:dyDescent="0.3"/>
    <row r="22798" customFormat="1" x14ac:dyDescent="0.3"/>
    <row r="22799" customFormat="1" x14ac:dyDescent="0.3"/>
    <row r="22800" customFormat="1" x14ac:dyDescent="0.3"/>
    <row r="22801" customFormat="1" x14ac:dyDescent="0.3"/>
    <row r="22802" customFormat="1" x14ac:dyDescent="0.3"/>
    <row r="22803" customFormat="1" x14ac:dyDescent="0.3"/>
    <row r="22804" customFormat="1" x14ac:dyDescent="0.3"/>
    <row r="22805" customFormat="1" x14ac:dyDescent="0.3"/>
    <row r="22806" customFormat="1" x14ac:dyDescent="0.3"/>
    <row r="22807" customFormat="1" x14ac:dyDescent="0.3"/>
    <row r="22808" customFormat="1" x14ac:dyDescent="0.3"/>
    <row r="22809" customFormat="1" x14ac:dyDescent="0.3"/>
    <row r="22810" customFormat="1" x14ac:dyDescent="0.3"/>
    <row r="22811" customFormat="1" x14ac:dyDescent="0.3"/>
    <row r="22812" customFormat="1" x14ac:dyDescent="0.3"/>
    <row r="22813" customFormat="1" x14ac:dyDescent="0.3"/>
    <row r="22814" customFormat="1" x14ac:dyDescent="0.3"/>
    <row r="22815" customFormat="1" x14ac:dyDescent="0.3"/>
    <row r="22816" customFormat="1" x14ac:dyDescent="0.3"/>
    <row r="22817" customFormat="1" x14ac:dyDescent="0.3"/>
    <row r="22818" customFormat="1" x14ac:dyDescent="0.3"/>
    <row r="22819" customFormat="1" x14ac:dyDescent="0.3"/>
    <row r="22820" customFormat="1" x14ac:dyDescent="0.3"/>
    <row r="22821" customFormat="1" x14ac:dyDescent="0.3"/>
    <row r="22822" customFormat="1" x14ac:dyDescent="0.3"/>
    <row r="22823" customFormat="1" x14ac:dyDescent="0.3"/>
    <row r="22824" customFormat="1" x14ac:dyDescent="0.3"/>
    <row r="22825" customFormat="1" x14ac:dyDescent="0.3"/>
    <row r="22826" customFormat="1" x14ac:dyDescent="0.3"/>
    <row r="22827" customFormat="1" x14ac:dyDescent="0.3"/>
    <row r="22828" customFormat="1" x14ac:dyDescent="0.3"/>
    <row r="22829" customFormat="1" x14ac:dyDescent="0.3"/>
    <row r="22830" customFormat="1" x14ac:dyDescent="0.3"/>
    <row r="22831" customFormat="1" x14ac:dyDescent="0.3"/>
    <row r="22832" customFormat="1" x14ac:dyDescent="0.3"/>
    <row r="22833" customFormat="1" x14ac:dyDescent="0.3"/>
    <row r="22834" customFormat="1" x14ac:dyDescent="0.3"/>
    <row r="22835" customFormat="1" x14ac:dyDescent="0.3"/>
    <row r="22836" customFormat="1" x14ac:dyDescent="0.3"/>
    <row r="22837" customFormat="1" x14ac:dyDescent="0.3"/>
    <row r="22838" customFormat="1" x14ac:dyDescent="0.3"/>
    <row r="22839" customFormat="1" x14ac:dyDescent="0.3"/>
    <row r="22840" customFormat="1" x14ac:dyDescent="0.3"/>
    <row r="22841" customFormat="1" x14ac:dyDescent="0.3"/>
    <row r="22842" customFormat="1" x14ac:dyDescent="0.3"/>
    <row r="22843" customFormat="1" x14ac:dyDescent="0.3"/>
    <row r="22844" customFormat="1" x14ac:dyDescent="0.3"/>
    <row r="22845" customFormat="1" x14ac:dyDescent="0.3"/>
    <row r="22846" customFormat="1" x14ac:dyDescent="0.3"/>
    <row r="22847" customFormat="1" x14ac:dyDescent="0.3"/>
    <row r="22848" customFormat="1" x14ac:dyDescent="0.3"/>
    <row r="22849" customFormat="1" x14ac:dyDescent="0.3"/>
    <row r="22850" customFormat="1" x14ac:dyDescent="0.3"/>
    <row r="22851" customFormat="1" x14ac:dyDescent="0.3"/>
    <row r="22852" customFormat="1" x14ac:dyDescent="0.3"/>
    <row r="22853" customFormat="1" x14ac:dyDescent="0.3"/>
    <row r="22854" customFormat="1" x14ac:dyDescent="0.3"/>
    <row r="22855" customFormat="1" x14ac:dyDescent="0.3"/>
    <row r="22856" customFormat="1" x14ac:dyDescent="0.3"/>
    <row r="22857" customFormat="1" x14ac:dyDescent="0.3"/>
    <row r="22858" customFormat="1" x14ac:dyDescent="0.3"/>
    <row r="22859" customFormat="1" x14ac:dyDescent="0.3"/>
    <row r="22860" customFormat="1" x14ac:dyDescent="0.3"/>
    <row r="22861" customFormat="1" x14ac:dyDescent="0.3"/>
    <row r="22862" customFormat="1" x14ac:dyDescent="0.3"/>
    <row r="22863" customFormat="1" x14ac:dyDescent="0.3"/>
    <row r="22864" customFormat="1" x14ac:dyDescent="0.3"/>
    <row r="22865" customFormat="1" x14ac:dyDescent="0.3"/>
    <row r="22866" customFormat="1" x14ac:dyDescent="0.3"/>
    <row r="22867" customFormat="1" x14ac:dyDescent="0.3"/>
    <row r="22868" customFormat="1" x14ac:dyDescent="0.3"/>
    <row r="22869" customFormat="1" x14ac:dyDescent="0.3"/>
    <row r="22870" customFormat="1" x14ac:dyDescent="0.3"/>
    <row r="22871" customFormat="1" x14ac:dyDescent="0.3"/>
    <row r="22872" customFormat="1" x14ac:dyDescent="0.3"/>
    <row r="22873" customFormat="1" x14ac:dyDescent="0.3"/>
    <row r="22874" customFormat="1" x14ac:dyDescent="0.3"/>
    <row r="22875" customFormat="1" x14ac:dyDescent="0.3"/>
    <row r="22876" customFormat="1" x14ac:dyDescent="0.3"/>
    <row r="22877" customFormat="1" x14ac:dyDescent="0.3"/>
    <row r="22878" customFormat="1" x14ac:dyDescent="0.3"/>
    <row r="22879" customFormat="1" x14ac:dyDescent="0.3"/>
    <row r="22880" customFormat="1" x14ac:dyDescent="0.3"/>
    <row r="22881" customFormat="1" x14ac:dyDescent="0.3"/>
    <row r="22882" customFormat="1" x14ac:dyDescent="0.3"/>
    <row r="22883" customFormat="1" x14ac:dyDescent="0.3"/>
    <row r="22884" customFormat="1" x14ac:dyDescent="0.3"/>
    <row r="22885" customFormat="1" x14ac:dyDescent="0.3"/>
    <row r="22886" customFormat="1" x14ac:dyDescent="0.3"/>
    <row r="22887" customFormat="1" x14ac:dyDescent="0.3"/>
    <row r="22888" customFormat="1" x14ac:dyDescent="0.3"/>
    <row r="22889" customFormat="1" x14ac:dyDescent="0.3"/>
    <row r="22890" customFormat="1" x14ac:dyDescent="0.3"/>
    <row r="22891" customFormat="1" x14ac:dyDescent="0.3"/>
    <row r="22892" customFormat="1" x14ac:dyDescent="0.3"/>
    <row r="22893" customFormat="1" x14ac:dyDescent="0.3"/>
    <row r="22894" customFormat="1" x14ac:dyDescent="0.3"/>
    <row r="22895" customFormat="1" x14ac:dyDescent="0.3"/>
    <row r="22896" customFormat="1" x14ac:dyDescent="0.3"/>
    <row r="22897" customFormat="1" x14ac:dyDescent="0.3"/>
    <row r="22898" customFormat="1" x14ac:dyDescent="0.3"/>
    <row r="22899" customFormat="1" x14ac:dyDescent="0.3"/>
    <row r="22900" customFormat="1" x14ac:dyDescent="0.3"/>
    <row r="22901" customFormat="1" x14ac:dyDescent="0.3"/>
    <row r="22902" customFormat="1" x14ac:dyDescent="0.3"/>
    <row r="22903" customFormat="1" x14ac:dyDescent="0.3"/>
    <row r="22904" customFormat="1" x14ac:dyDescent="0.3"/>
    <row r="22905" customFormat="1" x14ac:dyDescent="0.3"/>
    <row r="22906" customFormat="1" x14ac:dyDescent="0.3"/>
    <row r="22907" customFormat="1" x14ac:dyDescent="0.3"/>
    <row r="22908" customFormat="1" x14ac:dyDescent="0.3"/>
    <row r="22909" customFormat="1" x14ac:dyDescent="0.3"/>
    <row r="22910" customFormat="1" x14ac:dyDescent="0.3"/>
    <row r="22911" customFormat="1" x14ac:dyDescent="0.3"/>
    <row r="22912" customFormat="1" x14ac:dyDescent="0.3"/>
    <row r="22913" customFormat="1" x14ac:dyDescent="0.3"/>
    <row r="22914" customFormat="1" x14ac:dyDescent="0.3"/>
    <row r="22915" customFormat="1" x14ac:dyDescent="0.3"/>
    <row r="22916" customFormat="1" x14ac:dyDescent="0.3"/>
    <row r="22917" customFormat="1" x14ac:dyDescent="0.3"/>
    <row r="22918" customFormat="1" x14ac:dyDescent="0.3"/>
    <row r="22919" customFormat="1" x14ac:dyDescent="0.3"/>
    <row r="22920" customFormat="1" x14ac:dyDescent="0.3"/>
    <row r="22921" customFormat="1" x14ac:dyDescent="0.3"/>
    <row r="22922" customFormat="1" x14ac:dyDescent="0.3"/>
    <row r="22923" customFormat="1" x14ac:dyDescent="0.3"/>
    <row r="22924" customFormat="1" x14ac:dyDescent="0.3"/>
    <row r="22925" customFormat="1" x14ac:dyDescent="0.3"/>
    <row r="22926" customFormat="1" x14ac:dyDescent="0.3"/>
    <row r="22927" customFormat="1" x14ac:dyDescent="0.3"/>
    <row r="22928" customFormat="1" x14ac:dyDescent="0.3"/>
    <row r="22929" customFormat="1" x14ac:dyDescent="0.3"/>
    <row r="22930" customFormat="1" x14ac:dyDescent="0.3"/>
    <row r="22931" customFormat="1" x14ac:dyDescent="0.3"/>
    <row r="22932" customFormat="1" x14ac:dyDescent="0.3"/>
    <row r="22933" customFormat="1" x14ac:dyDescent="0.3"/>
    <row r="22934" customFormat="1" x14ac:dyDescent="0.3"/>
    <row r="22935" customFormat="1" x14ac:dyDescent="0.3"/>
    <row r="22936" customFormat="1" x14ac:dyDescent="0.3"/>
    <row r="22937" customFormat="1" x14ac:dyDescent="0.3"/>
    <row r="22938" customFormat="1" x14ac:dyDescent="0.3"/>
    <row r="22939" customFormat="1" x14ac:dyDescent="0.3"/>
    <row r="22940" customFormat="1" x14ac:dyDescent="0.3"/>
    <row r="22941" customFormat="1" x14ac:dyDescent="0.3"/>
    <row r="22942" customFormat="1" x14ac:dyDescent="0.3"/>
    <row r="22943" customFormat="1" x14ac:dyDescent="0.3"/>
    <row r="22944" customFormat="1" x14ac:dyDescent="0.3"/>
    <row r="22945" customFormat="1" x14ac:dyDescent="0.3"/>
    <row r="22946" customFormat="1" x14ac:dyDescent="0.3"/>
    <row r="22947" customFormat="1" x14ac:dyDescent="0.3"/>
    <row r="22948" customFormat="1" x14ac:dyDescent="0.3"/>
    <row r="22949" customFormat="1" x14ac:dyDescent="0.3"/>
    <row r="22950" customFormat="1" x14ac:dyDescent="0.3"/>
    <row r="22951" customFormat="1" x14ac:dyDescent="0.3"/>
    <row r="22952" customFormat="1" x14ac:dyDescent="0.3"/>
    <row r="22953" customFormat="1" x14ac:dyDescent="0.3"/>
    <row r="22954" customFormat="1" x14ac:dyDescent="0.3"/>
    <row r="22955" customFormat="1" x14ac:dyDescent="0.3"/>
    <row r="22956" customFormat="1" x14ac:dyDescent="0.3"/>
    <row r="22957" customFormat="1" x14ac:dyDescent="0.3"/>
    <row r="22958" customFormat="1" x14ac:dyDescent="0.3"/>
    <row r="22959" customFormat="1" x14ac:dyDescent="0.3"/>
    <row r="22960" customFormat="1" x14ac:dyDescent="0.3"/>
    <row r="22961" customFormat="1" x14ac:dyDescent="0.3"/>
    <row r="22962" customFormat="1" x14ac:dyDescent="0.3"/>
    <row r="22963" customFormat="1" x14ac:dyDescent="0.3"/>
    <row r="22964" customFormat="1" x14ac:dyDescent="0.3"/>
    <row r="22965" customFormat="1" x14ac:dyDescent="0.3"/>
    <row r="22966" customFormat="1" x14ac:dyDescent="0.3"/>
    <row r="22967" customFormat="1" x14ac:dyDescent="0.3"/>
    <row r="22968" customFormat="1" x14ac:dyDescent="0.3"/>
    <row r="22969" customFormat="1" x14ac:dyDescent="0.3"/>
    <row r="22970" customFormat="1" x14ac:dyDescent="0.3"/>
    <row r="22971" customFormat="1" x14ac:dyDescent="0.3"/>
    <row r="22972" customFormat="1" x14ac:dyDescent="0.3"/>
    <row r="22973" customFormat="1" x14ac:dyDescent="0.3"/>
    <row r="22974" customFormat="1" x14ac:dyDescent="0.3"/>
    <row r="22975" customFormat="1" x14ac:dyDescent="0.3"/>
    <row r="22976" customFormat="1" x14ac:dyDescent="0.3"/>
    <row r="22977" customFormat="1" x14ac:dyDescent="0.3"/>
    <row r="22978" customFormat="1" x14ac:dyDescent="0.3"/>
    <row r="22979" customFormat="1" x14ac:dyDescent="0.3"/>
    <row r="22980" customFormat="1" x14ac:dyDescent="0.3"/>
    <row r="22981" customFormat="1" x14ac:dyDescent="0.3"/>
    <row r="22982" customFormat="1" x14ac:dyDescent="0.3"/>
    <row r="22983" customFormat="1" x14ac:dyDescent="0.3"/>
    <row r="22984" customFormat="1" x14ac:dyDescent="0.3"/>
    <row r="22985" customFormat="1" x14ac:dyDescent="0.3"/>
    <row r="22986" customFormat="1" x14ac:dyDescent="0.3"/>
    <row r="22987" customFormat="1" x14ac:dyDescent="0.3"/>
    <row r="22988" customFormat="1" x14ac:dyDescent="0.3"/>
    <row r="22989" customFormat="1" x14ac:dyDescent="0.3"/>
    <row r="22990" customFormat="1" x14ac:dyDescent="0.3"/>
    <row r="22991" customFormat="1" x14ac:dyDescent="0.3"/>
    <row r="22992" customFormat="1" x14ac:dyDescent="0.3"/>
    <row r="22993" customFormat="1" x14ac:dyDescent="0.3"/>
    <row r="22994" customFormat="1" x14ac:dyDescent="0.3"/>
    <row r="22995" customFormat="1" x14ac:dyDescent="0.3"/>
    <row r="22996" customFormat="1" x14ac:dyDescent="0.3"/>
    <row r="22997" customFormat="1" x14ac:dyDescent="0.3"/>
    <row r="22998" customFormat="1" x14ac:dyDescent="0.3"/>
    <row r="22999" customFormat="1" x14ac:dyDescent="0.3"/>
    <row r="23000" customFormat="1" x14ac:dyDescent="0.3"/>
    <row r="23001" customFormat="1" x14ac:dyDescent="0.3"/>
    <row r="23002" customFormat="1" x14ac:dyDescent="0.3"/>
    <row r="23003" customFormat="1" x14ac:dyDescent="0.3"/>
    <row r="23004" customFormat="1" x14ac:dyDescent="0.3"/>
    <row r="23005" customFormat="1" x14ac:dyDescent="0.3"/>
    <row r="23006" customFormat="1" x14ac:dyDescent="0.3"/>
    <row r="23007" customFormat="1" x14ac:dyDescent="0.3"/>
    <row r="23008" customFormat="1" x14ac:dyDescent="0.3"/>
    <row r="23009" customFormat="1" x14ac:dyDescent="0.3"/>
    <row r="23010" customFormat="1" x14ac:dyDescent="0.3"/>
    <row r="23011" customFormat="1" x14ac:dyDescent="0.3"/>
    <row r="23012" customFormat="1" x14ac:dyDescent="0.3"/>
    <row r="23013" customFormat="1" x14ac:dyDescent="0.3"/>
    <row r="23014" customFormat="1" x14ac:dyDescent="0.3"/>
    <row r="23015" customFormat="1" x14ac:dyDescent="0.3"/>
    <row r="23016" customFormat="1" x14ac:dyDescent="0.3"/>
    <row r="23017" customFormat="1" x14ac:dyDescent="0.3"/>
    <row r="23018" customFormat="1" x14ac:dyDescent="0.3"/>
    <row r="23019" customFormat="1" x14ac:dyDescent="0.3"/>
    <row r="23020" customFormat="1" x14ac:dyDescent="0.3"/>
    <row r="23021" customFormat="1" x14ac:dyDescent="0.3"/>
    <row r="23022" customFormat="1" x14ac:dyDescent="0.3"/>
    <row r="23023" customFormat="1" x14ac:dyDescent="0.3"/>
    <row r="23024" customFormat="1" x14ac:dyDescent="0.3"/>
    <row r="23025" customFormat="1" x14ac:dyDescent="0.3"/>
    <row r="23026" customFormat="1" x14ac:dyDescent="0.3"/>
    <row r="23027" customFormat="1" x14ac:dyDescent="0.3"/>
    <row r="23028" customFormat="1" x14ac:dyDescent="0.3"/>
    <row r="23029" customFormat="1" x14ac:dyDescent="0.3"/>
    <row r="23030" customFormat="1" x14ac:dyDescent="0.3"/>
    <row r="23031" customFormat="1" x14ac:dyDescent="0.3"/>
    <row r="23032" customFormat="1" x14ac:dyDescent="0.3"/>
    <row r="23033" customFormat="1" x14ac:dyDescent="0.3"/>
    <row r="23034" customFormat="1" x14ac:dyDescent="0.3"/>
    <row r="23035" customFormat="1" x14ac:dyDescent="0.3"/>
    <row r="23036" customFormat="1" x14ac:dyDescent="0.3"/>
    <row r="23037" customFormat="1" x14ac:dyDescent="0.3"/>
    <row r="23038" customFormat="1" x14ac:dyDescent="0.3"/>
    <row r="23039" customFormat="1" x14ac:dyDescent="0.3"/>
    <row r="23040" customFormat="1" x14ac:dyDescent="0.3"/>
    <row r="23041" customFormat="1" x14ac:dyDescent="0.3"/>
    <row r="23042" customFormat="1" x14ac:dyDescent="0.3"/>
    <row r="23043" customFormat="1" x14ac:dyDescent="0.3"/>
    <row r="23044" customFormat="1" x14ac:dyDescent="0.3"/>
    <row r="23045" customFormat="1" x14ac:dyDescent="0.3"/>
    <row r="23046" customFormat="1" x14ac:dyDescent="0.3"/>
    <row r="23047" customFormat="1" x14ac:dyDescent="0.3"/>
    <row r="23048" customFormat="1" x14ac:dyDescent="0.3"/>
    <row r="23049" customFormat="1" x14ac:dyDescent="0.3"/>
    <row r="23050" customFormat="1" x14ac:dyDescent="0.3"/>
    <row r="23051" customFormat="1" x14ac:dyDescent="0.3"/>
    <row r="23052" customFormat="1" x14ac:dyDescent="0.3"/>
    <row r="23053" customFormat="1" x14ac:dyDescent="0.3"/>
    <row r="23054" customFormat="1" x14ac:dyDescent="0.3"/>
    <row r="23055" customFormat="1" x14ac:dyDescent="0.3"/>
    <row r="23056" customFormat="1" x14ac:dyDescent="0.3"/>
    <row r="23057" customFormat="1" x14ac:dyDescent="0.3"/>
    <row r="23058" customFormat="1" x14ac:dyDescent="0.3"/>
    <row r="23059" customFormat="1" x14ac:dyDescent="0.3"/>
    <row r="23060" customFormat="1" x14ac:dyDescent="0.3"/>
    <row r="23061" customFormat="1" x14ac:dyDescent="0.3"/>
    <row r="23062" customFormat="1" x14ac:dyDescent="0.3"/>
    <row r="23063" customFormat="1" x14ac:dyDescent="0.3"/>
    <row r="23064" customFormat="1" x14ac:dyDescent="0.3"/>
    <row r="23065" customFormat="1" x14ac:dyDescent="0.3"/>
    <row r="23066" customFormat="1" x14ac:dyDescent="0.3"/>
    <row r="23067" customFormat="1" x14ac:dyDescent="0.3"/>
    <row r="23068" customFormat="1" x14ac:dyDescent="0.3"/>
    <row r="23069" customFormat="1" x14ac:dyDescent="0.3"/>
    <row r="23070" customFormat="1" x14ac:dyDescent="0.3"/>
    <row r="23071" customFormat="1" x14ac:dyDescent="0.3"/>
    <row r="23072" customFormat="1" x14ac:dyDescent="0.3"/>
    <row r="23073" customFormat="1" x14ac:dyDescent="0.3"/>
    <row r="23074" customFormat="1" x14ac:dyDescent="0.3"/>
    <row r="23075" customFormat="1" x14ac:dyDescent="0.3"/>
    <row r="23076" customFormat="1" x14ac:dyDescent="0.3"/>
    <row r="23077" customFormat="1" x14ac:dyDescent="0.3"/>
    <row r="23078" customFormat="1" x14ac:dyDescent="0.3"/>
    <row r="23079" customFormat="1" x14ac:dyDescent="0.3"/>
    <row r="23080" customFormat="1" x14ac:dyDescent="0.3"/>
    <row r="23081" customFormat="1" x14ac:dyDescent="0.3"/>
    <row r="23082" customFormat="1" x14ac:dyDescent="0.3"/>
    <row r="23083" customFormat="1" x14ac:dyDescent="0.3"/>
    <row r="23084" customFormat="1" x14ac:dyDescent="0.3"/>
    <row r="23085" customFormat="1" x14ac:dyDescent="0.3"/>
    <row r="23086" customFormat="1" x14ac:dyDescent="0.3"/>
    <row r="23087" customFormat="1" x14ac:dyDescent="0.3"/>
    <row r="23088" customFormat="1" x14ac:dyDescent="0.3"/>
    <row r="23089" customFormat="1" x14ac:dyDescent="0.3"/>
    <row r="23090" customFormat="1" x14ac:dyDescent="0.3"/>
    <row r="23091" customFormat="1" x14ac:dyDescent="0.3"/>
    <row r="23092" customFormat="1" x14ac:dyDescent="0.3"/>
    <row r="23093" customFormat="1" x14ac:dyDescent="0.3"/>
    <row r="23094" customFormat="1" x14ac:dyDescent="0.3"/>
    <row r="23095" customFormat="1" x14ac:dyDescent="0.3"/>
    <row r="23096" customFormat="1" x14ac:dyDescent="0.3"/>
    <row r="23097" customFormat="1" x14ac:dyDescent="0.3"/>
    <row r="23098" customFormat="1" x14ac:dyDescent="0.3"/>
    <row r="23099" customFormat="1" x14ac:dyDescent="0.3"/>
    <row r="23100" customFormat="1" x14ac:dyDescent="0.3"/>
    <row r="23101" customFormat="1" x14ac:dyDescent="0.3"/>
    <row r="23102" customFormat="1" x14ac:dyDescent="0.3"/>
    <row r="23103" customFormat="1" x14ac:dyDescent="0.3"/>
    <row r="23104" customFormat="1" x14ac:dyDescent="0.3"/>
    <row r="23105" customFormat="1" x14ac:dyDescent="0.3"/>
    <row r="23106" customFormat="1" x14ac:dyDescent="0.3"/>
    <row r="23107" customFormat="1" x14ac:dyDescent="0.3"/>
    <row r="23108" customFormat="1" x14ac:dyDescent="0.3"/>
    <row r="23109" customFormat="1" x14ac:dyDescent="0.3"/>
    <row r="23110" customFormat="1" x14ac:dyDescent="0.3"/>
    <row r="23111" customFormat="1" x14ac:dyDescent="0.3"/>
    <row r="23112" customFormat="1" x14ac:dyDescent="0.3"/>
    <row r="23113" customFormat="1" x14ac:dyDescent="0.3"/>
    <row r="23114" customFormat="1" x14ac:dyDescent="0.3"/>
    <row r="23115" customFormat="1" x14ac:dyDescent="0.3"/>
    <row r="23116" customFormat="1" x14ac:dyDescent="0.3"/>
    <row r="23117" customFormat="1" x14ac:dyDescent="0.3"/>
    <row r="23118" customFormat="1" x14ac:dyDescent="0.3"/>
    <row r="23119" customFormat="1" x14ac:dyDescent="0.3"/>
    <row r="23120" customFormat="1" x14ac:dyDescent="0.3"/>
    <row r="23121" customFormat="1" x14ac:dyDescent="0.3"/>
    <row r="23122" customFormat="1" x14ac:dyDescent="0.3"/>
    <row r="23123" customFormat="1" x14ac:dyDescent="0.3"/>
    <row r="23124" customFormat="1" x14ac:dyDescent="0.3"/>
    <row r="23125" customFormat="1" x14ac:dyDescent="0.3"/>
    <row r="23126" customFormat="1" x14ac:dyDescent="0.3"/>
    <row r="23127" customFormat="1" x14ac:dyDescent="0.3"/>
    <row r="23128" customFormat="1" x14ac:dyDescent="0.3"/>
    <row r="23129" customFormat="1" x14ac:dyDescent="0.3"/>
    <row r="23130" customFormat="1" x14ac:dyDescent="0.3"/>
    <row r="23131" customFormat="1" x14ac:dyDescent="0.3"/>
    <row r="23132" customFormat="1" x14ac:dyDescent="0.3"/>
    <row r="23133" customFormat="1" x14ac:dyDescent="0.3"/>
    <row r="23134" customFormat="1" x14ac:dyDescent="0.3"/>
    <row r="23135" customFormat="1" x14ac:dyDescent="0.3"/>
    <row r="23136" customFormat="1" x14ac:dyDescent="0.3"/>
    <row r="23137" customFormat="1" x14ac:dyDescent="0.3"/>
    <row r="23138" customFormat="1" x14ac:dyDescent="0.3"/>
    <row r="23139" customFormat="1" x14ac:dyDescent="0.3"/>
    <row r="23140" customFormat="1" x14ac:dyDescent="0.3"/>
    <row r="23141" customFormat="1" x14ac:dyDescent="0.3"/>
    <row r="23142" customFormat="1" x14ac:dyDescent="0.3"/>
    <row r="23143" customFormat="1" x14ac:dyDescent="0.3"/>
    <row r="23144" customFormat="1" x14ac:dyDescent="0.3"/>
    <row r="23145" customFormat="1" x14ac:dyDescent="0.3"/>
    <row r="23146" customFormat="1" x14ac:dyDescent="0.3"/>
    <row r="23147" customFormat="1" x14ac:dyDescent="0.3"/>
    <row r="23148" customFormat="1" x14ac:dyDescent="0.3"/>
    <row r="23149" customFormat="1" x14ac:dyDescent="0.3"/>
    <row r="23150" customFormat="1" x14ac:dyDescent="0.3"/>
    <row r="23151" customFormat="1" x14ac:dyDescent="0.3"/>
    <row r="23152" customFormat="1" x14ac:dyDescent="0.3"/>
    <row r="23153" customFormat="1" x14ac:dyDescent="0.3"/>
    <row r="23154" customFormat="1" x14ac:dyDescent="0.3"/>
    <row r="23155" customFormat="1" x14ac:dyDescent="0.3"/>
    <row r="23156" customFormat="1" x14ac:dyDescent="0.3"/>
    <row r="23157" customFormat="1" x14ac:dyDescent="0.3"/>
    <row r="23158" customFormat="1" x14ac:dyDescent="0.3"/>
    <row r="23159" customFormat="1" x14ac:dyDescent="0.3"/>
    <row r="23160" customFormat="1" x14ac:dyDescent="0.3"/>
    <row r="23161" customFormat="1" x14ac:dyDescent="0.3"/>
    <row r="23162" customFormat="1" x14ac:dyDescent="0.3"/>
    <row r="23163" customFormat="1" x14ac:dyDescent="0.3"/>
    <row r="23164" customFormat="1" x14ac:dyDescent="0.3"/>
    <row r="23165" customFormat="1" x14ac:dyDescent="0.3"/>
    <row r="23166" customFormat="1" x14ac:dyDescent="0.3"/>
    <row r="23167" customFormat="1" x14ac:dyDescent="0.3"/>
    <row r="23168" customFormat="1" x14ac:dyDescent="0.3"/>
    <row r="23169" customFormat="1" x14ac:dyDescent="0.3"/>
    <row r="23170" customFormat="1" x14ac:dyDescent="0.3"/>
    <row r="23171" customFormat="1" x14ac:dyDescent="0.3"/>
    <row r="23172" customFormat="1" x14ac:dyDescent="0.3"/>
    <row r="23173" customFormat="1" x14ac:dyDescent="0.3"/>
    <row r="23174" customFormat="1" x14ac:dyDescent="0.3"/>
    <row r="23175" customFormat="1" x14ac:dyDescent="0.3"/>
    <row r="23176" customFormat="1" x14ac:dyDescent="0.3"/>
    <row r="23177" customFormat="1" x14ac:dyDescent="0.3"/>
    <row r="23178" customFormat="1" x14ac:dyDescent="0.3"/>
    <row r="23179" customFormat="1" x14ac:dyDescent="0.3"/>
    <row r="23180" customFormat="1" x14ac:dyDescent="0.3"/>
    <row r="23181" customFormat="1" x14ac:dyDescent="0.3"/>
    <row r="23182" customFormat="1" x14ac:dyDescent="0.3"/>
    <row r="23183" customFormat="1" x14ac:dyDescent="0.3"/>
    <row r="23184" customFormat="1" x14ac:dyDescent="0.3"/>
    <row r="23185" customFormat="1" x14ac:dyDescent="0.3"/>
    <row r="23186" customFormat="1" x14ac:dyDescent="0.3"/>
    <row r="23187" customFormat="1" x14ac:dyDescent="0.3"/>
    <row r="23188" customFormat="1" x14ac:dyDescent="0.3"/>
    <row r="23189" customFormat="1" x14ac:dyDescent="0.3"/>
    <row r="23190" customFormat="1" x14ac:dyDescent="0.3"/>
    <row r="23191" customFormat="1" x14ac:dyDescent="0.3"/>
    <row r="23192" customFormat="1" x14ac:dyDescent="0.3"/>
    <row r="23193" customFormat="1" x14ac:dyDescent="0.3"/>
    <row r="23194" customFormat="1" x14ac:dyDescent="0.3"/>
    <row r="23195" customFormat="1" x14ac:dyDescent="0.3"/>
    <row r="23196" customFormat="1" x14ac:dyDescent="0.3"/>
    <row r="23197" customFormat="1" x14ac:dyDescent="0.3"/>
    <row r="23198" customFormat="1" x14ac:dyDescent="0.3"/>
    <row r="23199" customFormat="1" x14ac:dyDescent="0.3"/>
    <row r="23200" customFormat="1" x14ac:dyDescent="0.3"/>
    <row r="23201" customFormat="1" x14ac:dyDescent="0.3"/>
    <row r="23202" customFormat="1" x14ac:dyDescent="0.3"/>
    <row r="23203" customFormat="1" x14ac:dyDescent="0.3"/>
    <row r="23204" customFormat="1" x14ac:dyDescent="0.3"/>
    <row r="23205" customFormat="1" x14ac:dyDescent="0.3"/>
    <row r="23206" customFormat="1" x14ac:dyDescent="0.3"/>
    <row r="23207" customFormat="1" x14ac:dyDescent="0.3"/>
    <row r="23208" customFormat="1" x14ac:dyDescent="0.3"/>
    <row r="23209" customFormat="1" x14ac:dyDescent="0.3"/>
    <row r="23210" customFormat="1" x14ac:dyDescent="0.3"/>
    <row r="23211" customFormat="1" x14ac:dyDescent="0.3"/>
    <row r="23212" customFormat="1" x14ac:dyDescent="0.3"/>
    <row r="23213" customFormat="1" x14ac:dyDescent="0.3"/>
    <row r="23214" customFormat="1" x14ac:dyDescent="0.3"/>
    <row r="23215" customFormat="1" x14ac:dyDescent="0.3"/>
    <row r="23216" customFormat="1" x14ac:dyDescent="0.3"/>
    <row r="23217" customFormat="1" x14ac:dyDescent="0.3"/>
    <row r="23218" customFormat="1" x14ac:dyDescent="0.3"/>
    <row r="23219" customFormat="1" x14ac:dyDescent="0.3"/>
    <row r="23220" customFormat="1" x14ac:dyDescent="0.3"/>
    <row r="23221" customFormat="1" x14ac:dyDescent="0.3"/>
    <row r="23222" customFormat="1" x14ac:dyDescent="0.3"/>
    <row r="23223" customFormat="1" x14ac:dyDescent="0.3"/>
    <row r="23224" customFormat="1" x14ac:dyDescent="0.3"/>
    <row r="23225" customFormat="1" x14ac:dyDescent="0.3"/>
    <row r="23226" customFormat="1" x14ac:dyDescent="0.3"/>
    <row r="23227" customFormat="1" x14ac:dyDescent="0.3"/>
    <row r="23228" customFormat="1" x14ac:dyDescent="0.3"/>
    <row r="23229" customFormat="1" x14ac:dyDescent="0.3"/>
    <row r="23230" customFormat="1" x14ac:dyDescent="0.3"/>
    <row r="23231" customFormat="1" x14ac:dyDescent="0.3"/>
    <row r="23232" customFormat="1" x14ac:dyDescent="0.3"/>
    <row r="23233" customFormat="1" x14ac:dyDescent="0.3"/>
    <row r="23234" customFormat="1" x14ac:dyDescent="0.3"/>
    <row r="23235" customFormat="1" x14ac:dyDescent="0.3"/>
    <row r="23236" customFormat="1" x14ac:dyDescent="0.3"/>
    <row r="23237" customFormat="1" x14ac:dyDescent="0.3"/>
    <row r="23238" customFormat="1" x14ac:dyDescent="0.3"/>
    <row r="23239" customFormat="1" x14ac:dyDescent="0.3"/>
    <row r="23240" customFormat="1" x14ac:dyDescent="0.3"/>
    <row r="23241" customFormat="1" x14ac:dyDescent="0.3"/>
    <row r="23242" customFormat="1" x14ac:dyDescent="0.3"/>
    <row r="23243" customFormat="1" x14ac:dyDescent="0.3"/>
    <row r="23244" customFormat="1" x14ac:dyDescent="0.3"/>
    <row r="23245" customFormat="1" x14ac:dyDescent="0.3"/>
    <row r="23246" customFormat="1" x14ac:dyDescent="0.3"/>
    <row r="23247" customFormat="1" x14ac:dyDescent="0.3"/>
    <row r="23248" customFormat="1" x14ac:dyDescent="0.3"/>
    <row r="23249" customFormat="1" x14ac:dyDescent="0.3"/>
    <row r="23250" customFormat="1" x14ac:dyDescent="0.3"/>
    <row r="23251" customFormat="1" x14ac:dyDescent="0.3"/>
    <row r="23252" customFormat="1" x14ac:dyDescent="0.3"/>
    <row r="23253" customFormat="1" x14ac:dyDescent="0.3"/>
    <row r="23254" customFormat="1" x14ac:dyDescent="0.3"/>
    <row r="23255" customFormat="1" x14ac:dyDescent="0.3"/>
    <row r="23256" customFormat="1" x14ac:dyDescent="0.3"/>
    <row r="23257" customFormat="1" x14ac:dyDescent="0.3"/>
    <row r="23258" customFormat="1" x14ac:dyDescent="0.3"/>
    <row r="23259" customFormat="1" x14ac:dyDescent="0.3"/>
    <row r="23260" customFormat="1" x14ac:dyDescent="0.3"/>
    <row r="23261" customFormat="1" x14ac:dyDescent="0.3"/>
    <row r="23262" customFormat="1" x14ac:dyDescent="0.3"/>
    <row r="23263" customFormat="1" x14ac:dyDescent="0.3"/>
    <row r="23264" customFormat="1" x14ac:dyDescent="0.3"/>
    <row r="23265" customFormat="1" x14ac:dyDescent="0.3"/>
    <row r="23266" customFormat="1" x14ac:dyDescent="0.3"/>
    <row r="23267" customFormat="1" x14ac:dyDescent="0.3"/>
    <row r="23268" customFormat="1" x14ac:dyDescent="0.3"/>
    <row r="23269" customFormat="1" x14ac:dyDescent="0.3"/>
    <row r="23270" customFormat="1" x14ac:dyDescent="0.3"/>
    <row r="23271" customFormat="1" x14ac:dyDescent="0.3"/>
    <row r="23272" customFormat="1" x14ac:dyDescent="0.3"/>
    <row r="23273" customFormat="1" x14ac:dyDescent="0.3"/>
    <row r="23274" customFormat="1" x14ac:dyDescent="0.3"/>
    <row r="23275" customFormat="1" x14ac:dyDescent="0.3"/>
    <row r="23276" customFormat="1" x14ac:dyDescent="0.3"/>
    <row r="23277" customFormat="1" x14ac:dyDescent="0.3"/>
    <row r="23278" customFormat="1" x14ac:dyDescent="0.3"/>
    <row r="23279" customFormat="1" x14ac:dyDescent="0.3"/>
    <row r="23280" customFormat="1" x14ac:dyDescent="0.3"/>
    <row r="23281" customFormat="1" x14ac:dyDescent="0.3"/>
    <row r="23282" customFormat="1" x14ac:dyDescent="0.3"/>
    <row r="23283" customFormat="1" x14ac:dyDescent="0.3"/>
    <row r="23284" customFormat="1" x14ac:dyDescent="0.3"/>
    <row r="23285" customFormat="1" x14ac:dyDescent="0.3"/>
    <row r="23286" customFormat="1" x14ac:dyDescent="0.3"/>
    <row r="23287" customFormat="1" x14ac:dyDescent="0.3"/>
    <row r="23288" customFormat="1" x14ac:dyDescent="0.3"/>
    <row r="23289" customFormat="1" x14ac:dyDescent="0.3"/>
    <row r="23290" customFormat="1" x14ac:dyDescent="0.3"/>
    <row r="23291" customFormat="1" x14ac:dyDescent="0.3"/>
    <row r="23292" customFormat="1" x14ac:dyDescent="0.3"/>
    <row r="23293" customFormat="1" x14ac:dyDescent="0.3"/>
    <row r="23294" customFormat="1" x14ac:dyDescent="0.3"/>
    <row r="23295" customFormat="1" x14ac:dyDescent="0.3"/>
    <row r="23296" customFormat="1" x14ac:dyDescent="0.3"/>
    <row r="23297" customFormat="1" x14ac:dyDescent="0.3"/>
    <row r="23298" customFormat="1" x14ac:dyDescent="0.3"/>
    <row r="23299" customFormat="1" x14ac:dyDescent="0.3"/>
    <row r="23300" customFormat="1" x14ac:dyDescent="0.3"/>
    <row r="23301" customFormat="1" x14ac:dyDescent="0.3"/>
    <row r="23302" customFormat="1" x14ac:dyDescent="0.3"/>
    <row r="23303" customFormat="1" x14ac:dyDescent="0.3"/>
    <row r="23304" customFormat="1" x14ac:dyDescent="0.3"/>
    <row r="23305" customFormat="1" x14ac:dyDescent="0.3"/>
    <row r="23306" customFormat="1" x14ac:dyDescent="0.3"/>
    <row r="23307" customFormat="1" x14ac:dyDescent="0.3"/>
    <row r="23308" customFormat="1" x14ac:dyDescent="0.3"/>
    <row r="23309" customFormat="1" x14ac:dyDescent="0.3"/>
    <row r="23310" customFormat="1" x14ac:dyDescent="0.3"/>
    <row r="23311" customFormat="1" x14ac:dyDescent="0.3"/>
    <row r="23312" customFormat="1" x14ac:dyDescent="0.3"/>
    <row r="23313" customFormat="1" x14ac:dyDescent="0.3"/>
    <row r="23314" customFormat="1" x14ac:dyDescent="0.3"/>
    <row r="23315" customFormat="1" x14ac:dyDescent="0.3"/>
    <row r="23316" customFormat="1" x14ac:dyDescent="0.3"/>
    <row r="23317" customFormat="1" x14ac:dyDescent="0.3"/>
    <row r="23318" customFormat="1" x14ac:dyDescent="0.3"/>
    <row r="23319" customFormat="1" x14ac:dyDescent="0.3"/>
    <row r="23320" customFormat="1" x14ac:dyDescent="0.3"/>
    <row r="23321" customFormat="1" x14ac:dyDescent="0.3"/>
    <row r="23322" customFormat="1" x14ac:dyDescent="0.3"/>
    <row r="23323" customFormat="1" x14ac:dyDescent="0.3"/>
    <row r="23324" customFormat="1" x14ac:dyDescent="0.3"/>
    <row r="23325" customFormat="1" x14ac:dyDescent="0.3"/>
    <row r="23326" customFormat="1" x14ac:dyDescent="0.3"/>
    <row r="23327" customFormat="1" x14ac:dyDescent="0.3"/>
    <row r="23328" customFormat="1" x14ac:dyDescent="0.3"/>
    <row r="23329" customFormat="1" x14ac:dyDescent="0.3"/>
    <row r="23330" customFormat="1" x14ac:dyDescent="0.3"/>
    <row r="23331" customFormat="1" x14ac:dyDescent="0.3"/>
    <row r="23332" customFormat="1" x14ac:dyDescent="0.3"/>
    <row r="23333" customFormat="1" x14ac:dyDescent="0.3"/>
    <row r="23334" customFormat="1" x14ac:dyDescent="0.3"/>
    <row r="23335" customFormat="1" x14ac:dyDescent="0.3"/>
    <row r="23336" customFormat="1" x14ac:dyDescent="0.3"/>
    <row r="23337" customFormat="1" x14ac:dyDescent="0.3"/>
    <row r="23338" customFormat="1" x14ac:dyDescent="0.3"/>
    <row r="23339" customFormat="1" x14ac:dyDescent="0.3"/>
    <row r="23340" customFormat="1" x14ac:dyDescent="0.3"/>
    <row r="23341" customFormat="1" x14ac:dyDescent="0.3"/>
    <row r="23342" customFormat="1" x14ac:dyDescent="0.3"/>
    <row r="23343" customFormat="1" x14ac:dyDescent="0.3"/>
    <row r="23344" customFormat="1" x14ac:dyDescent="0.3"/>
    <row r="23345" customFormat="1" x14ac:dyDescent="0.3"/>
    <row r="23346" customFormat="1" x14ac:dyDescent="0.3"/>
    <row r="23347" customFormat="1" x14ac:dyDescent="0.3"/>
    <row r="23348" customFormat="1" x14ac:dyDescent="0.3"/>
    <row r="23349" customFormat="1" x14ac:dyDescent="0.3"/>
    <row r="23350" customFormat="1" x14ac:dyDescent="0.3"/>
    <row r="23351" customFormat="1" x14ac:dyDescent="0.3"/>
    <row r="23352" customFormat="1" x14ac:dyDescent="0.3"/>
    <row r="23353" customFormat="1" x14ac:dyDescent="0.3"/>
    <row r="23354" customFormat="1" x14ac:dyDescent="0.3"/>
    <row r="23355" customFormat="1" x14ac:dyDescent="0.3"/>
    <row r="23356" customFormat="1" x14ac:dyDescent="0.3"/>
    <row r="23357" customFormat="1" x14ac:dyDescent="0.3"/>
    <row r="23358" customFormat="1" x14ac:dyDescent="0.3"/>
    <row r="23359" customFormat="1" x14ac:dyDescent="0.3"/>
    <row r="23360" customFormat="1" x14ac:dyDescent="0.3"/>
    <row r="23361" customFormat="1" x14ac:dyDescent="0.3"/>
    <row r="23362" customFormat="1" x14ac:dyDescent="0.3"/>
    <row r="23363" customFormat="1" x14ac:dyDescent="0.3"/>
    <row r="23364" customFormat="1" x14ac:dyDescent="0.3"/>
    <row r="23365" customFormat="1" x14ac:dyDescent="0.3"/>
    <row r="23366" customFormat="1" x14ac:dyDescent="0.3"/>
    <row r="23367" customFormat="1" x14ac:dyDescent="0.3"/>
    <row r="23368" customFormat="1" x14ac:dyDescent="0.3"/>
    <row r="23369" customFormat="1" x14ac:dyDescent="0.3"/>
    <row r="23370" customFormat="1" x14ac:dyDescent="0.3"/>
    <row r="23371" customFormat="1" x14ac:dyDescent="0.3"/>
    <row r="23372" customFormat="1" x14ac:dyDescent="0.3"/>
    <row r="23373" customFormat="1" x14ac:dyDescent="0.3"/>
    <row r="23374" customFormat="1" x14ac:dyDescent="0.3"/>
    <row r="23375" customFormat="1" x14ac:dyDescent="0.3"/>
    <row r="23376" customFormat="1" x14ac:dyDescent="0.3"/>
    <row r="23377" customFormat="1" x14ac:dyDescent="0.3"/>
    <row r="23378" customFormat="1" x14ac:dyDescent="0.3"/>
    <row r="23379" customFormat="1" x14ac:dyDescent="0.3"/>
    <row r="23380" customFormat="1" x14ac:dyDescent="0.3"/>
    <row r="23381" customFormat="1" x14ac:dyDescent="0.3"/>
    <row r="23382" customFormat="1" x14ac:dyDescent="0.3"/>
    <row r="23383" customFormat="1" x14ac:dyDescent="0.3"/>
    <row r="23384" customFormat="1" x14ac:dyDescent="0.3"/>
    <row r="23385" customFormat="1" x14ac:dyDescent="0.3"/>
    <row r="23386" customFormat="1" x14ac:dyDescent="0.3"/>
    <row r="23387" customFormat="1" x14ac:dyDescent="0.3"/>
    <row r="23388" customFormat="1" x14ac:dyDescent="0.3"/>
    <row r="23389" customFormat="1" x14ac:dyDescent="0.3"/>
    <row r="23390" customFormat="1" x14ac:dyDescent="0.3"/>
    <row r="23391" customFormat="1" x14ac:dyDescent="0.3"/>
    <row r="23392" customFormat="1" x14ac:dyDescent="0.3"/>
    <row r="23393" customFormat="1" x14ac:dyDescent="0.3"/>
    <row r="23394" customFormat="1" x14ac:dyDescent="0.3"/>
    <row r="23395" customFormat="1" x14ac:dyDescent="0.3"/>
    <row r="23396" customFormat="1" x14ac:dyDescent="0.3"/>
    <row r="23397" customFormat="1" x14ac:dyDescent="0.3"/>
    <row r="23398" customFormat="1" x14ac:dyDescent="0.3"/>
    <row r="23399" customFormat="1" x14ac:dyDescent="0.3"/>
    <row r="23400" customFormat="1" x14ac:dyDescent="0.3"/>
    <row r="23401" customFormat="1" x14ac:dyDescent="0.3"/>
    <row r="23402" customFormat="1" x14ac:dyDescent="0.3"/>
    <row r="23403" customFormat="1" x14ac:dyDescent="0.3"/>
    <row r="23404" customFormat="1" x14ac:dyDescent="0.3"/>
    <row r="23405" customFormat="1" x14ac:dyDescent="0.3"/>
    <row r="23406" customFormat="1" x14ac:dyDescent="0.3"/>
    <row r="23407" customFormat="1" x14ac:dyDescent="0.3"/>
    <row r="23408" customFormat="1" x14ac:dyDescent="0.3"/>
    <row r="23409" customFormat="1" x14ac:dyDescent="0.3"/>
    <row r="23410" customFormat="1" x14ac:dyDescent="0.3"/>
    <row r="23411" customFormat="1" x14ac:dyDescent="0.3"/>
    <row r="23412" customFormat="1" x14ac:dyDescent="0.3"/>
    <row r="23413" customFormat="1" x14ac:dyDescent="0.3"/>
    <row r="23414" customFormat="1" x14ac:dyDescent="0.3"/>
    <row r="23415" customFormat="1" x14ac:dyDescent="0.3"/>
    <row r="23416" customFormat="1" x14ac:dyDescent="0.3"/>
    <row r="23417" customFormat="1" x14ac:dyDescent="0.3"/>
    <row r="23418" customFormat="1" x14ac:dyDescent="0.3"/>
    <row r="23419" customFormat="1" x14ac:dyDescent="0.3"/>
    <row r="23420" customFormat="1" x14ac:dyDescent="0.3"/>
    <row r="23421" customFormat="1" x14ac:dyDescent="0.3"/>
    <row r="23422" customFormat="1" x14ac:dyDescent="0.3"/>
    <row r="23423" customFormat="1" x14ac:dyDescent="0.3"/>
    <row r="23424" customFormat="1" x14ac:dyDescent="0.3"/>
    <row r="23425" customFormat="1" x14ac:dyDescent="0.3"/>
    <row r="23426" customFormat="1" x14ac:dyDescent="0.3"/>
    <row r="23427" customFormat="1" x14ac:dyDescent="0.3"/>
    <row r="23428" customFormat="1" x14ac:dyDescent="0.3"/>
    <row r="23429" customFormat="1" x14ac:dyDescent="0.3"/>
    <row r="23430" customFormat="1" x14ac:dyDescent="0.3"/>
    <row r="23431" customFormat="1" x14ac:dyDescent="0.3"/>
    <row r="23432" customFormat="1" x14ac:dyDescent="0.3"/>
    <row r="23433" customFormat="1" x14ac:dyDescent="0.3"/>
    <row r="23434" customFormat="1" x14ac:dyDescent="0.3"/>
    <row r="23435" customFormat="1" x14ac:dyDescent="0.3"/>
    <row r="23436" customFormat="1" x14ac:dyDescent="0.3"/>
    <row r="23437" customFormat="1" x14ac:dyDescent="0.3"/>
    <row r="23438" customFormat="1" x14ac:dyDescent="0.3"/>
    <row r="23439" customFormat="1" x14ac:dyDescent="0.3"/>
    <row r="23440" customFormat="1" x14ac:dyDescent="0.3"/>
    <row r="23441" customFormat="1" x14ac:dyDescent="0.3"/>
    <row r="23442" customFormat="1" x14ac:dyDescent="0.3"/>
    <row r="23443" customFormat="1" x14ac:dyDescent="0.3"/>
    <row r="23444" customFormat="1" x14ac:dyDescent="0.3"/>
    <row r="23445" customFormat="1" x14ac:dyDescent="0.3"/>
    <row r="23446" customFormat="1" x14ac:dyDescent="0.3"/>
    <row r="23447" customFormat="1" x14ac:dyDescent="0.3"/>
    <row r="23448" customFormat="1" x14ac:dyDescent="0.3"/>
    <row r="23449" customFormat="1" x14ac:dyDescent="0.3"/>
    <row r="23450" customFormat="1" x14ac:dyDescent="0.3"/>
    <row r="23451" customFormat="1" x14ac:dyDescent="0.3"/>
    <row r="23452" customFormat="1" x14ac:dyDescent="0.3"/>
    <row r="23453" customFormat="1" x14ac:dyDescent="0.3"/>
    <row r="23454" customFormat="1" x14ac:dyDescent="0.3"/>
    <row r="23455" customFormat="1" x14ac:dyDescent="0.3"/>
    <row r="23456" customFormat="1" x14ac:dyDescent="0.3"/>
    <row r="23457" customFormat="1" x14ac:dyDescent="0.3"/>
    <row r="23458" customFormat="1" x14ac:dyDescent="0.3"/>
    <row r="23459" customFormat="1" x14ac:dyDescent="0.3"/>
    <row r="23460" customFormat="1" x14ac:dyDescent="0.3"/>
    <row r="23461" customFormat="1" x14ac:dyDescent="0.3"/>
    <row r="23462" customFormat="1" x14ac:dyDescent="0.3"/>
    <row r="23463" customFormat="1" x14ac:dyDescent="0.3"/>
    <row r="23464" customFormat="1" x14ac:dyDescent="0.3"/>
    <row r="23465" customFormat="1" x14ac:dyDescent="0.3"/>
    <row r="23466" customFormat="1" x14ac:dyDescent="0.3"/>
    <row r="23467" customFormat="1" x14ac:dyDescent="0.3"/>
    <row r="23468" customFormat="1" x14ac:dyDescent="0.3"/>
    <row r="23469" customFormat="1" x14ac:dyDescent="0.3"/>
    <row r="23470" customFormat="1" x14ac:dyDescent="0.3"/>
    <row r="23471" customFormat="1" x14ac:dyDescent="0.3"/>
    <row r="23472" customFormat="1" x14ac:dyDescent="0.3"/>
    <row r="23473" customFormat="1" x14ac:dyDescent="0.3"/>
    <row r="23474" customFormat="1" x14ac:dyDescent="0.3"/>
    <row r="23475" customFormat="1" x14ac:dyDescent="0.3"/>
    <row r="23476" customFormat="1" x14ac:dyDescent="0.3"/>
    <row r="23477" customFormat="1" x14ac:dyDescent="0.3"/>
    <row r="23478" customFormat="1" x14ac:dyDescent="0.3"/>
    <row r="23479" customFormat="1" x14ac:dyDescent="0.3"/>
    <row r="23480" customFormat="1" x14ac:dyDescent="0.3"/>
    <row r="23481" customFormat="1" x14ac:dyDescent="0.3"/>
    <row r="23482" customFormat="1" x14ac:dyDescent="0.3"/>
    <row r="23483" customFormat="1" x14ac:dyDescent="0.3"/>
    <row r="23484" customFormat="1" x14ac:dyDescent="0.3"/>
    <row r="23485" customFormat="1" x14ac:dyDescent="0.3"/>
    <row r="23486" customFormat="1" x14ac:dyDescent="0.3"/>
    <row r="23487" customFormat="1" x14ac:dyDescent="0.3"/>
    <row r="23488" customFormat="1" x14ac:dyDescent="0.3"/>
    <row r="23489" customFormat="1" x14ac:dyDescent="0.3"/>
    <row r="23490" customFormat="1" x14ac:dyDescent="0.3"/>
    <row r="23491" customFormat="1" x14ac:dyDescent="0.3"/>
    <row r="23492" customFormat="1" x14ac:dyDescent="0.3"/>
    <row r="23493" customFormat="1" x14ac:dyDescent="0.3"/>
    <row r="23494" customFormat="1" x14ac:dyDescent="0.3"/>
    <row r="23495" customFormat="1" x14ac:dyDescent="0.3"/>
    <row r="23496" customFormat="1" x14ac:dyDescent="0.3"/>
    <row r="23497" customFormat="1" x14ac:dyDescent="0.3"/>
    <row r="23498" customFormat="1" x14ac:dyDescent="0.3"/>
    <row r="23499" customFormat="1" x14ac:dyDescent="0.3"/>
    <row r="23500" customFormat="1" x14ac:dyDescent="0.3"/>
    <row r="23501" customFormat="1" x14ac:dyDescent="0.3"/>
    <row r="23502" customFormat="1" x14ac:dyDescent="0.3"/>
    <row r="23503" customFormat="1" x14ac:dyDescent="0.3"/>
    <row r="23504" customFormat="1" x14ac:dyDescent="0.3"/>
    <row r="23505" customFormat="1" x14ac:dyDescent="0.3"/>
    <row r="23506" customFormat="1" x14ac:dyDescent="0.3"/>
    <row r="23507" customFormat="1" x14ac:dyDescent="0.3"/>
    <row r="23508" customFormat="1" x14ac:dyDescent="0.3"/>
    <row r="23509" customFormat="1" x14ac:dyDescent="0.3"/>
    <row r="23510" customFormat="1" x14ac:dyDescent="0.3"/>
    <row r="23511" customFormat="1" x14ac:dyDescent="0.3"/>
    <row r="23512" customFormat="1" x14ac:dyDescent="0.3"/>
    <row r="23513" customFormat="1" x14ac:dyDescent="0.3"/>
    <row r="23514" customFormat="1" x14ac:dyDescent="0.3"/>
    <row r="23515" customFormat="1" x14ac:dyDescent="0.3"/>
    <row r="23516" customFormat="1" x14ac:dyDescent="0.3"/>
    <row r="23517" customFormat="1" x14ac:dyDescent="0.3"/>
    <row r="23518" customFormat="1" x14ac:dyDescent="0.3"/>
    <row r="23519" customFormat="1" x14ac:dyDescent="0.3"/>
    <row r="23520" customFormat="1" x14ac:dyDescent="0.3"/>
    <row r="23521" customFormat="1" x14ac:dyDescent="0.3"/>
    <row r="23522" customFormat="1" x14ac:dyDescent="0.3"/>
    <row r="23523" customFormat="1" x14ac:dyDescent="0.3"/>
    <row r="23524" customFormat="1" x14ac:dyDescent="0.3"/>
    <row r="23525" customFormat="1" x14ac:dyDescent="0.3"/>
    <row r="23526" customFormat="1" x14ac:dyDescent="0.3"/>
    <row r="23527" customFormat="1" x14ac:dyDescent="0.3"/>
    <row r="23528" customFormat="1" x14ac:dyDescent="0.3"/>
    <row r="23529" customFormat="1" x14ac:dyDescent="0.3"/>
    <row r="23530" customFormat="1" x14ac:dyDescent="0.3"/>
    <row r="23531" customFormat="1" x14ac:dyDescent="0.3"/>
    <row r="23532" customFormat="1" x14ac:dyDescent="0.3"/>
    <row r="23533" customFormat="1" x14ac:dyDescent="0.3"/>
    <row r="23534" customFormat="1" x14ac:dyDescent="0.3"/>
    <row r="23535" customFormat="1" x14ac:dyDescent="0.3"/>
    <row r="23536" customFormat="1" x14ac:dyDescent="0.3"/>
    <row r="23537" customFormat="1" x14ac:dyDescent="0.3"/>
    <row r="23538" customFormat="1" x14ac:dyDescent="0.3"/>
    <row r="23539" customFormat="1" x14ac:dyDescent="0.3"/>
    <row r="23540" customFormat="1" x14ac:dyDescent="0.3"/>
    <row r="23541" customFormat="1" x14ac:dyDescent="0.3"/>
    <row r="23542" customFormat="1" x14ac:dyDescent="0.3"/>
    <row r="23543" customFormat="1" x14ac:dyDescent="0.3"/>
    <row r="23544" customFormat="1" x14ac:dyDescent="0.3"/>
    <row r="23545" customFormat="1" x14ac:dyDescent="0.3"/>
    <row r="23546" customFormat="1" x14ac:dyDescent="0.3"/>
    <row r="23547" customFormat="1" x14ac:dyDescent="0.3"/>
    <row r="23548" customFormat="1" x14ac:dyDescent="0.3"/>
    <row r="23549" customFormat="1" x14ac:dyDescent="0.3"/>
    <row r="23550" customFormat="1" x14ac:dyDescent="0.3"/>
    <row r="23551" customFormat="1" x14ac:dyDescent="0.3"/>
    <row r="23552" customFormat="1" x14ac:dyDescent="0.3"/>
    <row r="23553" customFormat="1" x14ac:dyDescent="0.3"/>
    <row r="23554" customFormat="1" x14ac:dyDescent="0.3"/>
    <row r="23555" customFormat="1" x14ac:dyDescent="0.3"/>
    <row r="23556" customFormat="1" x14ac:dyDescent="0.3"/>
    <row r="23557" customFormat="1" x14ac:dyDescent="0.3"/>
    <row r="23558" customFormat="1" x14ac:dyDescent="0.3"/>
    <row r="23559" customFormat="1" x14ac:dyDescent="0.3"/>
    <row r="23560" customFormat="1" x14ac:dyDescent="0.3"/>
    <row r="23561" customFormat="1" x14ac:dyDescent="0.3"/>
    <row r="23562" customFormat="1" x14ac:dyDescent="0.3"/>
    <row r="23563" customFormat="1" x14ac:dyDescent="0.3"/>
    <row r="23564" customFormat="1" x14ac:dyDescent="0.3"/>
    <row r="23565" customFormat="1" x14ac:dyDescent="0.3"/>
    <row r="23566" customFormat="1" x14ac:dyDescent="0.3"/>
    <row r="23567" customFormat="1" x14ac:dyDescent="0.3"/>
    <row r="23568" customFormat="1" x14ac:dyDescent="0.3"/>
    <row r="23569" customFormat="1" x14ac:dyDescent="0.3"/>
    <row r="23570" customFormat="1" x14ac:dyDescent="0.3"/>
    <row r="23571" customFormat="1" x14ac:dyDescent="0.3"/>
    <row r="23572" customFormat="1" x14ac:dyDescent="0.3"/>
    <row r="23573" customFormat="1" x14ac:dyDescent="0.3"/>
    <row r="23574" customFormat="1" x14ac:dyDescent="0.3"/>
    <row r="23575" customFormat="1" x14ac:dyDescent="0.3"/>
    <row r="23576" customFormat="1" x14ac:dyDescent="0.3"/>
    <row r="23577" customFormat="1" x14ac:dyDescent="0.3"/>
    <row r="23578" customFormat="1" x14ac:dyDescent="0.3"/>
    <row r="23579" customFormat="1" x14ac:dyDescent="0.3"/>
    <row r="23580" customFormat="1" x14ac:dyDescent="0.3"/>
    <row r="23581" customFormat="1" x14ac:dyDescent="0.3"/>
    <row r="23582" customFormat="1" x14ac:dyDescent="0.3"/>
    <row r="23583" customFormat="1" x14ac:dyDescent="0.3"/>
    <row r="23584" customFormat="1" x14ac:dyDescent="0.3"/>
    <row r="23585" customFormat="1" x14ac:dyDescent="0.3"/>
    <row r="23586" customFormat="1" x14ac:dyDescent="0.3"/>
    <row r="23587" customFormat="1" x14ac:dyDescent="0.3"/>
    <row r="23588" customFormat="1" x14ac:dyDescent="0.3"/>
    <row r="23589" customFormat="1" x14ac:dyDescent="0.3"/>
    <row r="23590" customFormat="1" x14ac:dyDescent="0.3"/>
    <row r="23591" customFormat="1" x14ac:dyDescent="0.3"/>
    <row r="23592" customFormat="1" x14ac:dyDescent="0.3"/>
    <row r="23593" customFormat="1" x14ac:dyDescent="0.3"/>
    <row r="23594" customFormat="1" x14ac:dyDescent="0.3"/>
    <row r="23595" customFormat="1" x14ac:dyDescent="0.3"/>
    <row r="23596" customFormat="1" x14ac:dyDescent="0.3"/>
    <row r="23597" customFormat="1" x14ac:dyDescent="0.3"/>
    <row r="23598" customFormat="1" x14ac:dyDescent="0.3"/>
    <row r="23599" customFormat="1" x14ac:dyDescent="0.3"/>
    <row r="23600" customFormat="1" x14ac:dyDescent="0.3"/>
    <row r="23601" customFormat="1" x14ac:dyDescent="0.3"/>
    <row r="23602" customFormat="1" x14ac:dyDescent="0.3"/>
    <row r="23603" customFormat="1" x14ac:dyDescent="0.3"/>
    <row r="23604" customFormat="1" x14ac:dyDescent="0.3"/>
    <row r="23605" customFormat="1" x14ac:dyDescent="0.3"/>
    <row r="23606" customFormat="1" x14ac:dyDescent="0.3"/>
    <row r="23607" customFormat="1" x14ac:dyDescent="0.3"/>
    <row r="23608" customFormat="1" x14ac:dyDescent="0.3"/>
    <row r="23609" customFormat="1" x14ac:dyDescent="0.3"/>
    <row r="23610" customFormat="1" x14ac:dyDescent="0.3"/>
    <row r="23611" customFormat="1" x14ac:dyDescent="0.3"/>
    <row r="23612" customFormat="1" x14ac:dyDescent="0.3"/>
    <row r="23613" customFormat="1" x14ac:dyDescent="0.3"/>
    <row r="23614" customFormat="1" x14ac:dyDescent="0.3"/>
    <row r="23615" customFormat="1" x14ac:dyDescent="0.3"/>
    <row r="23616" customFormat="1" x14ac:dyDescent="0.3"/>
    <row r="23617" customFormat="1" x14ac:dyDescent="0.3"/>
    <row r="23618" customFormat="1" x14ac:dyDescent="0.3"/>
    <row r="23619" customFormat="1" x14ac:dyDescent="0.3"/>
    <row r="23620" customFormat="1" x14ac:dyDescent="0.3"/>
    <row r="23621" customFormat="1" x14ac:dyDescent="0.3"/>
    <row r="23622" customFormat="1" x14ac:dyDescent="0.3"/>
    <row r="23623" customFormat="1" x14ac:dyDescent="0.3"/>
    <row r="23624" customFormat="1" x14ac:dyDescent="0.3"/>
    <row r="23625" customFormat="1" x14ac:dyDescent="0.3"/>
    <row r="23626" customFormat="1" x14ac:dyDescent="0.3"/>
    <row r="23627" customFormat="1" x14ac:dyDescent="0.3"/>
    <row r="23628" customFormat="1" x14ac:dyDescent="0.3"/>
    <row r="23629" customFormat="1" x14ac:dyDescent="0.3"/>
    <row r="23630" customFormat="1" x14ac:dyDescent="0.3"/>
    <row r="23631" customFormat="1" x14ac:dyDescent="0.3"/>
    <row r="23632" customFormat="1" x14ac:dyDescent="0.3"/>
    <row r="23633" customFormat="1" x14ac:dyDescent="0.3"/>
    <row r="23634" customFormat="1" x14ac:dyDescent="0.3"/>
    <row r="23635" customFormat="1" x14ac:dyDescent="0.3"/>
    <row r="23636" customFormat="1" x14ac:dyDescent="0.3"/>
    <row r="23637" customFormat="1" x14ac:dyDescent="0.3"/>
    <row r="23638" customFormat="1" x14ac:dyDescent="0.3"/>
    <row r="23639" customFormat="1" x14ac:dyDescent="0.3"/>
    <row r="23640" customFormat="1" x14ac:dyDescent="0.3"/>
    <row r="23641" customFormat="1" x14ac:dyDescent="0.3"/>
    <row r="23642" customFormat="1" x14ac:dyDescent="0.3"/>
    <row r="23643" customFormat="1" x14ac:dyDescent="0.3"/>
    <row r="23644" customFormat="1" x14ac:dyDescent="0.3"/>
    <row r="23645" customFormat="1" x14ac:dyDescent="0.3"/>
    <row r="23646" customFormat="1" x14ac:dyDescent="0.3"/>
    <row r="23647" customFormat="1" x14ac:dyDescent="0.3"/>
    <row r="23648" customFormat="1" x14ac:dyDescent="0.3"/>
    <row r="23649" customFormat="1" x14ac:dyDescent="0.3"/>
    <row r="23650" customFormat="1" x14ac:dyDescent="0.3"/>
    <row r="23651" customFormat="1" x14ac:dyDescent="0.3"/>
    <row r="23652" customFormat="1" x14ac:dyDescent="0.3"/>
    <row r="23653" customFormat="1" x14ac:dyDescent="0.3"/>
    <row r="23654" customFormat="1" x14ac:dyDescent="0.3"/>
    <row r="23655" customFormat="1" x14ac:dyDescent="0.3"/>
    <row r="23656" customFormat="1" x14ac:dyDescent="0.3"/>
    <row r="23657" customFormat="1" x14ac:dyDescent="0.3"/>
    <row r="23658" customFormat="1" x14ac:dyDescent="0.3"/>
    <row r="23659" customFormat="1" x14ac:dyDescent="0.3"/>
    <row r="23660" customFormat="1" x14ac:dyDescent="0.3"/>
    <row r="23661" customFormat="1" x14ac:dyDescent="0.3"/>
    <row r="23662" customFormat="1" x14ac:dyDescent="0.3"/>
    <row r="23663" customFormat="1" x14ac:dyDescent="0.3"/>
    <row r="23664" customFormat="1" x14ac:dyDescent="0.3"/>
    <row r="23665" customFormat="1" x14ac:dyDescent="0.3"/>
    <row r="23666" customFormat="1" x14ac:dyDescent="0.3"/>
    <row r="23667" customFormat="1" x14ac:dyDescent="0.3"/>
    <row r="23668" customFormat="1" x14ac:dyDescent="0.3"/>
    <row r="23669" customFormat="1" x14ac:dyDescent="0.3"/>
    <row r="23670" customFormat="1" x14ac:dyDescent="0.3"/>
    <row r="23671" customFormat="1" x14ac:dyDescent="0.3"/>
    <row r="23672" customFormat="1" x14ac:dyDescent="0.3"/>
    <row r="23673" customFormat="1" x14ac:dyDescent="0.3"/>
    <row r="23674" customFormat="1" x14ac:dyDescent="0.3"/>
    <row r="23675" customFormat="1" x14ac:dyDescent="0.3"/>
    <row r="23676" customFormat="1" x14ac:dyDescent="0.3"/>
    <row r="23677" customFormat="1" x14ac:dyDescent="0.3"/>
    <row r="23678" customFormat="1" x14ac:dyDescent="0.3"/>
    <row r="23679" customFormat="1" x14ac:dyDescent="0.3"/>
    <row r="23680" customFormat="1" x14ac:dyDescent="0.3"/>
    <row r="23681" customFormat="1" x14ac:dyDescent="0.3"/>
    <row r="23682" customFormat="1" x14ac:dyDescent="0.3"/>
    <row r="23683" customFormat="1" x14ac:dyDescent="0.3"/>
    <row r="23684" customFormat="1" x14ac:dyDescent="0.3"/>
    <row r="23685" customFormat="1" x14ac:dyDescent="0.3"/>
    <row r="23686" customFormat="1" x14ac:dyDescent="0.3"/>
    <row r="23687" customFormat="1" x14ac:dyDescent="0.3"/>
    <row r="23688" customFormat="1" x14ac:dyDescent="0.3"/>
    <row r="23689" customFormat="1" x14ac:dyDescent="0.3"/>
    <row r="23690" customFormat="1" x14ac:dyDescent="0.3"/>
    <row r="23691" customFormat="1" x14ac:dyDescent="0.3"/>
    <row r="23692" customFormat="1" x14ac:dyDescent="0.3"/>
    <row r="23693" customFormat="1" x14ac:dyDescent="0.3"/>
    <row r="23694" customFormat="1" x14ac:dyDescent="0.3"/>
    <row r="23695" customFormat="1" x14ac:dyDescent="0.3"/>
    <row r="23696" customFormat="1" x14ac:dyDescent="0.3"/>
    <row r="23697" customFormat="1" x14ac:dyDescent="0.3"/>
    <row r="23698" customFormat="1" x14ac:dyDescent="0.3"/>
    <row r="23699" customFormat="1" x14ac:dyDescent="0.3"/>
    <row r="23700" customFormat="1" x14ac:dyDescent="0.3"/>
    <row r="23701" customFormat="1" x14ac:dyDescent="0.3"/>
    <row r="23702" customFormat="1" x14ac:dyDescent="0.3"/>
    <row r="23703" customFormat="1" x14ac:dyDescent="0.3"/>
    <row r="23704" customFormat="1" x14ac:dyDescent="0.3"/>
    <row r="23705" customFormat="1" x14ac:dyDescent="0.3"/>
    <row r="23706" customFormat="1" x14ac:dyDescent="0.3"/>
    <row r="23707" customFormat="1" x14ac:dyDescent="0.3"/>
    <row r="23708" customFormat="1" x14ac:dyDescent="0.3"/>
    <row r="23709" customFormat="1" x14ac:dyDescent="0.3"/>
    <row r="23710" customFormat="1" x14ac:dyDescent="0.3"/>
    <row r="23711" customFormat="1" x14ac:dyDescent="0.3"/>
    <row r="23712" customFormat="1" x14ac:dyDescent="0.3"/>
    <row r="23713" customFormat="1" x14ac:dyDescent="0.3"/>
    <row r="23714" customFormat="1" x14ac:dyDescent="0.3"/>
    <row r="23715" customFormat="1" x14ac:dyDescent="0.3"/>
    <row r="23716" customFormat="1" x14ac:dyDescent="0.3"/>
    <row r="23717" customFormat="1" x14ac:dyDescent="0.3"/>
    <row r="23718" customFormat="1" x14ac:dyDescent="0.3"/>
    <row r="23719" customFormat="1" x14ac:dyDescent="0.3"/>
    <row r="23720" customFormat="1" x14ac:dyDescent="0.3"/>
    <row r="23721" customFormat="1" x14ac:dyDescent="0.3"/>
    <row r="23722" customFormat="1" x14ac:dyDescent="0.3"/>
    <row r="23723" customFormat="1" x14ac:dyDescent="0.3"/>
    <row r="23724" customFormat="1" x14ac:dyDescent="0.3"/>
    <row r="23725" customFormat="1" x14ac:dyDescent="0.3"/>
    <row r="23726" customFormat="1" x14ac:dyDescent="0.3"/>
    <row r="23727" customFormat="1" x14ac:dyDescent="0.3"/>
    <row r="23728" customFormat="1" x14ac:dyDescent="0.3"/>
    <row r="23729" customFormat="1" x14ac:dyDescent="0.3"/>
    <row r="23730" customFormat="1" x14ac:dyDescent="0.3"/>
    <row r="23731" customFormat="1" x14ac:dyDescent="0.3"/>
    <row r="23732" customFormat="1" x14ac:dyDescent="0.3"/>
    <row r="23733" customFormat="1" x14ac:dyDescent="0.3"/>
    <row r="23734" customFormat="1" x14ac:dyDescent="0.3"/>
    <row r="23735" customFormat="1" x14ac:dyDescent="0.3"/>
    <row r="23736" customFormat="1" x14ac:dyDescent="0.3"/>
    <row r="23737" customFormat="1" x14ac:dyDescent="0.3"/>
    <row r="23738" customFormat="1" x14ac:dyDescent="0.3"/>
    <row r="23739" customFormat="1" x14ac:dyDescent="0.3"/>
    <row r="23740" customFormat="1" x14ac:dyDescent="0.3"/>
    <row r="23741" customFormat="1" x14ac:dyDescent="0.3"/>
    <row r="23742" customFormat="1" x14ac:dyDescent="0.3"/>
    <row r="23743" customFormat="1" x14ac:dyDescent="0.3"/>
    <row r="23744" customFormat="1" x14ac:dyDescent="0.3"/>
    <row r="23745" customFormat="1" x14ac:dyDescent="0.3"/>
    <row r="23746" customFormat="1" x14ac:dyDescent="0.3"/>
    <row r="23747" customFormat="1" x14ac:dyDescent="0.3"/>
    <row r="23748" customFormat="1" x14ac:dyDescent="0.3"/>
    <row r="23749" customFormat="1" x14ac:dyDescent="0.3"/>
    <row r="23750" customFormat="1" x14ac:dyDescent="0.3"/>
    <row r="23751" customFormat="1" x14ac:dyDescent="0.3"/>
    <row r="23752" customFormat="1" x14ac:dyDescent="0.3"/>
    <row r="23753" customFormat="1" x14ac:dyDescent="0.3"/>
    <row r="23754" customFormat="1" x14ac:dyDescent="0.3"/>
    <row r="23755" customFormat="1" x14ac:dyDescent="0.3"/>
    <row r="23756" customFormat="1" x14ac:dyDescent="0.3"/>
    <row r="23757" customFormat="1" x14ac:dyDescent="0.3"/>
    <row r="23758" customFormat="1" x14ac:dyDescent="0.3"/>
    <row r="23759" customFormat="1" x14ac:dyDescent="0.3"/>
    <row r="23760" customFormat="1" x14ac:dyDescent="0.3"/>
    <row r="23761" customFormat="1" x14ac:dyDescent="0.3"/>
    <row r="23762" customFormat="1" x14ac:dyDescent="0.3"/>
    <row r="23763" customFormat="1" x14ac:dyDescent="0.3"/>
    <row r="23764" customFormat="1" x14ac:dyDescent="0.3"/>
    <row r="23765" customFormat="1" x14ac:dyDescent="0.3"/>
    <row r="23766" customFormat="1" x14ac:dyDescent="0.3"/>
    <row r="23767" customFormat="1" x14ac:dyDescent="0.3"/>
    <row r="23768" customFormat="1" x14ac:dyDescent="0.3"/>
    <row r="23769" customFormat="1" x14ac:dyDescent="0.3"/>
    <row r="23770" customFormat="1" x14ac:dyDescent="0.3"/>
    <row r="23771" customFormat="1" x14ac:dyDescent="0.3"/>
    <row r="23772" customFormat="1" x14ac:dyDescent="0.3"/>
    <row r="23773" customFormat="1" x14ac:dyDescent="0.3"/>
    <row r="23774" customFormat="1" x14ac:dyDescent="0.3"/>
    <row r="23775" customFormat="1" x14ac:dyDescent="0.3"/>
    <row r="23776" customFormat="1" x14ac:dyDescent="0.3"/>
    <row r="23777" customFormat="1" x14ac:dyDescent="0.3"/>
    <row r="23778" customFormat="1" x14ac:dyDescent="0.3"/>
    <row r="23779" customFormat="1" x14ac:dyDescent="0.3"/>
    <row r="23780" customFormat="1" x14ac:dyDescent="0.3"/>
    <row r="23781" customFormat="1" x14ac:dyDescent="0.3"/>
    <row r="23782" customFormat="1" x14ac:dyDescent="0.3"/>
    <row r="23783" customFormat="1" x14ac:dyDescent="0.3"/>
    <row r="23784" customFormat="1" x14ac:dyDescent="0.3"/>
    <row r="23785" customFormat="1" x14ac:dyDescent="0.3"/>
    <row r="23786" customFormat="1" x14ac:dyDescent="0.3"/>
    <row r="23787" customFormat="1" x14ac:dyDescent="0.3"/>
    <row r="23788" customFormat="1" x14ac:dyDescent="0.3"/>
    <row r="23789" customFormat="1" x14ac:dyDescent="0.3"/>
    <row r="23790" customFormat="1" x14ac:dyDescent="0.3"/>
    <row r="23791" customFormat="1" x14ac:dyDescent="0.3"/>
    <row r="23792" customFormat="1" x14ac:dyDescent="0.3"/>
    <row r="23793" customFormat="1" x14ac:dyDescent="0.3"/>
    <row r="23794" customFormat="1" x14ac:dyDescent="0.3"/>
    <row r="23795" customFormat="1" x14ac:dyDescent="0.3"/>
    <row r="23796" customFormat="1" x14ac:dyDescent="0.3"/>
    <row r="23797" customFormat="1" x14ac:dyDescent="0.3"/>
    <row r="23798" customFormat="1" x14ac:dyDescent="0.3"/>
    <row r="23799" customFormat="1" x14ac:dyDescent="0.3"/>
    <row r="23800" customFormat="1" x14ac:dyDescent="0.3"/>
    <row r="23801" customFormat="1" x14ac:dyDescent="0.3"/>
    <row r="23802" customFormat="1" x14ac:dyDescent="0.3"/>
    <row r="23803" customFormat="1" x14ac:dyDescent="0.3"/>
    <row r="23804" customFormat="1" x14ac:dyDescent="0.3"/>
    <row r="23805" customFormat="1" x14ac:dyDescent="0.3"/>
    <row r="23806" customFormat="1" x14ac:dyDescent="0.3"/>
    <row r="23807" customFormat="1" x14ac:dyDescent="0.3"/>
    <row r="23808" customFormat="1" x14ac:dyDescent="0.3"/>
    <row r="23809" customFormat="1" x14ac:dyDescent="0.3"/>
    <row r="23810" customFormat="1" x14ac:dyDescent="0.3"/>
    <row r="23811" customFormat="1" x14ac:dyDescent="0.3"/>
    <row r="23812" customFormat="1" x14ac:dyDescent="0.3"/>
    <row r="23813" customFormat="1" x14ac:dyDescent="0.3"/>
    <row r="23814" customFormat="1" x14ac:dyDescent="0.3"/>
    <row r="23815" customFormat="1" x14ac:dyDescent="0.3"/>
    <row r="23816" customFormat="1" x14ac:dyDescent="0.3"/>
    <row r="23817" customFormat="1" x14ac:dyDescent="0.3"/>
    <row r="23818" customFormat="1" x14ac:dyDescent="0.3"/>
    <row r="23819" customFormat="1" x14ac:dyDescent="0.3"/>
    <row r="23820" customFormat="1" x14ac:dyDescent="0.3"/>
    <row r="23821" customFormat="1" x14ac:dyDescent="0.3"/>
    <row r="23822" customFormat="1" x14ac:dyDescent="0.3"/>
    <row r="23823" customFormat="1" x14ac:dyDescent="0.3"/>
    <row r="23824" customFormat="1" x14ac:dyDescent="0.3"/>
    <row r="23825" customFormat="1" x14ac:dyDescent="0.3"/>
    <row r="23826" customFormat="1" x14ac:dyDescent="0.3"/>
    <row r="23827" customFormat="1" x14ac:dyDescent="0.3"/>
    <row r="23828" customFormat="1" x14ac:dyDescent="0.3"/>
    <row r="23829" customFormat="1" x14ac:dyDescent="0.3"/>
    <row r="23830" customFormat="1" x14ac:dyDescent="0.3"/>
    <row r="23831" customFormat="1" x14ac:dyDescent="0.3"/>
    <row r="23832" customFormat="1" x14ac:dyDescent="0.3"/>
    <row r="23833" customFormat="1" x14ac:dyDescent="0.3"/>
    <row r="23834" customFormat="1" x14ac:dyDescent="0.3"/>
    <row r="23835" customFormat="1" x14ac:dyDescent="0.3"/>
    <row r="23836" customFormat="1" x14ac:dyDescent="0.3"/>
    <row r="23837" customFormat="1" x14ac:dyDescent="0.3"/>
    <row r="23838" customFormat="1" x14ac:dyDescent="0.3"/>
    <row r="23839" customFormat="1" x14ac:dyDescent="0.3"/>
    <row r="23840" customFormat="1" x14ac:dyDescent="0.3"/>
    <row r="23841" customFormat="1" x14ac:dyDescent="0.3"/>
    <row r="23842" customFormat="1" x14ac:dyDescent="0.3"/>
    <row r="23843" customFormat="1" x14ac:dyDescent="0.3"/>
    <row r="23844" customFormat="1" x14ac:dyDescent="0.3"/>
    <row r="23845" customFormat="1" x14ac:dyDescent="0.3"/>
    <row r="23846" customFormat="1" x14ac:dyDescent="0.3"/>
    <row r="23847" customFormat="1" x14ac:dyDescent="0.3"/>
    <row r="23848" customFormat="1" x14ac:dyDescent="0.3"/>
    <row r="23849" customFormat="1" x14ac:dyDescent="0.3"/>
    <row r="23850" customFormat="1" x14ac:dyDescent="0.3"/>
    <row r="23851" customFormat="1" x14ac:dyDescent="0.3"/>
    <row r="23852" customFormat="1" x14ac:dyDescent="0.3"/>
    <row r="23853" customFormat="1" x14ac:dyDescent="0.3"/>
    <row r="23854" customFormat="1" x14ac:dyDescent="0.3"/>
    <row r="23855" customFormat="1" x14ac:dyDescent="0.3"/>
    <row r="23856" customFormat="1" x14ac:dyDescent="0.3"/>
    <row r="23857" customFormat="1" x14ac:dyDescent="0.3"/>
    <row r="23858" customFormat="1" x14ac:dyDescent="0.3"/>
    <row r="23859" customFormat="1" x14ac:dyDescent="0.3"/>
    <row r="23860" customFormat="1" x14ac:dyDescent="0.3"/>
    <row r="23861" customFormat="1" x14ac:dyDescent="0.3"/>
    <row r="23862" customFormat="1" x14ac:dyDescent="0.3"/>
    <row r="23863" customFormat="1" x14ac:dyDescent="0.3"/>
    <row r="23864" customFormat="1" x14ac:dyDescent="0.3"/>
    <row r="23865" customFormat="1" x14ac:dyDescent="0.3"/>
    <row r="23866" customFormat="1" x14ac:dyDescent="0.3"/>
    <row r="23867" customFormat="1" x14ac:dyDescent="0.3"/>
    <row r="23868" customFormat="1" x14ac:dyDescent="0.3"/>
    <row r="23869" customFormat="1" x14ac:dyDescent="0.3"/>
    <row r="23870" customFormat="1" x14ac:dyDescent="0.3"/>
    <row r="23871" customFormat="1" x14ac:dyDescent="0.3"/>
    <row r="23872" customFormat="1" x14ac:dyDescent="0.3"/>
    <row r="23873" customFormat="1" x14ac:dyDescent="0.3"/>
    <row r="23874" customFormat="1" x14ac:dyDescent="0.3"/>
    <row r="23875" customFormat="1" x14ac:dyDescent="0.3"/>
    <row r="23876" customFormat="1" x14ac:dyDescent="0.3"/>
    <row r="23877" customFormat="1" x14ac:dyDescent="0.3"/>
    <row r="23878" customFormat="1" x14ac:dyDescent="0.3"/>
    <row r="23879" customFormat="1" x14ac:dyDescent="0.3"/>
    <row r="23880" customFormat="1" x14ac:dyDescent="0.3"/>
    <row r="23881" customFormat="1" x14ac:dyDescent="0.3"/>
    <row r="23882" customFormat="1" x14ac:dyDescent="0.3"/>
    <row r="23883" customFormat="1" x14ac:dyDescent="0.3"/>
    <row r="23884" customFormat="1" x14ac:dyDescent="0.3"/>
    <row r="23885" customFormat="1" x14ac:dyDescent="0.3"/>
    <row r="23886" customFormat="1" x14ac:dyDescent="0.3"/>
    <row r="23887" customFormat="1" x14ac:dyDescent="0.3"/>
    <row r="23888" customFormat="1" x14ac:dyDescent="0.3"/>
    <row r="23889" customFormat="1" x14ac:dyDescent="0.3"/>
    <row r="23890" customFormat="1" x14ac:dyDescent="0.3"/>
    <row r="23891" customFormat="1" x14ac:dyDescent="0.3"/>
    <row r="23892" customFormat="1" x14ac:dyDescent="0.3"/>
    <row r="23893" customFormat="1" x14ac:dyDescent="0.3"/>
    <row r="23894" customFormat="1" x14ac:dyDescent="0.3"/>
    <row r="23895" customFormat="1" x14ac:dyDescent="0.3"/>
    <row r="23896" customFormat="1" x14ac:dyDescent="0.3"/>
    <row r="23897" customFormat="1" x14ac:dyDescent="0.3"/>
    <row r="23898" customFormat="1" x14ac:dyDescent="0.3"/>
    <row r="23899" customFormat="1" x14ac:dyDescent="0.3"/>
    <row r="23900" customFormat="1" x14ac:dyDescent="0.3"/>
    <row r="23901" customFormat="1" x14ac:dyDescent="0.3"/>
    <row r="23902" customFormat="1" x14ac:dyDescent="0.3"/>
    <row r="23903" customFormat="1" x14ac:dyDescent="0.3"/>
    <row r="23904" customFormat="1" x14ac:dyDescent="0.3"/>
    <row r="23905" customFormat="1" x14ac:dyDescent="0.3"/>
    <row r="23906" customFormat="1" x14ac:dyDescent="0.3"/>
    <row r="23907" customFormat="1" x14ac:dyDescent="0.3"/>
    <row r="23908" customFormat="1" x14ac:dyDescent="0.3"/>
    <row r="23909" customFormat="1" x14ac:dyDescent="0.3"/>
    <row r="23910" customFormat="1" x14ac:dyDescent="0.3"/>
    <row r="23911" customFormat="1" x14ac:dyDescent="0.3"/>
    <row r="23912" customFormat="1" x14ac:dyDescent="0.3"/>
    <row r="23913" customFormat="1" x14ac:dyDescent="0.3"/>
    <row r="23914" customFormat="1" x14ac:dyDescent="0.3"/>
    <row r="23915" customFormat="1" x14ac:dyDescent="0.3"/>
    <row r="23916" customFormat="1" x14ac:dyDescent="0.3"/>
    <row r="23917" customFormat="1" x14ac:dyDescent="0.3"/>
    <row r="23918" customFormat="1" x14ac:dyDescent="0.3"/>
    <row r="23919" customFormat="1" x14ac:dyDescent="0.3"/>
    <row r="23920" customFormat="1" x14ac:dyDescent="0.3"/>
    <row r="23921" customFormat="1" x14ac:dyDescent="0.3"/>
    <row r="23922" customFormat="1" x14ac:dyDescent="0.3"/>
    <row r="23923" customFormat="1" x14ac:dyDescent="0.3"/>
    <row r="23924" customFormat="1" x14ac:dyDescent="0.3"/>
    <row r="23925" customFormat="1" x14ac:dyDescent="0.3"/>
    <row r="23926" customFormat="1" x14ac:dyDescent="0.3"/>
    <row r="23927" customFormat="1" x14ac:dyDescent="0.3"/>
    <row r="23928" customFormat="1" x14ac:dyDescent="0.3"/>
    <row r="23929" customFormat="1" x14ac:dyDescent="0.3"/>
    <row r="23930" customFormat="1" x14ac:dyDescent="0.3"/>
    <row r="23931" customFormat="1" x14ac:dyDescent="0.3"/>
    <row r="23932" customFormat="1" x14ac:dyDescent="0.3"/>
    <row r="23933" customFormat="1" x14ac:dyDescent="0.3"/>
    <row r="23934" customFormat="1" x14ac:dyDescent="0.3"/>
    <row r="23935" customFormat="1" x14ac:dyDescent="0.3"/>
    <row r="23936" customFormat="1" x14ac:dyDescent="0.3"/>
    <row r="23937" customFormat="1" x14ac:dyDescent="0.3"/>
    <row r="23938" customFormat="1" x14ac:dyDescent="0.3"/>
    <row r="23939" customFormat="1" x14ac:dyDescent="0.3"/>
    <row r="23940" customFormat="1" x14ac:dyDescent="0.3"/>
    <row r="23941" customFormat="1" x14ac:dyDescent="0.3"/>
    <row r="23942" customFormat="1" x14ac:dyDescent="0.3"/>
    <row r="23943" customFormat="1" x14ac:dyDescent="0.3"/>
    <row r="23944" customFormat="1" x14ac:dyDescent="0.3"/>
    <row r="23945" customFormat="1" x14ac:dyDescent="0.3"/>
    <row r="23946" customFormat="1" x14ac:dyDescent="0.3"/>
    <row r="23947" customFormat="1" x14ac:dyDescent="0.3"/>
    <row r="23948" customFormat="1" x14ac:dyDescent="0.3"/>
    <row r="23949" customFormat="1" x14ac:dyDescent="0.3"/>
    <row r="23950" customFormat="1" x14ac:dyDescent="0.3"/>
    <row r="23951" customFormat="1" x14ac:dyDescent="0.3"/>
    <row r="23952" customFormat="1" x14ac:dyDescent="0.3"/>
    <row r="23953" customFormat="1" x14ac:dyDescent="0.3"/>
    <row r="23954" customFormat="1" x14ac:dyDescent="0.3"/>
    <row r="23955" customFormat="1" x14ac:dyDescent="0.3"/>
    <row r="23956" customFormat="1" x14ac:dyDescent="0.3"/>
    <row r="23957" customFormat="1" x14ac:dyDescent="0.3"/>
    <row r="23958" customFormat="1" x14ac:dyDescent="0.3"/>
    <row r="23959" customFormat="1" x14ac:dyDescent="0.3"/>
    <row r="23960" customFormat="1" x14ac:dyDescent="0.3"/>
    <row r="23961" customFormat="1" x14ac:dyDescent="0.3"/>
    <row r="23962" customFormat="1" x14ac:dyDescent="0.3"/>
    <row r="23963" customFormat="1" x14ac:dyDescent="0.3"/>
    <row r="23964" customFormat="1" x14ac:dyDescent="0.3"/>
    <row r="23965" customFormat="1" x14ac:dyDescent="0.3"/>
    <row r="23966" customFormat="1" x14ac:dyDescent="0.3"/>
    <row r="23967" customFormat="1" x14ac:dyDescent="0.3"/>
    <row r="23968" customFormat="1" x14ac:dyDescent="0.3"/>
    <row r="23969" customFormat="1" x14ac:dyDescent="0.3"/>
    <row r="23970" customFormat="1" x14ac:dyDescent="0.3"/>
    <row r="23971" customFormat="1" x14ac:dyDescent="0.3"/>
    <row r="23972" customFormat="1" x14ac:dyDescent="0.3"/>
    <row r="23973" customFormat="1" x14ac:dyDescent="0.3"/>
    <row r="23974" customFormat="1" x14ac:dyDescent="0.3"/>
    <row r="23975" customFormat="1" x14ac:dyDescent="0.3"/>
    <row r="23976" customFormat="1" x14ac:dyDescent="0.3"/>
    <row r="23977" customFormat="1" x14ac:dyDescent="0.3"/>
    <row r="23978" customFormat="1" x14ac:dyDescent="0.3"/>
    <row r="23979" customFormat="1" x14ac:dyDescent="0.3"/>
    <row r="23980" customFormat="1" x14ac:dyDescent="0.3"/>
    <row r="23981" customFormat="1" x14ac:dyDescent="0.3"/>
    <row r="23982" customFormat="1" x14ac:dyDescent="0.3"/>
    <row r="23983" customFormat="1" x14ac:dyDescent="0.3"/>
    <row r="23984" customFormat="1" x14ac:dyDescent="0.3"/>
    <row r="23985" customFormat="1" x14ac:dyDescent="0.3"/>
    <row r="23986" customFormat="1" x14ac:dyDescent="0.3"/>
    <row r="23987" customFormat="1" x14ac:dyDescent="0.3"/>
    <row r="23988" customFormat="1" x14ac:dyDescent="0.3"/>
    <row r="23989" customFormat="1" x14ac:dyDescent="0.3"/>
    <row r="23990" customFormat="1" x14ac:dyDescent="0.3"/>
    <row r="23991" customFormat="1" x14ac:dyDescent="0.3"/>
    <row r="23992" customFormat="1" x14ac:dyDescent="0.3"/>
    <row r="23993" customFormat="1" x14ac:dyDescent="0.3"/>
    <row r="23994" customFormat="1" x14ac:dyDescent="0.3"/>
    <row r="23995" customFormat="1" x14ac:dyDescent="0.3"/>
    <row r="23996" customFormat="1" x14ac:dyDescent="0.3"/>
    <row r="23997" customFormat="1" x14ac:dyDescent="0.3"/>
    <row r="23998" customFormat="1" x14ac:dyDescent="0.3"/>
    <row r="23999" customFormat="1" x14ac:dyDescent="0.3"/>
    <row r="24000" customFormat="1" x14ac:dyDescent="0.3"/>
    <row r="24001" customFormat="1" x14ac:dyDescent="0.3"/>
    <row r="24002" customFormat="1" x14ac:dyDescent="0.3"/>
    <row r="24003" customFormat="1" x14ac:dyDescent="0.3"/>
    <row r="24004" customFormat="1" x14ac:dyDescent="0.3"/>
    <row r="24005" customFormat="1" x14ac:dyDescent="0.3"/>
    <row r="24006" customFormat="1" x14ac:dyDescent="0.3"/>
    <row r="24007" customFormat="1" x14ac:dyDescent="0.3"/>
    <row r="24008" customFormat="1" x14ac:dyDescent="0.3"/>
    <row r="24009" customFormat="1" x14ac:dyDescent="0.3"/>
    <row r="24010" customFormat="1" x14ac:dyDescent="0.3"/>
    <row r="24011" customFormat="1" x14ac:dyDescent="0.3"/>
    <row r="24012" customFormat="1" x14ac:dyDescent="0.3"/>
    <row r="24013" customFormat="1" x14ac:dyDescent="0.3"/>
    <row r="24014" customFormat="1" x14ac:dyDescent="0.3"/>
    <row r="24015" customFormat="1" x14ac:dyDescent="0.3"/>
    <row r="24016" customFormat="1" x14ac:dyDescent="0.3"/>
    <row r="24017" customFormat="1" x14ac:dyDescent="0.3"/>
    <row r="24018" customFormat="1" x14ac:dyDescent="0.3"/>
    <row r="24019" customFormat="1" x14ac:dyDescent="0.3"/>
    <row r="24020" customFormat="1" x14ac:dyDescent="0.3"/>
    <row r="24021" customFormat="1" x14ac:dyDescent="0.3"/>
    <row r="24022" customFormat="1" x14ac:dyDescent="0.3"/>
    <row r="24023" customFormat="1" x14ac:dyDescent="0.3"/>
    <row r="24024" customFormat="1" x14ac:dyDescent="0.3"/>
    <row r="24025" customFormat="1" x14ac:dyDescent="0.3"/>
    <row r="24026" customFormat="1" x14ac:dyDescent="0.3"/>
    <row r="24027" customFormat="1" x14ac:dyDescent="0.3"/>
    <row r="24028" customFormat="1" x14ac:dyDescent="0.3"/>
    <row r="24029" customFormat="1" x14ac:dyDescent="0.3"/>
    <row r="24030" customFormat="1" x14ac:dyDescent="0.3"/>
    <row r="24031" customFormat="1" x14ac:dyDescent="0.3"/>
    <row r="24032" customFormat="1" x14ac:dyDescent="0.3"/>
    <row r="24033" customFormat="1" x14ac:dyDescent="0.3"/>
    <row r="24034" customFormat="1" x14ac:dyDescent="0.3"/>
    <row r="24035" customFormat="1" x14ac:dyDescent="0.3"/>
    <row r="24036" customFormat="1" x14ac:dyDescent="0.3"/>
    <row r="24037" customFormat="1" x14ac:dyDescent="0.3"/>
    <row r="24038" customFormat="1" x14ac:dyDescent="0.3"/>
    <row r="24039" customFormat="1" x14ac:dyDescent="0.3"/>
    <row r="24040" customFormat="1" x14ac:dyDescent="0.3"/>
    <row r="24041" customFormat="1" x14ac:dyDescent="0.3"/>
    <row r="24042" customFormat="1" x14ac:dyDescent="0.3"/>
    <row r="24043" customFormat="1" x14ac:dyDescent="0.3"/>
    <row r="24044" customFormat="1" x14ac:dyDescent="0.3"/>
    <row r="24045" customFormat="1" x14ac:dyDescent="0.3"/>
    <row r="24046" customFormat="1" x14ac:dyDescent="0.3"/>
    <row r="24047" customFormat="1" x14ac:dyDescent="0.3"/>
    <row r="24048" customFormat="1" x14ac:dyDescent="0.3"/>
    <row r="24049" customFormat="1" x14ac:dyDescent="0.3"/>
    <row r="24050" customFormat="1" x14ac:dyDescent="0.3"/>
    <row r="24051" customFormat="1" x14ac:dyDescent="0.3"/>
    <row r="24052" customFormat="1" x14ac:dyDescent="0.3"/>
    <row r="24053" customFormat="1" x14ac:dyDescent="0.3"/>
    <row r="24054" customFormat="1" x14ac:dyDescent="0.3"/>
    <row r="24055" customFormat="1" x14ac:dyDescent="0.3"/>
    <row r="24056" customFormat="1" x14ac:dyDescent="0.3"/>
    <row r="24057" customFormat="1" x14ac:dyDescent="0.3"/>
    <row r="24058" customFormat="1" x14ac:dyDescent="0.3"/>
    <row r="24059" customFormat="1" x14ac:dyDescent="0.3"/>
    <row r="24060" customFormat="1" x14ac:dyDescent="0.3"/>
    <row r="24061" customFormat="1" x14ac:dyDescent="0.3"/>
    <row r="24062" customFormat="1" x14ac:dyDescent="0.3"/>
    <row r="24063" customFormat="1" x14ac:dyDescent="0.3"/>
    <row r="24064" customFormat="1" x14ac:dyDescent="0.3"/>
    <row r="24065" customFormat="1" x14ac:dyDescent="0.3"/>
    <row r="24066" customFormat="1" x14ac:dyDescent="0.3"/>
    <row r="24067" customFormat="1" x14ac:dyDescent="0.3"/>
    <row r="24068" customFormat="1" x14ac:dyDescent="0.3"/>
    <row r="24069" customFormat="1" x14ac:dyDescent="0.3"/>
    <row r="24070" customFormat="1" x14ac:dyDescent="0.3"/>
    <row r="24071" customFormat="1" x14ac:dyDescent="0.3"/>
    <row r="24072" customFormat="1" x14ac:dyDescent="0.3"/>
    <row r="24073" customFormat="1" x14ac:dyDescent="0.3"/>
    <row r="24074" customFormat="1" x14ac:dyDescent="0.3"/>
    <row r="24075" customFormat="1" x14ac:dyDescent="0.3"/>
    <row r="24076" customFormat="1" x14ac:dyDescent="0.3"/>
    <row r="24077" customFormat="1" x14ac:dyDescent="0.3"/>
    <row r="24078" customFormat="1" x14ac:dyDescent="0.3"/>
    <row r="24079" customFormat="1" x14ac:dyDescent="0.3"/>
    <row r="24080" customFormat="1" x14ac:dyDescent="0.3"/>
    <row r="24081" customFormat="1" x14ac:dyDescent="0.3"/>
    <row r="24082" customFormat="1" x14ac:dyDescent="0.3"/>
    <row r="24083" customFormat="1" x14ac:dyDescent="0.3"/>
    <row r="24084" customFormat="1" x14ac:dyDescent="0.3"/>
    <row r="24085" customFormat="1" x14ac:dyDescent="0.3"/>
    <row r="24086" customFormat="1" x14ac:dyDescent="0.3"/>
    <row r="24087" customFormat="1" x14ac:dyDescent="0.3"/>
    <row r="24088" customFormat="1" x14ac:dyDescent="0.3"/>
    <row r="24089" customFormat="1" x14ac:dyDescent="0.3"/>
    <row r="24090" customFormat="1" x14ac:dyDescent="0.3"/>
    <row r="24091" customFormat="1" x14ac:dyDescent="0.3"/>
    <row r="24092" customFormat="1" x14ac:dyDescent="0.3"/>
    <row r="24093" customFormat="1" x14ac:dyDescent="0.3"/>
    <row r="24094" customFormat="1" x14ac:dyDescent="0.3"/>
    <row r="24095" customFormat="1" x14ac:dyDescent="0.3"/>
    <row r="24096" customFormat="1" x14ac:dyDescent="0.3"/>
    <row r="24097" customFormat="1" x14ac:dyDescent="0.3"/>
    <row r="24098" customFormat="1" x14ac:dyDescent="0.3"/>
    <row r="24099" customFormat="1" x14ac:dyDescent="0.3"/>
    <row r="24100" customFormat="1" x14ac:dyDescent="0.3"/>
    <row r="24101" customFormat="1" x14ac:dyDescent="0.3"/>
    <row r="24102" customFormat="1" x14ac:dyDescent="0.3"/>
    <row r="24103" customFormat="1" x14ac:dyDescent="0.3"/>
    <row r="24104" customFormat="1" x14ac:dyDescent="0.3"/>
    <row r="24105" customFormat="1" x14ac:dyDescent="0.3"/>
    <row r="24106" customFormat="1" x14ac:dyDescent="0.3"/>
    <row r="24107" customFormat="1" x14ac:dyDescent="0.3"/>
    <row r="24108" customFormat="1" x14ac:dyDescent="0.3"/>
    <row r="24109" customFormat="1" x14ac:dyDescent="0.3"/>
    <row r="24110" customFormat="1" x14ac:dyDescent="0.3"/>
    <row r="24111" customFormat="1" x14ac:dyDescent="0.3"/>
    <row r="24112" customFormat="1" x14ac:dyDescent="0.3"/>
    <row r="24113" customFormat="1" x14ac:dyDescent="0.3"/>
    <row r="24114" customFormat="1" x14ac:dyDescent="0.3"/>
    <row r="24115" customFormat="1" x14ac:dyDescent="0.3"/>
    <row r="24116" customFormat="1" x14ac:dyDescent="0.3"/>
    <row r="24117" customFormat="1" x14ac:dyDescent="0.3"/>
    <row r="24118" customFormat="1" x14ac:dyDescent="0.3"/>
    <row r="24119" customFormat="1" x14ac:dyDescent="0.3"/>
    <row r="24120" customFormat="1" x14ac:dyDescent="0.3"/>
    <row r="24121" customFormat="1" x14ac:dyDescent="0.3"/>
    <row r="24122" customFormat="1" x14ac:dyDescent="0.3"/>
    <row r="24123" customFormat="1" x14ac:dyDescent="0.3"/>
    <row r="24124" customFormat="1" x14ac:dyDescent="0.3"/>
    <row r="24125" customFormat="1" x14ac:dyDescent="0.3"/>
    <row r="24126" customFormat="1" x14ac:dyDescent="0.3"/>
    <row r="24127" customFormat="1" x14ac:dyDescent="0.3"/>
    <row r="24128" customFormat="1" x14ac:dyDescent="0.3"/>
    <row r="24129" customFormat="1" x14ac:dyDescent="0.3"/>
    <row r="24130" customFormat="1" x14ac:dyDescent="0.3"/>
    <row r="24131" customFormat="1" x14ac:dyDescent="0.3"/>
    <row r="24132" customFormat="1" x14ac:dyDescent="0.3"/>
    <row r="24133" customFormat="1" x14ac:dyDescent="0.3"/>
    <row r="24134" customFormat="1" x14ac:dyDescent="0.3"/>
    <row r="24135" customFormat="1" x14ac:dyDescent="0.3"/>
    <row r="24136" customFormat="1" x14ac:dyDescent="0.3"/>
    <row r="24137" customFormat="1" x14ac:dyDescent="0.3"/>
    <row r="24138" customFormat="1" x14ac:dyDescent="0.3"/>
    <row r="24139" customFormat="1" x14ac:dyDescent="0.3"/>
    <row r="24140" customFormat="1" x14ac:dyDescent="0.3"/>
    <row r="24141" customFormat="1" x14ac:dyDescent="0.3"/>
    <row r="24142" customFormat="1" x14ac:dyDescent="0.3"/>
    <row r="24143" customFormat="1" x14ac:dyDescent="0.3"/>
    <row r="24144" customFormat="1" x14ac:dyDescent="0.3"/>
    <row r="24145" customFormat="1" x14ac:dyDescent="0.3"/>
    <row r="24146" customFormat="1" x14ac:dyDescent="0.3"/>
    <row r="24147" customFormat="1" x14ac:dyDescent="0.3"/>
    <row r="24148" customFormat="1" x14ac:dyDescent="0.3"/>
    <row r="24149" customFormat="1" x14ac:dyDescent="0.3"/>
    <row r="24150" customFormat="1" x14ac:dyDescent="0.3"/>
    <row r="24151" customFormat="1" x14ac:dyDescent="0.3"/>
    <row r="24152" customFormat="1" x14ac:dyDescent="0.3"/>
    <row r="24153" customFormat="1" x14ac:dyDescent="0.3"/>
    <row r="24154" customFormat="1" x14ac:dyDescent="0.3"/>
    <row r="24155" customFormat="1" x14ac:dyDescent="0.3"/>
    <row r="24156" customFormat="1" x14ac:dyDescent="0.3"/>
    <row r="24157" customFormat="1" x14ac:dyDescent="0.3"/>
    <row r="24158" customFormat="1" x14ac:dyDescent="0.3"/>
    <row r="24159" customFormat="1" x14ac:dyDescent="0.3"/>
    <row r="24160" customFormat="1" x14ac:dyDescent="0.3"/>
    <row r="24161" customFormat="1" x14ac:dyDescent="0.3"/>
    <row r="24162" customFormat="1" x14ac:dyDescent="0.3"/>
    <row r="24163" customFormat="1" x14ac:dyDescent="0.3"/>
    <row r="24164" customFormat="1" x14ac:dyDescent="0.3"/>
    <row r="24165" customFormat="1" x14ac:dyDescent="0.3"/>
    <row r="24166" customFormat="1" x14ac:dyDescent="0.3"/>
    <row r="24167" customFormat="1" x14ac:dyDescent="0.3"/>
    <row r="24168" customFormat="1" x14ac:dyDescent="0.3"/>
    <row r="24169" customFormat="1" x14ac:dyDescent="0.3"/>
    <row r="24170" customFormat="1" x14ac:dyDescent="0.3"/>
    <row r="24171" customFormat="1" x14ac:dyDescent="0.3"/>
    <row r="24172" customFormat="1" x14ac:dyDescent="0.3"/>
    <row r="24173" customFormat="1" x14ac:dyDescent="0.3"/>
    <row r="24174" customFormat="1" x14ac:dyDescent="0.3"/>
    <row r="24175" customFormat="1" x14ac:dyDescent="0.3"/>
    <row r="24176" customFormat="1" x14ac:dyDescent="0.3"/>
    <row r="24177" customFormat="1" x14ac:dyDescent="0.3"/>
    <row r="24178" customFormat="1" x14ac:dyDescent="0.3"/>
    <row r="24179" customFormat="1" x14ac:dyDescent="0.3"/>
    <row r="24180" customFormat="1" x14ac:dyDescent="0.3"/>
    <row r="24181" customFormat="1" x14ac:dyDescent="0.3"/>
    <row r="24182" customFormat="1" x14ac:dyDescent="0.3"/>
    <row r="24183" customFormat="1" x14ac:dyDescent="0.3"/>
    <row r="24184" customFormat="1" x14ac:dyDescent="0.3"/>
    <row r="24185" customFormat="1" x14ac:dyDescent="0.3"/>
    <row r="24186" customFormat="1" x14ac:dyDescent="0.3"/>
    <row r="24187" customFormat="1" x14ac:dyDescent="0.3"/>
    <row r="24188" customFormat="1" x14ac:dyDescent="0.3"/>
    <row r="24189" customFormat="1" x14ac:dyDescent="0.3"/>
    <row r="24190" customFormat="1" x14ac:dyDescent="0.3"/>
    <row r="24191" customFormat="1" x14ac:dyDescent="0.3"/>
    <row r="24192" customFormat="1" x14ac:dyDescent="0.3"/>
    <row r="24193" customFormat="1" x14ac:dyDescent="0.3"/>
    <row r="24194" customFormat="1" x14ac:dyDescent="0.3"/>
    <row r="24195" customFormat="1" x14ac:dyDescent="0.3"/>
    <row r="24196" customFormat="1" x14ac:dyDescent="0.3"/>
    <row r="24197" customFormat="1" x14ac:dyDescent="0.3"/>
    <row r="24198" customFormat="1" x14ac:dyDescent="0.3"/>
    <row r="24199" customFormat="1" x14ac:dyDescent="0.3"/>
    <row r="24200" customFormat="1" x14ac:dyDescent="0.3"/>
    <row r="24201" customFormat="1" x14ac:dyDescent="0.3"/>
    <row r="24202" customFormat="1" x14ac:dyDescent="0.3"/>
    <row r="24203" customFormat="1" x14ac:dyDescent="0.3"/>
    <row r="24204" customFormat="1" x14ac:dyDescent="0.3"/>
    <row r="24205" customFormat="1" x14ac:dyDescent="0.3"/>
    <row r="24206" customFormat="1" x14ac:dyDescent="0.3"/>
    <row r="24207" customFormat="1" x14ac:dyDescent="0.3"/>
    <row r="24208" customFormat="1" x14ac:dyDescent="0.3"/>
    <row r="24209" customFormat="1" x14ac:dyDescent="0.3"/>
    <row r="24210" customFormat="1" x14ac:dyDescent="0.3"/>
    <row r="24211" customFormat="1" x14ac:dyDescent="0.3"/>
    <row r="24212" customFormat="1" x14ac:dyDescent="0.3"/>
    <row r="24213" customFormat="1" x14ac:dyDescent="0.3"/>
    <row r="24214" customFormat="1" x14ac:dyDescent="0.3"/>
    <row r="24215" customFormat="1" x14ac:dyDescent="0.3"/>
    <row r="24216" customFormat="1" x14ac:dyDescent="0.3"/>
    <row r="24217" customFormat="1" x14ac:dyDescent="0.3"/>
    <row r="24218" customFormat="1" x14ac:dyDescent="0.3"/>
    <row r="24219" customFormat="1" x14ac:dyDescent="0.3"/>
    <row r="24220" customFormat="1" x14ac:dyDescent="0.3"/>
    <row r="24221" customFormat="1" x14ac:dyDescent="0.3"/>
    <row r="24222" customFormat="1" x14ac:dyDescent="0.3"/>
    <row r="24223" customFormat="1" x14ac:dyDescent="0.3"/>
    <row r="24224" customFormat="1" x14ac:dyDescent="0.3"/>
    <row r="24225" customFormat="1" x14ac:dyDescent="0.3"/>
    <row r="24226" customFormat="1" x14ac:dyDescent="0.3"/>
    <row r="24227" customFormat="1" x14ac:dyDescent="0.3"/>
    <row r="24228" customFormat="1" x14ac:dyDescent="0.3"/>
    <row r="24229" customFormat="1" x14ac:dyDescent="0.3"/>
    <row r="24230" customFormat="1" x14ac:dyDescent="0.3"/>
    <row r="24231" customFormat="1" x14ac:dyDescent="0.3"/>
    <row r="24232" customFormat="1" x14ac:dyDescent="0.3"/>
    <row r="24233" customFormat="1" x14ac:dyDescent="0.3"/>
    <row r="24234" customFormat="1" x14ac:dyDescent="0.3"/>
    <row r="24235" customFormat="1" x14ac:dyDescent="0.3"/>
    <row r="24236" customFormat="1" x14ac:dyDescent="0.3"/>
    <row r="24237" customFormat="1" x14ac:dyDescent="0.3"/>
    <row r="24238" customFormat="1" x14ac:dyDescent="0.3"/>
    <row r="24239" customFormat="1" x14ac:dyDescent="0.3"/>
    <row r="24240" customFormat="1" x14ac:dyDescent="0.3"/>
    <row r="24241" customFormat="1" x14ac:dyDescent="0.3"/>
    <row r="24242" customFormat="1" x14ac:dyDescent="0.3"/>
    <row r="24243" customFormat="1" x14ac:dyDescent="0.3"/>
    <row r="24244" customFormat="1" x14ac:dyDescent="0.3"/>
    <row r="24245" customFormat="1" x14ac:dyDescent="0.3"/>
    <row r="24246" customFormat="1" x14ac:dyDescent="0.3"/>
    <row r="24247" customFormat="1" x14ac:dyDescent="0.3"/>
    <row r="24248" customFormat="1" x14ac:dyDescent="0.3"/>
    <row r="24249" customFormat="1" x14ac:dyDescent="0.3"/>
    <row r="24250" customFormat="1" x14ac:dyDescent="0.3"/>
    <row r="24251" customFormat="1" x14ac:dyDescent="0.3"/>
    <row r="24252" customFormat="1" x14ac:dyDescent="0.3"/>
    <row r="24253" customFormat="1" x14ac:dyDescent="0.3"/>
    <row r="24254" customFormat="1" x14ac:dyDescent="0.3"/>
    <row r="24255" customFormat="1" x14ac:dyDescent="0.3"/>
    <row r="24256" customFormat="1" x14ac:dyDescent="0.3"/>
    <row r="24257" customFormat="1" x14ac:dyDescent="0.3"/>
    <row r="24258" customFormat="1" x14ac:dyDescent="0.3"/>
    <row r="24259" customFormat="1" x14ac:dyDescent="0.3"/>
    <row r="24260" customFormat="1" x14ac:dyDescent="0.3"/>
    <row r="24261" customFormat="1" x14ac:dyDescent="0.3"/>
    <row r="24262" customFormat="1" x14ac:dyDescent="0.3"/>
    <row r="24263" customFormat="1" x14ac:dyDescent="0.3"/>
    <row r="24264" customFormat="1" x14ac:dyDescent="0.3"/>
    <row r="24265" customFormat="1" x14ac:dyDescent="0.3"/>
    <row r="24266" customFormat="1" x14ac:dyDescent="0.3"/>
    <row r="24267" customFormat="1" x14ac:dyDescent="0.3"/>
    <row r="24268" customFormat="1" x14ac:dyDescent="0.3"/>
    <row r="24269" customFormat="1" x14ac:dyDescent="0.3"/>
    <row r="24270" customFormat="1" x14ac:dyDescent="0.3"/>
    <row r="24271" customFormat="1" x14ac:dyDescent="0.3"/>
    <row r="24272" customFormat="1" x14ac:dyDescent="0.3"/>
    <row r="24273" customFormat="1" x14ac:dyDescent="0.3"/>
    <row r="24274" customFormat="1" x14ac:dyDescent="0.3"/>
    <row r="24275" customFormat="1" x14ac:dyDescent="0.3"/>
    <row r="24276" customFormat="1" x14ac:dyDescent="0.3"/>
    <row r="24277" customFormat="1" x14ac:dyDescent="0.3"/>
    <row r="24278" customFormat="1" x14ac:dyDescent="0.3"/>
    <row r="24279" customFormat="1" x14ac:dyDescent="0.3"/>
    <row r="24280" customFormat="1" x14ac:dyDescent="0.3"/>
    <row r="24281" customFormat="1" x14ac:dyDescent="0.3"/>
    <row r="24282" customFormat="1" x14ac:dyDescent="0.3"/>
    <row r="24283" customFormat="1" x14ac:dyDescent="0.3"/>
    <row r="24284" customFormat="1" x14ac:dyDescent="0.3"/>
    <row r="24285" customFormat="1" x14ac:dyDescent="0.3"/>
    <row r="24286" customFormat="1" x14ac:dyDescent="0.3"/>
    <row r="24287" customFormat="1" x14ac:dyDescent="0.3"/>
    <row r="24288" customFormat="1" x14ac:dyDescent="0.3"/>
    <row r="24289" customFormat="1" x14ac:dyDescent="0.3"/>
    <row r="24290" customFormat="1" x14ac:dyDescent="0.3"/>
    <row r="24291" customFormat="1" x14ac:dyDescent="0.3"/>
    <row r="24292" customFormat="1" x14ac:dyDescent="0.3"/>
    <row r="24293" customFormat="1" x14ac:dyDescent="0.3"/>
    <row r="24294" customFormat="1" x14ac:dyDescent="0.3"/>
    <row r="24295" customFormat="1" x14ac:dyDescent="0.3"/>
    <row r="24296" customFormat="1" x14ac:dyDescent="0.3"/>
    <row r="24297" customFormat="1" x14ac:dyDescent="0.3"/>
    <row r="24298" customFormat="1" x14ac:dyDescent="0.3"/>
    <row r="24299" customFormat="1" x14ac:dyDescent="0.3"/>
    <row r="24300" customFormat="1" x14ac:dyDescent="0.3"/>
    <row r="24301" customFormat="1" x14ac:dyDescent="0.3"/>
    <row r="24302" customFormat="1" x14ac:dyDescent="0.3"/>
    <row r="24303" customFormat="1" x14ac:dyDescent="0.3"/>
    <row r="24304" customFormat="1" x14ac:dyDescent="0.3"/>
    <row r="24305" customFormat="1" x14ac:dyDescent="0.3"/>
    <row r="24306" customFormat="1" x14ac:dyDescent="0.3"/>
    <row r="24307" customFormat="1" x14ac:dyDescent="0.3"/>
    <row r="24308" customFormat="1" x14ac:dyDescent="0.3"/>
    <row r="24309" customFormat="1" x14ac:dyDescent="0.3"/>
    <row r="24310" customFormat="1" x14ac:dyDescent="0.3"/>
    <row r="24311" customFormat="1" x14ac:dyDescent="0.3"/>
    <row r="24312" customFormat="1" x14ac:dyDescent="0.3"/>
    <row r="24313" customFormat="1" x14ac:dyDescent="0.3"/>
    <row r="24314" customFormat="1" x14ac:dyDescent="0.3"/>
    <row r="24315" customFormat="1" x14ac:dyDescent="0.3"/>
    <row r="24316" customFormat="1" x14ac:dyDescent="0.3"/>
    <row r="24317" customFormat="1" x14ac:dyDescent="0.3"/>
    <row r="24318" customFormat="1" x14ac:dyDescent="0.3"/>
    <row r="24319" customFormat="1" x14ac:dyDescent="0.3"/>
    <row r="24320" customFormat="1" x14ac:dyDescent="0.3"/>
    <row r="24321" customFormat="1" x14ac:dyDescent="0.3"/>
    <row r="24322" customFormat="1" x14ac:dyDescent="0.3"/>
    <row r="24323" customFormat="1" x14ac:dyDescent="0.3"/>
    <row r="24324" customFormat="1" x14ac:dyDescent="0.3"/>
    <row r="24325" customFormat="1" x14ac:dyDescent="0.3"/>
    <row r="24326" customFormat="1" x14ac:dyDescent="0.3"/>
    <row r="24327" customFormat="1" x14ac:dyDescent="0.3"/>
    <row r="24328" customFormat="1" x14ac:dyDescent="0.3"/>
    <row r="24329" customFormat="1" x14ac:dyDescent="0.3"/>
    <row r="24330" customFormat="1" x14ac:dyDescent="0.3"/>
    <row r="24331" customFormat="1" x14ac:dyDescent="0.3"/>
    <row r="24332" customFormat="1" x14ac:dyDescent="0.3"/>
    <row r="24333" customFormat="1" x14ac:dyDescent="0.3"/>
    <row r="24334" customFormat="1" x14ac:dyDescent="0.3"/>
    <row r="24335" customFormat="1" x14ac:dyDescent="0.3"/>
    <row r="24336" customFormat="1" x14ac:dyDescent="0.3"/>
    <row r="24337" customFormat="1" x14ac:dyDescent="0.3"/>
    <row r="24338" customFormat="1" x14ac:dyDescent="0.3"/>
    <row r="24339" customFormat="1" x14ac:dyDescent="0.3"/>
    <row r="24340" customFormat="1" x14ac:dyDescent="0.3"/>
    <row r="24341" customFormat="1" x14ac:dyDescent="0.3"/>
    <row r="24342" customFormat="1" x14ac:dyDescent="0.3"/>
    <row r="24343" customFormat="1" x14ac:dyDescent="0.3"/>
    <row r="24344" customFormat="1" x14ac:dyDescent="0.3"/>
    <row r="24345" customFormat="1" x14ac:dyDescent="0.3"/>
    <row r="24346" customFormat="1" x14ac:dyDescent="0.3"/>
    <row r="24347" customFormat="1" x14ac:dyDescent="0.3"/>
    <row r="24348" customFormat="1" x14ac:dyDescent="0.3"/>
    <row r="24349" customFormat="1" x14ac:dyDescent="0.3"/>
    <row r="24350" customFormat="1" x14ac:dyDescent="0.3"/>
    <row r="24351" customFormat="1" x14ac:dyDescent="0.3"/>
    <row r="24352" customFormat="1" x14ac:dyDescent="0.3"/>
    <row r="24353" customFormat="1" x14ac:dyDescent="0.3"/>
    <row r="24354" customFormat="1" x14ac:dyDescent="0.3"/>
    <row r="24355" customFormat="1" x14ac:dyDescent="0.3"/>
    <row r="24356" customFormat="1" x14ac:dyDescent="0.3"/>
    <row r="24357" customFormat="1" x14ac:dyDescent="0.3"/>
    <row r="24358" customFormat="1" x14ac:dyDescent="0.3"/>
    <row r="24359" customFormat="1" x14ac:dyDescent="0.3"/>
    <row r="24360" customFormat="1" x14ac:dyDescent="0.3"/>
    <row r="24361" customFormat="1" x14ac:dyDescent="0.3"/>
    <row r="24362" customFormat="1" x14ac:dyDescent="0.3"/>
    <row r="24363" customFormat="1" x14ac:dyDescent="0.3"/>
    <row r="24364" customFormat="1" x14ac:dyDescent="0.3"/>
    <row r="24365" customFormat="1" x14ac:dyDescent="0.3"/>
    <row r="24366" customFormat="1" x14ac:dyDescent="0.3"/>
    <row r="24367" customFormat="1" x14ac:dyDescent="0.3"/>
    <row r="24368" customFormat="1" x14ac:dyDescent="0.3"/>
    <row r="24369" customFormat="1" x14ac:dyDescent="0.3"/>
    <row r="24370" customFormat="1" x14ac:dyDescent="0.3"/>
    <row r="24371" customFormat="1" x14ac:dyDescent="0.3"/>
    <row r="24372" customFormat="1" x14ac:dyDescent="0.3"/>
    <row r="24373" customFormat="1" x14ac:dyDescent="0.3"/>
    <row r="24374" customFormat="1" x14ac:dyDescent="0.3"/>
    <row r="24375" customFormat="1" x14ac:dyDescent="0.3"/>
    <row r="24376" customFormat="1" x14ac:dyDescent="0.3"/>
    <row r="24377" customFormat="1" x14ac:dyDescent="0.3"/>
    <row r="24378" customFormat="1" x14ac:dyDescent="0.3"/>
    <row r="24379" customFormat="1" x14ac:dyDescent="0.3"/>
    <row r="24380" customFormat="1" x14ac:dyDescent="0.3"/>
    <row r="24381" customFormat="1" x14ac:dyDescent="0.3"/>
    <row r="24382" customFormat="1" x14ac:dyDescent="0.3"/>
    <row r="24383" customFormat="1" x14ac:dyDescent="0.3"/>
    <row r="24384" customFormat="1" x14ac:dyDescent="0.3"/>
    <row r="24385" customFormat="1" x14ac:dyDescent="0.3"/>
    <row r="24386" customFormat="1" x14ac:dyDescent="0.3"/>
    <row r="24387" customFormat="1" x14ac:dyDescent="0.3"/>
    <row r="24388" customFormat="1" x14ac:dyDescent="0.3"/>
    <row r="24389" customFormat="1" x14ac:dyDescent="0.3"/>
    <row r="24390" customFormat="1" x14ac:dyDescent="0.3"/>
    <row r="24391" customFormat="1" x14ac:dyDescent="0.3"/>
    <row r="24392" customFormat="1" x14ac:dyDescent="0.3"/>
    <row r="24393" customFormat="1" x14ac:dyDescent="0.3"/>
    <row r="24394" customFormat="1" x14ac:dyDescent="0.3"/>
    <row r="24395" customFormat="1" x14ac:dyDescent="0.3"/>
    <row r="24396" customFormat="1" x14ac:dyDescent="0.3"/>
    <row r="24397" customFormat="1" x14ac:dyDescent="0.3"/>
    <row r="24398" customFormat="1" x14ac:dyDescent="0.3"/>
    <row r="24399" customFormat="1" x14ac:dyDescent="0.3"/>
    <row r="24400" customFormat="1" x14ac:dyDescent="0.3"/>
    <row r="24401" customFormat="1" x14ac:dyDescent="0.3"/>
    <row r="24402" customFormat="1" x14ac:dyDescent="0.3"/>
    <row r="24403" customFormat="1" x14ac:dyDescent="0.3"/>
    <row r="24404" customFormat="1" x14ac:dyDescent="0.3"/>
    <row r="24405" customFormat="1" x14ac:dyDescent="0.3"/>
    <row r="24406" customFormat="1" x14ac:dyDescent="0.3"/>
    <row r="24407" customFormat="1" x14ac:dyDescent="0.3"/>
    <row r="24408" customFormat="1" x14ac:dyDescent="0.3"/>
    <row r="24409" customFormat="1" x14ac:dyDescent="0.3"/>
    <row r="24410" customFormat="1" x14ac:dyDescent="0.3"/>
    <row r="24411" customFormat="1" x14ac:dyDescent="0.3"/>
    <row r="24412" customFormat="1" x14ac:dyDescent="0.3"/>
    <row r="24413" customFormat="1" x14ac:dyDescent="0.3"/>
    <row r="24414" customFormat="1" x14ac:dyDescent="0.3"/>
    <row r="24415" customFormat="1" x14ac:dyDescent="0.3"/>
    <row r="24416" customFormat="1" x14ac:dyDescent="0.3"/>
    <row r="24417" customFormat="1" x14ac:dyDescent="0.3"/>
    <row r="24418" customFormat="1" x14ac:dyDescent="0.3"/>
    <row r="24419" customFormat="1" x14ac:dyDescent="0.3"/>
    <row r="24420" customFormat="1" x14ac:dyDescent="0.3"/>
    <row r="24421" customFormat="1" x14ac:dyDescent="0.3"/>
    <row r="24422" customFormat="1" x14ac:dyDescent="0.3"/>
    <row r="24423" customFormat="1" x14ac:dyDescent="0.3"/>
    <row r="24424" customFormat="1" x14ac:dyDescent="0.3"/>
    <row r="24425" customFormat="1" x14ac:dyDescent="0.3"/>
    <row r="24426" customFormat="1" x14ac:dyDescent="0.3"/>
    <row r="24427" customFormat="1" x14ac:dyDescent="0.3"/>
    <row r="24428" customFormat="1" x14ac:dyDescent="0.3"/>
    <row r="24429" customFormat="1" x14ac:dyDescent="0.3"/>
    <row r="24430" customFormat="1" x14ac:dyDescent="0.3"/>
    <row r="24431" customFormat="1" x14ac:dyDescent="0.3"/>
    <row r="24432" customFormat="1" x14ac:dyDescent="0.3"/>
    <row r="24433" customFormat="1" x14ac:dyDescent="0.3"/>
    <row r="24434" customFormat="1" x14ac:dyDescent="0.3"/>
    <row r="24435" customFormat="1" x14ac:dyDescent="0.3"/>
    <row r="24436" customFormat="1" x14ac:dyDescent="0.3"/>
    <row r="24437" customFormat="1" x14ac:dyDescent="0.3"/>
    <row r="24438" customFormat="1" x14ac:dyDescent="0.3"/>
    <row r="24439" customFormat="1" x14ac:dyDescent="0.3"/>
    <row r="24440" customFormat="1" x14ac:dyDescent="0.3"/>
    <row r="24441" customFormat="1" x14ac:dyDescent="0.3"/>
    <row r="24442" customFormat="1" x14ac:dyDescent="0.3"/>
    <row r="24443" customFormat="1" x14ac:dyDescent="0.3"/>
    <row r="24444" customFormat="1" x14ac:dyDescent="0.3"/>
    <row r="24445" customFormat="1" x14ac:dyDescent="0.3"/>
    <row r="24446" customFormat="1" x14ac:dyDescent="0.3"/>
    <row r="24447" customFormat="1" x14ac:dyDescent="0.3"/>
    <row r="24448" customFormat="1" x14ac:dyDescent="0.3"/>
    <row r="24449" customFormat="1" x14ac:dyDescent="0.3"/>
    <row r="24450" customFormat="1" x14ac:dyDescent="0.3"/>
    <row r="24451" customFormat="1" x14ac:dyDescent="0.3"/>
    <row r="24452" customFormat="1" x14ac:dyDescent="0.3"/>
    <row r="24453" customFormat="1" x14ac:dyDescent="0.3"/>
    <row r="24454" customFormat="1" x14ac:dyDescent="0.3"/>
    <row r="24455" customFormat="1" x14ac:dyDescent="0.3"/>
    <row r="24456" customFormat="1" x14ac:dyDescent="0.3"/>
    <row r="24457" customFormat="1" x14ac:dyDescent="0.3"/>
    <row r="24458" customFormat="1" x14ac:dyDescent="0.3"/>
    <row r="24459" customFormat="1" x14ac:dyDescent="0.3"/>
    <row r="24460" customFormat="1" x14ac:dyDescent="0.3"/>
    <row r="24461" customFormat="1" x14ac:dyDescent="0.3"/>
    <row r="24462" customFormat="1" x14ac:dyDescent="0.3"/>
    <row r="24463" customFormat="1" x14ac:dyDescent="0.3"/>
    <row r="24464" customFormat="1" x14ac:dyDescent="0.3"/>
    <row r="24465" customFormat="1" x14ac:dyDescent="0.3"/>
    <row r="24466" customFormat="1" x14ac:dyDescent="0.3"/>
    <row r="24467" customFormat="1" x14ac:dyDescent="0.3"/>
    <row r="24468" customFormat="1" x14ac:dyDescent="0.3"/>
    <row r="24469" customFormat="1" x14ac:dyDescent="0.3"/>
    <row r="24470" customFormat="1" x14ac:dyDescent="0.3"/>
    <row r="24471" customFormat="1" x14ac:dyDescent="0.3"/>
    <row r="24472" customFormat="1" x14ac:dyDescent="0.3"/>
    <row r="24473" customFormat="1" x14ac:dyDescent="0.3"/>
    <row r="24474" customFormat="1" x14ac:dyDescent="0.3"/>
    <row r="24475" customFormat="1" x14ac:dyDescent="0.3"/>
    <row r="24476" customFormat="1" x14ac:dyDescent="0.3"/>
    <row r="24477" customFormat="1" x14ac:dyDescent="0.3"/>
    <row r="24478" customFormat="1" x14ac:dyDescent="0.3"/>
    <row r="24479" customFormat="1" x14ac:dyDescent="0.3"/>
    <row r="24480" customFormat="1" x14ac:dyDescent="0.3"/>
    <row r="24481" customFormat="1" x14ac:dyDescent="0.3"/>
    <row r="24482" customFormat="1" x14ac:dyDescent="0.3"/>
    <row r="24483" customFormat="1" x14ac:dyDescent="0.3"/>
    <row r="24484" customFormat="1" x14ac:dyDescent="0.3"/>
    <row r="24485" customFormat="1" x14ac:dyDescent="0.3"/>
    <row r="24486" customFormat="1" x14ac:dyDescent="0.3"/>
    <row r="24487" customFormat="1" x14ac:dyDescent="0.3"/>
    <row r="24488" customFormat="1" x14ac:dyDescent="0.3"/>
    <row r="24489" customFormat="1" x14ac:dyDescent="0.3"/>
    <row r="24490" customFormat="1" x14ac:dyDescent="0.3"/>
    <row r="24491" customFormat="1" x14ac:dyDescent="0.3"/>
    <row r="24492" customFormat="1" x14ac:dyDescent="0.3"/>
    <row r="24493" customFormat="1" x14ac:dyDescent="0.3"/>
    <row r="24494" customFormat="1" x14ac:dyDescent="0.3"/>
    <row r="24495" customFormat="1" x14ac:dyDescent="0.3"/>
    <row r="24496" customFormat="1" x14ac:dyDescent="0.3"/>
    <row r="24497" customFormat="1" x14ac:dyDescent="0.3"/>
    <row r="24498" customFormat="1" x14ac:dyDescent="0.3"/>
    <row r="24499" customFormat="1" x14ac:dyDescent="0.3"/>
    <row r="24500" customFormat="1" x14ac:dyDescent="0.3"/>
    <row r="24501" customFormat="1" x14ac:dyDescent="0.3"/>
    <row r="24502" customFormat="1" x14ac:dyDescent="0.3"/>
    <row r="24503" customFormat="1" x14ac:dyDescent="0.3"/>
    <row r="24504" customFormat="1" x14ac:dyDescent="0.3"/>
    <row r="24505" customFormat="1" x14ac:dyDescent="0.3"/>
    <row r="24506" customFormat="1" x14ac:dyDescent="0.3"/>
    <row r="24507" customFormat="1" x14ac:dyDescent="0.3"/>
    <row r="24508" customFormat="1" x14ac:dyDescent="0.3"/>
    <row r="24509" customFormat="1" x14ac:dyDescent="0.3"/>
    <row r="24510" customFormat="1" x14ac:dyDescent="0.3"/>
    <row r="24511" customFormat="1" x14ac:dyDescent="0.3"/>
    <row r="24512" customFormat="1" x14ac:dyDescent="0.3"/>
    <row r="24513" customFormat="1" x14ac:dyDescent="0.3"/>
    <row r="24514" customFormat="1" x14ac:dyDescent="0.3"/>
    <row r="24515" customFormat="1" x14ac:dyDescent="0.3"/>
    <row r="24516" customFormat="1" x14ac:dyDescent="0.3"/>
    <row r="24517" customFormat="1" x14ac:dyDescent="0.3"/>
    <row r="24518" customFormat="1" x14ac:dyDescent="0.3"/>
    <row r="24519" customFormat="1" x14ac:dyDescent="0.3"/>
    <row r="24520" customFormat="1" x14ac:dyDescent="0.3"/>
    <row r="24521" customFormat="1" x14ac:dyDescent="0.3"/>
    <row r="24522" customFormat="1" x14ac:dyDescent="0.3"/>
    <row r="24523" customFormat="1" x14ac:dyDescent="0.3"/>
    <row r="24524" customFormat="1" x14ac:dyDescent="0.3"/>
    <row r="24525" customFormat="1" x14ac:dyDescent="0.3"/>
    <row r="24526" customFormat="1" x14ac:dyDescent="0.3"/>
    <row r="24527" customFormat="1" x14ac:dyDescent="0.3"/>
    <row r="24528" customFormat="1" x14ac:dyDescent="0.3"/>
    <row r="24529" customFormat="1" x14ac:dyDescent="0.3"/>
    <row r="24530" customFormat="1" x14ac:dyDescent="0.3"/>
    <row r="24531" customFormat="1" x14ac:dyDescent="0.3"/>
    <row r="24532" customFormat="1" x14ac:dyDescent="0.3"/>
    <row r="24533" customFormat="1" x14ac:dyDescent="0.3"/>
    <row r="24534" customFormat="1" x14ac:dyDescent="0.3"/>
    <row r="24535" customFormat="1" x14ac:dyDescent="0.3"/>
    <row r="24536" customFormat="1" x14ac:dyDescent="0.3"/>
    <row r="24537" customFormat="1" x14ac:dyDescent="0.3"/>
    <row r="24538" customFormat="1" x14ac:dyDescent="0.3"/>
    <row r="24539" customFormat="1" x14ac:dyDescent="0.3"/>
    <row r="24540" customFormat="1" x14ac:dyDescent="0.3"/>
    <row r="24541" customFormat="1" x14ac:dyDescent="0.3"/>
    <row r="24542" customFormat="1" x14ac:dyDescent="0.3"/>
    <row r="24543" customFormat="1" x14ac:dyDescent="0.3"/>
    <row r="24544" customFormat="1" x14ac:dyDescent="0.3"/>
    <row r="24545" customFormat="1" x14ac:dyDescent="0.3"/>
    <row r="24546" customFormat="1" x14ac:dyDescent="0.3"/>
    <row r="24547" customFormat="1" x14ac:dyDescent="0.3"/>
    <row r="24548" customFormat="1" x14ac:dyDescent="0.3"/>
    <row r="24549" customFormat="1" x14ac:dyDescent="0.3"/>
    <row r="24550" customFormat="1" x14ac:dyDescent="0.3"/>
    <row r="24551" customFormat="1" x14ac:dyDescent="0.3"/>
    <row r="24552" customFormat="1" x14ac:dyDescent="0.3"/>
    <row r="24553" customFormat="1" x14ac:dyDescent="0.3"/>
    <row r="24554" customFormat="1" x14ac:dyDescent="0.3"/>
    <row r="24555" customFormat="1" x14ac:dyDescent="0.3"/>
    <row r="24556" customFormat="1" x14ac:dyDescent="0.3"/>
    <row r="24557" customFormat="1" x14ac:dyDescent="0.3"/>
    <row r="24558" customFormat="1" x14ac:dyDescent="0.3"/>
    <row r="24559" customFormat="1" x14ac:dyDescent="0.3"/>
    <row r="24560" customFormat="1" x14ac:dyDescent="0.3"/>
    <row r="24561" customFormat="1" x14ac:dyDescent="0.3"/>
    <row r="24562" customFormat="1" x14ac:dyDescent="0.3"/>
    <row r="24563" customFormat="1" x14ac:dyDescent="0.3"/>
    <row r="24564" customFormat="1" x14ac:dyDescent="0.3"/>
    <row r="24565" customFormat="1" x14ac:dyDescent="0.3"/>
    <row r="24566" customFormat="1" x14ac:dyDescent="0.3"/>
    <row r="24567" customFormat="1" x14ac:dyDescent="0.3"/>
    <row r="24568" customFormat="1" x14ac:dyDescent="0.3"/>
    <row r="24569" customFormat="1" x14ac:dyDescent="0.3"/>
    <row r="24570" customFormat="1" x14ac:dyDescent="0.3"/>
    <row r="24571" customFormat="1" x14ac:dyDescent="0.3"/>
    <row r="24572" customFormat="1" x14ac:dyDescent="0.3"/>
    <row r="24573" customFormat="1" x14ac:dyDescent="0.3"/>
    <row r="24574" customFormat="1" x14ac:dyDescent="0.3"/>
    <row r="24575" customFormat="1" x14ac:dyDescent="0.3"/>
    <row r="24576" customFormat="1" x14ac:dyDescent="0.3"/>
    <row r="24577" customFormat="1" x14ac:dyDescent="0.3"/>
    <row r="24578" customFormat="1" x14ac:dyDescent="0.3"/>
    <row r="24579" customFormat="1" x14ac:dyDescent="0.3"/>
    <row r="24580" customFormat="1" x14ac:dyDescent="0.3"/>
    <row r="24581" customFormat="1" x14ac:dyDescent="0.3"/>
    <row r="24582" customFormat="1" x14ac:dyDescent="0.3"/>
    <row r="24583" customFormat="1" x14ac:dyDescent="0.3"/>
    <row r="24584" customFormat="1" x14ac:dyDescent="0.3"/>
    <row r="24585" customFormat="1" x14ac:dyDescent="0.3"/>
    <row r="24586" customFormat="1" x14ac:dyDescent="0.3"/>
    <row r="24587" customFormat="1" x14ac:dyDescent="0.3"/>
    <row r="24588" customFormat="1" x14ac:dyDescent="0.3"/>
    <row r="24589" customFormat="1" x14ac:dyDescent="0.3"/>
    <row r="24590" customFormat="1" x14ac:dyDescent="0.3"/>
    <row r="24591" customFormat="1" x14ac:dyDescent="0.3"/>
    <row r="24592" customFormat="1" x14ac:dyDescent="0.3"/>
    <row r="24593" customFormat="1" x14ac:dyDescent="0.3"/>
    <row r="24594" customFormat="1" x14ac:dyDescent="0.3"/>
    <row r="24595" customFormat="1" x14ac:dyDescent="0.3"/>
    <row r="24596" customFormat="1" x14ac:dyDescent="0.3"/>
    <row r="24597" customFormat="1" x14ac:dyDescent="0.3"/>
    <row r="24598" customFormat="1" x14ac:dyDescent="0.3"/>
    <row r="24599" customFormat="1" x14ac:dyDescent="0.3"/>
    <row r="24600" customFormat="1" x14ac:dyDescent="0.3"/>
    <row r="24601" customFormat="1" x14ac:dyDescent="0.3"/>
    <row r="24602" customFormat="1" x14ac:dyDescent="0.3"/>
    <row r="24603" customFormat="1" x14ac:dyDescent="0.3"/>
    <row r="24604" customFormat="1" x14ac:dyDescent="0.3"/>
    <row r="24605" customFormat="1" x14ac:dyDescent="0.3"/>
    <row r="24606" customFormat="1" x14ac:dyDescent="0.3"/>
    <row r="24607" customFormat="1" x14ac:dyDescent="0.3"/>
    <row r="24608" customFormat="1" x14ac:dyDescent="0.3"/>
    <row r="24609" customFormat="1" x14ac:dyDescent="0.3"/>
    <row r="24610" customFormat="1" x14ac:dyDescent="0.3"/>
    <row r="24611" customFormat="1" x14ac:dyDescent="0.3"/>
    <row r="24612" customFormat="1" x14ac:dyDescent="0.3"/>
    <row r="24613" customFormat="1" x14ac:dyDescent="0.3"/>
    <row r="24614" customFormat="1" x14ac:dyDescent="0.3"/>
    <row r="24615" customFormat="1" x14ac:dyDescent="0.3"/>
    <row r="24616" customFormat="1" x14ac:dyDescent="0.3"/>
    <row r="24617" customFormat="1" x14ac:dyDescent="0.3"/>
    <row r="24618" customFormat="1" x14ac:dyDescent="0.3"/>
    <row r="24619" customFormat="1" x14ac:dyDescent="0.3"/>
    <row r="24620" customFormat="1" x14ac:dyDescent="0.3"/>
    <row r="24621" customFormat="1" x14ac:dyDescent="0.3"/>
    <row r="24622" customFormat="1" x14ac:dyDescent="0.3"/>
    <row r="24623" customFormat="1" x14ac:dyDescent="0.3"/>
    <row r="24624" customFormat="1" x14ac:dyDescent="0.3"/>
    <row r="24625" customFormat="1" x14ac:dyDescent="0.3"/>
    <row r="24626" customFormat="1" x14ac:dyDescent="0.3"/>
    <row r="24627" customFormat="1" x14ac:dyDescent="0.3"/>
    <row r="24628" customFormat="1" x14ac:dyDescent="0.3"/>
    <row r="24629" customFormat="1" x14ac:dyDescent="0.3"/>
    <row r="24630" customFormat="1" x14ac:dyDescent="0.3"/>
    <row r="24631" customFormat="1" x14ac:dyDescent="0.3"/>
    <row r="24632" customFormat="1" x14ac:dyDescent="0.3"/>
    <row r="24633" customFormat="1" x14ac:dyDescent="0.3"/>
    <row r="24634" customFormat="1" x14ac:dyDescent="0.3"/>
    <row r="24635" customFormat="1" x14ac:dyDescent="0.3"/>
    <row r="24636" customFormat="1" x14ac:dyDescent="0.3"/>
    <row r="24637" customFormat="1" x14ac:dyDescent="0.3"/>
    <row r="24638" customFormat="1" x14ac:dyDescent="0.3"/>
    <row r="24639" customFormat="1" x14ac:dyDescent="0.3"/>
    <row r="24640" customFormat="1" x14ac:dyDescent="0.3"/>
    <row r="24641" customFormat="1" x14ac:dyDescent="0.3"/>
    <row r="24642" customFormat="1" x14ac:dyDescent="0.3"/>
    <row r="24643" customFormat="1" x14ac:dyDescent="0.3"/>
    <row r="24644" customFormat="1" x14ac:dyDescent="0.3"/>
    <row r="24645" customFormat="1" x14ac:dyDescent="0.3"/>
    <row r="24646" customFormat="1" x14ac:dyDescent="0.3"/>
    <row r="24647" customFormat="1" x14ac:dyDescent="0.3"/>
    <row r="24648" customFormat="1" x14ac:dyDescent="0.3"/>
    <row r="24649" customFormat="1" x14ac:dyDescent="0.3"/>
    <row r="24650" customFormat="1" x14ac:dyDescent="0.3"/>
    <row r="24651" customFormat="1" x14ac:dyDescent="0.3"/>
    <row r="24652" customFormat="1" x14ac:dyDescent="0.3"/>
    <row r="24653" customFormat="1" x14ac:dyDescent="0.3"/>
    <row r="24654" customFormat="1" x14ac:dyDescent="0.3"/>
    <row r="24655" customFormat="1" x14ac:dyDescent="0.3"/>
    <row r="24656" customFormat="1" x14ac:dyDescent="0.3"/>
    <row r="24657" customFormat="1" x14ac:dyDescent="0.3"/>
    <row r="24658" customFormat="1" x14ac:dyDescent="0.3"/>
    <row r="24659" customFormat="1" x14ac:dyDescent="0.3"/>
    <row r="24660" customFormat="1" x14ac:dyDescent="0.3"/>
    <row r="24661" customFormat="1" x14ac:dyDescent="0.3"/>
    <row r="24662" customFormat="1" x14ac:dyDescent="0.3"/>
    <row r="24663" customFormat="1" x14ac:dyDescent="0.3"/>
    <row r="24664" customFormat="1" x14ac:dyDescent="0.3"/>
    <row r="24665" customFormat="1" x14ac:dyDescent="0.3"/>
    <row r="24666" customFormat="1" x14ac:dyDescent="0.3"/>
    <row r="24667" customFormat="1" x14ac:dyDescent="0.3"/>
    <row r="24668" customFormat="1" x14ac:dyDescent="0.3"/>
    <row r="24669" customFormat="1" x14ac:dyDescent="0.3"/>
    <row r="24670" customFormat="1" x14ac:dyDescent="0.3"/>
    <row r="24671" customFormat="1" x14ac:dyDescent="0.3"/>
    <row r="24672" customFormat="1" x14ac:dyDescent="0.3"/>
    <row r="24673" customFormat="1" x14ac:dyDescent="0.3"/>
    <row r="24674" customFormat="1" x14ac:dyDescent="0.3"/>
    <row r="24675" customFormat="1" x14ac:dyDescent="0.3"/>
    <row r="24676" customFormat="1" x14ac:dyDescent="0.3"/>
    <row r="24677" customFormat="1" x14ac:dyDescent="0.3"/>
    <row r="24678" customFormat="1" x14ac:dyDescent="0.3"/>
    <row r="24679" customFormat="1" x14ac:dyDescent="0.3"/>
    <row r="24680" customFormat="1" x14ac:dyDescent="0.3"/>
    <row r="24681" customFormat="1" x14ac:dyDescent="0.3"/>
    <row r="24682" customFormat="1" x14ac:dyDescent="0.3"/>
    <row r="24683" customFormat="1" x14ac:dyDescent="0.3"/>
    <row r="24684" customFormat="1" x14ac:dyDescent="0.3"/>
    <row r="24685" customFormat="1" x14ac:dyDescent="0.3"/>
    <row r="24686" customFormat="1" x14ac:dyDescent="0.3"/>
    <row r="24687" customFormat="1" x14ac:dyDescent="0.3"/>
    <row r="24688" customFormat="1" x14ac:dyDescent="0.3"/>
    <row r="24689" customFormat="1" x14ac:dyDescent="0.3"/>
    <row r="24690" customFormat="1" x14ac:dyDescent="0.3"/>
    <row r="24691" customFormat="1" x14ac:dyDescent="0.3"/>
    <row r="24692" customFormat="1" x14ac:dyDescent="0.3"/>
    <row r="24693" customFormat="1" x14ac:dyDescent="0.3"/>
    <row r="24694" customFormat="1" x14ac:dyDescent="0.3"/>
    <row r="24695" customFormat="1" x14ac:dyDescent="0.3"/>
    <row r="24696" customFormat="1" x14ac:dyDescent="0.3"/>
    <row r="24697" customFormat="1" x14ac:dyDescent="0.3"/>
    <row r="24698" customFormat="1" x14ac:dyDescent="0.3"/>
    <row r="24699" customFormat="1" x14ac:dyDescent="0.3"/>
    <row r="24700" customFormat="1" x14ac:dyDescent="0.3"/>
    <row r="24701" customFormat="1" x14ac:dyDescent="0.3"/>
    <row r="24702" customFormat="1" x14ac:dyDescent="0.3"/>
    <row r="24703" customFormat="1" x14ac:dyDescent="0.3"/>
    <row r="24704" customFormat="1" x14ac:dyDescent="0.3"/>
    <row r="24705" customFormat="1" x14ac:dyDescent="0.3"/>
    <row r="24706" customFormat="1" x14ac:dyDescent="0.3"/>
    <row r="24707" customFormat="1" x14ac:dyDescent="0.3"/>
    <row r="24708" customFormat="1" x14ac:dyDescent="0.3"/>
    <row r="24709" customFormat="1" x14ac:dyDescent="0.3"/>
    <row r="24710" customFormat="1" x14ac:dyDescent="0.3"/>
    <row r="24711" customFormat="1" x14ac:dyDescent="0.3"/>
    <row r="24712" customFormat="1" x14ac:dyDescent="0.3"/>
    <row r="24713" customFormat="1" x14ac:dyDescent="0.3"/>
    <row r="24714" customFormat="1" x14ac:dyDescent="0.3"/>
    <row r="24715" customFormat="1" x14ac:dyDescent="0.3"/>
    <row r="24716" customFormat="1" x14ac:dyDescent="0.3"/>
    <row r="24717" customFormat="1" x14ac:dyDescent="0.3"/>
    <row r="24718" customFormat="1" x14ac:dyDescent="0.3"/>
    <row r="24719" customFormat="1" x14ac:dyDescent="0.3"/>
    <row r="24720" customFormat="1" x14ac:dyDescent="0.3"/>
    <row r="24721" customFormat="1" x14ac:dyDescent="0.3"/>
    <row r="24722" customFormat="1" x14ac:dyDescent="0.3"/>
    <row r="24723" customFormat="1" x14ac:dyDescent="0.3"/>
    <row r="24724" customFormat="1" x14ac:dyDescent="0.3"/>
    <row r="24725" customFormat="1" x14ac:dyDescent="0.3"/>
    <row r="24726" customFormat="1" x14ac:dyDescent="0.3"/>
    <row r="24727" customFormat="1" x14ac:dyDescent="0.3"/>
    <row r="24728" customFormat="1" x14ac:dyDescent="0.3"/>
    <row r="24729" customFormat="1" x14ac:dyDescent="0.3"/>
    <row r="24730" customFormat="1" x14ac:dyDescent="0.3"/>
    <row r="24731" customFormat="1" x14ac:dyDescent="0.3"/>
    <row r="24732" customFormat="1" x14ac:dyDescent="0.3"/>
    <row r="24733" customFormat="1" x14ac:dyDescent="0.3"/>
    <row r="24734" customFormat="1" x14ac:dyDescent="0.3"/>
    <row r="24735" customFormat="1" x14ac:dyDescent="0.3"/>
    <row r="24736" customFormat="1" x14ac:dyDescent="0.3"/>
    <row r="24737" customFormat="1" x14ac:dyDescent="0.3"/>
    <row r="24738" customFormat="1" x14ac:dyDescent="0.3"/>
    <row r="24739" customFormat="1" x14ac:dyDescent="0.3"/>
    <row r="24740" customFormat="1" x14ac:dyDescent="0.3"/>
    <row r="24741" customFormat="1" x14ac:dyDescent="0.3"/>
    <row r="24742" customFormat="1" x14ac:dyDescent="0.3"/>
    <row r="24743" customFormat="1" x14ac:dyDescent="0.3"/>
    <row r="24744" customFormat="1" x14ac:dyDescent="0.3"/>
    <row r="24745" customFormat="1" x14ac:dyDescent="0.3"/>
    <row r="24746" customFormat="1" x14ac:dyDescent="0.3"/>
    <row r="24747" customFormat="1" x14ac:dyDescent="0.3"/>
    <row r="24748" customFormat="1" x14ac:dyDescent="0.3"/>
    <row r="24749" customFormat="1" x14ac:dyDescent="0.3"/>
    <row r="24750" customFormat="1" x14ac:dyDescent="0.3"/>
    <row r="24751" customFormat="1" x14ac:dyDescent="0.3"/>
    <row r="24752" customFormat="1" x14ac:dyDescent="0.3"/>
    <row r="24753" customFormat="1" x14ac:dyDescent="0.3"/>
    <row r="24754" customFormat="1" x14ac:dyDescent="0.3"/>
    <row r="24755" customFormat="1" x14ac:dyDescent="0.3"/>
    <row r="24756" customFormat="1" x14ac:dyDescent="0.3"/>
    <row r="24757" customFormat="1" x14ac:dyDescent="0.3"/>
    <row r="24758" customFormat="1" x14ac:dyDescent="0.3"/>
    <row r="24759" customFormat="1" x14ac:dyDescent="0.3"/>
    <row r="24760" customFormat="1" x14ac:dyDescent="0.3"/>
    <row r="24761" customFormat="1" x14ac:dyDescent="0.3"/>
    <row r="24762" customFormat="1" x14ac:dyDescent="0.3"/>
    <row r="24763" customFormat="1" x14ac:dyDescent="0.3"/>
    <row r="24764" customFormat="1" x14ac:dyDescent="0.3"/>
    <row r="24765" customFormat="1" x14ac:dyDescent="0.3"/>
    <row r="24766" customFormat="1" x14ac:dyDescent="0.3"/>
    <row r="24767" customFormat="1" x14ac:dyDescent="0.3"/>
    <row r="24768" customFormat="1" x14ac:dyDescent="0.3"/>
    <row r="24769" customFormat="1" x14ac:dyDescent="0.3"/>
    <row r="24770" customFormat="1" x14ac:dyDescent="0.3"/>
    <row r="24771" customFormat="1" x14ac:dyDescent="0.3"/>
    <row r="24772" customFormat="1" x14ac:dyDescent="0.3"/>
    <row r="24773" customFormat="1" x14ac:dyDescent="0.3"/>
    <row r="24774" customFormat="1" x14ac:dyDescent="0.3"/>
    <row r="24775" customFormat="1" x14ac:dyDescent="0.3"/>
    <row r="24776" customFormat="1" x14ac:dyDescent="0.3"/>
    <row r="24777" customFormat="1" x14ac:dyDescent="0.3"/>
    <row r="24778" customFormat="1" x14ac:dyDescent="0.3"/>
    <row r="24779" customFormat="1" x14ac:dyDescent="0.3"/>
    <row r="24780" customFormat="1" x14ac:dyDescent="0.3"/>
    <row r="24781" customFormat="1" x14ac:dyDescent="0.3"/>
    <row r="24782" customFormat="1" x14ac:dyDescent="0.3"/>
    <row r="24783" customFormat="1" x14ac:dyDescent="0.3"/>
    <row r="24784" customFormat="1" x14ac:dyDescent="0.3"/>
    <row r="24785" customFormat="1" x14ac:dyDescent="0.3"/>
    <row r="24786" customFormat="1" x14ac:dyDescent="0.3"/>
    <row r="24787" customFormat="1" x14ac:dyDescent="0.3"/>
    <row r="24788" customFormat="1" x14ac:dyDescent="0.3"/>
    <row r="24789" customFormat="1" x14ac:dyDescent="0.3"/>
    <row r="24790" customFormat="1" x14ac:dyDescent="0.3"/>
    <row r="24791" customFormat="1" x14ac:dyDescent="0.3"/>
    <row r="24792" customFormat="1" x14ac:dyDescent="0.3"/>
    <row r="24793" customFormat="1" x14ac:dyDescent="0.3"/>
    <row r="24794" customFormat="1" x14ac:dyDescent="0.3"/>
    <row r="24795" customFormat="1" x14ac:dyDescent="0.3"/>
    <row r="24796" customFormat="1" x14ac:dyDescent="0.3"/>
    <row r="24797" customFormat="1" x14ac:dyDescent="0.3"/>
    <row r="24798" customFormat="1" x14ac:dyDescent="0.3"/>
    <row r="24799" customFormat="1" x14ac:dyDescent="0.3"/>
    <row r="24800" customFormat="1" x14ac:dyDescent="0.3"/>
    <row r="24801" customFormat="1" x14ac:dyDescent="0.3"/>
    <row r="24802" customFormat="1" x14ac:dyDescent="0.3"/>
    <row r="24803" customFormat="1" x14ac:dyDescent="0.3"/>
    <row r="24804" customFormat="1" x14ac:dyDescent="0.3"/>
    <row r="24805" customFormat="1" x14ac:dyDescent="0.3"/>
    <row r="24806" customFormat="1" x14ac:dyDescent="0.3"/>
    <row r="24807" customFormat="1" x14ac:dyDescent="0.3"/>
    <row r="24808" customFormat="1" x14ac:dyDescent="0.3"/>
    <row r="24809" customFormat="1" x14ac:dyDescent="0.3"/>
    <row r="24810" customFormat="1" x14ac:dyDescent="0.3"/>
    <row r="24811" customFormat="1" x14ac:dyDescent="0.3"/>
    <row r="24812" customFormat="1" x14ac:dyDescent="0.3"/>
    <row r="24813" customFormat="1" x14ac:dyDescent="0.3"/>
    <row r="24814" customFormat="1" x14ac:dyDescent="0.3"/>
    <row r="24815" customFormat="1" x14ac:dyDescent="0.3"/>
    <row r="24816" customFormat="1" x14ac:dyDescent="0.3"/>
    <row r="24817" customFormat="1" x14ac:dyDescent="0.3"/>
    <row r="24818" customFormat="1" x14ac:dyDescent="0.3"/>
    <row r="24819" customFormat="1" x14ac:dyDescent="0.3"/>
    <row r="24820" customFormat="1" x14ac:dyDescent="0.3"/>
    <row r="24821" customFormat="1" x14ac:dyDescent="0.3"/>
    <row r="24822" customFormat="1" x14ac:dyDescent="0.3"/>
    <row r="24823" customFormat="1" x14ac:dyDescent="0.3"/>
    <row r="24824" customFormat="1" x14ac:dyDescent="0.3"/>
    <row r="24825" customFormat="1" x14ac:dyDescent="0.3"/>
    <row r="24826" customFormat="1" x14ac:dyDescent="0.3"/>
    <row r="24827" customFormat="1" x14ac:dyDescent="0.3"/>
    <row r="24828" customFormat="1" x14ac:dyDescent="0.3"/>
    <row r="24829" customFormat="1" x14ac:dyDescent="0.3"/>
    <row r="24830" customFormat="1" x14ac:dyDescent="0.3"/>
    <row r="24831" customFormat="1" x14ac:dyDescent="0.3"/>
    <row r="24832" customFormat="1" x14ac:dyDescent="0.3"/>
    <row r="24833" customFormat="1" x14ac:dyDescent="0.3"/>
    <row r="24834" customFormat="1" x14ac:dyDescent="0.3"/>
    <row r="24835" customFormat="1" x14ac:dyDescent="0.3"/>
    <row r="24836" customFormat="1" x14ac:dyDescent="0.3"/>
    <row r="24837" customFormat="1" x14ac:dyDescent="0.3"/>
    <row r="24838" customFormat="1" x14ac:dyDescent="0.3"/>
    <row r="24839" customFormat="1" x14ac:dyDescent="0.3"/>
    <row r="24840" customFormat="1" x14ac:dyDescent="0.3"/>
    <row r="24841" customFormat="1" x14ac:dyDescent="0.3"/>
    <row r="24842" customFormat="1" x14ac:dyDescent="0.3"/>
    <row r="24843" customFormat="1" x14ac:dyDescent="0.3"/>
    <row r="24844" customFormat="1" x14ac:dyDescent="0.3"/>
    <row r="24845" customFormat="1" x14ac:dyDescent="0.3"/>
    <row r="24846" customFormat="1" x14ac:dyDescent="0.3"/>
    <row r="24847" customFormat="1" x14ac:dyDescent="0.3"/>
    <row r="24848" customFormat="1" x14ac:dyDescent="0.3"/>
    <row r="24849" customFormat="1" x14ac:dyDescent="0.3"/>
    <row r="24850" customFormat="1" x14ac:dyDescent="0.3"/>
    <row r="24851" customFormat="1" x14ac:dyDescent="0.3"/>
    <row r="24852" customFormat="1" x14ac:dyDescent="0.3"/>
    <row r="24853" customFormat="1" x14ac:dyDescent="0.3"/>
    <row r="24854" customFormat="1" x14ac:dyDescent="0.3"/>
    <row r="24855" customFormat="1" x14ac:dyDescent="0.3"/>
    <row r="24856" customFormat="1" x14ac:dyDescent="0.3"/>
    <row r="24857" customFormat="1" x14ac:dyDescent="0.3"/>
    <row r="24858" customFormat="1" x14ac:dyDescent="0.3"/>
    <row r="24859" customFormat="1" x14ac:dyDescent="0.3"/>
    <row r="24860" customFormat="1" x14ac:dyDescent="0.3"/>
    <row r="24861" customFormat="1" x14ac:dyDescent="0.3"/>
    <row r="24862" customFormat="1" x14ac:dyDescent="0.3"/>
    <row r="24863" customFormat="1" x14ac:dyDescent="0.3"/>
    <row r="24864" customFormat="1" x14ac:dyDescent="0.3"/>
    <row r="24865" customFormat="1" x14ac:dyDescent="0.3"/>
    <row r="24866" customFormat="1" x14ac:dyDescent="0.3"/>
    <row r="24867" customFormat="1" x14ac:dyDescent="0.3"/>
    <row r="24868" customFormat="1" x14ac:dyDescent="0.3"/>
    <row r="24869" customFormat="1" x14ac:dyDescent="0.3"/>
    <row r="24870" customFormat="1" x14ac:dyDescent="0.3"/>
    <row r="24871" customFormat="1" x14ac:dyDescent="0.3"/>
    <row r="24872" customFormat="1" x14ac:dyDescent="0.3"/>
    <row r="24873" customFormat="1" x14ac:dyDescent="0.3"/>
    <row r="24874" customFormat="1" x14ac:dyDescent="0.3"/>
    <row r="24875" customFormat="1" x14ac:dyDescent="0.3"/>
    <row r="24876" customFormat="1" x14ac:dyDescent="0.3"/>
    <row r="24877" customFormat="1" x14ac:dyDescent="0.3"/>
    <row r="24878" customFormat="1" x14ac:dyDescent="0.3"/>
    <row r="24879" customFormat="1" x14ac:dyDescent="0.3"/>
    <row r="24880" customFormat="1" x14ac:dyDescent="0.3"/>
    <row r="24881" customFormat="1" x14ac:dyDescent="0.3"/>
    <row r="24882" customFormat="1" x14ac:dyDescent="0.3"/>
    <row r="24883" customFormat="1" x14ac:dyDescent="0.3"/>
    <row r="24884" customFormat="1" x14ac:dyDescent="0.3"/>
    <row r="24885" customFormat="1" x14ac:dyDescent="0.3"/>
    <row r="24886" customFormat="1" x14ac:dyDescent="0.3"/>
    <row r="24887" customFormat="1" x14ac:dyDescent="0.3"/>
    <row r="24888" customFormat="1" x14ac:dyDescent="0.3"/>
    <row r="24889" customFormat="1" x14ac:dyDescent="0.3"/>
    <row r="24890" customFormat="1" x14ac:dyDescent="0.3"/>
    <row r="24891" customFormat="1" x14ac:dyDescent="0.3"/>
    <row r="24892" customFormat="1" x14ac:dyDescent="0.3"/>
    <row r="24893" customFormat="1" x14ac:dyDescent="0.3"/>
    <row r="24894" customFormat="1" x14ac:dyDescent="0.3"/>
    <row r="24895" customFormat="1" x14ac:dyDescent="0.3"/>
    <row r="24896" customFormat="1" x14ac:dyDescent="0.3"/>
    <row r="24897" customFormat="1" x14ac:dyDescent="0.3"/>
    <row r="24898" customFormat="1" x14ac:dyDescent="0.3"/>
    <row r="24899" customFormat="1" x14ac:dyDescent="0.3"/>
    <row r="24900" customFormat="1" x14ac:dyDescent="0.3"/>
    <row r="24901" customFormat="1" x14ac:dyDescent="0.3"/>
    <row r="24902" customFormat="1" x14ac:dyDescent="0.3"/>
    <row r="24903" customFormat="1" x14ac:dyDescent="0.3"/>
    <row r="24904" customFormat="1" x14ac:dyDescent="0.3"/>
    <row r="24905" customFormat="1" x14ac:dyDescent="0.3"/>
    <row r="24906" customFormat="1" x14ac:dyDescent="0.3"/>
    <row r="24907" customFormat="1" x14ac:dyDescent="0.3"/>
    <row r="24908" customFormat="1" x14ac:dyDescent="0.3"/>
    <row r="24909" customFormat="1" x14ac:dyDescent="0.3"/>
    <row r="24910" customFormat="1" x14ac:dyDescent="0.3"/>
    <row r="24911" customFormat="1" x14ac:dyDescent="0.3"/>
    <row r="24912" customFormat="1" x14ac:dyDescent="0.3"/>
    <row r="24913" customFormat="1" x14ac:dyDescent="0.3"/>
    <row r="24914" customFormat="1" x14ac:dyDescent="0.3"/>
    <row r="24915" customFormat="1" x14ac:dyDescent="0.3"/>
    <row r="24916" customFormat="1" x14ac:dyDescent="0.3"/>
    <row r="24917" customFormat="1" x14ac:dyDescent="0.3"/>
    <row r="24918" customFormat="1" x14ac:dyDescent="0.3"/>
    <row r="24919" customFormat="1" x14ac:dyDescent="0.3"/>
    <row r="24920" customFormat="1" x14ac:dyDescent="0.3"/>
    <row r="24921" customFormat="1" x14ac:dyDescent="0.3"/>
    <row r="24922" customFormat="1" x14ac:dyDescent="0.3"/>
    <row r="24923" customFormat="1" x14ac:dyDescent="0.3"/>
    <row r="24924" customFormat="1" x14ac:dyDescent="0.3"/>
    <row r="24925" customFormat="1" x14ac:dyDescent="0.3"/>
    <row r="24926" customFormat="1" x14ac:dyDescent="0.3"/>
    <row r="24927" customFormat="1" x14ac:dyDescent="0.3"/>
    <row r="24928" customFormat="1" x14ac:dyDescent="0.3"/>
    <row r="24929" customFormat="1" x14ac:dyDescent="0.3"/>
    <row r="24930" customFormat="1" x14ac:dyDescent="0.3"/>
    <row r="24931" customFormat="1" x14ac:dyDescent="0.3"/>
    <row r="24932" customFormat="1" x14ac:dyDescent="0.3"/>
    <row r="24933" customFormat="1" x14ac:dyDescent="0.3"/>
    <row r="24934" customFormat="1" x14ac:dyDescent="0.3"/>
    <row r="24935" customFormat="1" x14ac:dyDescent="0.3"/>
    <row r="24936" customFormat="1" x14ac:dyDescent="0.3"/>
    <row r="24937" customFormat="1" x14ac:dyDescent="0.3"/>
    <row r="24938" customFormat="1" x14ac:dyDescent="0.3"/>
    <row r="24939" customFormat="1" x14ac:dyDescent="0.3"/>
    <row r="24940" customFormat="1" x14ac:dyDescent="0.3"/>
    <row r="24941" customFormat="1" x14ac:dyDescent="0.3"/>
    <row r="24942" customFormat="1" x14ac:dyDescent="0.3"/>
    <row r="24943" customFormat="1" x14ac:dyDescent="0.3"/>
    <row r="24944" customFormat="1" x14ac:dyDescent="0.3"/>
    <row r="24945" customFormat="1" x14ac:dyDescent="0.3"/>
    <row r="24946" customFormat="1" x14ac:dyDescent="0.3"/>
    <row r="24947" customFormat="1" x14ac:dyDescent="0.3"/>
    <row r="24948" customFormat="1" x14ac:dyDescent="0.3"/>
    <row r="24949" customFormat="1" x14ac:dyDescent="0.3"/>
    <row r="24950" customFormat="1" x14ac:dyDescent="0.3"/>
    <row r="24951" customFormat="1" x14ac:dyDescent="0.3"/>
    <row r="24952" customFormat="1" x14ac:dyDescent="0.3"/>
    <row r="24953" customFormat="1" x14ac:dyDescent="0.3"/>
    <row r="24954" customFormat="1" x14ac:dyDescent="0.3"/>
    <row r="24955" customFormat="1" x14ac:dyDescent="0.3"/>
    <row r="24956" customFormat="1" x14ac:dyDescent="0.3"/>
    <row r="24957" customFormat="1" x14ac:dyDescent="0.3"/>
    <row r="24958" customFormat="1" x14ac:dyDescent="0.3"/>
    <row r="24959" customFormat="1" x14ac:dyDescent="0.3"/>
    <row r="24960" customFormat="1" x14ac:dyDescent="0.3"/>
    <row r="24961" customFormat="1" x14ac:dyDescent="0.3"/>
    <row r="24962" customFormat="1" x14ac:dyDescent="0.3"/>
    <row r="24963" customFormat="1" x14ac:dyDescent="0.3"/>
    <row r="24964" customFormat="1" x14ac:dyDescent="0.3"/>
    <row r="24965" customFormat="1" x14ac:dyDescent="0.3"/>
    <row r="24966" customFormat="1" x14ac:dyDescent="0.3"/>
    <row r="24967" customFormat="1" x14ac:dyDescent="0.3"/>
    <row r="24968" customFormat="1" x14ac:dyDescent="0.3"/>
    <row r="24969" customFormat="1" x14ac:dyDescent="0.3"/>
    <row r="24970" customFormat="1" x14ac:dyDescent="0.3"/>
    <row r="24971" customFormat="1" x14ac:dyDescent="0.3"/>
    <row r="24972" customFormat="1" x14ac:dyDescent="0.3"/>
    <row r="24973" customFormat="1" x14ac:dyDescent="0.3"/>
    <row r="24974" customFormat="1" x14ac:dyDescent="0.3"/>
    <row r="24975" customFormat="1" x14ac:dyDescent="0.3"/>
    <row r="24976" customFormat="1" x14ac:dyDescent="0.3"/>
    <row r="24977" customFormat="1" x14ac:dyDescent="0.3"/>
    <row r="24978" customFormat="1" x14ac:dyDescent="0.3"/>
    <row r="24979" customFormat="1" x14ac:dyDescent="0.3"/>
    <row r="24980" customFormat="1" x14ac:dyDescent="0.3"/>
    <row r="24981" customFormat="1" x14ac:dyDescent="0.3"/>
    <row r="24982" customFormat="1" x14ac:dyDescent="0.3"/>
    <row r="24983" customFormat="1" x14ac:dyDescent="0.3"/>
    <row r="24984" customFormat="1" x14ac:dyDescent="0.3"/>
    <row r="24985" customFormat="1" x14ac:dyDescent="0.3"/>
    <row r="24986" customFormat="1" x14ac:dyDescent="0.3"/>
    <row r="24987" customFormat="1" x14ac:dyDescent="0.3"/>
    <row r="24988" customFormat="1" x14ac:dyDescent="0.3"/>
    <row r="24989" customFormat="1" x14ac:dyDescent="0.3"/>
    <row r="24990" customFormat="1" x14ac:dyDescent="0.3"/>
    <row r="24991" customFormat="1" x14ac:dyDescent="0.3"/>
    <row r="24992" customFormat="1" x14ac:dyDescent="0.3"/>
    <row r="24993" customFormat="1" x14ac:dyDescent="0.3"/>
    <row r="24994" customFormat="1" x14ac:dyDescent="0.3"/>
    <row r="24995" customFormat="1" x14ac:dyDescent="0.3"/>
    <row r="24996" customFormat="1" x14ac:dyDescent="0.3"/>
    <row r="24997" customFormat="1" x14ac:dyDescent="0.3"/>
    <row r="24998" customFormat="1" x14ac:dyDescent="0.3"/>
    <row r="24999" customFormat="1" x14ac:dyDescent="0.3"/>
    <row r="25000" customFormat="1" x14ac:dyDescent="0.3"/>
    <row r="25001" customFormat="1" x14ac:dyDescent="0.3"/>
    <row r="25002" customFormat="1" x14ac:dyDescent="0.3"/>
    <row r="25003" customFormat="1" x14ac:dyDescent="0.3"/>
    <row r="25004" customFormat="1" x14ac:dyDescent="0.3"/>
    <row r="25005" customFormat="1" x14ac:dyDescent="0.3"/>
    <row r="25006" customFormat="1" x14ac:dyDescent="0.3"/>
    <row r="25007" customFormat="1" x14ac:dyDescent="0.3"/>
    <row r="25008" customFormat="1" x14ac:dyDescent="0.3"/>
    <row r="25009" customFormat="1" x14ac:dyDescent="0.3"/>
    <row r="25010" customFormat="1" x14ac:dyDescent="0.3"/>
    <row r="25011" customFormat="1" x14ac:dyDescent="0.3"/>
    <row r="25012" customFormat="1" x14ac:dyDescent="0.3"/>
    <row r="25013" customFormat="1" x14ac:dyDescent="0.3"/>
    <row r="25014" customFormat="1" x14ac:dyDescent="0.3"/>
    <row r="25015" customFormat="1" x14ac:dyDescent="0.3"/>
    <row r="25016" customFormat="1" x14ac:dyDescent="0.3"/>
    <row r="25017" customFormat="1" x14ac:dyDescent="0.3"/>
    <row r="25018" customFormat="1" x14ac:dyDescent="0.3"/>
    <row r="25019" customFormat="1" x14ac:dyDescent="0.3"/>
    <row r="25020" customFormat="1" x14ac:dyDescent="0.3"/>
    <row r="25021" customFormat="1" x14ac:dyDescent="0.3"/>
    <row r="25022" customFormat="1" x14ac:dyDescent="0.3"/>
    <row r="25023" customFormat="1" x14ac:dyDescent="0.3"/>
    <row r="25024" customFormat="1" x14ac:dyDescent="0.3"/>
    <row r="25025" customFormat="1" x14ac:dyDescent="0.3"/>
    <row r="25026" customFormat="1" x14ac:dyDescent="0.3"/>
    <row r="25027" customFormat="1" x14ac:dyDescent="0.3"/>
    <row r="25028" customFormat="1" x14ac:dyDescent="0.3"/>
    <row r="25029" customFormat="1" x14ac:dyDescent="0.3"/>
    <row r="25030" customFormat="1" x14ac:dyDescent="0.3"/>
    <row r="25031" customFormat="1" x14ac:dyDescent="0.3"/>
    <row r="25032" customFormat="1" x14ac:dyDescent="0.3"/>
    <row r="25033" customFormat="1" x14ac:dyDescent="0.3"/>
    <row r="25034" customFormat="1" x14ac:dyDescent="0.3"/>
    <row r="25035" customFormat="1" x14ac:dyDescent="0.3"/>
    <row r="25036" customFormat="1" x14ac:dyDescent="0.3"/>
    <row r="25037" customFormat="1" x14ac:dyDescent="0.3"/>
    <row r="25038" customFormat="1" x14ac:dyDescent="0.3"/>
    <row r="25039" customFormat="1" x14ac:dyDescent="0.3"/>
    <row r="25040" customFormat="1" x14ac:dyDescent="0.3"/>
    <row r="25041" customFormat="1" x14ac:dyDescent="0.3"/>
    <row r="25042" customFormat="1" x14ac:dyDescent="0.3"/>
    <row r="25043" customFormat="1" x14ac:dyDescent="0.3"/>
    <row r="25044" customFormat="1" x14ac:dyDescent="0.3"/>
    <row r="25045" customFormat="1" x14ac:dyDescent="0.3"/>
    <row r="25046" customFormat="1" x14ac:dyDescent="0.3"/>
    <row r="25047" customFormat="1" x14ac:dyDescent="0.3"/>
    <row r="25048" customFormat="1" x14ac:dyDescent="0.3"/>
    <row r="25049" customFormat="1" x14ac:dyDescent="0.3"/>
    <row r="25050" customFormat="1" x14ac:dyDescent="0.3"/>
    <row r="25051" customFormat="1" x14ac:dyDescent="0.3"/>
    <row r="25052" customFormat="1" x14ac:dyDescent="0.3"/>
    <row r="25053" customFormat="1" x14ac:dyDescent="0.3"/>
    <row r="25054" customFormat="1" x14ac:dyDescent="0.3"/>
    <row r="25055" customFormat="1" x14ac:dyDescent="0.3"/>
    <row r="25056" customFormat="1" x14ac:dyDescent="0.3"/>
    <row r="25057" customFormat="1" x14ac:dyDescent="0.3"/>
    <row r="25058" customFormat="1" x14ac:dyDescent="0.3"/>
    <row r="25059" customFormat="1" x14ac:dyDescent="0.3"/>
    <row r="25060" customFormat="1" x14ac:dyDescent="0.3"/>
    <row r="25061" customFormat="1" x14ac:dyDescent="0.3"/>
    <row r="25062" customFormat="1" x14ac:dyDescent="0.3"/>
    <row r="25063" customFormat="1" x14ac:dyDescent="0.3"/>
    <row r="25064" customFormat="1" x14ac:dyDescent="0.3"/>
    <row r="25065" customFormat="1" x14ac:dyDescent="0.3"/>
    <row r="25066" customFormat="1" x14ac:dyDescent="0.3"/>
    <row r="25067" customFormat="1" x14ac:dyDescent="0.3"/>
    <row r="25068" customFormat="1" x14ac:dyDescent="0.3"/>
    <row r="25069" customFormat="1" x14ac:dyDescent="0.3"/>
    <row r="25070" customFormat="1" x14ac:dyDescent="0.3"/>
    <row r="25071" customFormat="1" x14ac:dyDescent="0.3"/>
    <row r="25072" customFormat="1" x14ac:dyDescent="0.3"/>
    <row r="25073" customFormat="1" x14ac:dyDescent="0.3"/>
    <row r="25074" customFormat="1" x14ac:dyDescent="0.3"/>
    <row r="25075" customFormat="1" x14ac:dyDescent="0.3"/>
    <row r="25076" customFormat="1" x14ac:dyDescent="0.3"/>
    <row r="25077" customFormat="1" x14ac:dyDescent="0.3"/>
    <row r="25078" customFormat="1" x14ac:dyDescent="0.3"/>
    <row r="25079" customFormat="1" x14ac:dyDescent="0.3"/>
    <row r="25080" customFormat="1" x14ac:dyDescent="0.3"/>
    <row r="25081" customFormat="1" x14ac:dyDescent="0.3"/>
    <row r="25082" customFormat="1" x14ac:dyDescent="0.3"/>
    <row r="25083" customFormat="1" x14ac:dyDescent="0.3"/>
    <row r="25084" customFormat="1" x14ac:dyDescent="0.3"/>
    <row r="25085" customFormat="1" x14ac:dyDescent="0.3"/>
    <row r="25086" customFormat="1" x14ac:dyDescent="0.3"/>
    <row r="25087" customFormat="1" x14ac:dyDescent="0.3"/>
    <row r="25088" customFormat="1" x14ac:dyDescent="0.3"/>
    <row r="25089" customFormat="1" x14ac:dyDescent="0.3"/>
    <row r="25090" customFormat="1" x14ac:dyDescent="0.3"/>
    <row r="25091" customFormat="1" x14ac:dyDescent="0.3"/>
    <row r="25092" customFormat="1" x14ac:dyDescent="0.3"/>
    <row r="25093" customFormat="1" x14ac:dyDescent="0.3"/>
    <row r="25094" customFormat="1" x14ac:dyDescent="0.3"/>
    <row r="25095" customFormat="1" x14ac:dyDescent="0.3"/>
    <row r="25096" customFormat="1" x14ac:dyDescent="0.3"/>
    <row r="25097" customFormat="1" x14ac:dyDescent="0.3"/>
    <row r="25098" customFormat="1" x14ac:dyDescent="0.3"/>
    <row r="25099" customFormat="1" x14ac:dyDescent="0.3"/>
    <row r="25100" customFormat="1" x14ac:dyDescent="0.3"/>
    <row r="25101" customFormat="1" x14ac:dyDescent="0.3"/>
    <row r="25102" customFormat="1" x14ac:dyDescent="0.3"/>
    <row r="25103" customFormat="1" x14ac:dyDescent="0.3"/>
    <row r="25104" customFormat="1" x14ac:dyDescent="0.3"/>
    <row r="25105" customFormat="1" x14ac:dyDescent="0.3"/>
    <row r="25106" customFormat="1" x14ac:dyDescent="0.3"/>
    <row r="25107" customFormat="1" x14ac:dyDescent="0.3"/>
    <row r="25108" customFormat="1" x14ac:dyDescent="0.3"/>
    <row r="25109" customFormat="1" x14ac:dyDescent="0.3"/>
    <row r="25110" customFormat="1" x14ac:dyDescent="0.3"/>
    <row r="25111" customFormat="1" x14ac:dyDescent="0.3"/>
    <row r="25112" customFormat="1" x14ac:dyDescent="0.3"/>
    <row r="25113" customFormat="1" x14ac:dyDescent="0.3"/>
    <row r="25114" customFormat="1" x14ac:dyDescent="0.3"/>
    <row r="25115" customFormat="1" x14ac:dyDescent="0.3"/>
    <row r="25116" customFormat="1" x14ac:dyDescent="0.3"/>
    <row r="25117" customFormat="1" x14ac:dyDescent="0.3"/>
    <row r="25118" customFormat="1" x14ac:dyDescent="0.3"/>
    <row r="25119" customFormat="1" x14ac:dyDescent="0.3"/>
    <row r="25120" customFormat="1" x14ac:dyDescent="0.3"/>
    <row r="25121" customFormat="1" x14ac:dyDescent="0.3"/>
    <row r="25122" customFormat="1" x14ac:dyDescent="0.3"/>
    <row r="25123" customFormat="1" x14ac:dyDescent="0.3"/>
    <row r="25124" customFormat="1" x14ac:dyDescent="0.3"/>
    <row r="25125" customFormat="1" x14ac:dyDescent="0.3"/>
    <row r="25126" customFormat="1" x14ac:dyDescent="0.3"/>
    <row r="25127" customFormat="1" x14ac:dyDescent="0.3"/>
    <row r="25128" customFormat="1" x14ac:dyDescent="0.3"/>
    <row r="25129" customFormat="1" x14ac:dyDescent="0.3"/>
    <row r="25130" customFormat="1" x14ac:dyDescent="0.3"/>
    <row r="25131" customFormat="1" x14ac:dyDescent="0.3"/>
    <row r="25132" customFormat="1" x14ac:dyDescent="0.3"/>
    <row r="25133" customFormat="1" x14ac:dyDescent="0.3"/>
    <row r="25134" customFormat="1" x14ac:dyDescent="0.3"/>
    <row r="25135" customFormat="1" x14ac:dyDescent="0.3"/>
    <row r="25136" customFormat="1" x14ac:dyDescent="0.3"/>
    <row r="25137" customFormat="1" x14ac:dyDescent="0.3"/>
    <row r="25138" customFormat="1" x14ac:dyDescent="0.3"/>
    <row r="25139" customFormat="1" x14ac:dyDescent="0.3"/>
    <row r="25140" customFormat="1" x14ac:dyDescent="0.3"/>
    <row r="25141" customFormat="1" x14ac:dyDescent="0.3"/>
    <row r="25142" customFormat="1" x14ac:dyDescent="0.3"/>
    <row r="25143" customFormat="1" x14ac:dyDescent="0.3"/>
    <row r="25144" customFormat="1" x14ac:dyDescent="0.3"/>
    <row r="25145" customFormat="1" x14ac:dyDescent="0.3"/>
    <row r="25146" customFormat="1" x14ac:dyDescent="0.3"/>
    <row r="25147" customFormat="1" x14ac:dyDescent="0.3"/>
    <row r="25148" customFormat="1" x14ac:dyDescent="0.3"/>
    <row r="25149" customFormat="1" x14ac:dyDescent="0.3"/>
    <row r="25150" customFormat="1" x14ac:dyDescent="0.3"/>
    <row r="25151" customFormat="1" x14ac:dyDescent="0.3"/>
    <row r="25152" customFormat="1" x14ac:dyDescent="0.3"/>
    <row r="25153" customFormat="1" x14ac:dyDescent="0.3"/>
    <row r="25154" customFormat="1" x14ac:dyDescent="0.3"/>
    <row r="25155" customFormat="1" x14ac:dyDescent="0.3"/>
    <row r="25156" customFormat="1" x14ac:dyDescent="0.3"/>
    <row r="25157" customFormat="1" x14ac:dyDescent="0.3"/>
    <row r="25158" customFormat="1" x14ac:dyDescent="0.3"/>
    <row r="25159" customFormat="1" x14ac:dyDescent="0.3"/>
    <row r="25160" customFormat="1" x14ac:dyDescent="0.3"/>
    <row r="25161" customFormat="1" x14ac:dyDescent="0.3"/>
    <row r="25162" customFormat="1" x14ac:dyDescent="0.3"/>
    <row r="25163" customFormat="1" x14ac:dyDescent="0.3"/>
    <row r="25164" customFormat="1" x14ac:dyDescent="0.3"/>
    <row r="25165" customFormat="1" x14ac:dyDescent="0.3"/>
    <row r="25166" customFormat="1" x14ac:dyDescent="0.3"/>
    <row r="25167" customFormat="1" x14ac:dyDescent="0.3"/>
    <row r="25168" customFormat="1" x14ac:dyDescent="0.3"/>
    <row r="25169" customFormat="1" x14ac:dyDescent="0.3"/>
    <row r="25170" customFormat="1" x14ac:dyDescent="0.3"/>
    <row r="25171" customFormat="1" x14ac:dyDescent="0.3"/>
    <row r="25172" customFormat="1" x14ac:dyDescent="0.3"/>
    <row r="25173" customFormat="1" x14ac:dyDescent="0.3"/>
    <row r="25174" customFormat="1" x14ac:dyDescent="0.3"/>
    <row r="25175" customFormat="1" x14ac:dyDescent="0.3"/>
    <row r="25176" customFormat="1" x14ac:dyDescent="0.3"/>
    <row r="25177" customFormat="1" x14ac:dyDescent="0.3"/>
    <row r="25178" customFormat="1" x14ac:dyDescent="0.3"/>
    <row r="25179" customFormat="1" x14ac:dyDescent="0.3"/>
    <row r="25180" customFormat="1" x14ac:dyDescent="0.3"/>
    <row r="25181" customFormat="1" x14ac:dyDescent="0.3"/>
    <row r="25182" customFormat="1" x14ac:dyDescent="0.3"/>
    <row r="25183" customFormat="1" x14ac:dyDescent="0.3"/>
    <row r="25184" customFormat="1" x14ac:dyDescent="0.3"/>
    <row r="25185" customFormat="1" x14ac:dyDescent="0.3"/>
    <row r="25186" customFormat="1" x14ac:dyDescent="0.3"/>
    <row r="25187" customFormat="1" x14ac:dyDescent="0.3"/>
    <row r="25188" customFormat="1" x14ac:dyDescent="0.3"/>
    <row r="25189" customFormat="1" x14ac:dyDescent="0.3"/>
    <row r="25190" customFormat="1" x14ac:dyDescent="0.3"/>
    <row r="25191" customFormat="1" x14ac:dyDescent="0.3"/>
    <row r="25192" customFormat="1" x14ac:dyDescent="0.3"/>
    <row r="25193" customFormat="1" x14ac:dyDescent="0.3"/>
    <row r="25194" customFormat="1" x14ac:dyDescent="0.3"/>
    <row r="25195" customFormat="1" x14ac:dyDescent="0.3"/>
    <row r="25196" customFormat="1" x14ac:dyDescent="0.3"/>
    <row r="25197" customFormat="1" x14ac:dyDescent="0.3"/>
    <row r="25198" customFormat="1" x14ac:dyDescent="0.3"/>
    <row r="25199" customFormat="1" x14ac:dyDescent="0.3"/>
    <row r="25200" customFormat="1" x14ac:dyDescent="0.3"/>
    <row r="25201" customFormat="1" x14ac:dyDescent="0.3"/>
    <row r="25202" customFormat="1" x14ac:dyDescent="0.3"/>
    <row r="25203" customFormat="1" x14ac:dyDescent="0.3"/>
    <row r="25204" customFormat="1" x14ac:dyDescent="0.3"/>
    <row r="25205" customFormat="1" x14ac:dyDescent="0.3"/>
    <row r="25206" customFormat="1" x14ac:dyDescent="0.3"/>
    <row r="25207" customFormat="1" x14ac:dyDescent="0.3"/>
    <row r="25208" customFormat="1" x14ac:dyDescent="0.3"/>
    <row r="25209" customFormat="1" x14ac:dyDescent="0.3"/>
    <row r="25210" customFormat="1" x14ac:dyDescent="0.3"/>
    <row r="25211" customFormat="1" x14ac:dyDescent="0.3"/>
    <row r="25212" customFormat="1" x14ac:dyDescent="0.3"/>
    <row r="25213" customFormat="1" x14ac:dyDescent="0.3"/>
    <row r="25214" customFormat="1" x14ac:dyDescent="0.3"/>
    <row r="25215" customFormat="1" x14ac:dyDescent="0.3"/>
    <row r="25216" customFormat="1" x14ac:dyDescent="0.3"/>
    <row r="25217" customFormat="1" x14ac:dyDescent="0.3"/>
    <row r="25218" customFormat="1" x14ac:dyDescent="0.3"/>
    <row r="25219" customFormat="1" x14ac:dyDescent="0.3"/>
    <row r="25220" customFormat="1" x14ac:dyDescent="0.3"/>
    <row r="25221" customFormat="1" x14ac:dyDescent="0.3"/>
    <row r="25222" customFormat="1" x14ac:dyDescent="0.3"/>
    <row r="25223" customFormat="1" x14ac:dyDescent="0.3"/>
    <row r="25224" customFormat="1" x14ac:dyDescent="0.3"/>
    <row r="25225" customFormat="1" x14ac:dyDescent="0.3"/>
    <row r="25226" customFormat="1" x14ac:dyDescent="0.3"/>
    <row r="25227" customFormat="1" x14ac:dyDescent="0.3"/>
    <row r="25228" customFormat="1" x14ac:dyDescent="0.3"/>
    <row r="25229" customFormat="1" x14ac:dyDescent="0.3"/>
    <row r="25230" customFormat="1" x14ac:dyDescent="0.3"/>
    <row r="25231" customFormat="1" x14ac:dyDescent="0.3"/>
    <row r="25232" customFormat="1" x14ac:dyDescent="0.3"/>
    <row r="25233" customFormat="1" x14ac:dyDescent="0.3"/>
    <row r="25234" customFormat="1" x14ac:dyDescent="0.3"/>
    <row r="25235" customFormat="1" x14ac:dyDescent="0.3"/>
    <row r="25236" customFormat="1" x14ac:dyDescent="0.3"/>
    <row r="25237" customFormat="1" x14ac:dyDescent="0.3"/>
    <row r="25238" customFormat="1" x14ac:dyDescent="0.3"/>
    <row r="25239" customFormat="1" x14ac:dyDescent="0.3"/>
    <row r="25240" customFormat="1" x14ac:dyDescent="0.3"/>
    <row r="25241" customFormat="1" x14ac:dyDescent="0.3"/>
    <row r="25242" customFormat="1" x14ac:dyDescent="0.3"/>
    <row r="25243" customFormat="1" x14ac:dyDescent="0.3"/>
    <row r="25244" customFormat="1" x14ac:dyDescent="0.3"/>
    <row r="25245" customFormat="1" x14ac:dyDescent="0.3"/>
    <row r="25246" customFormat="1" x14ac:dyDescent="0.3"/>
    <row r="25247" customFormat="1" x14ac:dyDescent="0.3"/>
    <row r="25248" customFormat="1" x14ac:dyDescent="0.3"/>
    <row r="25249" customFormat="1" x14ac:dyDescent="0.3"/>
    <row r="25250" customFormat="1" x14ac:dyDescent="0.3"/>
    <row r="25251" customFormat="1" x14ac:dyDescent="0.3"/>
    <row r="25252" customFormat="1" x14ac:dyDescent="0.3"/>
    <row r="25253" customFormat="1" x14ac:dyDescent="0.3"/>
    <row r="25254" customFormat="1" x14ac:dyDescent="0.3"/>
    <row r="25255" customFormat="1" x14ac:dyDescent="0.3"/>
    <row r="25256" customFormat="1" x14ac:dyDescent="0.3"/>
    <row r="25257" customFormat="1" x14ac:dyDescent="0.3"/>
    <row r="25258" customFormat="1" x14ac:dyDescent="0.3"/>
    <row r="25259" customFormat="1" x14ac:dyDescent="0.3"/>
    <row r="25260" customFormat="1" x14ac:dyDescent="0.3"/>
    <row r="25261" customFormat="1" x14ac:dyDescent="0.3"/>
    <row r="25262" customFormat="1" x14ac:dyDescent="0.3"/>
    <row r="25263" customFormat="1" x14ac:dyDescent="0.3"/>
    <row r="25264" customFormat="1" x14ac:dyDescent="0.3"/>
    <row r="25265" customFormat="1" x14ac:dyDescent="0.3"/>
    <row r="25266" customFormat="1" x14ac:dyDescent="0.3"/>
    <row r="25267" customFormat="1" x14ac:dyDescent="0.3"/>
    <row r="25268" customFormat="1" x14ac:dyDescent="0.3"/>
    <row r="25269" customFormat="1" x14ac:dyDescent="0.3"/>
    <row r="25270" customFormat="1" x14ac:dyDescent="0.3"/>
    <row r="25271" customFormat="1" x14ac:dyDescent="0.3"/>
    <row r="25272" customFormat="1" x14ac:dyDescent="0.3"/>
    <row r="25273" customFormat="1" x14ac:dyDescent="0.3"/>
    <row r="25274" customFormat="1" x14ac:dyDescent="0.3"/>
    <row r="25275" customFormat="1" x14ac:dyDescent="0.3"/>
    <row r="25276" customFormat="1" x14ac:dyDescent="0.3"/>
    <row r="25277" customFormat="1" x14ac:dyDescent="0.3"/>
    <row r="25278" customFormat="1" x14ac:dyDescent="0.3"/>
    <row r="25279" customFormat="1" x14ac:dyDescent="0.3"/>
    <row r="25280" customFormat="1" x14ac:dyDescent="0.3"/>
    <row r="25281" customFormat="1" x14ac:dyDescent="0.3"/>
    <row r="25282" customFormat="1" x14ac:dyDescent="0.3"/>
    <row r="25283" customFormat="1" x14ac:dyDescent="0.3"/>
    <row r="25284" customFormat="1" x14ac:dyDescent="0.3"/>
    <row r="25285" customFormat="1" x14ac:dyDescent="0.3"/>
    <row r="25286" customFormat="1" x14ac:dyDescent="0.3"/>
    <row r="25287" customFormat="1" x14ac:dyDescent="0.3"/>
    <row r="25288" customFormat="1" x14ac:dyDescent="0.3"/>
    <row r="25289" customFormat="1" x14ac:dyDescent="0.3"/>
    <row r="25290" customFormat="1" x14ac:dyDescent="0.3"/>
    <row r="25291" customFormat="1" x14ac:dyDescent="0.3"/>
    <row r="25292" customFormat="1" x14ac:dyDescent="0.3"/>
    <row r="25293" customFormat="1" x14ac:dyDescent="0.3"/>
    <row r="25294" customFormat="1" x14ac:dyDescent="0.3"/>
    <row r="25295" customFormat="1" x14ac:dyDescent="0.3"/>
    <row r="25296" customFormat="1" x14ac:dyDescent="0.3"/>
    <row r="25297" customFormat="1" x14ac:dyDescent="0.3"/>
    <row r="25298" customFormat="1" x14ac:dyDescent="0.3"/>
    <row r="25299" customFormat="1" x14ac:dyDescent="0.3"/>
    <row r="25300" customFormat="1" x14ac:dyDescent="0.3"/>
    <row r="25301" customFormat="1" x14ac:dyDescent="0.3"/>
    <row r="25302" customFormat="1" x14ac:dyDescent="0.3"/>
    <row r="25303" customFormat="1" x14ac:dyDescent="0.3"/>
    <row r="25304" customFormat="1" x14ac:dyDescent="0.3"/>
    <row r="25305" customFormat="1" x14ac:dyDescent="0.3"/>
    <row r="25306" customFormat="1" x14ac:dyDescent="0.3"/>
    <row r="25307" customFormat="1" x14ac:dyDescent="0.3"/>
    <row r="25308" customFormat="1" x14ac:dyDescent="0.3"/>
    <row r="25309" customFormat="1" x14ac:dyDescent="0.3"/>
    <row r="25310" customFormat="1" x14ac:dyDescent="0.3"/>
    <row r="25311" customFormat="1" x14ac:dyDescent="0.3"/>
    <row r="25312" customFormat="1" x14ac:dyDescent="0.3"/>
    <row r="25313" customFormat="1" x14ac:dyDescent="0.3"/>
    <row r="25314" customFormat="1" x14ac:dyDescent="0.3"/>
    <row r="25315" customFormat="1" x14ac:dyDescent="0.3"/>
    <row r="25316" customFormat="1" x14ac:dyDescent="0.3"/>
    <row r="25317" customFormat="1" x14ac:dyDescent="0.3"/>
    <row r="25318" customFormat="1" x14ac:dyDescent="0.3"/>
    <row r="25319" customFormat="1" x14ac:dyDescent="0.3"/>
    <row r="25320" customFormat="1" x14ac:dyDescent="0.3"/>
    <row r="25321" customFormat="1" x14ac:dyDescent="0.3"/>
    <row r="25322" customFormat="1" x14ac:dyDescent="0.3"/>
    <row r="25323" customFormat="1" x14ac:dyDescent="0.3"/>
    <row r="25324" customFormat="1" x14ac:dyDescent="0.3"/>
    <row r="25325" customFormat="1" x14ac:dyDescent="0.3"/>
    <row r="25326" customFormat="1" x14ac:dyDescent="0.3"/>
    <row r="25327" customFormat="1" x14ac:dyDescent="0.3"/>
    <row r="25328" customFormat="1" x14ac:dyDescent="0.3"/>
    <row r="25329" customFormat="1" x14ac:dyDescent="0.3"/>
    <row r="25330" customFormat="1" x14ac:dyDescent="0.3"/>
    <row r="25331" customFormat="1" x14ac:dyDescent="0.3"/>
    <row r="25332" customFormat="1" x14ac:dyDescent="0.3"/>
    <row r="25333" customFormat="1" x14ac:dyDescent="0.3"/>
    <row r="25334" customFormat="1" x14ac:dyDescent="0.3"/>
    <row r="25335" customFormat="1" x14ac:dyDescent="0.3"/>
    <row r="25336" customFormat="1" x14ac:dyDescent="0.3"/>
    <row r="25337" customFormat="1" x14ac:dyDescent="0.3"/>
    <row r="25338" customFormat="1" x14ac:dyDescent="0.3"/>
    <row r="25339" customFormat="1" x14ac:dyDescent="0.3"/>
    <row r="25340" customFormat="1" x14ac:dyDescent="0.3"/>
    <row r="25341" customFormat="1" x14ac:dyDescent="0.3"/>
    <row r="25342" customFormat="1" x14ac:dyDescent="0.3"/>
    <row r="25343" customFormat="1" x14ac:dyDescent="0.3"/>
    <row r="25344" customFormat="1" x14ac:dyDescent="0.3"/>
    <row r="25345" customFormat="1" x14ac:dyDescent="0.3"/>
    <row r="25346" customFormat="1" x14ac:dyDescent="0.3"/>
    <row r="25347" customFormat="1" x14ac:dyDescent="0.3"/>
    <row r="25348" customFormat="1" x14ac:dyDescent="0.3"/>
    <row r="25349" customFormat="1" x14ac:dyDescent="0.3"/>
    <row r="25350" customFormat="1" x14ac:dyDescent="0.3"/>
    <row r="25351" customFormat="1" x14ac:dyDescent="0.3"/>
    <row r="25352" customFormat="1" x14ac:dyDescent="0.3"/>
    <row r="25353" customFormat="1" x14ac:dyDescent="0.3"/>
    <row r="25354" customFormat="1" x14ac:dyDescent="0.3"/>
    <row r="25355" customFormat="1" x14ac:dyDescent="0.3"/>
    <row r="25356" customFormat="1" x14ac:dyDescent="0.3"/>
    <row r="25357" customFormat="1" x14ac:dyDescent="0.3"/>
    <row r="25358" customFormat="1" x14ac:dyDescent="0.3"/>
    <row r="25359" customFormat="1" x14ac:dyDescent="0.3"/>
    <row r="25360" customFormat="1" x14ac:dyDescent="0.3"/>
    <row r="25361" customFormat="1" x14ac:dyDescent="0.3"/>
    <row r="25362" customFormat="1" x14ac:dyDescent="0.3"/>
    <row r="25363" customFormat="1" x14ac:dyDescent="0.3"/>
    <row r="25364" customFormat="1" x14ac:dyDescent="0.3"/>
    <row r="25365" customFormat="1" x14ac:dyDescent="0.3"/>
    <row r="25366" customFormat="1" x14ac:dyDescent="0.3"/>
    <row r="25367" customFormat="1" x14ac:dyDescent="0.3"/>
    <row r="25368" customFormat="1" x14ac:dyDescent="0.3"/>
    <row r="25369" customFormat="1" x14ac:dyDescent="0.3"/>
    <row r="25370" customFormat="1" x14ac:dyDescent="0.3"/>
    <row r="25371" customFormat="1" x14ac:dyDescent="0.3"/>
    <row r="25372" customFormat="1" x14ac:dyDescent="0.3"/>
    <row r="25373" customFormat="1" x14ac:dyDescent="0.3"/>
    <row r="25374" customFormat="1" x14ac:dyDescent="0.3"/>
    <row r="25375" customFormat="1" x14ac:dyDescent="0.3"/>
    <row r="25376" customFormat="1" x14ac:dyDescent="0.3"/>
    <row r="25377" customFormat="1" x14ac:dyDescent="0.3"/>
    <row r="25378" customFormat="1" x14ac:dyDescent="0.3"/>
    <row r="25379" customFormat="1" x14ac:dyDescent="0.3"/>
    <row r="25380" customFormat="1" x14ac:dyDescent="0.3"/>
    <row r="25381" customFormat="1" x14ac:dyDescent="0.3"/>
    <row r="25382" customFormat="1" x14ac:dyDescent="0.3"/>
    <row r="25383" customFormat="1" x14ac:dyDescent="0.3"/>
    <row r="25384" customFormat="1" x14ac:dyDescent="0.3"/>
    <row r="25385" customFormat="1" x14ac:dyDescent="0.3"/>
    <row r="25386" customFormat="1" x14ac:dyDescent="0.3"/>
    <row r="25387" customFormat="1" x14ac:dyDescent="0.3"/>
    <row r="25388" customFormat="1" x14ac:dyDescent="0.3"/>
    <row r="25389" customFormat="1" x14ac:dyDescent="0.3"/>
    <row r="25390" customFormat="1" x14ac:dyDescent="0.3"/>
    <row r="25391" customFormat="1" x14ac:dyDescent="0.3"/>
    <row r="25392" customFormat="1" x14ac:dyDescent="0.3"/>
    <row r="25393" customFormat="1" x14ac:dyDescent="0.3"/>
    <row r="25394" customFormat="1" x14ac:dyDescent="0.3"/>
    <row r="25395" customFormat="1" x14ac:dyDescent="0.3"/>
    <row r="25396" customFormat="1" x14ac:dyDescent="0.3"/>
    <row r="25397" customFormat="1" x14ac:dyDescent="0.3"/>
    <row r="25398" customFormat="1" x14ac:dyDescent="0.3"/>
    <row r="25399" customFormat="1" x14ac:dyDescent="0.3"/>
    <row r="25400" customFormat="1" x14ac:dyDescent="0.3"/>
    <row r="25401" customFormat="1" x14ac:dyDescent="0.3"/>
    <row r="25402" customFormat="1" x14ac:dyDescent="0.3"/>
    <row r="25403" customFormat="1" x14ac:dyDescent="0.3"/>
    <row r="25404" customFormat="1" x14ac:dyDescent="0.3"/>
    <row r="25405" customFormat="1" x14ac:dyDescent="0.3"/>
    <row r="25406" customFormat="1" x14ac:dyDescent="0.3"/>
    <row r="25407" customFormat="1" x14ac:dyDescent="0.3"/>
    <row r="25408" customFormat="1" x14ac:dyDescent="0.3"/>
    <row r="25409" customFormat="1" x14ac:dyDescent="0.3"/>
    <row r="25410" customFormat="1" x14ac:dyDescent="0.3"/>
    <row r="25411" customFormat="1" x14ac:dyDescent="0.3"/>
    <row r="25412" customFormat="1" x14ac:dyDescent="0.3"/>
    <row r="25413" customFormat="1" x14ac:dyDescent="0.3"/>
    <row r="25414" customFormat="1" x14ac:dyDescent="0.3"/>
    <row r="25415" customFormat="1" x14ac:dyDescent="0.3"/>
    <row r="25416" customFormat="1" x14ac:dyDescent="0.3"/>
    <row r="25417" customFormat="1" x14ac:dyDescent="0.3"/>
    <row r="25418" customFormat="1" x14ac:dyDescent="0.3"/>
    <row r="25419" customFormat="1" x14ac:dyDescent="0.3"/>
    <row r="25420" customFormat="1" x14ac:dyDescent="0.3"/>
    <row r="25421" customFormat="1" x14ac:dyDescent="0.3"/>
    <row r="25422" customFormat="1" x14ac:dyDescent="0.3"/>
    <row r="25423" customFormat="1" x14ac:dyDescent="0.3"/>
    <row r="25424" customFormat="1" x14ac:dyDescent="0.3"/>
    <row r="25425" customFormat="1" x14ac:dyDescent="0.3"/>
    <row r="25426" customFormat="1" x14ac:dyDescent="0.3"/>
    <row r="25427" customFormat="1" x14ac:dyDescent="0.3"/>
    <row r="25428" customFormat="1" x14ac:dyDescent="0.3"/>
    <row r="25429" customFormat="1" x14ac:dyDescent="0.3"/>
    <row r="25430" customFormat="1" x14ac:dyDescent="0.3"/>
    <row r="25431" customFormat="1" x14ac:dyDescent="0.3"/>
    <row r="25432" customFormat="1" x14ac:dyDescent="0.3"/>
    <row r="25433" customFormat="1" x14ac:dyDescent="0.3"/>
    <row r="25434" customFormat="1" x14ac:dyDescent="0.3"/>
    <row r="25435" customFormat="1" x14ac:dyDescent="0.3"/>
    <row r="25436" customFormat="1" x14ac:dyDescent="0.3"/>
    <row r="25437" customFormat="1" x14ac:dyDescent="0.3"/>
    <row r="25438" customFormat="1" x14ac:dyDescent="0.3"/>
    <row r="25439" customFormat="1" x14ac:dyDescent="0.3"/>
    <row r="25440" customFormat="1" x14ac:dyDescent="0.3"/>
    <row r="25441" customFormat="1" x14ac:dyDescent="0.3"/>
    <row r="25442" customFormat="1" x14ac:dyDescent="0.3"/>
    <row r="25443" customFormat="1" x14ac:dyDescent="0.3"/>
    <row r="25444" customFormat="1" x14ac:dyDescent="0.3"/>
    <row r="25445" customFormat="1" x14ac:dyDescent="0.3"/>
    <row r="25446" customFormat="1" x14ac:dyDescent="0.3"/>
    <row r="25447" customFormat="1" x14ac:dyDescent="0.3"/>
    <row r="25448" customFormat="1" x14ac:dyDescent="0.3"/>
    <row r="25449" customFormat="1" x14ac:dyDescent="0.3"/>
    <row r="25450" customFormat="1" x14ac:dyDescent="0.3"/>
    <row r="25451" customFormat="1" x14ac:dyDescent="0.3"/>
    <row r="25452" customFormat="1" x14ac:dyDescent="0.3"/>
    <row r="25453" customFormat="1" x14ac:dyDescent="0.3"/>
    <row r="25454" customFormat="1" x14ac:dyDescent="0.3"/>
    <row r="25455" customFormat="1" x14ac:dyDescent="0.3"/>
    <row r="25456" customFormat="1" x14ac:dyDescent="0.3"/>
    <row r="25457" customFormat="1" x14ac:dyDescent="0.3"/>
    <row r="25458" customFormat="1" x14ac:dyDescent="0.3"/>
    <row r="25459" customFormat="1" x14ac:dyDescent="0.3"/>
    <row r="25460" customFormat="1" x14ac:dyDescent="0.3"/>
    <row r="25461" customFormat="1" x14ac:dyDescent="0.3"/>
    <row r="25462" customFormat="1" x14ac:dyDescent="0.3"/>
    <row r="25463" customFormat="1" x14ac:dyDescent="0.3"/>
    <row r="25464" customFormat="1" x14ac:dyDescent="0.3"/>
    <row r="25465" customFormat="1" x14ac:dyDescent="0.3"/>
    <row r="25466" customFormat="1" x14ac:dyDescent="0.3"/>
    <row r="25467" customFormat="1" x14ac:dyDescent="0.3"/>
    <row r="25468" customFormat="1" x14ac:dyDescent="0.3"/>
    <row r="25469" customFormat="1" x14ac:dyDescent="0.3"/>
    <row r="25470" customFormat="1" x14ac:dyDescent="0.3"/>
    <row r="25471" customFormat="1" x14ac:dyDescent="0.3"/>
    <row r="25472" customFormat="1" x14ac:dyDescent="0.3"/>
    <row r="25473" customFormat="1" x14ac:dyDescent="0.3"/>
    <row r="25474" customFormat="1" x14ac:dyDescent="0.3"/>
    <row r="25475" customFormat="1" x14ac:dyDescent="0.3"/>
    <row r="25476" customFormat="1" x14ac:dyDescent="0.3"/>
    <row r="25477" customFormat="1" x14ac:dyDescent="0.3"/>
    <row r="25478" customFormat="1" x14ac:dyDescent="0.3"/>
    <row r="25479" customFormat="1" x14ac:dyDescent="0.3"/>
    <row r="25480" customFormat="1" x14ac:dyDescent="0.3"/>
    <row r="25481" customFormat="1" x14ac:dyDescent="0.3"/>
    <row r="25482" customFormat="1" x14ac:dyDescent="0.3"/>
    <row r="25483" customFormat="1" x14ac:dyDescent="0.3"/>
    <row r="25484" customFormat="1" x14ac:dyDescent="0.3"/>
    <row r="25485" customFormat="1" x14ac:dyDescent="0.3"/>
    <row r="25486" customFormat="1" x14ac:dyDescent="0.3"/>
    <row r="25487" customFormat="1" x14ac:dyDescent="0.3"/>
    <row r="25488" customFormat="1" x14ac:dyDescent="0.3"/>
    <row r="25489" customFormat="1" x14ac:dyDescent="0.3"/>
    <row r="25490" customFormat="1" x14ac:dyDescent="0.3"/>
    <row r="25491" customFormat="1" x14ac:dyDescent="0.3"/>
    <row r="25492" customFormat="1" x14ac:dyDescent="0.3"/>
    <row r="25493" customFormat="1" x14ac:dyDescent="0.3"/>
    <row r="25494" customFormat="1" x14ac:dyDescent="0.3"/>
    <row r="25495" customFormat="1" x14ac:dyDescent="0.3"/>
    <row r="25496" customFormat="1" x14ac:dyDescent="0.3"/>
    <row r="25497" customFormat="1" x14ac:dyDescent="0.3"/>
    <row r="25498" customFormat="1" x14ac:dyDescent="0.3"/>
    <row r="25499" customFormat="1" x14ac:dyDescent="0.3"/>
    <row r="25500" customFormat="1" x14ac:dyDescent="0.3"/>
    <row r="25501" customFormat="1" x14ac:dyDescent="0.3"/>
    <row r="25502" customFormat="1" x14ac:dyDescent="0.3"/>
    <row r="25503" customFormat="1" x14ac:dyDescent="0.3"/>
    <row r="25504" customFormat="1" x14ac:dyDescent="0.3"/>
    <row r="25505" customFormat="1" x14ac:dyDescent="0.3"/>
    <row r="25506" customFormat="1" x14ac:dyDescent="0.3"/>
    <row r="25507" customFormat="1" x14ac:dyDescent="0.3"/>
    <row r="25508" customFormat="1" x14ac:dyDescent="0.3"/>
    <row r="25509" customFormat="1" x14ac:dyDescent="0.3"/>
    <row r="25510" customFormat="1" x14ac:dyDescent="0.3"/>
    <row r="25511" customFormat="1" x14ac:dyDescent="0.3"/>
    <row r="25512" customFormat="1" x14ac:dyDescent="0.3"/>
    <row r="25513" customFormat="1" x14ac:dyDescent="0.3"/>
    <row r="25514" customFormat="1" x14ac:dyDescent="0.3"/>
    <row r="25515" customFormat="1" x14ac:dyDescent="0.3"/>
    <row r="25516" customFormat="1" x14ac:dyDescent="0.3"/>
    <row r="25517" customFormat="1" x14ac:dyDescent="0.3"/>
    <row r="25518" customFormat="1" x14ac:dyDescent="0.3"/>
    <row r="25519" customFormat="1" x14ac:dyDescent="0.3"/>
    <row r="25520" customFormat="1" x14ac:dyDescent="0.3"/>
    <row r="25521" customFormat="1" x14ac:dyDescent="0.3"/>
    <row r="25522" customFormat="1" x14ac:dyDescent="0.3"/>
    <row r="25523" customFormat="1" x14ac:dyDescent="0.3"/>
    <row r="25524" customFormat="1" x14ac:dyDescent="0.3"/>
    <row r="25525" customFormat="1" x14ac:dyDescent="0.3"/>
    <row r="25526" customFormat="1" x14ac:dyDescent="0.3"/>
    <row r="25527" customFormat="1" x14ac:dyDescent="0.3"/>
    <row r="25528" customFormat="1" x14ac:dyDescent="0.3"/>
    <row r="25529" customFormat="1" x14ac:dyDescent="0.3"/>
    <row r="25530" customFormat="1" x14ac:dyDescent="0.3"/>
    <row r="25531" customFormat="1" x14ac:dyDescent="0.3"/>
    <row r="25532" customFormat="1" x14ac:dyDescent="0.3"/>
    <row r="25533" customFormat="1" x14ac:dyDescent="0.3"/>
    <row r="25534" customFormat="1" x14ac:dyDescent="0.3"/>
    <row r="25535" customFormat="1" x14ac:dyDescent="0.3"/>
    <row r="25536" customFormat="1" x14ac:dyDescent="0.3"/>
    <row r="25537" customFormat="1" x14ac:dyDescent="0.3"/>
    <row r="25538" customFormat="1" x14ac:dyDescent="0.3"/>
    <row r="25539" customFormat="1" x14ac:dyDescent="0.3"/>
    <row r="25540" customFormat="1" x14ac:dyDescent="0.3"/>
    <row r="25541" customFormat="1" x14ac:dyDescent="0.3"/>
    <row r="25542" customFormat="1" x14ac:dyDescent="0.3"/>
    <row r="25543" customFormat="1" x14ac:dyDescent="0.3"/>
    <row r="25544" customFormat="1" x14ac:dyDescent="0.3"/>
    <row r="25545" customFormat="1" x14ac:dyDescent="0.3"/>
    <row r="25546" customFormat="1" x14ac:dyDescent="0.3"/>
    <row r="25547" customFormat="1" x14ac:dyDescent="0.3"/>
    <row r="25548" customFormat="1" x14ac:dyDescent="0.3"/>
    <row r="25549" customFormat="1" x14ac:dyDescent="0.3"/>
    <row r="25550" customFormat="1" x14ac:dyDescent="0.3"/>
    <row r="25551" customFormat="1" x14ac:dyDescent="0.3"/>
    <row r="25552" customFormat="1" x14ac:dyDescent="0.3"/>
    <row r="25553" customFormat="1" x14ac:dyDescent="0.3"/>
    <row r="25554" customFormat="1" x14ac:dyDescent="0.3"/>
    <row r="25555" customFormat="1" x14ac:dyDescent="0.3"/>
    <row r="25556" customFormat="1" x14ac:dyDescent="0.3"/>
    <row r="25557" customFormat="1" x14ac:dyDescent="0.3"/>
    <row r="25558" customFormat="1" x14ac:dyDescent="0.3"/>
    <row r="25559" customFormat="1" x14ac:dyDescent="0.3"/>
    <row r="25560" customFormat="1" x14ac:dyDescent="0.3"/>
    <row r="25561" customFormat="1" x14ac:dyDescent="0.3"/>
    <row r="25562" customFormat="1" x14ac:dyDescent="0.3"/>
    <row r="25563" customFormat="1" x14ac:dyDescent="0.3"/>
    <row r="25564" customFormat="1" x14ac:dyDescent="0.3"/>
    <row r="25565" customFormat="1" x14ac:dyDescent="0.3"/>
    <row r="25566" customFormat="1" x14ac:dyDescent="0.3"/>
    <row r="25567" customFormat="1" x14ac:dyDescent="0.3"/>
    <row r="25568" customFormat="1" x14ac:dyDescent="0.3"/>
    <row r="25569" customFormat="1" x14ac:dyDescent="0.3"/>
    <row r="25570" customFormat="1" x14ac:dyDescent="0.3"/>
    <row r="25571" customFormat="1" x14ac:dyDescent="0.3"/>
    <row r="25572" customFormat="1" x14ac:dyDescent="0.3"/>
    <row r="25573" customFormat="1" x14ac:dyDescent="0.3"/>
    <row r="25574" customFormat="1" x14ac:dyDescent="0.3"/>
    <row r="25575" customFormat="1" x14ac:dyDescent="0.3"/>
    <row r="25576" customFormat="1" x14ac:dyDescent="0.3"/>
    <row r="25577" customFormat="1" x14ac:dyDescent="0.3"/>
    <row r="25578" customFormat="1" x14ac:dyDescent="0.3"/>
    <row r="25579" customFormat="1" x14ac:dyDescent="0.3"/>
    <row r="25580" customFormat="1" x14ac:dyDescent="0.3"/>
    <row r="25581" customFormat="1" x14ac:dyDescent="0.3"/>
    <row r="25582" customFormat="1" x14ac:dyDescent="0.3"/>
    <row r="25583" customFormat="1" x14ac:dyDescent="0.3"/>
    <row r="25584" customFormat="1" x14ac:dyDescent="0.3"/>
    <row r="25585" customFormat="1" x14ac:dyDescent="0.3"/>
    <row r="25586" customFormat="1" x14ac:dyDescent="0.3"/>
    <row r="25587" customFormat="1" x14ac:dyDescent="0.3"/>
    <row r="25588" customFormat="1" x14ac:dyDescent="0.3"/>
    <row r="25589" customFormat="1" x14ac:dyDescent="0.3"/>
    <row r="25590" customFormat="1" x14ac:dyDescent="0.3"/>
    <row r="25591" customFormat="1" x14ac:dyDescent="0.3"/>
    <row r="25592" customFormat="1" x14ac:dyDescent="0.3"/>
    <row r="25593" customFormat="1" x14ac:dyDescent="0.3"/>
    <row r="25594" customFormat="1" x14ac:dyDescent="0.3"/>
    <row r="25595" customFormat="1" x14ac:dyDescent="0.3"/>
    <row r="25596" customFormat="1" x14ac:dyDescent="0.3"/>
    <row r="25597" customFormat="1" x14ac:dyDescent="0.3"/>
    <row r="25598" customFormat="1" x14ac:dyDescent="0.3"/>
    <row r="25599" customFormat="1" x14ac:dyDescent="0.3"/>
    <row r="25600" customFormat="1" x14ac:dyDescent="0.3"/>
    <row r="25601" customFormat="1" x14ac:dyDescent="0.3"/>
    <row r="25602" customFormat="1" x14ac:dyDescent="0.3"/>
    <row r="25603" customFormat="1" x14ac:dyDescent="0.3"/>
    <row r="25604" customFormat="1" x14ac:dyDescent="0.3"/>
    <row r="25605" customFormat="1" x14ac:dyDescent="0.3"/>
    <row r="25606" customFormat="1" x14ac:dyDescent="0.3"/>
    <row r="25607" customFormat="1" x14ac:dyDescent="0.3"/>
    <row r="25608" customFormat="1" x14ac:dyDescent="0.3"/>
    <row r="25609" customFormat="1" x14ac:dyDescent="0.3"/>
    <row r="25610" customFormat="1" x14ac:dyDescent="0.3"/>
    <row r="25611" customFormat="1" x14ac:dyDescent="0.3"/>
    <row r="25612" customFormat="1" x14ac:dyDescent="0.3"/>
    <row r="25613" customFormat="1" x14ac:dyDescent="0.3"/>
    <row r="25614" customFormat="1" x14ac:dyDescent="0.3"/>
    <row r="25615" customFormat="1" x14ac:dyDescent="0.3"/>
    <row r="25616" customFormat="1" x14ac:dyDescent="0.3"/>
    <row r="25617" customFormat="1" x14ac:dyDescent="0.3"/>
    <row r="25618" customFormat="1" x14ac:dyDescent="0.3"/>
    <row r="25619" customFormat="1" x14ac:dyDescent="0.3"/>
    <row r="25620" customFormat="1" x14ac:dyDescent="0.3"/>
    <row r="25621" customFormat="1" x14ac:dyDescent="0.3"/>
    <row r="25622" customFormat="1" x14ac:dyDescent="0.3"/>
    <row r="25623" customFormat="1" x14ac:dyDescent="0.3"/>
    <row r="25624" customFormat="1" x14ac:dyDescent="0.3"/>
    <row r="25625" customFormat="1" x14ac:dyDescent="0.3"/>
    <row r="25626" customFormat="1" x14ac:dyDescent="0.3"/>
    <row r="25627" customFormat="1" x14ac:dyDescent="0.3"/>
    <row r="25628" customFormat="1" x14ac:dyDescent="0.3"/>
    <row r="25629" customFormat="1" x14ac:dyDescent="0.3"/>
    <row r="25630" customFormat="1" x14ac:dyDescent="0.3"/>
    <row r="25631" customFormat="1" x14ac:dyDescent="0.3"/>
    <row r="25632" customFormat="1" x14ac:dyDescent="0.3"/>
    <row r="25633" customFormat="1" x14ac:dyDescent="0.3"/>
    <row r="25634" customFormat="1" x14ac:dyDescent="0.3"/>
    <row r="25635" customFormat="1" x14ac:dyDescent="0.3"/>
    <row r="25636" customFormat="1" x14ac:dyDescent="0.3"/>
    <row r="25637" customFormat="1" x14ac:dyDescent="0.3"/>
    <row r="25638" customFormat="1" x14ac:dyDescent="0.3"/>
    <row r="25639" customFormat="1" x14ac:dyDescent="0.3"/>
    <row r="25640" customFormat="1" x14ac:dyDescent="0.3"/>
    <row r="25641" customFormat="1" x14ac:dyDescent="0.3"/>
    <row r="25642" customFormat="1" x14ac:dyDescent="0.3"/>
    <row r="25643" customFormat="1" x14ac:dyDescent="0.3"/>
    <row r="25644" customFormat="1" x14ac:dyDescent="0.3"/>
    <row r="25645" customFormat="1" x14ac:dyDescent="0.3"/>
    <row r="25646" customFormat="1" x14ac:dyDescent="0.3"/>
    <row r="25647" customFormat="1" x14ac:dyDescent="0.3"/>
    <row r="25648" customFormat="1" x14ac:dyDescent="0.3"/>
    <row r="25649" customFormat="1" x14ac:dyDescent="0.3"/>
    <row r="25650" customFormat="1" x14ac:dyDescent="0.3"/>
    <row r="25651" customFormat="1" x14ac:dyDescent="0.3"/>
    <row r="25652" customFormat="1" x14ac:dyDescent="0.3"/>
    <row r="25653" customFormat="1" x14ac:dyDescent="0.3"/>
    <row r="25654" customFormat="1" x14ac:dyDescent="0.3"/>
    <row r="25655" customFormat="1" x14ac:dyDescent="0.3"/>
    <row r="25656" customFormat="1" x14ac:dyDescent="0.3"/>
    <row r="25657" customFormat="1" x14ac:dyDescent="0.3"/>
    <row r="25658" customFormat="1" x14ac:dyDescent="0.3"/>
    <row r="25659" customFormat="1" x14ac:dyDescent="0.3"/>
    <row r="25660" customFormat="1" x14ac:dyDescent="0.3"/>
    <row r="25661" customFormat="1" x14ac:dyDescent="0.3"/>
    <row r="25662" customFormat="1" x14ac:dyDescent="0.3"/>
    <row r="25663" customFormat="1" x14ac:dyDescent="0.3"/>
    <row r="25664" customFormat="1" x14ac:dyDescent="0.3"/>
    <row r="25665" customFormat="1" x14ac:dyDescent="0.3"/>
    <row r="25666" customFormat="1" x14ac:dyDescent="0.3"/>
    <row r="25667" customFormat="1" x14ac:dyDescent="0.3"/>
    <row r="25668" customFormat="1" x14ac:dyDescent="0.3"/>
    <row r="25669" customFormat="1" x14ac:dyDescent="0.3"/>
    <row r="25670" customFormat="1" x14ac:dyDescent="0.3"/>
    <row r="25671" customFormat="1" x14ac:dyDescent="0.3"/>
    <row r="25672" customFormat="1" x14ac:dyDescent="0.3"/>
    <row r="25673" customFormat="1" x14ac:dyDescent="0.3"/>
    <row r="25674" customFormat="1" x14ac:dyDescent="0.3"/>
    <row r="25675" customFormat="1" x14ac:dyDescent="0.3"/>
    <row r="25676" customFormat="1" x14ac:dyDescent="0.3"/>
    <row r="25677" customFormat="1" x14ac:dyDescent="0.3"/>
    <row r="25678" customFormat="1" x14ac:dyDescent="0.3"/>
    <row r="25679" customFormat="1" x14ac:dyDescent="0.3"/>
    <row r="25680" customFormat="1" x14ac:dyDescent="0.3"/>
    <row r="25681" customFormat="1" x14ac:dyDescent="0.3"/>
    <row r="25682" customFormat="1" x14ac:dyDescent="0.3"/>
    <row r="25683" customFormat="1" x14ac:dyDescent="0.3"/>
    <row r="25684" customFormat="1" x14ac:dyDescent="0.3"/>
    <row r="25685" customFormat="1" x14ac:dyDescent="0.3"/>
    <row r="25686" customFormat="1" x14ac:dyDescent="0.3"/>
    <row r="25687" customFormat="1" x14ac:dyDescent="0.3"/>
    <row r="25688" customFormat="1" x14ac:dyDescent="0.3"/>
    <row r="25689" customFormat="1" x14ac:dyDescent="0.3"/>
    <row r="25690" customFormat="1" x14ac:dyDescent="0.3"/>
    <row r="25691" customFormat="1" x14ac:dyDescent="0.3"/>
    <row r="25692" customFormat="1" x14ac:dyDescent="0.3"/>
    <row r="25693" customFormat="1" x14ac:dyDescent="0.3"/>
    <row r="25694" customFormat="1" x14ac:dyDescent="0.3"/>
    <row r="25695" customFormat="1" x14ac:dyDescent="0.3"/>
    <row r="25696" customFormat="1" x14ac:dyDescent="0.3"/>
    <row r="25697" customFormat="1" x14ac:dyDescent="0.3"/>
    <row r="25698" customFormat="1" x14ac:dyDescent="0.3"/>
    <row r="25699" customFormat="1" x14ac:dyDescent="0.3"/>
    <row r="25700" customFormat="1" x14ac:dyDescent="0.3"/>
    <row r="25701" customFormat="1" x14ac:dyDescent="0.3"/>
    <row r="25702" customFormat="1" x14ac:dyDescent="0.3"/>
    <row r="25703" customFormat="1" x14ac:dyDescent="0.3"/>
    <row r="25704" customFormat="1" x14ac:dyDescent="0.3"/>
    <row r="25705" customFormat="1" x14ac:dyDescent="0.3"/>
    <row r="25706" customFormat="1" x14ac:dyDescent="0.3"/>
    <row r="25707" customFormat="1" x14ac:dyDescent="0.3"/>
    <row r="25708" customFormat="1" x14ac:dyDescent="0.3"/>
    <row r="25709" customFormat="1" x14ac:dyDescent="0.3"/>
    <row r="25710" customFormat="1" x14ac:dyDescent="0.3"/>
    <row r="25711" customFormat="1" x14ac:dyDescent="0.3"/>
    <row r="25712" customFormat="1" x14ac:dyDescent="0.3"/>
    <row r="25713" customFormat="1" x14ac:dyDescent="0.3"/>
    <row r="25714" customFormat="1" x14ac:dyDescent="0.3"/>
    <row r="25715" customFormat="1" x14ac:dyDescent="0.3"/>
    <row r="25716" customFormat="1" x14ac:dyDescent="0.3"/>
    <row r="25717" customFormat="1" x14ac:dyDescent="0.3"/>
    <row r="25718" customFormat="1" x14ac:dyDescent="0.3"/>
    <row r="25719" customFormat="1" x14ac:dyDescent="0.3"/>
    <row r="25720" customFormat="1" x14ac:dyDescent="0.3"/>
    <row r="25721" customFormat="1" x14ac:dyDescent="0.3"/>
    <row r="25722" customFormat="1" x14ac:dyDescent="0.3"/>
    <row r="25723" customFormat="1" x14ac:dyDescent="0.3"/>
    <row r="25724" customFormat="1" x14ac:dyDescent="0.3"/>
    <row r="25725" customFormat="1" x14ac:dyDescent="0.3"/>
    <row r="25726" customFormat="1" x14ac:dyDescent="0.3"/>
    <row r="25727" customFormat="1" x14ac:dyDescent="0.3"/>
    <row r="25728" customFormat="1" x14ac:dyDescent="0.3"/>
    <row r="25729" customFormat="1" x14ac:dyDescent="0.3"/>
    <row r="25730" customFormat="1" x14ac:dyDescent="0.3"/>
    <row r="25731" customFormat="1" x14ac:dyDescent="0.3"/>
    <row r="25732" customFormat="1" x14ac:dyDescent="0.3"/>
    <row r="25733" customFormat="1" x14ac:dyDescent="0.3"/>
    <row r="25734" customFormat="1" x14ac:dyDescent="0.3"/>
    <row r="25735" customFormat="1" x14ac:dyDescent="0.3"/>
    <row r="25736" customFormat="1" x14ac:dyDescent="0.3"/>
    <row r="25737" customFormat="1" x14ac:dyDescent="0.3"/>
    <row r="25738" customFormat="1" x14ac:dyDescent="0.3"/>
    <row r="25739" customFormat="1" x14ac:dyDescent="0.3"/>
    <row r="25740" customFormat="1" x14ac:dyDescent="0.3"/>
    <row r="25741" customFormat="1" x14ac:dyDescent="0.3"/>
    <row r="25742" customFormat="1" x14ac:dyDescent="0.3"/>
    <row r="25743" customFormat="1" x14ac:dyDescent="0.3"/>
    <row r="25744" customFormat="1" x14ac:dyDescent="0.3"/>
    <row r="25745" customFormat="1" x14ac:dyDescent="0.3"/>
    <row r="25746" customFormat="1" x14ac:dyDescent="0.3"/>
    <row r="25747" customFormat="1" x14ac:dyDescent="0.3"/>
    <row r="25748" customFormat="1" x14ac:dyDescent="0.3"/>
    <row r="25749" customFormat="1" x14ac:dyDescent="0.3"/>
    <row r="25750" customFormat="1" x14ac:dyDescent="0.3"/>
    <row r="25751" customFormat="1" x14ac:dyDescent="0.3"/>
    <row r="25752" customFormat="1" x14ac:dyDescent="0.3"/>
    <row r="25753" customFormat="1" x14ac:dyDescent="0.3"/>
    <row r="25754" customFormat="1" x14ac:dyDescent="0.3"/>
    <row r="25755" customFormat="1" x14ac:dyDescent="0.3"/>
    <row r="25756" customFormat="1" x14ac:dyDescent="0.3"/>
    <row r="25757" customFormat="1" x14ac:dyDescent="0.3"/>
    <row r="25758" customFormat="1" x14ac:dyDescent="0.3"/>
    <row r="25759" customFormat="1" x14ac:dyDescent="0.3"/>
    <row r="25760" customFormat="1" x14ac:dyDescent="0.3"/>
    <row r="25761" customFormat="1" x14ac:dyDescent="0.3"/>
    <row r="25762" customFormat="1" x14ac:dyDescent="0.3"/>
    <row r="25763" customFormat="1" x14ac:dyDescent="0.3"/>
    <row r="25764" customFormat="1" x14ac:dyDescent="0.3"/>
    <row r="25765" customFormat="1" x14ac:dyDescent="0.3"/>
    <row r="25766" customFormat="1" x14ac:dyDescent="0.3"/>
    <row r="25767" customFormat="1" x14ac:dyDescent="0.3"/>
    <row r="25768" customFormat="1" x14ac:dyDescent="0.3"/>
    <row r="25769" customFormat="1" x14ac:dyDescent="0.3"/>
    <row r="25770" customFormat="1" x14ac:dyDescent="0.3"/>
    <row r="25771" customFormat="1" x14ac:dyDescent="0.3"/>
    <row r="25772" customFormat="1" x14ac:dyDescent="0.3"/>
    <row r="25773" customFormat="1" x14ac:dyDescent="0.3"/>
    <row r="25774" customFormat="1" x14ac:dyDescent="0.3"/>
    <row r="25775" customFormat="1" x14ac:dyDescent="0.3"/>
    <row r="25776" customFormat="1" x14ac:dyDescent="0.3"/>
    <row r="25777" customFormat="1" x14ac:dyDescent="0.3"/>
    <row r="25778" customFormat="1" x14ac:dyDescent="0.3"/>
    <row r="25779" customFormat="1" x14ac:dyDescent="0.3"/>
    <row r="25780" customFormat="1" x14ac:dyDescent="0.3"/>
    <row r="25781" customFormat="1" x14ac:dyDescent="0.3"/>
    <row r="25782" customFormat="1" x14ac:dyDescent="0.3"/>
    <row r="25783" customFormat="1" x14ac:dyDescent="0.3"/>
    <row r="25784" customFormat="1" x14ac:dyDescent="0.3"/>
    <row r="25785" customFormat="1" x14ac:dyDescent="0.3"/>
    <row r="25786" customFormat="1" x14ac:dyDescent="0.3"/>
    <row r="25787" customFormat="1" x14ac:dyDescent="0.3"/>
    <row r="25788" customFormat="1" x14ac:dyDescent="0.3"/>
    <row r="25789" customFormat="1" x14ac:dyDescent="0.3"/>
    <row r="25790" customFormat="1" x14ac:dyDescent="0.3"/>
    <row r="25791" customFormat="1" x14ac:dyDescent="0.3"/>
    <row r="25792" customFormat="1" x14ac:dyDescent="0.3"/>
    <row r="25793" customFormat="1" x14ac:dyDescent="0.3"/>
    <row r="25794" customFormat="1" x14ac:dyDescent="0.3"/>
    <row r="25795" customFormat="1" x14ac:dyDescent="0.3"/>
    <row r="25796" customFormat="1" x14ac:dyDescent="0.3"/>
    <row r="25797" customFormat="1" x14ac:dyDescent="0.3"/>
    <row r="25798" customFormat="1" x14ac:dyDescent="0.3"/>
    <row r="25799" customFormat="1" x14ac:dyDescent="0.3"/>
    <row r="25800" customFormat="1" x14ac:dyDescent="0.3"/>
    <row r="25801" customFormat="1" x14ac:dyDescent="0.3"/>
    <row r="25802" customFormat="1" x14ac:dyDescent="0.3"/>
    <row r="25803" customFormat="1" x14ac:dyDescent="0.3"/>
    <row r="25804" customFormat="1" x14ac:dyDescent="0.3"/>
    <row r="25805" customFormat="1" x14ac:dyDescent="0.3"/>
    <row r="25806" customFormat="1" x14ac:dyDescent="0.3"/>
    <row r="25807" customFormat="1" x14ac:dyDescent="0.3"/>
    <row r="25808" customFormat="1" x14ac:dyDescent="0.3"/>
    <row r="25809" customFormat="1" x14ac:dyDescent="0.3"/>
    <row r="25810" customFormat="1" x14ac:dyDescent="0.3"/>
    <row r="25811" customFormat="1" x14ac:dyDescent="0.3"/>
    <row r="25812" customFormat="1" x14ac:dyDescent="0.3"/>
    <row r="25813" customFormat="1" x14ac:dyDescent="0.3"/>
    <row r="25814" customFormat="1" x14ac:dyDescent="0.3"/>
    <row r="25815" customFormat="1" x14ac:dyDescent="0.3"/>
    <row r="25816" customFormat="1" x14ac:dyDescent="0.3"/>
    <row r="25817" customFormat="1" x14ac:dyDescent="0.3"/>
    <row r="25818" customFormat="1" x14ac:dyDescent="0.3"/>
    <row r="25819" customFormat="1" x14ac:dyDescent="0.3"/>
    <row r="25820" customFormat="1" x14ac:dyDescent="0.3"/>
    <row r="25821" customFormat="1" x14ac:dyDescent="0.3"/>
    <row r="25822" customFormat="1" x14ac:dyDescent="0.3"/>
    <row r="25823" customFormat="1" x14ac:dyDescent="0.3"/>
    <row r="25824" customFormat="1" x14ac:dyDescent="0.3"/>
    <row r="25825" customFormat="1" x14ac:dyDescent="0.3"/>
    <row r="25826" customFormat="1" x14ac:dyDescent="0.3"/>
    <row r="25827" customFormat="1" x14ac:dyDescent="0.3"/>
    <row r="25828" customFormat="1" x14ac:dyDescent="0.3"/>
    <row r="25829" customFormat="1" x14ac:dyDescent="0.3"/>
    <row r="25830" customFormat="1" x14ac:dyDescent="0.3"/>
    <row r="25831" customFormat="1" x14ac:dyDescent="0.3"/>
    <row r="25832" customFormat="1" x14ac:dyDescent="0.3"/>
    <row r="25833" customFormat="1" x14ac:dyDescent="0.3"/>
    <row r="25834" customFormat="1" x14ac:dyDescent="0.3"/>
    <row r="25835" customFormat="1" x14ac:dyDescent="0.3"/>
    <row r="25836" customFormat="1" x14ac:dyDescent="0.3"/>
    <row r="25837" customFormat="1" x14ac:dyDescent="0.3"/>
    <row r="25838" customFormat="1" x14ac:dyDescent="0.3"/>
    <row r="25839" customFormat="1" x14ac:dyDescent="0.3"/>
    <row r="25840" customFormat="1" x14ac:dyDescent="0.3"/>
    <row r="25841" customFormat="1" x14ac:dyDescent="0.3"/>
    <row r="25842" customFormat="1" x14ac:dyDescent="0.3"/>
    <row r="25843" customFormat="1" x14ac:dyDescent="0.3"/>
    <row r="25844" customFormat="1" x14ac:dyDescent="0.3"/>
    <row r="25845" customFormat="1" x14ac:dyDescent="0.3"/>
    <row r="25846" customFormat="1" x14ac:dyDescent="0.3"/>
    <row r="25847" customFormat="1" x14ac:dyDescent="0.3"/>
    <row r="25848" customFormat="1" x14ac:dyDescent="0.3"/>
    <row r="25849" customFormat="1" x14ac:dyDescent="0.3"/>
    <row r="25850" customFormat="1" x14ac:dyDescent="0.3"/>
    <row r="25851" customFormat="1" x14ac:dyDescent="0.3"/>
    <row r="25852" customFormat="1" x14ac:dyDescent="0.3"/>
    <row r="25853" customFormat="1" x14ac:dyDescent="0.3"/>
    <row r="25854" customFormat="1" x14ac:dyDescent="0.3"/>
    <row r="25855" customFormat="1" x14ac:dyDescent="0.3"/>
    <row r="25856" customFormat="1" x14ac:dyDescent="0.3"/>
    <row r="25857" customFormat="1" x14ac:dyDescent="0.3"/>
    <row r="25858" customFormat="1" x14ac:dyDescent="0.3"/>
    <row r="25859" customFormat="1" x14ac:dyDescent="0.3"/>
    <row r="25860" customFormat="1" x14ac:dyDescent="0.3"/>
    <row r="25861" customFormat="1" x14ac:dyDescent="0.3"/>
    <row r="25862" customFormat="1" x14ac:dyDescent="0.3"/>
    <row r="25863" customFormat="1" x14ac:dyDescent="0.3"/>
    <row r="25864" customFormat="1" x14ac:dyDescent="0.3"/>
    <row r="25865" customFormat="1" x14ac:dyDescent="0.3"/>
    <row r="25866" customFormat="1" x14ac:dyDescent="0.3"/>
    <row r="25867" customFormat="1" x14ac:dyDescent="0.3"/>
    <row r="25868" customFormat="1" x14ac:dyDescent="0.3"/>
    <row r="25869" customFormat="1" x14ac:dyDescent="0.3"/>
    <row r="25870" customFormat="1" x14ac:dyDescent="0.3"/>
    <row r="25871" customFormat="1" x14ac:dyDescent="0.3"/>
    <row r="25872" customFormat="1" x14ac:dyDescent="0.3"/>
    <row r="25873" customFormat="1" x14ac:dyDescent="0.3"/>
    <row r="25874" customFormat="1" x14ac:dyDescent="0.3"/>
    <row r="25875" customFormat="1" x14ac:dyDescent="0.3"/>
    <row r="25876" customFormat="1" x14ac:dyDescent="0.3"/>
    <row r="25877" customFormat="1" x14ac:dyDescent="0.3"/>
    <row r="25878" customFormat="1" x14ac:dyDescent="0.3"/>
    <row r="25879" customFormat="1" x14ac:dyDescent="0.3"/>
    <row r="25880" customFormat="1" x14ac:dyDescent="0.3"/>
    <row r="25881" customFormat="1" x14ac:dyDescent="0.3"/>
    <row r="25882" customFormat="1" x14ac:dyDescent="0.3"/>
    <row r="25883" customFormat="1" x14ac:dyDescent="0.3"/>
    <row r="25884" customFormat="1" x14ac:dyDescent="0.3"/>
    <row r="25885" customFormat="1" x14ac:dyDescent="0.3"/>
    <row r="25886" customFormat="1" x14ac:dyDescent="0.3"/>
    <row r="25887" customFormat="1" x14ac:dyDescent="0.3"/>
    <row r="25888" customFormat="1" x14ac:dyDescent="0.3"/>
    <row r="25889" customFormat="1" x14ac:dyDescent="0.3"/>
    <row r="25890" customFormat="1" x14ac:dyDescent="0.3"/>
    <row r="25891" customFormat="1" x14ac:dyDescent="0.3"/>
    <row r="25892" customFormat="1" x14ac:dyDescent="0.3"/>
    <row r="25893" customFormat="1" x14ac:dyDescent="0.3"/>
    <row r="25894" customFormat="1" x14ac:dyDescent="0.3"/>
    <row r="25895" customFormat="1" x14ac:dyDescent="0.3"/>
    <row r="25896" customFormat="1" x14ac:dyDescent="0.3"/>
    <row r="25897" customFormat="1" x14ac:dyDescent="0.3"/>
    <row r="25898" customFormat="1" x14ac:dyDescent="0.3"/>
    <row r="25899" customFormat="1" x14ac:dyDescent="0.3"/>
    <row r="25900" customFormat="1" x14ac:dyDescent="0.3"/>
    <row r="25901" customFormat="1" x14ac:dyDescent="0.3"/>
    <row r="25902" customFormat="1" x14ac:dyDescent="0.3"/>
    <row r="25903" customFormat="1" x14ac:dyDescent="0.3"/>
    <row r="25904" customFormat="1" x14ac:dyDescent="0.3"/>
    <row r="25905" customFormat="1" x14ac:dyDescent="0.3"/>
    <row r="25906" customFormat="1" x14ac:dyDescent="0.3"/>
    <row r="25907" customFormat="1" x14ac:dyDescent="0.3"/>
    <row r="25908" customFormat="1" x14ac:dyDescent="0.3"/>
    <row r="25909" customFormat="1" x14ac:dyDescent="0.3"/>
    <row r="25910" customFormat="1" x14ac:dyDescent="0.3"/>
    <row r="25911" customFormat="1" x14ac:dyDescent="0.3"/>
    <row r="25912" customFormat="1" x14ac:dyDescent="0.3"/>
    <row r="25913" customFormat="1" x14ac:dyDescent="0.3"/>
    <row r="25914" customFormat="1" x14ac:dyDescent="0.3"/>
    <row r="25915" customFormat="1" x14ac:dyDescent="0.3"/>
    <row r="25916" customFormat="1" x14ac:dyDescent="0.3"/>
    <row r="25917" customFormat="1" x14ac:dyDescent="0.3"/>
    <row r="25918" customFormat="1" x14ac:dyDescent="0.3"/>
    <row r="25919" customFormat="1" x14ac:dyDescent="0.3"/>
    <row r="25920" customFormat="1" x14ac:dyDescent="0.3"/>
    <row r="25921" customFormat="1" x14ac:dyDescent="0.3"/>
    <row r="25922" customFormat="1" x14ac:dyDescent="0.3"/>
    <row r="25923" customFormat="1" x14ac:dyDescent="0.3"/>
    <row r="25924" customFormat="1" x14ac:dyDescent="0.3"/>
    <row r="25925" customFormat="1" x14ac:dyDescent="0.3"/>
    <row r="25926" customFormat="1" x14ac:dyDescent="0.3"/>
    <row r="25927" customFormat="1" x14ac:dyDescent="0.3"/>
    <row r="25928" customFormat="1" x14ac:dyDescent="0.3"/>
    <row r="25929" customFormat="1" x14ac:dyDescent="0.3"/>
    <row r="25930" customFormat="1" x14ac:dyDescent="0.3"/>
    <row r="25931" customFormat="1" x14ac:dyDescent="0.3"/>
    <row r="25932" customFormat="1" x14ac:dyDescent="0.3"/>
    <row r="25933" customFormat="1" x14ac:dyDescent="0.3"/>
    <row r="25934" customFormat="1" x14ac:dyDescent="0.3"/>
    <row r="25935" customFormat="1" x14ac:dyDescent="0.3"/>
    <row r="25936" customFormat="1" x14ac:dyDescent="0.3"/>
    <row r="25937" customFormat="1" x14ac:dyDescent="0.3"/>
    <row r="25938" customFormat="1" x14ac:dyDescent="0.3"/>
    <row r="25939" customFormat="1" x14ac:dyDescent="0.3"/>
    <row r="25940" customFormat="1" x14ac:dyDescent="0.3"/>
    <row r="25941" customFormat="1" x14ac:dyDescent="0.3"/>
    <row r="25942" customFormat="1" x14ac:dyDescent="0.3"/>
    <row r="25943" customFormat="1" x14ac:dyDescent="0.3"/>
    <row r="25944" customFormat="1" x14ac:dyDescent="0.3"/>
    <row r="25945" customFormat="1" x14ac:dyDescent="0.3"/>
    <row r="25946" customFormat="1" x14ac:dyDescent="0.3"/>
    <row r="25947" customFormat="1" x14ac:dyDescent="0.3"/>
    <row r="25948" customFormat="1" x14ac:dyDescent="0.3"/>
    <row r="25949" customFormat="1" x14ac:dyDescent="0.3"/>
    <row r="25950" customFormat="1" x14ac:dyDescent="0.3"/>
    <row r="25951" customFormat="1" x14ac:dyDescent="0.3"/>
    <row r="25952" customFormat="1" x14ac:dyDescent="0.3"/>
    <row r="25953" customFormat="1" x14ac:dyDescent="0.3"/>
    <row r="25954" customFormat="1" x14ac:dyDescent="0.3"/>
    <row r="25955" customFormat="1" x14ac:dyDescent="0.3"/>
    <row r="25956" customFormat="1" x14ac:dyDescent="0.3"/>
    <row r="25957" customFormat="1" x14ac:dyDescent="0.3"/>
    <row r="25958" customFormat="1" x14ac:dyDescent="0.3"/>
    <row r="25959" customFormat="1" x14ac:dyDescent="0.3"/>
    <row r="25960" customFormat="1" x14ac:dyDescent="0.3"/>
    <row r="25961" customFormat="1" x14ac:dyDescent="0.3"/>
    <row r="25962" customFormat="1" x14ac:dyDescent="0.3"/>
    <row r="25963" customFormat="1" x14ac:dyDescent="0.3"/>
    <row r="25964" customFormat="1" x14ac:dyDescent="0.3"/>
    <row r="25965" customFormat="1" x14ac:dyDescent="0.3"/>
    <row r="25966" customFormat="1" x14ac:dyDescent="0.3"/>
    <row r="25967" customFormat="1" x14ac:dyDescent="0.3"/>
    <row r="25968" customFormat="1" x14ac:dyDescent="0.3"/>
    <row r="25969" customFormat="1" x14ac:dyDescent="0.3"/>
    <row r="25970" customFormat="1" x14ac:dyDescent="0.3"/>
    <row r="25971" customFormat="1" x14ac:dyDescent="0.3"/>
    <row r="25972" customFormat="1" x14ac:dyDescent="0.3"/>
    <row r="25973" customFormat="1" x14ac:dyDescent="0.3"/>
    <row r="25974" customFormat="1" x14ac:dyDescent="0.3"/>
    <row r="25975" customFormat="1" x14ac:dyDescent="0.3"/>
    <row r="25976" customFormat="1" x14ac:dyDescent="0.3"/>
    <row r="25977" customFormat="1" x14ac:dyDescent="0.3"/>
    <row r="25978" customFormat="1" x14ac:dyDescent="0.3"/>
    <row r="25979" customFormat="1" x14ac:dyDescent="0.3"/>
    <row r="25980" customFormat="1" x14ac:dyDescent="0.3"/>
    <row r="25981" customFormat="1" x14ac:dyDescent="0.3"/>
    <row r="25982" customFormat="1" x14ac:dyDescent="0.3"/>
    <row r="25983" customFormat="1" x14ac:dyDescent="0.3"/>
    <row r="25984" customFormat="1" x14ac:dyDescent="0.3"/>
    <row r="25985" customFormat="1" x14ac:dyDescent="0.3"/>
    <row r="25986" customFormat="1" x14ac:dyDescent="0.3"/>
    <row r="25987" customFormat="1" x14ac:dyDescent="0.3"/>
    <row r="25988" customFormat="1" x14ac:dyDescent="0.3"/>
    <row r="25989" customFormat="1" x14ac:dyDescent="0.3"/>
    <row r="25990" customFormat="1" x14ac:dyDescent="0.3"/>
    <row r="25991" customFormat="1" x14ac:dyDescent="0.3"/>
    <row r="25992" customFormat="1" x14ac:dyDescent="0.3"/>
    <row r="25993" customFormat="1" x14ac:dyDescent="0.3"/>
    <row r="25994" customFormat="1" x14ac:dyDescent="0.3"/>
    <row r="25995" customFormat="1" x14ac:dyDescent="0.3"/>
    <row r="25996" customFormat="1" x14ac:dyDescent="0.3"/>
    <row r="25997" customFormat="1" x14ac:dyDescent="0.3"/>
    <row r="25998" customFormat="1" x14ac:dyDescent="0.3"/>
    <row r="25999" customFormat="1" x14ac:dyDescent="0.3"/>
    <row r="26000" customFormat="1" x14ac:dyDescent="0.3"/>
    <row r="26001" customFormat="1" x14ac:dyDescent="0.3"/>
    <row r="26002" customFormat="1" x14ac:dyDescent="0.3"/>
    <row r="26003" customFormat="1" x14ac:dyDescent="0.3"/>
    <row r="26004" customFormat="1" x14ac:dyDescent="0.3"/>
    <row r="26005" customFormat="1" x14ac:dyDescent="0.3"/>
    <row r="26006" customFormat="1" x14ac:dyDescent="0.3"/>
    <row r="26007" customFormat="1" x14ac:dyDescent="0.3"/>
    <row r="26008" customFormat="1" x14ac:dyDescent="0.3"/>
    <row r="26009" customFormat="1" x14ac:dyDescent="0.3"/>
    <row r="26010" customFormat="1" x14ac:dyDescent="0.3"/>
    <row r="26011" customFormat="1" x14ac:dyDescent="0.3"/>
    <row r="26012" customFormat="1" x14ac:dyDescent="0.3"/>
    <row r="26013" customFormat="1" x14ac:dyDescent="0.3"/>
    <row r="26014" customFormat="1" x14ac:dyDescent="0.3"/>
    <row r="26015" customFormat="1" x14ac:dyDescent="0.3"/>
    <row r="26016" customFormat="1" x14ac:dyDescent="0.3"/>
    <row r="26017" customFormat="1" x14ac:dyDescent="0.3"/>
    <row r="26018" customFormat="1" x14ac:dyDescent="0.3"/>
    <row r="26019" customFormat="1" x14ac:dyDescent="0.3"/>
    <row r="26020" customFormat="1" x14ac:dyDescent="0.3"/>
    <row r="26021" customFormat="1" x14ac:dyDescent="0.3"/>
    <row r="26022" customFormat="1" x14ac:dyDescent="0.3"/>
    <row r="26023" customFormat="1" x14ac:dyDescent="0.3"/>
    <row r="26024" customFormat="1" x14ac:dyDescent="0.3"/>
    <row r="26025" customFormat="1" x14ac:dyDescent="0.3"/>
    <row r="26026" customFormat="1" x14ac:dyDescent="0.3"/>
    <row r="26027" customFormat="1" x14ac:dyDescent="0.3"/>
    <row r="26028" customFormat="1" x14ac:dyDescent="0.3"/>
    <row r="26029" customFormat="1" x14ac:dyDescent="0.3"/>
    <row r="26030" customFormat="1" x14ac:dyDescent="0.3"/>
    <row r="26031" customFormat="1" x14ac:dyDescent="0.3"/>
    <row r="26032" customFormat="1" x14ac:dyDescent="0.3"/>
    <row r="26033" customFormat="1" x14ac:dyDescent="0.3"/>
    <row r="26034" customFormat="1" x14ac:dyDescent="0.3"/>
    <row r="26035" customFormat="1" x14ac:dyDescent="0.3"/>
    <row r="26036" customFormat="1" x14ac:dyDescent="0.3"/>
    <row r="26037" customFormat="1" x14ac:dyDescent="0.3"/>
    <row r="26038" customFormat="1" x14ac:dyDescent="0.3"/>
    <row r="26039" customFormat="1" x14ac:dyDescent="0.3"/>
    <row r="26040" customFormat="1" x14ac:dyDescent="0.3"/>
    <row r="26041" customFormat="1" x14ac:dyDescent="0.3"/>
    <row r="26042" customFormat="1" x14ac:dyDescent="0.3"/>
    <row r="26043" customFormat="1" x14ac:dyDescent="0.3"/>
    <row r="26044" customFormat="1" x14ac:dyDescent="0.3"/>
    <row r="26045" customFormat="1" x14ac:dyDescent="0.3"/>
    <row r="26046" customFormat="1" x14ac:dyDescent="0.3"/>
    <row r="26047" customFormat="1" x14ac:dyDescent="0.3"/>
    <row r="26048" customFormat="1" x14ac:dyDescent="0.3"/>
    <row r="26049" customFormat="1" x14ac:dyDescent="0.3"/>
    <row r="26050" customFormat="1" x14ac:dyDescent="0.3"/>
    <row r="26051" customFormat="1" x14ac:dyDescent="0.3"/>
    <row r="26052" customFormat="1" x14ac:dyDescent="0.3"/>
    <row r="26053" customFormat="1" x14ac:dyDescent="0.3"/>
    <row r="26054" customFormat="1" x14ac:dyDescent="0.3"/>
    <row r="26055" customFormat="1" x14ac:dyDescent="0.3"/>
    <row r="26056" customFormat="1" x14ac:dyDescent="0.3"/>
    <row r="26057" customFormat="1" x14ac:dyDescent="0.3"/>
    <row r="26058" customFormat="1" x14ac:dyDescent="0.3"/>
    <row r="26059" customFormat="1" x14ac:dyDescent="0.3"/>
    <row r="26060" customFormat="1" x14ac:dyDescent="0.3"/>
    <row r="26061" customFormat="1" x14ac:dyDescent="0.3"/>
    <row r="26062" customFormat="1" x14ac:dyDescent="0.3"/>
    <row r="26063" customFormat="1" x14ac:dyDescent="0.3"/>
    <row r="26064" customFormat="1" x14ac:dyDescent="0.3"/>
    <row r="26065" customFormat="1" x14ac:dyDescent="0.3"/>
    <row r="26066" customFormat="1" x14ac:dyDescent="0.3"/>
    <row r="26067" customFormat="1" x14ac:dyDescent="0.3"/>
    <row r="26068" customFormat="1" x14ac:dyDescent="0.3"/>
    <row r="26069" customFormat="1" x14ac:dyDescent="0.3"/>
    <row r="26070" customFormat="1" x14ac:dyDescent="0.3"/>
    <row r="26071" customFormat="1" x14ac:dyDescent="0.3"/>
    <row r="26072" customFormat="1" x14ac:dyDescent="0.3"/>
    <row r="26073" customFormat="1" x14ac:dyDescent="0.3"/>
    <row r="26074" customFormat="1" x14ac:dyDescent="0.3"/>
    <row r="26075" customFormat="1" x14ac:dyDescent="0.3"/>
    <row r="26076" customFormat="1" x14ac:dyDescent="0.3"/>
    <row r="26077" customFormat="1" x14ac:dyDescent="0.3"/>
    <row r="26078" customFormat="1" x14ac:dyDescent="0.3"/>
    <row r="26079" customFormat="1" x14ac:dyDescent="0.3"/>
    <row r="26080" customFormat="1" x14ac:dyDescent="0.3"/>
    <row r="26081" customFormat="1" x14ac:dyDescent="0.3"/>
    <row r="26082" customFormat="1" x14ac:dyDescent="0.3"/>
    <row r="26083" customFormat="1" x14ac:dyDescent="0.3"/>
    <row r="26084" customFormat="1" x14ac:dyDescent="0.3"/>
    <row r="26085" customFormat="1" x14ac:dyDescent="0.3"/>
    <row r="26086" customFormat="1" x14ac:dyDescent="0.3"/>
    <row r="26087" customFormat="1" x14ac:dyDescent="0.3"/>
    <row r="26088" customFormat="1" x14ac:dyDescent="0.3"/>
    <row r="26089" customFormat="1" x14ac:dyDescent="0.3"/>
    <row r="26090" customFormat="1" x14ac:dyDescent="0.3"/>
    <row r="26091" customFormat="1" x14ac:dyDescent="0.3"/>
    <row r="26092" customFormat="1" x14ac:dyDescent="0.3"/>
    <row r="26093" customFormat="1" x14ac:dyDescent="0.3"/>
    <row r="26094" customFormat="1" x14ac:dyDescent="0.3"/>
    <row r="26095" customFormat="1" x14ac:dyDescent="0.3"/>
    <row r="26096" customFormat="1" x14ac:dyDescent="0.3"/>
    <row r="26097" customFormat="1" x14ac:dyDescent="0.3"/>
    <row r="26098" customFormat="1" x14ac:dyDescent="0.3"/>
    <row r="26099" customFormat="1" x14ac:dyDescent="0.3"/>
    <row r="26100" customFormat="1" x14ac:dyDescent="0.3"/>
    <row r="26101" customFormat="1" x14ac:dyDescent="0.3"/>
    <row r="26102" customFormat="1" x14ac:dyDescent="0.3"/>
    <row r="26103" customFormat="1" x14ac:dyDescent="0.3"/>
    <row r="26104" customFormat="1" x14ac:dyDescent="0.3"/>
    <row r="26105" customFormat="1" x14ac:dyDescent="0.3"/>
    <row r="26106" customFormat="1" x14ac:dyDescent="0.3"/>
    <row r="26107" customFormat="1" x14ac:dyDescent="0.3"/>
    <row r="26108" customFormat="1" x14ac:dyDescent="0.3"/>
    <row r="26109" customFormat="1" x14ac:dyDescent="0.3"/>
    <row r="26110" customFormat="1" x14ac:dyDescent="0.3"/>
    <row r="26111" customFormat="1" x14ac:dyDescent="0.3"/>
    <row r="26112" customFormat="1" x14ac:dyDescent="0.3"/>
    <row r="26113" customFormat="1" x14ac:dyDescent="0.3"/>
    <row r="26114" customFormat="1" x14ac:dyDescent="0.3"/>
    <row r="26115" customFormat="1" x14ac:dyDescent="0.3"/>
    <row r="26116" customFormat="1" x14ac:dyDescent="0.3"/>
    <row r="26117" customFormat="1" x14ac:dyDescent="0.3"/>
    <row r="26118" customFormat="1" x14ac:dyDescent="0.3"/>
    <row r="26119" customFormat="1" x14ac:dyDescent="0.3"/>
    <row r="26120" customFormat="1" x14ac:dyDescent="0.3"/>
    <row r="26121" customFormat="1" x14ac:dyDescent="0.3"/>
    <row r="26122" customFormat="1" x14ac:dyDescent="0.3"/>
    <row r="26123" customFormat="1" x14ac:dyDescent="0.3"/>
    <row r="26124" customFormat="1" x14ac:dyDescent="0.3"/>
    <row r="26125" customFormat="1" x14ac:dyDescent="0.3"/>
    <row r="26126" customFormat="1" x14ac:dyDescent="0.3"/>
    <row r="26127" customFormat="1" x14ac:dyDescent="0.3"/>
    <row r="26128" customFormat="1" x14ac:dyDescent="0.3"/>
    <row r="26129" customFormat="1" x14ac:dyDescent="0.3"/>
    <row r="26130" customFormat="1" x14ac:dyDescent="0.3"/>
    <row r="26131" customFormat="1" x14ac:dyDescent="0.3"/>
    <row r="26132" customFormat="1" x14ac:dyDescent="0.3"/>
    <row r="26133" customFormat="1" x14ac:dyDescent="0.3"/>
    <row r="26134" customFormat="1" x14ac:dyDescent="0.3"/>
    <row r="26135" customFormat="1" x14ac:dyDescent="0.3"/>
    <row r="26136" customFormat="1" x14ac:dyDescent="0.3"/>
    <row r="26137" customFormat="1" x14ac:dyDescent="0.3"/>
    <row r="26138" customFormat="1" x14ac:dyDescent="0.3"/>
    <row r="26139" customFormat="1" x14ac:dyDescent="0.3"/>
    <row r="26140" customFormat="1" x14ac:dyDescent="0.3"/>
    <row r="26141" customFormat="1" x14ac:dyDescent="0.3"/>
    <row r="26142" customFormat="1" x14ac:dyDescent="0.3"/>
    <row r="26143" customFormat="1" x14ac:dyDescent="0.3"/>
    <row r="26144" customFormat="1" x14ac:dyDescent="0.3"/>
    <row r="26145" customFormat="1" x14ac:dyDescent="0.3"/>
    <row r="26146" customFormat="1" x14ac:dyDescent="0.3"/>
    <row r="26147" customFormat="1" x14ac:dyDescent="0.3"/>
    <row r="26148" customFormat="1" x14ac:dyDescent="0.3"/>
    <row r="26149" customFormat="1" x14ac:dyDescent="0.3"/>
    <row r="26150" customFormat="1" x14ac:dyDescent="0.3"/>
    <row r="26151" customFormat="1" x14ac:dyDescent="0.3"/>
    <row r="26152" customFormat="1" x14ac:dyDescent="0.3"/>
    <row r="26153" customFormat="1" x14ac:dyDescent="0.3"/>
    <row r="26154" customFormat="1" x14ac:dyDescent="0.3"/>
    <row r="26155" customFormat="1" x14ac:dyDescent="0.3"/>
    <row r="26156" customFormat="1" x14ac:dyDescent="0.3"/>
    <row r="26157" customFormat="1" x14ac:dyDescent="0.3"/>
    <row r="26158" customFormat="1" x14ac:dyDescent="0.3"/>
    <row r="26159" customFormat="1" x14ac:dyDescent="0.3"/>
    <row r="26160" customFormat="1" x14ac:dyDescent="0.3"/>
    <row r="26161" customFormat="1" x14ac:dyDescent="0.3"/>
    <row r="26162" customFormat="1" x14ac:dyDescent="0.3"/>
    <row r="26163" customFormat="1" x14ac:dyDescent="0.3"/>
    <row r="26164" customFormat="1" x14ac:dyDescent="0.3"/>
    <row r="26165" customFormat="1" x14ac:dyDescent="0.3"/>
    <row r="26166" customFormat="1" x14ac:dyDescent="0.3"/>
    <row r="26167" customFormat="1" x14ac:dyDescent="0.3"/>
    <row r="26168" customFormat="1" x14ac:dyDescent="0.3"/>
    <row r="26169" customFormat="1" x14ac:dyDescent="0.3"/>
    <row r="26170" customFormat="1" x14ac:dyDescent="0.3"/>
    <row r="26171" customFormat="1" x14ac:dyDescent="0.3"/>
    <row r="26172" customFormat="1" x14ac:dyDescent="0.3"/>
    <row r="26173" customFormat="1" x14ac:dyDescent="0.3"/>
    <row r="26174" customFormat="1" x14ac:dyDescent="0.3"/>
    <row r="26175" customFormat="1" x14ac:dyDescent="0.3"/>
    <row r="26176" customFormat="1" x14ac:dyDescent="0.3"/>
    <row r="26177" customFormat="1" x14ac:dyDescent="0.3"/>
    <row r="26178" customFormat="1" x14ac:dyDescent="0.3"/>
    <row r="26179" customFormat="1" x14ac:dyDescent="0.3"/>
    <row r="26180" customFormat="1" x14ac:dyDescent="0.3"/>
    <row r="26181" customFormat="1" x14ac:dyDescent="0.3"/>
    <row r="26182" customFormat="1" x14ac:dyDescent="0.3"/>
    <row r="26183" customFormat="1" x14ac:dyDescent="0.3"/>
    <row r="26184" customFormat="1" x14ac:dyDescent="0.3"/>
    <row r="26185" customFormat="1" x14ac:dyDescent="0.3"/>
    <row r="26186" customFormat="1" x14ac:dyDescent="0.3"/>
    <row r="26187" customFormat="1" x14ac:dyDescent="0.3"/>
    <row r="26188" customFormat="1" x14ac:dyDescent="0.3"/>
    <row r="26189" customFormat="1" x14ac:dyDescent="0.3"/>
    <row r="26190" customFormat="1" x14ac:dyDescent="0.3"/>
    <row r="26191" customFormat="1" x14ac:dyDescent="0.3"/>
    <row r="26192" customFormat="1" x14ac:dyDescent="0.3"/>
    <row r="26193" customFormat="1" x14ac:dyDescent="0.3"/>
    <row r="26194" customFormat="1" x14ac:dyDescent="0.3"/>
    <row r="26195" customFormat="1" x14ac:dyDescent="0.3"/>
    <row r="26196" customFormat="1" x14ac:dyDescent="0.3"/>
    <row r="26197" customFormat="1" x14ac:dyDescent="0.3"/>
    <row r="26198" customFormat="1" x14ac:dyDescent="0.3"/>
    <row r="26199" customFormat="1" x14ac:dyDescent="0.3"/>
    <row r="26200" customFormat="1" x14ac:dyDescent="0.3"/>
    <row r="26201" customFormat="1" x14ac:dyDescent="0.3"/>
    <row r="26202" customFormat="1" x14ac:dyDescent="0.3"/>
    <row r="26203" customFormat="1" x14ac:dyDescent="0.3"/>
    <row r="26204" customFormat="1" x14ac:dyDescent="0.3"/>
    <row r="26205" customFormat="1" x14ac:dyDescent="0.3"/>
    <row r="26206" customFormat="1" x14ac:dyDescent="0.3"/>
    <row r="26207" customFormat="1" x14ac:dyDescent="0.3"/>
    <row r="26208" customFormat="1" x14ac:dyDescent="0.3"/>
    <row r="26209" customFormat="1" x14ac:dyDescent="0.3"/>
    <row r="26210" customFormat="1" x14ac:dyDescent="0.3"/>
    <row r="26211" customFormat="1" x14ac:dyDescent="0.3"/>
    <row r="26212" customFormat="1" x14ac:dyDescent="0.3"/>
    <row r="26213" customFormat="1" x14ac:dyDescent="0.3"/>
    <row r="26214" customFormat="1" x14ac:dyDescent="0.3"/>
    <row r="26215" customFormat="1" x14ac:dyDescent="0.3"/>
    <row r="26216" customFormat="1" x14ac:dyDescent="0.3"/>
    <row r="26217" customFormat="1" x14ac:dyDescent="0.3"/>
    <row r="26218" customFormat="1" x14ac:dyDescent="0.3"/>
    <row r="26219" customFormat="1" x14ac:dyDescent="0.3"/>
    <row r="26220" customFormat="1" x14ac:dyDescent="0.3"/>
    <row r="26221" customFormat="1" x14ac:dyDescent="0.3"/>
    <row r="26222" customFormat="1" x14ac:dyDescent="0.3"/>
    <row r="26223" customFormat="1" x14ac:dyDescent="0.3"/>
    <row r="26224" customFormat="1" x14ac:dyDescent="0.3"/>
    <row r="26225" customFormat="1" x14ac:dyDescent="0.3"/>
    <row r="26226" customFormat="1" x14ac:dyDescent="0.3"/>
    <row r="26227" customFormat="1" x14ac:dyDescent="0.3"/>
    <row r="26228" customFormat="1" x14ac:dyDescent="0.3"/>
    <row r="26229" customFormat="1" x14ac:dyDescent="0.3"/>
    <row r="26230" customFormat="1" x14ac:dyDescent="0.3"/>
    <row r="26231" customFormat="1" x14ac:dyDescent="0.3"/>
    <row r="26232" customFormat="1" x14ac:dyDescent="0.3"/>
    <row r="26233" customFormat="1" x14ac:dyDescent="0.3"/>
    <row r="26234" customFormat="1" x14ac:dyDescent="0.3"/>
    <row r="26235" customFormat="1" x14ac:dyDescent="0.3"/>
    <row r="26236" customFormat="1" x14ac:dyDescent="0.3"/>
    <row r="26237" customFormat="1" x14ac:dyDescent="0.3"/>
    <row r="26238" customFormat="1" x14ac:dyDescent="0.3"/>
    <row r="26239" customFormat="1" x14ac:dyDescent="0.3"/>
    <row r="26240" customFormat="1" x14ac:dyDescent="0.3"/>
    <row r="26241" customFormat="1" x14ac:dyDescent="0.3"/>
    <row r="26242" customFormat="1" x14ac:dyDescent="0.3"/>
    <row r="26243" customFormat="1" x14ac:dyDescent="0.3"/>
    <row r="26244" customFormat="1" x14ac:dyDescent="0.3"/>
    <row r="26245" customFormat="1" x14ac:dyDescent="0.3"/>
    <row r="26246" customFormat="1" x14ac:dyDescent="0.3"/>
    <row r="26247" customFormat="1" x14ac:dyDescent="0.3"/>
    <row r="26248" customFormat="1" x14ac:dyDescent="0.3"/>
    <row r="26249" customFormat="1" x14ac:dyDescent="0.3"/>
    <row r="26250" customFormat="1" x14ac:dyDescent="0.3"/>
    <row r="26251" customFormat="1" x14ac:dyDescent="0.3"/>
    <row r="26252" customFormat="1" x14ac:dyDescent="0.3"/>
    <row r="26253" customFormat="1" x14ac:dyDescent="0.3"/>
    <row r="26254" customFormat="1" x14ac:dyDescent="0.3"/>
    <row r="26255" customFormat="1" x14ac:dyDescent="0.3"/>
    <row r="26256" customFormat="1" x14ac:dyDescent="0.3"/>
    <row r="26257" customFormat="1" x14ac:dyDescent="0.3"/>
    <row r="26258" customFormat="1" x14ac:dyDescent="0.3"/>
    <row r="26259" customFormat="1" x14ac:dyDescent="0.3"/>
    <row r="26260" customFormat="1" x14ac:dyDescent="0.3"/>
    <row r="26261" customFormat="1" x14ac:dyDescent="0.3"/>
    <row r="26262" customFormat="1" x14ac:dyDescent="0.3"/>
    <row r="26263" customFormat="1" x14ac:dyDescent="0.3"/>
    <row r="26264" customFormat="1" x14ac:dyDescent="0.3"/>
    <row r="26265" customFormat="1" x14ac:dyDescent="0.3"/>
    <row r="26266" customFormat="1" x14ac:dyDescent="0.3"/>
    <row r="26267" customFormat="1" x14ac:dyDescent="0.3"/>
    <row r="26268" customFormat="1" x14ac:dyDescent="0.3"/>
    <row r="26269" customFormat="1" x14ac:dyDescent="0.3"/>
    <row r="26270" customFormat="1" x14ac:dyDescent="0.3"/>
    <row r="26271" customFormat="1" x14ac:dyDescent="0.3"/>
    <row r="26272" customFormat="1" x14ac:dyDescent="0.3"/>
    <row r="26273" customFormat="1" x14ac:dyDescent="0.3"/>
    <row r="26274" customFormat="1" x14ac:dyDescent="0.3"/>
    <row r="26275" customFormat="1" x14ac:dyDescent="0.3"/>
    <row r="26276" customFormat="1" x14ac:dyDescent="0.3"/>
    <row r="26277" customFormat="1" x14ac:dyDescent="0.3"/>
    <row r="26278" customFormat="1" x14ac:dyDescent="0.3"/>
    <row r="26279" customFormat="1" x14ac:dyDescent="0.3"/>
    <row r="26280" customFormat="1" x14ac:dyDescent="0.3"/>
    <row r="26281" customFormat="1" x14ac:dyDescent="0.3"/>
    <row r="26282" customFormat="1" x14ac:dyDescent="0.3"/>
    <row r="26283" customFormat="1" x14ac:dyDescent="0.3"/>
    <row r="26284" customFormat="1" x14ac:dyDescent="0.3"/>
    <row r="26285" customFormat="1" x14ac:dyDescent="0.3"/>
    <row r="26286" customFormat="1" x14ac:dyDescent="0.3"/>
    <row r="26287" customFormat="1" x14ac:dyDescent="0.3"/>
    <row r="26288" customFormat="1" x14ac:dyDescent="0.3"/>
    <row r="26289" customFormat="1" x14ac:dyDescent="0.3"/>
    <row r="26290" customFormat="1" x14ac:dyDescent="0.3"/>
    <row r="26291" customFormat="1" x14ac:dyDescent="0.3"/>
    <row r="26292" customFormat="1" x14ac:dyDescent="0.3"/>
    <row r="26293" customFormat="1" x14ac:dyDescent="0.3"/>
    <row r="26294" customFormat="1" x14ac:dyDescent="0.3"/>
    <row r="26295" customFormat="1" x14ac:dyDescent="0.3"/>
    <row r="26296" customFormat="1" x14ac:dyDescent="0.3"/>
    <row r="26297" customFormat="1" x14ac:dyDescent="0.3"/>
    <row r="26298" customFormat="1" x14ac:dyDescent="0.3"/>
    <row r="26299" customFormat="1" x14ac:dyDescent="0.3"/>
    <row r="26300" customFormat="1" x14ac:dyDescent="0.3"/>
    <row r="26301" customFormat="1" x14ac:dyDescent="0.3"/>
    <row r="26302" customFormat="1" x14ac:dyDescent="0.3"/>
    <row r="26303" customFormat="1" x14ac:dyDescent="0.3"/>
    <row r="26304" customFormat="1" x14ac:dyDescent="0.3"/>
    <row r="26305" customFormat="1" x14ac:dyDescent="0.3"/>
    <row r="26306" customFormat="1" x14ac:dyDescent="0.3"/>
    <row r="26307" customFormat="1" x14ac:dyDescent="0.3"/>
    <row r="26308" customFormat="1" x14ac:dyDescent="0.3"/>
    <row r="26309" customFormat="1" x14ac:dyDescent="0.3"/>
    <row r="26310" customFormat="1" x14ac:dyDescent="0.3"/>
    <row r="26311" customFormat="1" x14ac:dyDescent="0.3"/>
    <row r="26312" customFormat="1" x14ac:dyDescent="0.3"/>
    <row r="26313" customFormat="1" x14ac:dyDescent="0.3"/>
    <row r="26314" customFormat="1" x14ac:dyDescent="0.3"/>
    <row r="26315" customFormat="1" x14ac:dyDescent="0.3"/>
    <row r="26316" customFormat="1" x14ac:dyDescent="0.3"/>
    <row r="26317" customFormat="1" x14ac:dyDescent="0.3"/>
    <row r="26318" customFormat="1" x14ac:dyDescent="0.3"/>
    <row r="26319" customFormat="1" x14ac:dyDescent="0.3"/>
    <row r="26320" customFormat="1" x14ac:dyDescent="0.3"/>
    <row r="26321" customFormat="1" x14ac:dyDescent="0.3"/>
    <row r="26322" customFormat="1" x14ac:dyDescent="0.3"/>
    <row r="26323" customFormat="1" x14ac:dyDescent="0.3"/>
    <row r="26324" customFormat="1" x14ac:dyDescent="0.3"/>
    <row r="26325" customFormat="1" x14ac:dyDescent="0.3"/>
    <row r="26326" customFormat="1" x14ac:dyDescent="0.3"/>
    <row r="26327" customFormat="1" x14ac:dyDescent="0.3"/>
    <row r="26328" customFormat="1" x14ac:dyDescent="0.3"/>
    <row r="26329" customFormat="1" x14ac:dyDescent="0.3"/>
    <row r="26330" customFormat="1" x14ac:dyDescent="0.3"/>
    <row r="26331" customFormat="1" x14ac:dyDescent="0.3"/>
    <row r="26332" customFormat="1" x14ac:dyDescent="0.3"/>
    <row r="26333" customFormat="1" x14ac:dyDescent="0.3"/>
    <row r="26334" customFormat="1" x14ac:dyDescent="0.3"/>
    <row r="26335" customFormat="1" x14ac:dyDescent="0.3"/>
    <row r="26336" customFormat="1" x14ac:dyDescent="0.3"/>
    <row r="26337" customFormat="1" x14ac:dyDescent="0.3"/>
    <row r="26338" customFormat="1" x14ac:dyDescent="0.3"/>
    <row r="26339" customFormat="1" x14ac:dyDescent="0.3"/>
    <row r="26340" customFormat="1" x14ac:dyDescent="0.3"/>
    <row r="26341" customFormat="1" x14ac:dyDescent="0.3"/>
    <row r="26342" customFormat="1" x14ac:dyDescent="0.3"/>
    <row r="26343" customFormat="1" x14ac:dyDescent="0.3"/>
    <row r="26344" customFormat="1" x14ac:dyDescent="0.3"/>
    <row r="26345" customFormat="1" x14ac:dyDescent="0.3"/>
    <row r="26346" customFormat="1" x14ac:dyDescent="0.3"/>
    <row r="26347" customFormat="1" x14ac:dyDescent="0.3"/>
    <row r="26348" customFormat="1" x14ac:dyDescent="0.3"/>
    <row r="26349" customFormat="1" x14ac:dyDescent="0.3"/>
    <row r="26350" customFormat="1" x14ac:dyDescent="0.3"/>
    <row r="26351" customFormat="1" x14ac:dyDescent="0.3"/>
    <row r="26352" customFormat="1" x14ac:dyDescent="0.3"/>
    <row r="26353" customFormat="1" x14ac:dyDescent="0.3"/>
    <row r="26354" customFormat="1" x14ac:dyDescent="0.3"/>
    <row r="26355" customFormat="1" x14ac:dyDescent="0.3"/>
    <row r="26356" customFormat="1" x14ac:dyDescent="0.3"/>
    <row r="26357" customFormat="1" x14ac:dyDescent="0.3"/>
    <row r="26358" customFormat="1" x14ac:dyDescent="0.3"/>
    <row r="26359" customFormat="1" x14ac:dyDescent="0.3"/>
    <row r="26360" customFormat="1" x14ac:dyDescent="0.3"/>
    <row r="26361" customFormat="1" x14ac:dyDescent="0.3"/>
    <row r="26362" customFormat="1" x14ac:dyDescent="0.3"/>
    <row r="26363" customFormat="1" x14ac:dyDescent="0.3"/>
    <row r="26364" customFormat="1" x14ac:dyDescent="0.3"/>
    <row r="26365" customFormat="1" x14ac:dyDescent="0.3"/>
    <row r="26366" customFormat="1" x14ac:dyDescent="0.3"/>
    <row r="26367" customFormat="1" x14ac:dyDescent="0.3"/>
    <row r="26368" customFormat="1" x14ac:dyDescent="0.3"/>
    <row r="26369" customFormat="1" x14ac:dyDescent="0.3"/>
    <row r="26370" customFormat="1" x14ac:dyDescent="0.3"/>
    <row r="26371" customFormat="1" x14ac:dyDescent="0.3"/>
    <row r="26372" customFormat="1" x14ac:dyDescent="0.3"/>
    <row r="26373" customFormat="1" x14ac:dyDescent="0.3"/>
    <row r="26374" customFormat="1" x14ac:dyDescent="0.3"/>
    <row r="26375" customFormat="1" x14ac:dyDescent="0.3"/>
    <row r="26376" customFormat="1" x14ac:dyDescent="0.3"/>
    <row r="26377" customFormat="1" x14ac:dyDescent="0.3"/>
    <row r="26378" customFormat="1" x14ac:dyDescent="0.3"/>
    <row r="26379" customFormat="1" x14ac:dyDescent="0.3"/>
    <row r="26380" customFormat="1" x14ac:dyDescent="0.3"/>
    <row r="26381" customFormat="1" x14ac:dyDescent="0.3"/>
    <row r="26382" customFormat="1" x14ac:dyDescent="0.3"/>
    <row r="26383" customFormat="1" x14ac:dyDescent="0.3"/>
    <row r="26384" customFormat="1" x14ac:dyDescent="0.3"/>
    <row r="26385" customFormat="1" x14ac:dyDescent="0.3"/>
    <row r="26386" customFormat="1" x14ac:dyDescent="0.3"/>
    <row r="26387" customFormat="1" x14ac:dyDescent="0.3"/>
    <row r="26388" customFormat="1" x14ac:dyDescent="0.3"/>
    <row r="26389" customFormat="1" x14ac:dyDescent="0.3"/>
    <row r="26390" customFormat="1" x14ac:dyDescent="0.3"/>
    <row r="26391" customFormat="1" x14ac:dyDescent="0.3"/>
    <row r="26392" customFormat="1" x14ac:dyDescent="0.3"/>
    <row r="26393" customFormat="1" x14ac:dyDescent="0.3"/>
    <row r="26394" customFormat="1" x14ac:dyDescent="0.3"/>
    <row r="26395" customFormat="1" x14ac:dyDescent="0.3"/>
    <row r="26396" customFormat="1" x14ac:dyDescent="0.3"/>
    <row r="26397" customFormat="1" x14ac:dyDescent="0.3"/>
    <row r="26398" customFormat="1" x14ac:dyDescent="0.3"/>
    <row r="26399" customFormat="1" x14ac:dyDescent="0.3"/>
    <row r="26400" customFormat="1" x14ac:dyDescent="0.3"/>
    <row r="26401" customFormat="1" x14ac:dyDescent="0.3"/>
    <row r="26402" customFormat="1" x14ac:dyDescent="0.3"/>
    <row r="26403" customFormat="1" x14ac:dyDescent="0.3"/>
    <row r="26404" customFormat="1" x14ac:dyDescent="0.3"/>
    <row r="26405" customFormat="1" x14ac:dyDescent="0.3"/>
    <row r="26406" customFormat="1" x14ac:dyDescent="0.3"/>
    <row r="26407" customFormat="1" x14ac:dyDescent="0.3"/>
    <row r="26408" customFormat="1" x14ac:dyDescent="0.3"/>
    <row r="26409" customFormat="1" x14ac:dyDescent="0.3"/>
    <row r="26410" customFormat="1" x14ac:dyDescent="0.3"/>
    <row r="26411" customFormat="1" x14ac:dyDescent="0.3"/>
    <row r="26412" customFormat="1" x14ac:dyDescent="0.3"/>
    <row r="26413" customFormat="1" x14ac:dyDescent="0.3"/>
    <row r="26414" customFormat="1" x14ac:dyDescent="0.3"/>
    <row r="26415" customFormat="1" x14ac:dyDescent="0.3"/>
    <row r="26416" customFormat="1" x14ac:dyDescent="0.3"/>
    <row r="26417" customFormat="1" x14ac:dyDescent="0.3"/>
    <row r="26418" customFormat="1" x14ac:dyDescent="0.3"/>
    <row r="26419" customFormat="1" x14ac:dyDescent="0.3"/>
    <row r="26420" customFormat="1" x14ac:dyDescent="0.3"/>
    <row r="26421" customFormat="1" x14ac:dyDescent="0.3"/>
    <row r="26422" customFormat="1" x14ac:dyDescent="0.3"/>
    <row r="26423" customFormat="1" x14ac:dyDescent="0.3"/>
    <row r="26424" customFormat="1" x14ac:dyDescent="0.3"/>
    <row r="26425" customFormat="1" x14ac:dyDescent="0.3"/>
    <row r="26426" customFormat="1" x14ac:dyDescent="0.3"/>
    <row r="26427" customFormat="1" x14ac:dyDescent="0.3"/>
    <row r="26428" customFormat="1" x14ac:dyDescent="0.3"/>
    <row r="26429" customFormat="1" x14ac:dyDescent="0.3"/>
    <row r="26430" customFormat="1" x14ac:dyDescent="0.3"/>
    <row r="26431" customFormat="1" x14ac:dyDescent="0.3"/>
    <row r="26432" customFormat="1" x14ac:dyDescent="0.3"/>
    <row r="26433" customFormat="1" x14ac:dyDescent="0.3"/>
    <row r="26434" customFormat="1" x14ac:dyDescent="0.3"/>
    <row r="26435" customFormat="1" x14ac:dyDescent="0.3"/>
    <row r="26436" customFormat="1" x14ac:dyDescent="0.3"/>
    <row r="26437" customFormat="1" x14ac:dyDescent="0.3"/>
    <row r="26438" customFormat="1" x14ac:dyDescent="0.3"/>
    <row r="26439" customFormat="1" x14ac:dyDescent="0.3"/>
    <row r="26440" customFormat="1" x14ac:dyDescent="0.3"/>
    <row r="26441" customFormat="1" x14ac:dyDescent="0.3"/>
    <row r="26442" customFormat="1" x14ac:dyDescent="0.3"/>
    <row r="26443" customFormat="1" x14ac:dyDescent="0.3"/>
    <row r="26444" customFormat="1" x14ac:dyDescent="0.3"/>
    <row r="26445" customFormat="1" x14ac:dyDescent="0.3"/>
    <row r="26446" customFormat="1" x14ac:dyDescent="0.3"/>
    <row r="26447" customFormat="1" x14ac:dyDescent="0.3"/>
    <row r="26448" customFormat="1" x14ac:dyDescent="0.3"/>
    <row r="26449" customFormat="1" x14ac:dyDescent="0.3"/>
    <row r="26450" customFormat="1" x14ac:dyDescent="0.3"/>
    <row r="26451" customFormat="1" x14ac:dyDescent="0.3"/>
    <row r="26452" customFormat="1" x14ac:dyDescent="0.3"/>
    <row r="26453" customFormat="1" x14ac:dyDescent="0.3"/>
    <row r="26454" customFormat="1" x14ac:dyDescent="0.3"/>
    <row r="26455" customFormat="1" x14ac:dyDescent="0.3"/>
    <row r="26456" customFormat="1" x14ac:dyDescent="0.3"/>
    <row r="26457" customFormat="1" x14ac:dyDescent="0.3"/>
    <row r="26458" customFormat="1" x14ac:dyDescent="0.3"/>
    <row r="26459" customFormat="1" x14ac:dyDescent="0.3"/>
    <row r="26460" customFormat="1" x14ac:dyDescent="0.3"/>
    <row r="26461" customFormat="1" x14ac:dyDescent="0.3"/>
    <row r="26462" customFormat="1" x14ac:dyDescent="0.3"/>
    <row r="26463" customFormat="1" x14ac:dyDescent="0.3"/>
    <row r="26464" customFormat="1" x14ac:dyDescent="0.3"/>
    <row r="26465" customFormat="1" x14ac:dyDescent="0.3"/>
    <row r="26466" customFormat="1" x14ac:dyDescent="0.3"/>
    <row r="26467" customFormat="1" x14ac:dyDescent="0.3"/>
    <row r="26468" customFormat="1" x14ac:dyDescent="0.3"/>
    <row r="26469" customFormat="1" x14ac:dyDescent="0.3"/>
    <row r="26470" customFormat="1" x14ac:dyDescent="0.3"/>
    <row r="26471" customFormat="1" x14ac:dyDescent="0.3"/>
    <row r="26472" customFormat="1" x14ac:dyDescent="0.3"/>
    <row r="26473" customFormat="1" x14ac:dyDescent="0.3"/>
    <row r="26474" customFormat="1" x14ac:dyDescent="0.3"/>
    <row r="26475" customFormat="1" x14ac:dyDescent="0.3"/>
    <row r="26476" customFormat="1" x14ac:dyDescent="0.3"/>
    <row r="26477" customFormat="1" x14ac:dyDescent="0.3"/>
    <row r="26478" customFormat="1" x14ac:dyDescent="0.3"/>
    <row r="26479" customFormat="1" x14ac:dyDescent="0.3"/>
    <row r="26480" customFormat="1" x14ac:dyDescent="0.3"/>
    <row r="26481" customFormat="1" x14ac:dyDescent="0.3"/>
    <row r="26482" customFormat="1" x14ac:dyDescent="0.3"/>
    <row r="26483" customFormat="1" x14ac:dyDescent="0.3"/>
    <row r="26484" customFormat="1" x14ac:dyDescent="0.3"/>
    <row r="26485" customFormat="1" x14ac:dyDescent="0.3"/>
    <row r="26486" customFormat="1" x14ac:dyDescent="0.3"/>
    <row r="26487" customFormat="1" x14ac:dyDescent="0.3"/>
    <row r="26488" customFormat="1" x14ac:dyDescent="0.3"/>
    <row r="26489" customFormat="1" x14ac:dyDescent="0.3"/>
    <row r="26490" customFormat="1" x14ac:dyDescent="0.3"/>
    <row r="26491" customFormat="1" x14ac:dyDescent="0.3"/>
    <row r="26492" customFormat="1" x14ac:dyDescent="0.3"/>
    <row r="26493" customFormat="1" x14ac:dyDescent="0.3"/>
    <row r="26494" customFormat="1" x14ac:dyDescent="0.3"/>
    <row r="26495" customFormat="1" x14ac:dyDescent="0.3"/>
    <row r="26496" customFormat="1" x14ac:dyDescent="0.3"/>
    <row r="26497" customFormat="1" x14ac:dyDescent="0.3"/>
    <row r="26498" customFormat="1" x14ac:dyDescent="0.3"/>
    <row r="26499" customFormat="1" x14ac:dyDescent="0.3"/>
    <row r="26500" customFormat="1" x14ac:dyDescent="0.3"/>
    <row r="26501" customFormat="1" x14ac:dyDescent="0.3"/>
    <row r="26502" customFormat="1" x14ac:dyDescent="0.3"/>
    <row r="26503" customFormat="1" x14ac:dyDescent="0.3"/>
    <row r="26504" customFormat="1" x14ac:dyDescent="0.3"/>
    <row r="26505" customFormat="1" x14ac:dyDescent="0.3"/>
    <row r="26506" customFormat="1" x14ac:dyDescent="0.3"/>
    <row r="26507" customFormat="1" x14ac:dyDescent="0.3"/>
    <row r="26508" customFormat="1" x14ac:dyDescent="0.3"/>
    <row r="26509" customFormat="1" x14ac:dyDescent="0.3"/>
    <row r="26510" customFormat="1" x14ac:dyDescent="0.3"/>
    <row r="26511" customFormat="1" x14ac:dyDescent="0.3"/>
    <row r="26512" customFormat="1" x14ac:dyDescent="0.3"/>
    <row r="26513" customFormat="1" x14ac:dyDescent="0.3"/>
    <row r="26514" customFormat="1" x14ac:dyDescent="0.3"/>
    <row r="26515" customFormat="1" x14ac:dyDescent="0.3"/>
    <row r="26516" customFormat="1" x14ac:dyDescent="0.3"/>
    <row r="26517" customFormat="1" x14ac:dyDescent="0.3"/>
    <row r="26518" customFormat="1" x14ac:dyDescent="0.3"/>
    <row r="26519" customFormat="1" x14ac:dyDescent="0.3"/>
    <row r="26520" customFormat="1" x14ac:dyDescent="0.3"/>
    <row r="26521" customFormat="1" x14ac:dyDescent="0.3"/>
    <row r="26522" customFormat="1" x14ac:dyDescent="0.3"/>
    <row r="26523" customFormat="1" x14ac:dyDescent="0.3"/>
    <row r="26524" customFormat="1" x14ac:dyDescent="0.3"/>
    <row r="26525" customFormat="1" x14ac:dyDescent="0.3"/>
    <row r="26526" customFormat="1" x14ac:dyDescent="0.3"/>
    <row r="26527" customFormat="1" x14ac:dyDescent="0.3"/>
    <row r="26528" customFormat="1" x14ac:dyDescent="0.3"/>
    <row r="26529" customFormat="1" x14ac:dyDescent="0.3"/>
    <row r="26530" customFormat="1" x14ac:dyDescent="0.3"/>
    <row r="26531" customFormat="1" x14ac:dyDescent="0.3"/>
    <row r="26532" customFormat="1" x14ac:dyDescent="0.3"/>
    <row r="26533" customFormat="1" x14ac:dyDescent="0.3"/>
    <row r="26534" customFormat="1" x14ac:dyDescent="0.3"/>
    <row r="26535" customFormat="1" x14ac:dyDescent="0.3"/>
    <row r="26536" customFormat="1" x14ac:dyDescent="0.3"/>
    <row r="26537" customFormat="1" x14ac:dyDescent="0.3"/>
    <row r="26538" customFormat="1" x14ac:dyDescent="0.3"/>
    <row r="26539" customFormat="1" x14ac:dyDescent="0.3"/>
    <row r="26540" customFormat="1" x14ac:dyDescent="0.3"/>
    <row r="26541" customFormat="1" x14ac:dyDescent="0.3"/>
    <row r="26542" customFormat="1" x14ac:dyDescent="0.3"/>
    <row r="26543" customFormat="1" x14ac:dyDescent="0.3"/>
    <row r="26544" customFormat="1" x14ac:dyDescent="0.3"/>
    <row r="26545" customFormat="1" x14ac:dyDescent="0.3"/>
    <row r="26546" customFormat="1" x14ac:dyDescent="0.3"/>
    <row r="26547" customFormat="1" x14ac:dyDescent="0.3"/>
    <row r="26548" customFormat="1" x14ac:dyDescent="0.3"/>
    <row r="26549" customFormat="1" x14ac:dyDescent="0.3"/>
    <row r="26550" customFormat="1" x14ac:dyDescent="0.3"/>
    <row r="26551" customFormat="1" x14ac:dyDescent="0.3"/>
    <row r="26552" customFormat="1" x14ac:dyDescent="0.3"/>
    <row r="26553" customFormat="1" x14ac:dyDescent="0.3"/>
    <row r="26554" customFormat="1" x14ac:dyDescent="0.3"/>
    <row r="26555" customFormat="1" x14ac:dyDescent="0.3"/>
    <row r="26556" customFormat="1" x14ac:dyDescent="0.3"/>
    <row r="26557" customFormat="1" x14ac:dyDescent="0.3"/>
    <row r="26558" customFormat="1" x14ac:dyDescent="0.3"/>
    <row r="26559" customFormat="1" x14ac:dyDescent="0.3"/>
    <row r="26560" customFormat="1" x14ac:dyDescent="0.3"/>
    <row r="26561" customFormat="1" x14ac:dyDescent="0.3"/>
    <row r="26562" customFormat="1" x14ac:dyDescent="0.3"/>
    <row r="26563" customFormat="1" x14ac:dyDescent="0.3"/>
    <row r="26564" customFormat="1" x14ac:dyDescent="0.3"/>
    <row r="26565" customFormat="1" x14ac:dyDescent="0.3"/>
    <row r="26566" customFormat="1" x14ac:dyDescent="0.3"/>
    <row r="26567" customFormat="1" x14ac:dyDescent="0.3"/>
    <row r="26568" customFormat="1" x14ac:dyDescent="0.3"/>
    <row r="26569" customFormat="1" x14ac:dyDescent="0.3"/>
    <row r="26570" customFormat="1" x14ac:dyDescent="0.3"/>
    <row r="26571" customFormat="1" x14ac:dyDescent="0.3"/>
    <row r="26572" customFormat="1" x14ac:dyDescent="0.3"/>
    <row r="26573" customFormat="1" x14ac:dyDescent="0.3"/>
    <row r="26574" customFormat="1" x14ac:dyDescent="0.3"/>
    <row r="26575" customFormat="1" x14ac:dyDescent="0.3"/>
    <row r="26576" customFormat="1" x14ac:dyDescent="0.3"/>
    <row r="26577" customFormat="1" x14ac:dyDescent="0.3"/>
    <row r="26578" customFormat="1" x14ac:dyDescent="0.3"/>
    <row r="26579" customFormat="1" x14ac:dyDescent="0.3"/>
    <row r="26580" customFormat="1" x14ac:dyDescent="0.3"/>
    <row r="26581" customFormat="1" x14ac:dyDescent="0.3"/>
    <row r="26582" customFormat="1" x14ac:dyDescent="0.3"/>
    <row r="26583" customFormat="1" x14ac:dyDescent="0.3"/>
    <row r="26584" customFormat="1" x14ac:dyDescent="0.3"/>
    <row r="26585" customFormat="1" x14ac:dyDescent="0.3"/>
    <row r="26586" customFormat="1" x14ac:dyDescent="0.3"/>
    <row r="26587" customFormat="1" x14ac:dyDescent="0.3"/>
    <row r="26588" customFormat="1" x14ac:dyDescent="0.3"/>
    <row r="26589" customFormat="1" x14ac:dyDescent="0.3"/>
    <row r="26590" customFormat="1" x14ac:dyDescent="0.3"/>
    <row r="26591" customFormat="1" x14ac:dyDescent="0.3"/>
    <row r="26592" customFormat="1" x14ac:dyDescent="0.3"/>
    <row r="26593" customFormat="1" x14ac:dyDescent="0.3"/>
    <row r="26594" customFormat="1" x14ac:dyDescent="0.3"/>
    <row r="26595" customFormat="1" x14ac:dyDescent="0.3"/>
    <row r="26596" customFormat="1" x14ac:dyDescent="0.3"/>
    <row r="26597" customFormat="1" x14ac:dyDescent="0.3"/>
    <row r="26598" customFormat="1" x14ac:dyDescent="0.3"/>
    <row r="26599" customFormat="1" x14ac:dyDescent="0.3"/>
    <row r="26600" customFormat="1" x14ac:dyDescent="0.3"/>
    <row r="26601" customFormat="1" x14ac:dyDescent="0.3"/>
    <row r="26602" customFormat="1" x14ac:dyDescent="0.3"/>
    <row r="26603" customFormat="1" x14ac:dyDescent="0.3"/>
    <row r="26604" customFormat="1" x14ac:dyDescent="0.3"/>
    <row r="26605" customFormat="1" x14ac:dyDescent="0.3"/>
    <row r="26606" customFormat="1" x14ac:dyDescent="0.3"/>
    <row r="26607" customFormat="1" x14ac:dyDescent="0.3"/>
    <row r="26608" customFormat="1" x14ac:dyDescent="0.3"/>
    <row r="26609" customFormat="1" x14ac:dyDescent="0.3"/>
    <row r="26610" customFormat="1" x14ac:dyDescent="0.3"/>
    <row r="26611" customFormat="1" x14ac:dyDescent="0.3"/>
    <row r="26612" customFormat="1" x14ac:dyDescent="0.3"/>
    <row r="26613" customFormat="1" x14ac:dyDescent="0.3"/>
    <row r="26614" customFormat="1" x14ac:dyDescent="0.3"/>
    <row r="26615" customFormat="1" x14ac:dyDescent="0.3"/>
    <row r="26616" customFormat="1" x14ac:dyDescent="0.3"/>
    <row r="26617" customFormat="1" x14ac:dyDescent="0.3"/>
    <row r="26618" customFormat="1" x14ac:dyDescent="0.3"/>
    <row r="26619" customFormat="1" x14ac:dyDescent="0.3"/>
    <row r="26620" customFormat="1" x14ac:dyDescent="0.3"/>
    <row r="26621" customFormat="1" x14ac:dyDescent="0.3"/>
    <row r="26622" customFormat="1" x14ac:dyDescent="0.3"/>
    <row r="26623" customFormat="1" x14ac:dyDescent="0.3"/>
    <row r="26624" customFormat="1" x14ac:dyDescent="0.3"/>
    <row r="26625" customFormat="1" x14ac:dyDescent="0.3"/>
    <row r="26626" customFormat="1" x14ac:dyDescent="0.3"/>
    <row r="26627" customFormat="1" x14ac:dyDescent="0.3"/>
    <row r="26628" customFormat="1" x14ac:dyDescent="0.3"/>
    <row r="26629" customFormat="1" x14ac:dyDescent="0.3"/>
    <row r="26630" customFormat="1" x14ac:dyDescent="0.3"/>
    <row r="26631" customFormat="1" x14ac:dyDescent="0.3"/>
    <row r="26632" customFormat="1" x14ac:dyDescent="0.3"/>
    <row r="26633" customFormat="1" x14ac:dyDescent="0.3"/>
    <row r="26634" customFormat="1" x14ac:dyDescent="0.3"/>
    <row r="26635" customFormat="1" x14ac:dyDescent="0.3"/>
    <row r="26636" customFormat="1" x14ac:dyDescent="0.3"/>
    <row r="26637" customFormat="1" x14ac:dyDescent="0.3"/>
    <row r="26638" customFormat="1" x14ac:dyDescent="0.3"/>
    <row r="26639" customFormat="1" x14ac:dyDescent="0.3"/>
    <row r="26640" customFormat="1" x14ac:dyDescent="0.3"/>
    <row r="26641" customFormat="1" x14ac:dyDescent="0.3"/>
    <row r="26642" customFormat="1" x14ac:dyDescent="0.3"/>
    <row r="26643" customFormat="1" x14ac:dyDescent="0.3"/>
    <row r="26644" customFormat="1" x14ac:dyDescent="0.3"/>
    <row r="26645" customFormat="1" x14ac:dyDescent="0.3"/>
    <row r="26646" customFormat="1" x14ac:dyDescent="0.3"/>
    <row r="26647" customFormat="1" x14ac:dyDescent="0.3"/>
    <row r="26648" customFormat="1" x14ac:dyDescent="0.3"/>
    <row r="26649" customFormat="1" x14ac:dyDescent="0.3"/>
    <row r="26650" customFormat="1" x14ac:dyDescent="0.3"/>
    <row r="26651" customFormat="1" x14ac:dyDescent="0.3"/>
    <row r="26652" customFormat="1" x14ac:dyDescent="0.3"/>
    <row r="26653" customFormat="1" x14ac:dyDescent="0.3"/>
    <row r="26654" customFormat="1" x14ac:dyDescent="0.3"/>
    <row r="26655" customFormat="1" x14ac:dyDescent="0.3"/>
    <row r="26656" customFormat="1" x14ac:dyDescent="0.3"/>
    <row r="26657" customFormat="1" x14ac:dyDescent="0.3"/>
    <row r="26658" customFormat="1" x14ac:dyDescent="0.3"/>
    <row r="26659" customFormat="1" x14ac:dyDescent="0.3"/>
    <row r="26660" customFormat="1" x14ac:dyDescent="0.3"/>
    <row r="26661" customFormat="1" x14ac:dyDescent="0.3"/>
    <row r="26662" customFormat="1" x14ac:dyDescent="0.3"/>
    <row r="26663" customFormat="1" x14ac:dyDescent="0.3"/>
    <row r="26664" customFormat="1" x14ac:dyDescent="0.3"/>
    <row r="26665" customFormat="1" x14ac:dyDescent="0.3"/>
    <row r="26666" customFormat="1" x14ac:dyDescent="0.3"/>
    <row r="26667" customFormat="1" x14ac:dyDescent="0.3"/>
    <row r="26668" customFormat="1" x14ac:dyDescent="0.3"/>
    <row r="26669" customFormat="1" x14ac:dyDescent="0.3"/>
    <row r="26670" customFormat="1" x14ac:dyDescent="0.3"/>
    <row r="26671" customFormat="1" x14ac:dyDescent="0.3"/>
    <row r="26672" customFormat="1" x14ac:dyDescent="0.3"/>
    <row r="26673" customFormat="1" x14ac:dyDescent="0.3"/>
    <row r="26674" customFormat="1" x14ac:dyDescent="0.3"/>
    <row r="26675" customFormat="1" x14ac:dyDescent="0.3"/>
    <row r="26676" customFormat="1" x14ac:dyDescent="0.3"/>
    <row r="26677" customFormat="1" x14ac:dyDescent="0.3"/>
    <row r="26678" customFormat="1" x14ac:dyDescent="0.3"/>
    <row r="26679" customFormat="1" x14ac:dyDescent="0.3"/>
    <row r="26680" customFormat="1" x14ac:dyDescent="0.3"/>
    <row r="26681" customFormat="1" x14ac:dyDescent="0.3"/>
    <row r="26682" customFormat="1" x14ac:dyDescent="0.3"/>
    <row r="26683" customFormat="1" x14ac:dyDescent="0.3"/>
    <row r="26684" customFormat="1" x14ac:dyDescent="0.3"/>
    <row r="26685" customFormat="1" x14ac:dyDescent="0.3"/>
    <row r="26686" customFormat="1" x14ac:dyDescent="0.3"/>
    <row r="26687" customFormat="1" x14ac:dyDescent="0.3"/>
    <row r="26688" customFormat="1" x14ac:dyDescent="0.3"/>
    <row r="26689" customFormat="1" x14ac:dyDescent="0.3"/>
    <row r="26690" customFormat="1" x14ac:dyDescent="0.3"/>
    <row r="26691" customFormat="1" x14ac:dyDescent="0.3"/>
    <row r="26692" customFormat="1" x14ac:dyDescent="0.3"/>
    <row r="26693" customFormat="1" x14ac:dyDescent="0.3"/>
    <row r="26694" customFormat="1" x14ac:dyDescent="0.3"/>
    <row r="26695" customFormat="1" x14ac:dyDescent="0.3"/>
    <row r="26696" customFormat="1" x14ac:dyDescent="0.3"/>
    <row r="26697" customFormat="1" x14ac:dyDescent="0.3"/>
    <row r="26698" customFormat="1" x14ac:dyDescent="0.3"/>
    <row r="26699" customFormat="1" x14ac:dyDescent="0.3"/>
    <row r="26700" customFormat="1" x14ac:dyDescent="0.3"/>
    <row r="26701" customFormat="1" x14ac:dyDescent="0.3"/>
    <row r="26702" customFormat="1" x14ac:dyDescent="0.3"/>
    <row r="26703" customFormat="1" x14ac:dyDescent="0.3"/>
    <row r="26704" customFormat="1" x14ac:dyDescent="0.3"/>
    <row r="26705" customFormat="1" x14ac:dyDescent="0.3"/>
    <row r="26706" customFormat="1" x14ac:dyDescent="0.3"/>
    <row r="26707" customFormat="1" x14ac:dyDescent="0.3"/>
    <row r="26708" customFormat="1" x14ac:dyDescent="0.3"/>
    <row r="26709" customFormat="1" x14ac:dyDescent="0.3"/>
    <row r="26710" customFormat="1" x14ac:dyDescent="0.3"/>
    <row r="26711" customFormat="1" x14ac:dyDescent="0.3"/>
    <row r="26712" customFormat="1" x14ac:dyDescent="0.3"/>
    <row r="26713" customFormat="1" x14ac:dyDescent="0.3"/>
    <row r="26714" customFormat="1" x14ac:dyDescent="0.3"/>
    <row r="26715" customFormat="1" x14ac:dyDescent="0.3"/>
    <row r="26716" customFormat="1" x14ac:dyDescent="0.3"/>
    <row r="26717" customFormat="1" x14ac:dyDescent="0.3"/>
    <row r="26718" customFormat="1" x14ac:dyDescent="0.3"/>
    <row r="26719" customFormat="1" x14ac:dyDescent="0.3"/>
    <row r="26720" customFormat="1" x14ac:dyDescent="0.3"/>
    <row r="26721" customFormat="1" x14ac:dyDescent="0.3"/>
    <row r="26722" customFormat="1" x14ac:dyDescent="0.3"/>
    <row r="26723" customFormat="1" x14ac:dyDescent="0.3"/>
    <row r="26724" customFormat="1" x14ac:dyDescent="0.3"/>
    <row r="26725" customFormat="1" x14ac:dyDescent="0.3"/>
    <row r="26726" customFormat="1" x14ac:dyDescent="0.3"/>
    <row r="26727" customFormat="1" x14ac:dyDescent="0.3"/>
    <row r="26728" customFormat="1" x14ac:dyDescent="0.3"/>
    <row r="26729" customFormat="1" x14ac:dyDescent="0.3"/>
    <row r="26730" customFormat="1" x14ac:dyDescent="0.3"/>
    <row r="26731" customFormat="1" x14ac:dyDescent="0.3"/>
    <row r="26732" customFormat="1" x14ac:dyDescent="0.3"/>
    <row r="26733" customFormat="1" x14ac:dyDescent="0.3"/>
    <row r="26734" customFormat="1" x14ac:dyDescent="0.3"/>
    <row r="26735" customFormat="1" x14ac:dyDescent="0.3"/>
    <row r="26736" customFormat="1" x14ac:dyDescent="0.3"/>
    <row r="26737" customFormat="1" x14ac:dyDescent="0.3"/>
    <row r="26738" customFormat="1" x14ac:dyDescent="0.3"/>
    <row r="26739" customFormat="1" x14ac:dyDescent="0.3"/>
    <row r="26740" customFormat="1" x14ac:dyDescent="0.3"/>
    <row r="26741" customFormat="1" x14ac:dyDescent="0.3"/>
    <row r="26742" customFormat="1" x14ac:dyDescent="0.3"/>
    <row r="26743" customFormat="1" x14ac:dyDescent="0.3"/>
    <row r="26744" customFormat="1" x14ac:dyDescent="0.3"/>
    <row r="26745" customFormat="1" x14ac:dyDescent="0.3"/>
    <row r="26746" customFormat="1" x14ac:dyDescent="0.3"/>
    <row r="26747" customFormat="1" x14ac:dyDescent="0.3"/>
    <row r="26748" customFormat="1" x14ac:dyDescent="0.3"/>
    <row r="26749" customFormat="1" x14ac:dyDescent="0.3"/>
    <row r="26750" customFormat="1" x14ac:dyDescent="0.3"/>
    <row r="26751" customFormat="1" x14ac:dyDescent="0.3"/>
    <row r="26752" customFormat="1" x14ac:dyDescent="0.3"/>
    <row r="26753" customFormat="1" x14ac:dyDescent="0.3"/>
    <row r="26754" customFormat="1" x14ac:dyDescent="0.3"/>
    <row r="26755" customFormat="1" x14ac:dyDescent="0.3"/>
    <row r="26756" customFormat="1" x14ac:dyDescent="0.3"/>
    <row r="26757" customFormat="1" x14ac:dyDescent="0.3"/>
    <row r="26758" customFormat="1" x14ac:dyDescent="0.3"/>
    <row r="26759" customFormat="1" x14ac:dyDescent="0.3"/>
    <row r="26760" customFormat="1" x14ac:dyDescent="0.3"/>
    <row r="26761" customFormat="1" x14ac:dyDescent="0.3"/>
    <row r="26762" customFormat="1" x14ac:dyDescent="0.3"/>
    <row r="26763" customFormat="1" x14ac:dyDescent="0.3"/>
    <row r="26764" customFormat="1" x14ac:dyDescent="0.3"/>
    <row r="26765" customFormat="1" x14ac:dyDescent="0.3"/>
    <row r="26766" customFormat="1" x14ac:dyDescent="0.3"/>
    <row r="26767" customFormat="1" x14ac:dyDescent="0.3"/>
    <row r="26768" customFormat="1" x14ac:dyDescent="0.3"/>
    <row r="26769" customFormat="1" x14ac:dyDescent="0.3"/>
    <row r="26770" customFormat="1" x14ac:dyDescent="0.3"/>
    <row r="26771" customFormat="1" x14ac:dyDescent="0.3"/>
    <row r="26772" customFormat="1" x14ac:dyDescent="0.3"/>
    <row r="26773" customFormat="1" x14ac:dyDescent="0.3"/>
    <row r="26774" customFormat="1" x14ac:dyDescent="0.3"/>
    <row r="26775" customFormat="1" x14ac:dyDescent="0.3"/>
    <row r="26776" customFormat="1" x14ac:dyDescent="0.3"/>
    <row r="26777" customFormat="1" x14ac:dyDescent="0.3"/>
    <row r="26778" customFormat="1" x14ac:dyDescent="0.3"/>
    <row r="26779" customFormat="1" x14ac:dyDescent="0.3"/>
    <row r="26780" customFormat="1" x14ac:dyDescent="0.3"/>
    <row r="26781" customFormat="1" x14ac:dyDescent="0.3"/>
    <row r="26782" customFormat="1" x14ac:dyDescent="0.3"/>
    <row r="26783" customFormat="1" x14ac:dyDescent="0.3"/>
    <row r="26784" customFormat="1" x14ac:dyDescent="0.3"/>
    <row r="26785" customFormat="1" x14ac:dyDescent="0.3"/>
    <row r="26786" customFormat="1" x14ac:dyDescent="0.3"/>
    <row r="26787" customFormat="1" x14ac:dyDescent="0.3"/>
    <row r="26788" customFormat="1" x14ac:dyDescent="0.3"/>
    <row r="26789" customFormat="1" x14ac:dyDescent="0.3"/>
    <row r="26790" customFormat="1" x14ac:dyDescent="0.3"/>
    <row r="26791" customFormat="1" x14ac:dyDescent="0.3"/>
    <row r="26792" customFormat="1" x14ac:dyDescent="0.3"/>
    <row r="26793" customFormat="1" x14ac:dyDescent="0.3"/>
    <row r="26794" customFormat="1" x14ac:dyDescent="0.3"/>
    <row r="26795" customFormat="1" x14ac:dyDescent="0.3"/>
    <row r="26796" customFormat="1" x14ac:dyDescent="0.3"/>
    <row r="26797" customFormat="1" x14ac:dyDescent="0.3"/>
    <row r="26798" customFormat="1" x14ac:dyDescent="0.3"/>
    <row r="26799" customFormat="1" x14ac:dyDescent="0.3"/>
    <row r="26800" customFormat="1" x14ac:dyDescent="0.3"/>
    <row r="26801" customFormat="1" x14ac:dyDescent="0.3"/>
    <row r="26802" customFormat="1" x14ac:dyDescent="0.3"/>
    <row r="26803" customFormat="1" x14ac:dyDescent="0.3"/>
    <row r="26804" customFormat="1" x14ac:dyDescent="0.3"/>
    <row r="26805" customFormat="1" x14ac:dyDescent="0.3"/>
    <row r="26806" customFormat="1" x14ac:dyDescent="0.3"/>
    <row r="26807" customFormat="1" x14ac:dyDescent="0.3"/>
    <row r="26808" customFormat="1" x14ac:dyDescent="0.3"/>
    <row r="26809" customFormat="1" x14ac:dyDescent="0.3"/>
    <row r="26810" customFormat="1" x14ac:dyDescent="0.3"/>
    <row r="26811" customFormat="1" x14ac:dyDescent="0.3"/>
    <row r="26812" customFormat="1" x14ac:dyDescent="0.3"/>
    <row r="26813" customFormat="1" x14ac:dyDescent="0.3"/>
    <row r="26814" customFormat="1" x14ac:dyDescent="0.3"/>
    <row r="26815" customFormat="1" x14ac:dyDescent="0.3"/>
    <row r="26816" customFormat="1" x14ac:dyDescent="0.3"/>
    <row r="26817" customFormat="1" x14ac:dyDescent="0.3"/>
    <row r="26818" customFormat="1" x14ac:dyDescent="0.3"/>
    <row r="26819" customFormat="1" x14ac:dyDescent="0.3"/>
    <row r="26820" customFormat="1" x14ac:dyDescent="0.3"/>
    <row r="26821" customFormat="1" x14ac:dyDescent="0.3"/>
    <row r="26822" customFormat="1" x14ac:dyDescent="0.3"/>
    <row r="26823" customFormat="1" x14ac:dyDescent="0.3"/>
    <row r="26824" customFormat="1" x14ac:dyDescent="0.3"/>
    <row r="26825" customFormat="1" x14ac:dyDescent="0.3"/>
    <row r="26826" customFormat="1" x14ac:dyDescent="0.3"/>
    <row r="26827" customFormat="1" x14ac:dyDescent="0.3"/>
    <row r="26828" customFormat="1" x14ac:dyDescent="0.3"/>
    <row r="26829" customFormat="1" x14ac:dyDescent="0.3"/>
    <row r="26830" customFormat="1" x14ac:dyDescent="0.3"/>
    <row r="26831" customFormat="1" x14ac:dyDescent="0.3"/>
    <row r="26832" customFormat="1" x14ac:dyDescent="0.3"/>
    <row r="26833" customFormat="1" x14ac:dyDescent="0.3"/>
    <row r="26834" customFormat="1" x14ac:dyDescent="0.3"/>
    <row r="26835" customFormat="1" x14ac:dyDescent="0.3"/>
    <row r="26836" customFormat="1" x14ac:dyDescent="0.3"/>
    <row r="26837" customFormat="1" x14ac:dyDescent="0.3"/>
    <row r="26838" customFormat="1" x14ac:dyDescent="0.3"/>
    <row r="26839" customFormat="1" x14ac:dyDescent="0.3"/>
    <row r="26840" customFormat="1" x14ac:dyDescent="0.3"/>
    <row r="26841" customFormat="1" x14ac:dyDescent="0.3"/>
    <row r="26842" customFormat="1" x14ac:dyDescent="0.3"/>
    <row r="26843" customFormat="1" x14ac:dyDescent="0.3"/>
    <row r="26844" customFormat="1" x14ac:dyDescent="0.3"/>
    <row r="26845" customFormat="1" x14ac:dyDescent="0.3"/>
    <row r="26846" customFormat="1" x14ac:dyDescent="0.3"/>
    <row r="26847" customFormat="1" x14ac:dyDescent="0.3"/>
    <row r="26848" customFormat="1" x14ac:dyDescent="0.3"/>
    <row r="26849" customFormat="1" x14ac:dyDescent="0.3"/>
    <row r="26850" customFormat="1" x14ac:dyDescent="0.3"/>
    <row r="26851" customFormat="1" x14ac:dyDescent="0.3"/>
    <row r="26852" customFormat="1" x14ac:dyDescent="0.3"/>
    <row r="26853" customFormat="1" x14ac:dyDescent="0.3"/>
    <row r="26854" customFormat="1" x14ac:dyDescent="0.3"/>
    <row r="26855" customFormat="1" x14ac:dyDescent="0.3"/>
    <row r="26856" customFormat="1" x14ac:dyDescent="0.3"/>
    <row r="26857" customFormat="1" x14ac:dyDescent="0.3"/>
    <row r="26858" customFormat="1" x14ac:dyDescent="0.3"/>
    <row r="26859" customFormat="1" x14ac:dyDescent="0.3"/>
    <row r="26860" customFormat="1" x14ac:dyDescent="0.3"/>
    <row r="26861" customFormat="1" x14ac:dyDescent="0.3"/>
    <row r="26862" customFormat="1" x14ac:dyDescent="0.3"/>
    <row r="26863" customFormat="1" x14ac:dyDescent="0.3"/>
    <row r="26864" customFormat="1" x14ac:dyDescent="0.3"/>
    <row r="26865" customFormat="1" x14ac:dyDescent="0.3"/>
    <row r="26866" customFormat="1" x14ac:dyDescent="0.3"/>
    <row r="26867" customFormat="1" x14ac:dyDescent="0.3"/>
    <row r="26868" customFormat="1" x14ac:dyDescent="0.3"/>
    <row r="26869" customFormat="1" x14ac:dyDescent="0.3"/>
    <row r="26870" customFormat="1" x14ac:dyDescent="0.3"/>
    <row r="26871" customFormat="1" x14ac:dyDescent="0.3"/>
    <row r="26872" customFormat="1" x14ac:dyDescent="0.3"/>
    <row r="26873" customFormat="1" x14ac:dyDescent="0.3"/>
    <row r="26874" customFormat="1" x14ac:dyDescent="0.3"/>
    <row r="26875" customFormat="1" x14ac:dyDescent="0.3"/>
    <row r="26876" customFormat="1" x14ac:dyDescent="0.3"/>
    <row r="26877" customFormat="1" x14ac:dyDescent="0.3"/>
    <row r="26878" customFormat="1" x14ac:dyDescent="0.3"/>
    <row r="26879" customFormat="1" x14ac:dyDescent="0.3"/>
    <row r="26880" customFormat="1" x14ac:dyDescent="0.3"/>
    <row r="26881" customFormat="1" x14ac:dyDescent="0.3"/>
    <row r="26882" customFormat="1" x14ac:dyDescent="0.3"/>
    <row r="26883" customFormat="1" x14ac:dyDescent="0.3"/>
    <row r="26884" customFormat="1" x14ac:dyDescent="0.3"/>
    <row r="26885" customFormat="1" x14ac:dyDescent="0.3"/>
    <row r="26886" customFormat="1" x14ac:dyDescent="0.3"/>
    <row r="26887" customFormat="1" x14ac:dyDescent="0.3"/>
    <row r="26888" customFormat="1" x14ac:dyDescent="0.3"/>
    <row r="26889" customFormat="1" x14ac:dyDescent="0.3"/>
    <row r="26890" customFormat="1" x14ac:dyDescent="0.3"/>
    <row r="26891" customFormat="1" x14ac:dyDescent="0.3"/>
    <row r="26892" customFormat="1" x14ac:dyDescent="0.3"/>
    <row r="26893" customFormat="1" x14ac:dyDescent="0.3"/>
    <row r="26894" customFormat="1" x14ac:dyDescent="0.3"/>
    <row r="26895" customFormat="1" x14ac:dyDescent="0.3"/>
    <row r="26896" customFormat="1" x14ac:dyDescent="0.3"/>
    <row r="26897" customFormat="1" x14ac:dyDescent="0.3"/>
    <row r="26898" customFormat="1" x14ac:dyDescent="0.3"/>
    <row r="26899" customFormat="1" x14ac:dyDescent="0.3"/>
    <row r="26900" customFormat="1" x14ac:dyDescent="0.3"/>
    <row r="26901" customFormat="1" x14ac:dyDescent="0.3"/>
    <row r="26902" customFormat="1" x14ac:dyDescent="0.3"/>
    <row r="26903" customFormat="1" x14ac:dyDescent="0.3"/>
    <row r="26904" customFormat="1" x14ac:dyDescent="0.3"/>
    <row r="26905" customFormat="1" x14ac:dyDescent="0.3"/>
    <row r="26906" customFormat="1" x14ac:dyDescent="0.3"/>
    <row r="26907" customFormat="1" x14ac:dyDescent="0.3"/>
    <row r="26908" customFormat="1" x14ac:dyDescent="0.3"/>
    <row r="26909" customFormat="1" x14ac:dyDescent="0.3"/>
    <row r="26910" customFormat="1" x14ac:dyDescent="0.3"/>
    <row r="26911" customFormat="1" x14ac:dyDescent="0.3"/>
    <row r="26912" customFormat="1" x14ac:dyDescent="0.3"/>
    <row r="26913" customFormat="1" x14ac:dyDescent="0.3"/>
    <row r="26914" customFormat="1" x14ac:dyDescent="0.3"/>
    <row r="26915" customFormat="1" x14ac:dyDescent="0.3"/>
    <row r="26916" customFormat="1" x14ac:dyDescent="0.3"/>
    <row r="26917" customFormat="1" x14ac:dyDescent="0.3"/>
    <row r="26918" customFormat="1" x14ac:dyDescent="0.3"/>
    <row r="26919" customFormat="1" x14ac:dyDescent="0.3"/>
    <row r="26920" customFormat="1" x14ac:dyDescent="0.3"/>
    <row r="26921" customFormat="1" x14ac:dyDescent="0.3"/>
    <row r="26922" customFormat="1" x14ac:dyDescent="0.3"/>
    <row r="26923" customFormat="1" x14ac:dyDescent="0.3"/>
    <row r="26924" customFormat="1" x14ac:dyDescent="0.3"/>
    <row r="26925" customFormat="1" x14ac:dyDescent="0.3"/>
    <row r="26926" customFormat="1" x14ac:dyDescent="0.3"/>
    <row r="26927" customFormat="1" x14ac:dyDescent="0.3"/>
    <row r="26928" customFormat="1" x14ac:dyDescent="0.3"/>
    <row r="26929" customFormat="1" x14ac:dyDescent="0.3"/>
    <row r="26930" customFormat="1" x14ac:dyDescent="0.3"/>
    <row r="26931" customFormat="1" x14ac:dyDescent="0.3"/>
    <row r="26932" customFormat="1" x14ac:dyDescent="0.3"/>
    <row r="26933" customFormat="1" x14ac:dyDescent="0.3"/>
    <row r="26934" customFormat="1" x14ac:dyDescent="0.3"/>
    <row r="26935" customFormat="1" x14ac:dyDescent="0.3"/>
    <row r="26936" customFormat="1" x14ac:dyDescent="0.3"/>
    <row r="26937" customFormat="1" x14ac:dyDescent="0.3"/>
    <row r="26938" customFormat="1" x14ac:dyDescent="0.3"/>
    <row r="26939" customFormat="1" x14ac:dyDescent="0.3"/>
    <row r="26940" customFormat="1" x14ac:dyDescent="0.3"/>
    <row r="26941" customFormat="1" x14ac:dyDescent="0.3"/>
    <row r="26942" customFormat="1" x14ac:dyDescent="0.3"/>
    <row r="26943" customFormat="1" x14ac:dyDescent="0.3"/>
    <row r="26944" customFormat="1" x14ac:dyDescent="0.3"/>
    <row r="26945" customFormat="1" x14ac:dyDescent="0.3"/>
    <row r="26946" customFormat="1" x14ac:dyDescent="0.3"/>
    <row r="26947" customFormat="1" x14ac:dyDescent="0.3"/>
    <row r="26948" customFormat="1" x14ac:dyDescent="0.3"/>
    <row r="26949" customFormat="1" x14ac:dyDescent="0.3"/>
    <row r="26950" customFormat="1" x14ac:dyDescent="0.3"/>
    <row r="26951" customFormat="1" x14ac:dyDescent="0.3"/>
    <row r="26952" customFormat="1" x14ac:dyDescent="0.3"/>
    <row r="26953" customFormat="1" x14ac:dyDescent="0.3"/>
    <row r="26954" customFormat="1" x14ac:dyDescent="0.3"/>
    <row r="26955" customFormat="1" x14ac:dyDescent="0.3"/>
    <row r="26956" customFormat="1" x14ac:dyDescent="0.3"/>
    <row r="26957" customFormat="1" x14ac:dyDescent="0.3"/>
    <row r="26958" customFormat="1" x14ac:dyDescent="0.3"/>
    <row r="26959" customFormat="1" x14ac:dyDescent="0.3"/>
    <row r="26960" customFormat="1" x14ac:dyDescent="0.3"/>
    <row r="26961" customFormat="1" x14ac:dyDescent="0.3"/>
    <row r="26962" customFormat="1" x14ac:dyDescent="0.3"/>
    <row r="26963" customFormat="1" x14ac:dyDescent="0.3"/>
    <row r="26964" customFormat="1" x14ac:dyDescent="0.3"/>
    <row r="26965" customFormat="1" x14ac:dyDescent="0.3"/>
    <row r="26966" customFormat="1" x14ac:dyDescent="0.3"/>
    <row r="26967" customFormat="1" x14ac:dyDescent="0.3"/>
    <row r="26968" customFormat="1" x14ac:dyDescent="0.3"/>
    <row r="26969" customFormat="1" x14ac:dyDescent="0.3"/>
    <row r="26970" customFormat="1" x14ac:dyDescent="0.3"/>
    <row r="26971" customFormat="1" x14ac:dyDescent="0.3"/>
    <row r="26972" customFormat="1" x14ac:dyDescent="0.3"/>
    <row r="26973" customFormat="1" x14ac:dyDescent="0.3"/>
    <row r="26974" customFormat="1" x14ac:dyDescent="0.3"/>
    <row r="26975" customFormat="1" x14ac:dyDescent="0.3"/>
    <row r="26976" customFormat="1" x14ac:dyDescent="0.3"/>
    <row r="26977" customFormat="1" x14ac:dyDescent="0.3"/>
    <row r="26978" customFormat="1" x14ac:dyDescent="0.3"/>
    <row r="26979" customFormat="1" x14ac:dyDescent="0.3"/>
    <row r="26980" customFormat="1" x14ac:dyDescent="0.3"/>
    <row r="26981" customFormat="1" x14ac:dyDescent="0.3"/>
    <row r="26982" customFormat="1" x14ac:dyDescent="0.3"/>
    <row r="26983" customFormat="1" x14ac:dyDescent="0.3"/>
    <row r="26984" customFormat="1" x14ac:dyDescent="0.3"/>
    <row r="26985" customFormat="1" x14ac:dyDescent="0.3"/>
    <row r="26986" customFormat="1" x14ac:dyDescent="0.3"/>
    <row r="26987" customFormat="1" x14ac:dyDescent="0.3"/>
    <row r="26988" customFormat="1" x14ac:dyDescent="0.3"/>
    <row r="26989" customFormat="1" x14ac:dyDescent="0.3"/>
    <row r="26990" customFormat="1" x14ac:dyDescent="0.3"/>
    <row r="26991" customFormat="1" x14ac:dyDescent="0.3"/>
    <row r="26992" customFormat="1" x14ac:dyDescent="0.3"/>
    <row r="26993" customFormat="1" x14ac:dyDescent="0.3"/>
    <row r="26994" customFormat="1" x14ac:dyDescent="0.3"/>
    <row r="26995" customFormat="1" x14ac:dyDescent="0.3"/>
    <row r="26996" customFormat="1" x14ac:dyDescent="0.3"/>
    <row r="26997" customFormat="1" x14ac:dyDescent="0.3"/>
    <row r="26998" customFormat="1" x14ac:dyDescent="0.3"/>
    <row r="26999" customFormat="1" x14ac:dyDescent="0.3"/>
    <row r="27000" customFormat="1" x14ac:dyDescent="0.3"/>
    <row r="27001" customFormat="1" x14ac:dyDescent="0.3"/>
    <row r="27002" customFormat="1" x14ac:dyDescent="0.3"/>
    <row r="27003" customFormat="1" x14ac:dyDescent="0.3"/>
    <row r="27004" customFormat="1" x14ac:dyDescent="0.3"/>
    <row r="27005" customFormat="1" x14ac:dyDescent="0.3"/>
    <row r="27006" customFormat="1" x14ac:dyDescent="0.3"/>
    <row r="27007" customFormat="1" x14ac:dyDescent="0.3"/>
    <row r="27008" customFormat="1" x14ac:dyDescent="0.3"/>
    <row r="27009" customFormat="1" x14ac:dyDescent="0.3"/>
    <row r="27010" customFormat="1" x14ac:dyDescent="0.3"/>
    <row r="27011" customFormat="1" x14ac:dyDescent="0.3"/>
    <row r="27012" customFormat="1" x14ac:dyDescent="0.3"/>
    <row r="27013" customFormat="1" x14ac:dyDescent="0.3"/>
    <row r="27014" customFormat="1" x14ac:dyDescent="0.3"/>
    <row r="27015" customFormat="1" x14ac:dyDescent="0.3"/>
    <row r="27016" customFormat="1" x14ac:dyDescent="0.3"/>
    <row r="27017" customFormat="1" x14ac:dyDescent="0.3"/>
    <row r="27018" customFormat="1" x14ac:dyDescent="0.3"/>
    <row r="27019" customFormat="1" x14ac:dyDescent="0.3"/>
    <row r="27020" customFormat="1" x14ac:dyDescent="0.3"/>
    <row r="27021" customFormat="1" x14ac:dyDescent="0.3"/>
    <row r="27022" customFormat="1" x14ac:dyDescent="0.3"/>
    <row r="27023" customFormat="1" x14ac:dyDescent="0.3"/>
    <row r="27024" customFormat="1" x14ac:dyDescent="0.3"/>
    <row r="27025" customFormat="1" x14ac:dyDescent="0.3"/>
    <row r="27026" customFormat="1" x14ac:dyDescent="0.3"/>
    <row r="27027" customFormat="1" x14ac:dyDescent="0.3"/>
    <row r="27028" customFormat="1" x14ac:dyDescent="0.3"/>
    <row r="27029" customFormat="1" x14ac:dyDescent="0.3"/>
    <row r="27030" customFormat="1" x14ac:dyDescent="0.3"/>
    <row r="27031" customFormat="1" x14ac:dyDescent="0.3"/>
    <row r="27032" customFormat="1" x14ac:dyDescent="0.3"/>
    <row r="27033" customFormat="1" x14ac:dyDescent="0.3"/>
    <row r="27034" customFormat="1" x14ac:dyDescent="0.3"/>
    <row r="27035" customFormat="1" x14ac:dyDescent="0.3"/>
    <row r="27036" customFormat="1" x14ac:dyDescent="0.3"/>
    <row r="27037" customFormat="1" x14ac:dyDescent="0.3"/>
    <row r="27038" customFormat="1" x14ac:dyDescent="0.3"/>
    <row r="27039" customFormat="1" x14ac:dyDescent="0.3"/>
    <row r="27040" customFormat="1" x14ac:dyDescent="0.3"/>
    <row r="27041" customFormat="1" x14ac:dyDescent="0.3"/>
    <row r="27042" customFormat="1" x14ac:dyDescent="0.3"/>
    <row r="27043" customFormat="1" x14ac:dyDescent="0.3"/>
    <row r="27044" customFormat="1" x14ac:dyDescent="0.3"/>
    <row r="27045" customFormat="1" x14ac:dyDescent="0.3"/>
    <row r="27046" customFormat="1" x14ac:dyDescent="0.3"/>
    <row r="27047" customFormat="1" x14ac:dyDescent="0.3"/>
    <row r="27048" customFormat="1" x14ac:dyDescent="0.3"/>
    <row r="27049" customFormat="1" x14ac:dyDescent="0.3"/>
    <row r="27050" customFormat="1" x14ac:dyDescent="0.3"/>
    <row r="27051" customFormat="1" x14ac:dyDescent="0.3"/>
    <row r="27052" customFormat="1" x14ac:dyDescent="0.3"/>
    <row r="27053" customFormat="1" x14ac:dyDescent="0.3"/>
    <row r="27054" customFormat="1" x14ac:dyDescent="0.3"/>
    <row r="27055" customFormat="1" x14ac:dyDescent="0.3"/>
    <row r="27056" customFormat="1" x14ac:dyDescent="0.3"/>
    <row r="27057" customFormat="1" x14ac:dyDescent="0.3"/>
    <row r="27058" customFormat="1" x14ac:dyDescent="0.3"/>
    <row r="27059" customFormat="1" x14ac:dyDescent="0.3"/>
    <row r="27060" customFormat="1" x14ac:dyDescent="0.3"/>
    <row r="27061" customFormat="1" x14ac:dyDescent="0.3"/>
    <row r="27062" customFormat="1" x14ac:dyDescent="0.3"/>
    <row r="27063" customFormat="1" x14ac:dyDescent="0.3"/>
    <row r="27064" customFormat="1" x14ac:dyDescent="0.3"/>
    <row r="27065" customFormat="1" x14ac:dyDescent="0.3"/>
    <row r="27066" customFormat="1" x14ac:dyDescent="0.3"/>
    <row r="27067" customFormat="1" x14ac:dyDescent="0.3"/>
    <row r="27068" customFormat="1" x14ac:dyDescent="0.3"/>
    <row r="27069" customFormat="1" x14ac:dyDescent="0.3"/>
    <row r="27070" customFormat="1" x14ac:dyDescent="0.3"/>
    <row r="27071" customFormat="1" x14ac:dyDescent="0.3"/>
    <row r="27072" customFormat="1" x14ac:dyDescent="0.3"/>
    <row r="27073" customFormat="1" x14ac:dyDescent="0.3"/>
    <row r="27074" customFormat="1" x14ac:dyDescent="0.3"/>
    <row r="27075" customFormat="1" x14ac:dyDescent="0.3"/>
    <row r="27076" customFormat="1" x14ac:dyDescent="0.3"/>
    <row r="27077" customFormat="1" x14ac:dyDescent="0.3"/>
    <row r="27078" customFormat="1" x14ac:dyDescent="0.3"/>
    <row r="27079" customFormat="1" x14ac:dyDescent="0.3"/>
    <row r="27080" customFormat="1" x14ac:dyDescent="0.3"/>
    <row r="27081" customFormat="1" x14ac:dyDescent="0.3"/>
    <row r="27082" customFormat="1" x14ac:dyDescent="0.3"/>
    <row r="27083" customFormat="1" x14ac:dyDescent="0.3"/>
    <row r="27084" customFormat="1" x14ac:dyDescent="0.3"/>
    <row r="27085" customFormat="1" x14ac:dyDescent="0.3"/>
    <row r="27086" customFormat="1" x14ac:dyDescent="0.3"/>
    <row r="27087" customFormat="1" x14ac:dyDescent="0.3"/>
    <row r="27088" customFormat="1" x14ac:dyDescent="0.3"/>
    <row r="27089" customFormat="1" x14ac:dyDescent="0.3"/>
    <row r="27090" customFormat="1" x14ac:dyDescent="0.3"/>
    <row r="27091" customFormat="1" x14ac:dyDescent="0.3"/>
    <row r="27092" customFormat="1" x14ac:dyDescent="0.3"/>
    <row r="27093" customFormat="1" x14ac:dyDescent="0.3"/>
    <row r="27094" customFormat="1" x14ac:dyDescent="0.3"/>
    <row r="27095" customFormat="1" x14ac:dyDescent="0.3"/>
    <row r="27096" customFormat="1" x14ac:dyDescent="0.3"/>
    <row r="27097" customFormat="1" x14ac:dyDescent="0.3"/>
    <row r="27098" customFormat="1" x14ac:dyDescent="0.3"/>
    <row r="27099" customFormat="1" x14ac:dyDescent="0.3"/>
    <row r="27100" customFormat="1" x14ac:dyDescent="0.3"/>
    <row r="27101" customFormat="1" x14ac:dyDescent="0.3"/>
    <row r="27102" customFormat="1" x14ac:dyDescent="0.3"/>
    <row r="27103" customFormat="1" x14ac:dyDescent="0.3"/>
    <row r="27104" customFormat="1" x14ac:dyDescent="0.3"/>
    <row r="27105" customFormat="1" x14ac:dyDescent="0.3"/>
    <row r="27106" customFormat="1" x14ac:dyDescent="0.3"/>
    <row r="27107" customFormat="1" x14ac:dyDescent="0.3"/>
    <row r="27108" customFormat="1" x14ac:dyDescent="0.3"/>
    <row r="27109" customFormat="1" x14ac:dyDescent="0.3"/>
    <row r="27110" customFormat="1" x14ac:dyDescent="0.3"/>
    <row r="27111" customFormat="1" x14ac:dyDescent="0.3"/>
    <row r="27112" customFormat="1" x14ac:dyDescent="0.3"/>
    <row r="27113" customFormat="1" x14ac:dyDescent="0.3"/>
    <row r="27114" customFormat="1" x14ac:dyDescent="0.3"/>
    <row r="27115" customFormat="1" x14ac:dyDescent="0.3"/>
    <row r="27116" customFormat="1" x14ac:dyDescent="0.3"/>
    <row r="27117" customFormat="1" x14ac:dyDescent="0.3"/>
    <row r="27118" customFormat="1" x14ac:dyDescent="0.3"/>
    <row r="27119" customFormat="1" x14ac:dyDescent="0.3"/>
    <row r="27120" customFormat="1" x14ac:dyDescent="0.3"/>
    <row r="27121" customFormat="1" x14ac:dyDescent="0.3"/>
    <row r="27122" customFormat="1" x14ac:dyDescent="0.3"/>
    <row r="27123" customFormat="1" x14ac:dyDescent="0.3"/>
    <row r="27124" customFormat="1" x14ac:dyDescent="0.3"/>
    <row r="27125" customFormat="1" x14ac:dyDescent="0.3"/>
    <row r="27126" customFormat="1" x14ac:dyDescent="0.3"/>
    <row r="27127" customFormat="1" x14ac:dyDescent="0.3"/>
    <row r="27128" customFormat="1" x14ac:dyDescent="0.3"/>
    <row r="27129" customFormat="1" x14ac:dyDescent="0.3"/>
    <row r="27130" customFormat="1" x14ac:dyDescent="0.3"/>
    <row r="27131" customFormat="1" x14ac:dyDescent="0.3"/>
    <row r="27132" customFormat="1" x14ac:dyDescent="0.3"/>
    <row r="27133" customFormat="1" x14ac:dyDescent="0.3"/>
    <row r="27134" customFormat="1" x14ac:dyDescent="0.3"/>
    <row r="27135" customFormat="1" x14ac:dyDescent="0.3"/>
    <row r="27136" customFormat="1" x14ac:dyDescent="0.3"/>
    <row r="27137" customFormat="1" x14ac:dyDescent="0.3"/>
    <row r="27138" customFormat="1" x14ac:dyDescent="0.3"/>
    <row r="27139" customFormat="1" x14ac:dyDescent="0.3"/>
    <row r="27140" customFormat="1" x14ac:dyDescent="0.3"/>
    <row r="27141" customFormat="1" x14ac:dyDescent="0.3"/>
    <row r="27142" customFormat="1" x14ac:dyDescent="0.3"/>
    <row r="27143" customFormat="1" x14ac:dyDescent="0.3"/>
    <row r="27144" customFormat="1" x14ac:dyDescent="0.3"/>
    <row r="27145" customFormat="1" x14ac:dyDescent="0.3"/>
    <row r="27146" customFormat="1" x14ac:dyDescent="0.3"/>
    <row r="27147" customFormat="1" x14ac:dyDescent="0.3"/>
    <row r="27148" customFormat="1" x14ac:dyDescent="0.3"/>
    <row r="27149" customFormat="1" x14ac:dyDescent="0.3"/>
    <row r="27150" customFormat="1" x14ac:dyDescent="0.3"/>
    <row r="27151" customFormat="1" x14ac:dyDescent="0.3"/>
    <row r="27152" customFormat="1" x14ac:dyDescent="0.3"/>
    <row r="27153" customFormat="1" x14ac:dyDescent="0.3"/>
    <row r="27154" customFormat="1" x14ac:dyDescent="0.3"/>
    <row r="27155" customFormat="1" x14ac:dyDescent="0.3"/>
    <row r="27156" customFormat="1" x14ac:dyDescent="0.3"/>
    <row r="27157" customFormat="1" x14ac:dyDescent="0.3"/>
    <row r="27158" customFormat="1" x14ac:dyDescent="0.3"/>
    <row r="27159" customFormat="1" x14ac:dyDescent="0.3"/>
    <row r="27160" customFormat="1" x14ac:dyDescent="0.3"/>
    <row r="27161" customFormat="1" x14ac:dyDescent="0.3"/>
    <row r="27162" customFormat="1" x14ac:dyDescent="0.3"/>
    <row r="27163" customFormat="1" x14ac:dyDescent="0.3"/>
    <row r="27164" customFormat="1" x14ac:dyDescent="0.3"/>
    <row r="27165" customFormat="1" x14ac:dyDescent="0.3"/>
    <row r="27166" customFormat="1" x14ac:dyDescent="0.3"/>
    <row r="27167" customFormat="1" x14ac:dyDescent="0.3"/>
    <row r="27168" customFormat="1" x14ac:dyDescent="0.3"/>
    <row r="27169" customFormat="1" x14ac:dyDescent="0.3"/>
    <row r="27170" customFormat="1" x14ac:dyDescent="0.3"/>
    <row r="27171" customFormat="1" x14ac:dyDescent="0.3"/>
    <row r="27172" customFormat="1" x14ac:dyDescent="0.3"/>
    <row r="27173" customFormat="1" x14ac:dyDescent="0.3"/>
    <row r="27174" customFormat="1" x14ac:dyDescent="0.3"/>
    <row r="27175" customFormat="1" x14ac:dyDescent="0.3"/>
    <row r="27176" customFormat="1" x14ac:dyDescent="0.3"/>
    <row r="27177" customFormat="1" x14ac:dyDescent="0.3"/>
    <row r="27178" customFormat="1" x14ac:dyDescent="0.3"/>
    <row r="27179" customFormat="1" x14ac:dyDescent="0.3"/>
    <row r="27180" customFormat="1" x14ac:dyDescent="0.3"/>
    <row r="27181" customFormat="1" x14ac:dyDescent="0.3"/>
    <row r="27182" customFormat="1" x14ac:dyDescent="0.3"/>
    <row r="27183" customFormat="1" x14ac:dyDescent="0.3"/>
    <row r="27184" customFormat="1" x14ac:dyDescent="0.3"/>
    <row r="27185" customFormat="1" x14ac:dyDescent="0.3"/>
    <row r="27186" customFormat="1" x14ac:dyDescent="0.3"/>
    <row r="27187" customFormat="1" x14ac:dyDescent="0.3"/>
    <row r="27188" customFormat="1" x14ac:dyDescent="0.3"/>
    <row r="27189" customFormat="1" x14ac:dyDescent="0.3"/>
    <row r="27190" customFormat="1" x14ac:dyDescent="0.3"/>
    <row r="27191" customFormat="1" x14ac:dyDescent="0.3"/>
    <row r="27192" customFormat="1" x14ac:dyDescent="0.3"/>
    <row r="27193" customFormat="1" x14ac:dyDescent="0.3"/>
    <row r="27194" customFormat="1" x14ac:dyDescent="0.3"/>
    <row r="27195" customFormat="1" x14ac:dyDescent="0.3"/>
    <row r="27196" customFormat="1" x14ac:dyDescent="0.3"/>
    <row r="27197" customFormat="1" x14ac:dyDescent="0.3"/>
    <row r="27198" customFormat="1" x14ac:dyDescent="0.3"/>
    <row r="27199" customFormat="1" x14ac:dyDescent="0.3"/>
    <row r="27200" customFormat="1" x14ac:dyDescent="0.3"/>
    <row r="27201" customFormat="1" x14ac:dyDescent="0.3"/>
    <row r="27202" customFormat="1" x14ac:dyDescent="0.3"/>
    <row r="27203" customFormat="1" x14ac:dyDescent="0.3"/>
    <row r="27204" customFormat="1" x14ac:dyDescent="0.3"/>
    <row r="27205" customFormat="1" x14ac:dyDescent="0.3"/>
    <row r="27206" customFormat="1" x14ac:dyDescent="0.3"/>
    <row r="27207" customFormat="1" x14ac:dyDescent="0.3"/>
    <row r="27208" customFormat="1" x14ac:dyDescent="0.3"/>
    <row r="27209" customFormat="1" x14ac:dyDescent="0.3"/>
    <row r="27210" customFormat="1" x14ac:dyDescent="0.3"/>
    <row r="27211" customFormat="1" x14ac:dyDescent="0.3"/>
    <row r="27212" customFormat="1" x14ac:dyDescent="0.3"/>
    <row r="27213" customFormat="1" x14ac:dyDescent="0.3"/>
    <row r="27214" customFormat="1" x14ac:dyDescent="0.3"/>
    <row r="27215" customFormat="1" x14ac:dyDescent="0.3"/>
    <row r="27216" customFormat="1" x14ac:dyDescent="0.3"/>
    <row r="27217" customFormat="1" x14ac:dyDescent="0.3"/>
    <row r="27218" customFormat="1" x14ac:dyDescent="0.3"/>
    <row r="27219" customFormat="1" x14ac:dyDescent="0.3"/>
    <row r="27220" customFormat="1" x14ac:dyDescent="0.3"/>
    <row r="27221" customFormat="1" x14ac:dyDescent="0.3"/>
    <row r="27222" customFormat="1" x14ac:dyDescent="0.3"/>
    <row r="27223" customFormat="1" x14ac:dyDescent="0.3"/>
    <row r="27224" customFormat="1" x14ac:dyDescent="0.3"/>
    <row r="27225" customFormat="1" x14ac:dyDescent="0.3"/>
    <row r="27226" customFormat="1" x14ac:dyDescent="0.3"/>
    <row r="27227" customFormat="1" x14ac:dyDescent="0.3"/>
    <row r="27228" customFormat="1" x14ac:dyDescent="0.3"/>
    <row r="27229" customFormat="1" x14ac:dyDescent="0.3"/>
    <row r="27230" customFormat="1" x14ac:dyDescent="0.3"/>
    <row r="27231" customFormat="1" x14ac:dyDescent="0.3"/>
    <row r="27232" customFormat="1" x14ac:dyDescent="0.3"/>
    <row r="27233" customFormat="1" x14ac:dyDescent="0.3"/>
    <row r="27234" customFormat="1" x14ac:dyDescent="0.3"/>
    <row r="27235" customFormat="1" x14ac:dyDescent="0.3"/>
    <row r="27236" customFormat="1" x14ac:dyDescent="0.3"/>
    <row r="27237" customFormat="1" x14ac:dyDescent="0.3"/>
    <row r="27238" customFormat="1" x14ac:dyDescent="0.3"/>
    <row r="27239" customFormat="1" x14ac:dyDescent="0.3"/>
    <row r="27240" customFormat="1" x14ac:dyDescent="0.3"/>
    <row r="27241" customFormat="1" x14ac:dyDescent="0.3"/>
    <row r="27242" customFormat="1" x14ac:dyDescent="0.3"/>
    <row r="27243" customFormat="1" x14ac:dyDescent="0.3"/>
    <row r="27244" customFormat="1" x14ac:dyDescent="0.3"/>
    <row r="27245" customFormat="1" x14ac:dyDescent="0.3"/>
    <row r="27246" customFormat="1" x14ac:dyDescent="0.3"/>
    <row r="27247" customFormat="1" x14ac:dyDescent="0.3"/>
    <row r="27248" customFormat="1" x14ac:dyDescent="0.3"/>
    <row r="27249" customFormat="1" x14ac:dyDescent="0.3"/>
    <row r="27250" customFormat="1" x14ac:dyDescent="0.3"/>
    <row r="27251" customFormat="1" x14ac:dyDescent="0.3"/>
    <row r="27252" customFormat="1" x14ac:dyDescent="0.3"/>
    <row r="27253" customFormat="1" x14ac:dyDescent="0.3"/>
    <row r="27254" customFormat="1" x14ac:dyDescent="0.3"/>
    <row r="27255" customFormat="1" x14ac:dyDescent="0.3"/>
    <row r="27256" customFormat="1" x14ac:dyDescent="0.3"/>
    <row r="27257" customFormat="1" x14ac:dyDescent="0.3"/>
    <row r="27258" customFormat="1" x14ac:dyDescent="0.3"/>
    <row r="27259" customFormat="1" x14ac:dyDescent="0.3"/>
    <row r="27260" customFormat="1" x14ac:dyDescent="0.3"/>
    <row r="27261" customFormat="1" x14ac:dyDescent="0.3"/>
    <row r="27262" customFormat="1" x14ac:dyDescent="0.3"/>
    <row r="27263" customFormat="1" x14ac:dyDescent="0.3"/>
    <row r="27264" customFormat="1" x14ac:dyDescent="0.3"/>
    <row r="27265" customFormat="1" x14ac:dyDescent="0.3"/>
    <row r="27266" customFormat="1" x14ac:dyDescent="0.3"/>
    <row r="27267" customFormat="1" x14ac:dyDescent="0.3"/>
    <row r="27268" customFormat="1" x14ac:dyDescent="0.3"/>
    <row r="27269" customFormat="1" x14ac:dyDescent="0.3"/>
    <row r="27270" customFormat="1" x14ac:dyDescent="0.3"/>
    <row r="27271" customFormat="1" x14ac:dyDescent="0.3"/>
    <row r="27272" customFormat="1" x14ac:dyDescent="0.3"/>
    <row r="27273" customFormat="1" x14ac:dyDescent="0.3"/>
    <row r="27274" customFormat="1" x14ac:dyDescent="0.3"/>
    <row r="27275" customFormat="1" x14ac:dyDescent="0.3"/>
    <row r="27276" customFormat="1" x14ac:dyDescent="0.3"/>
    <row r="27277" customFormat="1" x14ac:dyDescent="0.3"/>
    <row r="27278" customFormat="1" x14ac:dyDescent="0.3"/>
    <row r="27279" customFormat="1" x14ac:dyDescent="0.3"/>
    <row r="27280" customFormat="1" x14ac:dyDescent="0.3"/>
    <row r="27281" customFormat="1" x14ac:dyDescent="0.3"/>
    <row r="27282" customFormat="1" x14ac:dyDescent="0.3"/>
    <row r="27283" customFormat="1" x14ac:dyDescent="0.3"/>
    <row r="27284" customFormat="1" x14ac:dyDescent="0.3"/>
    <row r="27285" customFormat="1" x14ac:dyDescent="0.3"/>
    <row r="27286" customFormat="1" x14ac:dyDescent="0.3"/>
    <row r="27287" customFormat="1" x14ac:dyDescent="0.3"/>
    <row r="27288" customFormat="1" x14ac:dyDescent="0.3"/>
    <row r="27289" customFormat="1" x14ac:dyDescent="0.3"/>
    <row r="27290" customFormat="1" x14ac:dyDescent="0.3"/>
    <row r="27291" customFormat="1" x14ac:dyDescent="0.3"/>
    <row r="27292" customFormat="1" x14ac:dyDescent="0.3"/>
    <row r="27293" customFormat="1" x14ac:dyDescent="0.3"/>
    <row r="27294" customFormat="1" x14ac:dyDescent="0.3"/>
    <row r="27295" customFormat="1" x14ac:dyDescent="0.3"/>
    <row r="27296" customFormat="1" x14ac:dyDescent="0.3"/>
    <row r="27297" customFormat="1" x14ac:dyDescent="0.3"/>
    <row r="27298" customFormat="1" x14ac:dyDescent="0.3"/>
    <row r="27299" customFormat="1" x14ac:dyDescent="0.3"/>
    <row r="27300" customFormat="1" x14ac:dyDescent="0.3"/>
    <row r="27301" customFormat="1" x14ac:dyDescent="0.3"/>
    <row r="27302" customFormat="1" x14ac:dyDescent="0.3"/>
    <row r="27303" customFormat="1" x14ac:dyDescent="0.3"/>
    <row r="27304" customFormat="1" x14ac:dyDescent="0.3"/>
    <row r="27305" customFormat="1" x14ac:dyDescent="0.3"/>
    <row r="27306" customFormat="1" x14ac:dyDescent="0.3"/>
    <row r="27307" customFormat="1" x14ac:dyDescent="0.3"/>
    <row r="27308" customFormat="1" x14ac:dyDescent="0.3"/>
    <row r="27309" customFormat="1" x14ac:dyDescent="0.3"/>
    <row r="27310" customFormat="1" x14ac:dyDescent="0.3"/>
    <row r="27311" customFormat="1" x14ac:dyDescent="0.3"/>
    <row r="27312" customFormat="1" x14ac:dyDescent="0.3"/>
    <row r="27313" customFormat="1" x14ac:dyDescent="0.3"/>
    <row r="27314" customFormat="1" x14ac:dyDescent="0.3"/>
    <row r="27315" customFormat="1" x14ac:dyDescent="0.3"/>
    <row r="27316" customFormat="1" x14ac:dyDescent="0.3"/>
    <row r="27317" customFormat="1" x14ac:dyDescent="0.3"/>
    <row r="27318" customFormat="1" x14ac:dyDescent="0.3"/>
    <row r="27319" customFormat="1" x14ac:dyDescent="0.3"/>
    <row r="27320" customFormat="1" x14ac:dyDescent="0.3"/>
    <row r="27321" customFormat="1" x14ac:dyDescent="0.3"/>
    <row r="27322" customFormat="1" x14ac:dyDescent="0.3"/>
    <row r="27323" customFormat="1" x14ac:dyDescent="0.3"/>
    <row r="27324" customFormat="1" x14ac:dyDescent="0.3"/>
    <row r="27325" customFormat="1" x14ac:dyDescent="0.3"/>
    <row r="27326" customFormat="1" x14ac:dyDescent="0.3"/>
    <row r="27327" customFormat="1" x14ac:dyDescent="0.3"/>
    <row r="27328" customFormat="1" x14ac:dyDescent="0.3"/>
    <row r="27329" customFormat="1" x14ac:dyDescent="0.3"/>
    <row r="27330" customFormat="1" x14ac:dyDescent="0.3"/>
    <row r="27331" customFormat="1" x14ac:dyDescent="0.3"/>
    <row r="27332" customFormat="1" x14ac:dyDescent="0.3"/>
    <row r="27333" customFormat="1" x14ac:dyDescent="0.3"/>
    <row r="27334" customFormat="1" x14ac:dyDescent="0.3"/>
    <row r="27335" customFormat="1" x14ac:dyDescent="0.3"/>
    <row r="27336" customFormat="1" x14ac:dyDescent="0.3"/>
    <row r="27337" customFormat="1" x14ac:dyDescent="0.3"/>
    <row r="27338" customFormat="1" x14ac:dyDescent="0.3"/>
    <row r="27339" customFormat="1" x14ac:dyDescent="0.3"/>
    <row r="27340" customFormat="1" x14ac:dyDescent="0.3"/>
    <row r="27341" customFormat="1" x14ac:dyDescent="0.3"/>
    <row r="27342" customFormat="1" x14ac:dyDescent="0.3"/>
    <row r="27343" customFormat="1" x14ac:dyDescent="0.3"/>
    <row r="27344" customFormat="1" x14ac:dyDescent="0.3"/>
    <row r="27345" customFormat="1" x14ac:dyDescent="0.3"/>
    <row r="27346" customFormat="1" x14ac:dyDescent="0.3"/>
    <row r="27347" customFormat="1" x14ac:dyDescent="0.3"/>
    <row r="27348" customFormat="1" x14ac:dyDescent="0.3"/>
    <row r="27349" customFormat="1" x14ac:dyDescent="0.3"/>
    <row r="27350" customFormat="1" x14ac:dyDescent="0.3"/>
    <row r="27351" customFormat="1" x14ac:dyDescent="0.3"/>
    <row r="27352" customFormat="1" x14ac:dyDescent="0.3"/>
    <row r="27353" customFormat="1" x14ac:dyDescent="0.3"/>
    <row r="27354" customFormat="1" x14ac:dyDescent="0.3"/>
    <row r="27355" customFormat="1" x14ac:dyDescent="0.3"/>
    <row r="27356" customFormat="1" x14ac:dyDescent="0.3"/>
    <row r="27357" customFormat="1" x14ac:dyDescent="0.3"/>
    <row r="27358" customFormat="1" x14ac:dyDescent="0.3"/>
    <row r="27359" customFormat="1" x14ac:dyDescent="0.3"/>
    <row r="27360" customFormat="1" x14ac:dyDescent="0.3"/>
    <row r="27361" customFormat="1" x14ac:dyDescent="0.3"/>
    <row r="27362" customFormat="1" x14ac:dyDescent="0.3"/>
    <row r="27363" customFormat="1" x14ac:dyDescent="0.3"/>
    <row r="27364" customFormat="1" x14ac:dyDescent="0.3"/>
    <row r="27365" customFormat="1" x14ac:dyDescent="0.3"/>
    <row r="27366" customFormat="1" x14ac:dyDescent="0.3"/>
    <row r="27367" customFormat="1" x14ac:dyDescent="0.3"/>
    <row r="27368" customFormat="1" x14ac:dyDescent="0.3"/>
    <row r="27369" customFormat="1" x14ac:dyDescent="0.3"/>
    <row r="27370" customFormat="1" x14ac:dyDescent="0.3"/>
    <row r="27371" customFormat="1" x14ac:dyDescent="0.3"/>
    <row r="27372" customFormat="1" x14ac:dyDescent="0.3"/>
    <row r="27373" customFormat="1" x14ac:dyDescent="0.3"/>
    <row r="27374" customFormat="1" x14ac:dyDescent="0.3"/>
    <row r="27375" customFormat="1" x14ac:dyDescent="0.3"/>
    <row r="27376" customFormat="1" x14ac:dyDescent="0.3"/>
    <row r="27377" customFormat="1" x14ac:dyDescent="0.3"/>
    <row r="27378" customFormat="1" x14ac:dyDescent="0.3"/>
    <row r="27379" customFormat="1" x14ac:dyDescent="0.3"/>
    <row r="27380" customFormat="1" x14ac:dyDescent="0.3"/>
    <row r="27381" customFormat="1" x14ac:dyDescent="0.3"/>
    <row r="27382" customFormat="1" x14ac:dyDescent="0.3"/>
    <row r="27383" customFormat="1" x14ac:dyDescent="0.3"/>
    <row r="27384" customFormat="1" x14ac:dyDescent="0.3"/>
    <row r="27385" customFormat="1" x14ac:dyDescent="0.3"/>
    <row r="27386" customFormat="1" x14ac:dyDescent="0.3"/>
    <row r="27387" customFormat="1" x14ac:dyDescent="0.3"/>
    <row r="27388" customFormat="1" x14ac:dyDescent="0.3"/>
    <row r="27389" customFormat="1" x14ac:dyDescent="0.3"/>
    <row r="27390" customFormat="1" x14ac:dyDescent="0.3"/>
    <row r="27391" customFormat="1" x14ac:dyDescent="0.3"/>
    <row r="27392" customFormat="1" x14ac:dyDescent="0.3"/>
    <row r="27393" customFormat="1" x14ac:dyDescent="0.3"/>
    <row r="27394" customFormat="1" x14ac:dyDescent="0.3"/>
    <row r="27395" customFormat="1" x14ac:dyDescent="0.3"/>
    <row r="27396" customFormat="1" x14ac:dyDescent="0.3"/>
    <row r="27397" customFormat="1" x14ac:dyDescent="0.3"/>
    <row r="27398" customFormat="1" x14ac:dyDescent="0.3"/>
    <row r="27399" customFormat="1" x14ac:dyDescent="0.3"/>
    <row r="27400" customFormat="1" x14ac:dyDescent="0.3"/>
    <row r="27401" customFormat="1" x14ac:dyDescent="0.3"/>
    <row r="27402" customFormat="1" x14ac:dyDescent="0.3"/>
    <row r="27403" customFormat="1" x14ac:dyDescent="0.3"/>
    <row r="27404" customFormat="1" x14ac:dyDescent="0.3"/>
    <row r="27405" customFormat="1" x14ac:dyDescent="0.3"/>
    <row r="27406" customFormat="1" x14ac:dyDescent="0.3"/>
    <row r="27407" customFormat="1" x14ac:dyDescent="0.3"/>
    <row r="27408" customFormat="1" x14ac:dyDescent="0.3"/>
    <row r="27409" customFormat="1" x14ac:dyDescent="0.3"/>
    <row r="27410" customFormat="1" x14ac:dyDescent="0.3"/>
    <row r="27411" customFormat="1" x14ac:dyDescent="0.3"/>
    <row r="27412" customFormat="1" x14ac:dyDescent="0.3"/>
    <row r="27413" customFormat="1" x14ac:dyDescent="0.3"/>
    <row r="27414" customFormat="1" x14ac:dyDescent="0.3"/>
    <row r="27415" customFormat="1" x14ac:dyDescent="0.3"/>
    <row r="27416" customFormat="1" x14ac:dyDescent="0.3"/>
    <row r="27417" customFormat="1" x14ac:dyDescent="0.3"/>
    <row r="27418" customFormat="1" x14ac:dyDescent="0.3"/>
    <row r="27419" customFormat="1" x14ac:dyDescent="0.3"/>
    <row r="27420" customFormat="1" x14ac:dyDescent="0.3"/>
    <row r="27421" customFormat="1" x14ac:dyDescent="0.3"/>
    <row r="27422" customFormat="1" x14ac:dyDescent="0.3"/>
    <row r="27423" customFormat="1" x14ac:dyDescent="0.3"/>
    <row r="27424" customFormat="1" x14ac:dyDescent="0.3"/>
    <row r="27425" customFormat="1" x14ac:dyDescent="0.3"/>
    <row r="27426" customFormat="1" x14ac:dyDescent="0.3"/>
    <row r="27427" customFormat="1" x14ac:dyDescent="0.3"/>
    <row r="27428" customFormat="1" x14ac:dyDescent="0.3"/>
    <row r="27429" customFormat="1" x14ac:dyDescent="0.3"/>
    <row r="27430" customFormat="1" x14ac:dyDescent="0.3"/>
    <row r="27431" customFormat="1" x14ac:dyDescent="0.3"/>
    <row r="27432" customFormat="1" x14ac:dyDescent="0.3"/>
    <row r="27433" customFormat="1" x14ac:dyDescent="0.3"/>
    <row r="27434" customFormat="1" x14ac:dyDescent="0.3"/>
    <row r="27435" customFormat="1" x14ac:dyDescent="0.3"/>
    <row r="27436" customFormat="1" x14ac:dyDescent="0.3"/>
    <row r="27437" customFormat="1" x14ac:dyDescent="0.3"/>
    <row r="27438" customFormat="1" x14ac:dyDescent="0.3"/>
    <row r="27439" customFormat="1" x14ac:dyDescent="0.3"/>
    <row r="27440" customFormat="1" x14ac:dyDescent="0.3"/>
    <row r="27441" customFormat="1" x14ac:dyDescent="0.3"/>
    <row r="27442" customFormat="1" x14ac:dyDescent="0.3"/>
    <row r="27443" customFormat="1" x14ac:dyDescent="0.3"/>
    <row r="27444" customFormat="1" x14ac:dyDescent="0.3"/>
    <row r="27445" customFormat="1" x14ac:dyDescent="0.3"/>
    <row r="27446" customFormat="1" x14ac:dyDescent="0.3"/>
    <row r="27447" customFormat="1" x14ac:dyDescent="0.3"/>
    <row r="27448" customFormat="1" x14ac:dyDescent="0.3"/>
    <row r="27449" customFormat="1" x14ac:dyDescent="0.3"/>
    <row r="27450" customFormat="1" x14ac:dyDescent="0.3"/>
    <row r="27451" customFormat="1" x14ac:dyDescent="0.3"/>
    <row r="27452" customFormat="1" x14ac:dyDescent="0.3"/>
    <row r="27453" customFormat="1" x14ac:dyDescent="0.3"/>
    <row r="27454" customFormat="1" x14ac:dyDescent="0.3"/>
    <row r="27455" customFormat="1" x14ac:dyDescent="0.3"/>
    <row r="27456" customFormat="1" x14ac:dyDescent="0.3"/>
    <row r="27457" customFormat="1" x14ac:dyDescent="0.3"/>
    <row r="27458" customFormat="1" x14ac:dyDescent="0.3"/>
    <row r="27459" customFormat="1" x14ac:dyDescent="0.3"/>
    <row r="27460" customFormat="1" x14ac:dyDescent="0.3"/>
    <row r="27461" customFormat="1" x14ac:dyDescent="0.3"/>
    <row r="27462" customFormat="1" x14ac:dyDescent="0.3"/>
    <row r="27463" customFormat="1" x14ac:dyDescent="0.3"/>
    <row r="27464" customFormat="1" x14ac:dyDescent="0.3"/>
    <row r="27465" customFormat="1" x14ac:dyDescent="0.3"/>
    <row r="27466" customFormat="1" x14ac:dyDescent="0.3"/>
    <row r="27467" customFormat="1" x14ac:dyDescent="0.3"/>
    <row r="27468" customFormat="1" x14ac:dyDescent="0.3"/>
    <row r="27469" customFormat="1" x14ac:dyDescent="0.3"/>
    <row r="27470" customFormat="1" x14ac:dyDescent="0.3"/>
    <row r="27471" customFormat="1" x14ac:dyDescent="0.3"/>
    <row r="27472" customFormat="1" x14ac:dyDescent="0.3"/>
    <row r="27473" customFormat="1" x14ac:dyDescent="0.3"/>
    <row r="27474" customFormat="1" x14ac:dyDescent="0.3"/>
    <row r="27475" customFormat="1" x14ac:dyDescent="0.3"/>
    <row r="27476" customFormat="1" x14ac:dyDescent="0.3"/>
    <row r="27477" customFormat="1" x14ac:dyDescent="0.3"/>
    <row r="27478" customFormat="1" x14ac:dyDescent="0.3"/>
    <row r="27479" customFormat="1" x14ac:dyDescent="0.3"/>
    <row r="27480" customFormat="1" x14ac:dyDescent="0.3"/>
    <row r="27481" customFormat="1" x14ac:dyDescent="0.3"/>
    <row r="27482" customFormat="1" x14ac:dyDescent="0.3"/>
    <row r="27483" customFormat="1" x14ac:dyDescent="0.3"/>
    <row r="27484" customFormat="1" x14ac:dyDescent="0.3"/>
    <row r="27485" customFormat="1" x14ac:dyDescent="0.3"/>
    <row r="27486" customFormat="1" x14ac:dyDescent="0.3"/>
    <row r="27487" customFormat="1" x14ac:dyDescent="0.3"/>
    <row r="27488" customFormat="1" x14ac:dyDescent="0.3"/>
    <row r="27489" customFormat="1" x14ac:dyDescent="0.3"/>
    <row r="27490" customFormat="1" x14ac:dyDescent="0.3"/>
    <row r="27491" customFormat="1" x14ac:dyDescent="0.3"/>
    <row r="27492" customFormat="1" x14ac:dyDescent="0.3"/>
    <row r="27493" customFormat="1" x14ac:dyDescent="0.3"/>
    <row r="27494" customFormat="1" x14ac:dyDescent="0.3"/>
    <row r="27495" customFormat="1" x14ac:dyDescent="0.3"/>
    <row r="27496" customFormat="1" x14ac:dyDescent="0.3"/>
    <row r="27497" customFormat="1" x14ac:dyDescent="0.3"/>
    <row r="27498" customFormat="1" x14ac:dyDescent="0.3"/>
    <row r="27499" customFormat="1" x14ac:dyDescent="0.3"/>
    <row r="27500" customFormat="1" x14ac:dyDescent="0.3"/>
    <row r="27501" customFormat="1" x14ac:dyDescent="0.3"/>
    <row r="27502" customFormat="1" x14ac:dyDescent="0.3"/>
    <row r="27503" customFormat="1" x14ac:dyDescent="0.3"/>
    <row r="27504" customFormat="1" x14ac:dyDescent="0.3"/>
    <row r="27505" customFormat="1" x14ac:dyDescent="0.3"/>
    <row r="27506" customFormat="1" x14ac:dyDescent="0.3"/>
    <row r="27507" customFormat="1" x14ac:dyDescent="0.3"/>
    <row r="27508" customFormat="1" x14ac:dyDescent="0.3"/>
    <row r="27509" customFormat="1" x14ac:dyDescent="0.3"/>
    <row r="27510" customFormat="1" x14ac:dyDescent="0.3"/>
    <row r="27511" customFormat="1" x14ac:dyDescent="0.3"/>
    <row r="27512" customFormat="1" x14ac:dyDescent="0.3"/>
    <row r="27513" customFormat="1" x14ac:dyDescent="0.3"/>
    <row r="27514" customFormat="1" x14ac:dyDescent="0.3"/>
    <row r="27515" customFormat="1" x14ac:dyDescent="0.3"/>
    <row r="27516" customFormat="1" x14ac:dyDescent="0.3"/>
    <row r="27517" customFormat="1" x14ac:dyDescent="0.3"/>
    <row r="27518" customFormat="1" x14ac:dyDescent="0.3"/>
    <row r="27519" customFormat="1" x14ac:dyDescent="0.3"/>
    <row r="27520" customFormat="1" x14ac:dyDescent="0.3"/>
    <row r="27521" customFormat="1" x14ac:dyDescent="0.3"/>
    <row r="27522" customFormat="1" x14ac:dyDescent="0.3"/>
    <row r="27523" customFormat="1" x14ac:dyDescent="0.3"/>
    <row r="27524" customFormat="1" x14ac:dyDescent="0.3"/>
    <row r="27525" customFormat="1" x14ac:dyDescent="0.3"/>
    <row r="27526" customFormat="1" x14ac:dyDescent="0.3"/>
    <row r="27527" customFormat="1" x14ac:dyDescent="0.3"/>
    <row r="27528" customFormat="1" x14ac:dyDescent="0.3"/>
    <row r="27529" customFormat="1" x14ac:dyDescent="0.3"/>
    <row r="27530" customFormat="1" x14ac:dyDescent="0.3"/>
    <row r="27531" customFormat="1" x14ac:dyDescent="0.3"/>
    <row r="27532" customFormat="1" x14ac:dyDescent="0.3"/>
    <row r="27533" customFormat="1" x14ac:dyDescent="0.3"/>
    <row r="27534" customFormat="1" x14ac:dyDescent="0.3"/>
    <row r="27535" customFormat="1" x14ac:dyDescent="0.3"/>
    <row r="27536" customFormat="1" x14ac:dyDescent="0.3"/>
    <row r="27537" customFormat="1" x14ac:dyDescent="0.3"/>
    <row r="27538" customFormat="1" x14ac:dyDescent="0.3"/>
    <row r="27539" customFormat="1" x14ac:dyDescent="0.3"/>
    <row r="27540" customFormat="1" x14ac:dyDescent="0.3"/>
    <row r="27541" customFormat="1" x14ac:dyDescent="0.3"/>
    <row r="27542" customFormat="1" x14ac:dyDescent="0.3"/>
    <row r="27543" customFormat="1" x14ac:dyDescent="0.3"/>
    <row r="27544" customFormat="1" x14ac:dyDescent="0.3"/>
    <row r="27545" customFormat="1" x14ac:dyDescent="0.3"/>
    <row r="27546" customFormat="1" x14ac:dyDescent="0.3"/>
    <row r="27547" customFormat="1" x14ac:dyDescent="0.3"/>
    <row r="27548" customFormat="1" x14ac:dyDescent="0.3"/>
    <row r="27549" customFormat="1" x14ac:dyDescent="0.3"/>
    <row r="27550" customFormat="1" x14ac:dyDescent="0.3"/>
    <row r="27551" customFormat="1" x14ac:dyDescent="0.3"/>
    <row r="27552" customFormat="1" x14ac:dyDescent="0.3"/>
    <row r="27553" customFormat="1" x14ac:dyDescent="0.3"/>
    <row r="27554" customFormat="1" x14ac:dyDescent="0.3"/>
    <row r="27555" customFormat="1" x14ac:dyDescent="0.3"/>
    <row r="27556" customFormat="1" x14ac:dyDescent="0.3"/>
    <row r="27557" customFormat="1" x14ac:dyDescent="0.3"/>
    <row r="27558" customFormat="1" x14ac:dyDescent="0.3"/>
    <row r="27559" customFormat="1" x14ac:dyDescent="0.3"/>
    <row r="27560" customFormat="1" x14ac:dyDescent="0.3"/>
    <row r="27561" customFormat="1" x14ac:dyDescent="0.3"/>
    <row r="27562" customFormat="1" x14ac:dyDescent="0.3"/>
    <row r="27563" customFormat="1" x14ac:dyDescent="0.3"/>
    <row r="27564" customFormat="1" x14ac:dyDescent="0.3"/>
    <row r="27565" customFormat="1" x14ac:dyDescent="0.3"/>
    <row r="27566" customFormat="1" x14ac:dyDescent="0.3"/>
    <row r="27567" customFormat="1" x14ac:dyDescent="0.3"/>
    <row r="27568" customFormat="1" x14ac:dyDescent="0.3"/>
    <row r="27569" customFormat="1" x14ac:dyDescent="0.3"/>
    <row r="27570" customFormat="1" x14ac:dyDescent="0.3"/>
    <row r="27571" customFormat="1" x14ac:dyDescent="0.3"/>
    <row r="27572" customFormat="1" x14ac:dyDescent="0.3"/>
    <row r="27573" customFormat="1" x14ac:dyDescent="0.3"/>
    <row r="27574" customFormat="1" x14ac:dyDescent="0.3"/>
    <row r="27575" customFormat="1" x14ac:dyDescent="0.3"/>
    <row r="27576" customFormat="1" x14ac:dyDescent="0.3"/>
    <row r="27577" customFormat="1" x14ac:dyDescent="0.3"/>
    <row r="27578" customFormat="1" x14ac:dyDescent="0.3"/>
    <row r="27579" customFormat="1" x14ac:dyDescent="0.3"/>
    <row r="27580" customFormat="1" x14ac:dyDescent="0.3"/>
    <row r="27581" customFormat="1" x14ac:dyDescent="0.3"/>
    <row r="27582" customFormat="1" x14ac:dyDescent="0.3"/>
    <row r="27583" customFormat="1" x14ac:dyDescent="0.3"/>
    <row r="27584" customFormat="1" x14ac:dyDescent="0.3"/>
    <row r="27585" customFormat="1" x14ac:dyDescent="0.3"/>
    <row r="27586" customFormat="1" x14ac:dyDescent="0.3"/>
    <row r="27587" customFormat="1" x14ac:dyDescent="0.3"/>
    <row r="27588" customFormat="1" x14ac:dyDescent="0.3"/>
    <row r="27589" customFormat="1" x14ac:dyDescent="0.3"/>
    <row r="27590" customFormat="1" x14ac:dyDescent="0.3"/>
    <row r="27591" customFormat="1" x14ac:dyDescent="0.3"/>
    <row r="27592" customFormat="1" x14ac:dyDescent="0.3"/>
    <row r="27593" customFormat="1" x14ac:dyDescent="0.3"/>
    <row r="27594" customFormat="1" x14ac:dyDescent="0.3"/>
    <row r="27595" customFormat="1" x14ac:dyDescent="0.3"/>
    <row r="27596" customFormat="1" x14ac:dyDescent="0.3"/>
    <row r="27597" customFormat="1" x14ac:dyDescent="0.3"/>
    <row r="27598" customFormat="1" x14ac:dyDescent="0.3"/>
    <row r="27599" customFormat="1" x14ac:dyDescent="0.3"/>
    <row r="27600" customFormat="1" x14ac:dyDescent="0.3"/>
    <row r="27601" customFormat="1" x14ac:dyDescent="0.3"/>
    <row r="27602" customFormat="1" x14ac:dyDescent="0.3"/>
    <row r="27603" customFormat="1" x14ac:dyDescent="0.3"/>
    <row r="27604" customFormat="1" x14ac:dyDescent="0.3"/>
    <row r="27605" customFormat="1" x14ac:dyDescent="0.3"/>
    <row r="27606" customFormat="1" x14ac:dyDescent="0.3"/>
    <row r="27607" customFormat="1" x14ac:dyDescent="0.3"/>
    <row r="27608" customFormat="1" x14ac:dyDescent="0.3"/>
    <row r="27609" customFormat="1" x14ac:dyDescent="0.3"/>
    <row r="27610" customFormat="1" x14ac:dyDescent="0.3"/>
    <row r="27611" customFormat="1" x14ac:dyDescent="0.3"/>
    <row r="27612" customFormat="1" x14ac:dyDescent="0.3"/>
    <row r="27613" customFormat="1" x14ac:dyDescent="0.3"/>
    <row r="27614" customFormat="1" x14ac:dyDescent="0.3"/>
    <row r="27615" customFormat="1" x14ac:dyDescent="0.3"/>
    <row r="27616" customFormat="1" x14ac:dyDescent="0.3"/>
    <row r="27617" customFormat="1" x14ac:dyDescent="0.3"/>
    <row r="27618" customFormat="1" x14ac:dyDescent="0.3"/>
    <row r="27619" customFormat="1" x14ac:dyDescent="0.3"/>
    <row r="27620" customFormat="1" x14ac:dyDescent="0.3"/>
    <row r="27621" customFormat="1" x14ac:dyDescent="0.3"/>
    <row r="27622" customFormat="1" x14ac:dyDescent="0.3"/>
    <row r="27623" customFormat="1" x14ac:dyDescent="0.3"/>
    <row r="27624" customFormat="1" x14ac:dyDescent="0.3"/>
    <row r="27625" customFormat="1" x14ac:dyDescent="0.3"/>
    <row r="27626" customFormat="1" x14ac:dyDescent="0.3"/>
    <row r="27627" customFormat="1" x14ac:dyDescent="0.3"/>
    <row r="27628" customFormat="1" x14ac:dyDescent="0.3"/>
    <row r="27629" customFormat="1" x14ac:dyDescent="0.3"/>
    <row r="27630" customFormat="1" x14ac:dyDescent="0.3"/>
    <row r="27631" customFormat="1" x14ac:dyDescent="0.3"/>
    <row r="27632" customFormat="1" x14ac:dyDescent="0.3"/>
    <row r="27633" customFormat="1" x14ac:dyDescent="0.3"/>
    <row r="27634" customFormat="1" x14ac:dyDescent="0.3"/>
    <row r="27635" customFormat="1" x14ac:dyDescent="0.3"/>
    <row r="27636" customFormat="1" x14ac:dyDescent="0.3"/>
    <row r="27637" customFormat="1" x14ac:dyDescent="0.3"/>
    <row r="27638" customFormat="1" x14ac:dyDescent="0.3"/>
    <row r="27639" customFormat="1" x14ac:dyDescent="0.3"/>
    <row r="27640" customFormat="1" x14ac:dyDescent="0.3"/>
    <row r="27641" customFormat="1" x14ac:dyDescent="0.3"/>
    <row r="27642" customFormat="1" x14ac:dyDescent="0.3"/>
    <row r="27643" customFormat="1" x14ac:dyDescent="0.3"/>
    <row r="27644" customFormat="1" x14ac:dyDescent="0.3"/>
    <row r="27645" customFormat="1" x14ac:dyDescent="0.3"/>
    <row r="27646" customFormat="1" x14ac:dyDescent="0.3"/>
    <row r="27647" customFormat="1" x14ac:dyDescent="0.3"/>
    <row r="27648" customFormat="1" x14ac:dyDescent="0.3"/>
    <row r="27649" customFormat="1" x14ac:dyDescent="0.3"/>
    <row r="27650" customFormat="1" x14ac:dyDescent="0.3"/>
    <row r="27651" customFormat="1" x14ac:dyDescent="0.3"/>
    <row r="27652" customFormat="1" x14ac:dyDescent="0.3"/>
    <row r="27653" customFormat="1" x14ac:dyDescent="0.3"/>
    <row r="27654" customFormat="1" x14ac:dyDescent="0.3"/>
    <row r="27655" customFormat="1" x14ac:dyDescent="0.3"/>
    <row r="27656" customFormat="1" x14ac:dyDescent="0.3"/>
    <row r="27657" customFormat="1" x14ac:dyDescent="0.3"/>
    <row r="27658" customFormat="1" x14ac:dyDescent="0.3"/>
    <row r="27659" customFormat="1" x14ac:dyDescent="0.3"/>
    <row r="27660" customFormat="1" x14ac:dyDescent="0.3"/>
    <row r="27661" customFormat="1" x14ac:dyDescent="0.3"/>
    <row r="27662" customFormat="1" x14ac:dyDescent="0.3"/>
    <row r="27663" customFormat="1" x14ac:dyDescent="0.3"/>
    <row r="27664" customFormat="1" x14ac:dyDescent="0.3"/>
    <row r="27665" customFormat="1" x14ac:dyDescent="0.3"/>
    <row r="27666" customFormat="1" x14ac:dyDescent="0.3"/>
    <row r="27667" customFormat="1" x14ac:dyDescent="0.3"/>
    <row r="27668" customFormat="1" x14ac:dyDescent="0.3"/>
    <row r="27669" customFormat="1" x14ac:dyDescent="0.3"/>
    <row r="27670" customFormat="1" x14ac:dyDescent="0.3"/>
    <row r="27671" customFormat="1" x14ac:dyDescent="0.3"/>
    <row r="27672" customFormat="1" x14ac:dyDescent="0.3"/>
    <row r="27673" customFormat="1" x14ac:dyDescent="0.3"/>
    <row r="27674" customFormat="1" x14ac:dyDescent="0.3"/>
    <row r="27675" customFormat="1" x14ac:dyDescent="0.3"/>
    <row r="27676" customFormat="1" x14ac:dyDescent="0.3"/>
    <row r="27677" customFormat="1" x14ac:dyDescent="0.3"/>
    <row r="27678" customFormat="1" x14ac:dyDescent="0.3"/>
    <row r="27679" customFormat="1" x14ac:dyDescent="0.3"/>
    <row r="27680" customFormat="1" x14ac:dyDescent="0.3"/>
    <row r="27681" customFormat="1" x14ac:dyDescent="0.3"/>
    <row r="27682" customFormat="1" x14ac:dyDescent="0.3"/>
    <row r="27683" customFormat="1" x14ac:dyDescent="0.3"/>
    <row r="27684" customFormat="1" x14ac:dyDescent="0.3"/>
    <row r="27685" customFormat="1" x14ac:dyDescent="0.3"/>
    <row r="27686" customFormat="1" x14ac:dyDescent="0.3"/>
    <row r="27687" customFormat="1" x14ac:dyDescent="0.3"/>
    <row r="27688" customFormat="1" x14ac:dyDescent="0.3"/>
    <row r="27689" customFormat="1" x14ac:dyDescent="0.3"/>
    <row r="27690" customFormat="1" x14ac:dyDescent="0.3"/>
    <row r="27691" customFormat="1" x14ac:dyDescent="0.3"/>
    <row r="27692" customFormat="1" x14ac:dyDescent="0.3"/>
    <row r="27693" customFormat="1" x14ac:dyDescent="0.3"/>
    <row r="27694" customFormat="1" x14ac:dyDescent="0.3"/>
    <row r="27695" customFormat="1" x14ac:dyDescent="0.3"/>
    <row r="27696" customFormat="1" x14ac:dyDescent="0.3"/>
    <row r="27697" customFormat="1" x14ac:dyDescent="0.3"/>
    <row r="27698" customFormat="1" x14ac:dyDescent="0.3"/>
    <row r="27699" customFormat="1" x14ac:dyDescent="0.3"/>
    <row r="27700" customFormat="1" x14ac:dyDescent="0.3"/>
    <row r="27701" customFormat="1" x14ac:dyDescent="0.3"/>
    <row r="27702" customFormat="1" x14ac:dyDescent="0.3"/>
    <row r="27703" customFormat="1" x14ac:dyDescent="0.3"/>
    <row r="27704" customFormat="1" x14ac:dyDescent="0.3"/>
    <row r="27705" customFormat="1" x14ac:dyDescent="0.3"/>
    <row r="27706" customFormat="1" x14ac:dyDescent="0.3"/>
    <row r="27707" customFormat="1" x14ac:dyDescent="0.3"/>
    <row r="27708" customFormat="1" x14ac:dyDescent="0.3"/>
    <row r="27709" customFormat="1" x14ac:dyDescent="0.3"/>
    <row r="27710" customFormat="1" x14ac:dyDescent="0.3"/>
    <row r="27711" customFormat="1" x14ac:dyDescent="0.3"/>
    <row r="27712" customFormat="1" x14ac:dyDescent="0.3"/>
    <row r="27713" customFormat="1" x14ac:dyDescent="0.3"/>
    <row r="27714" customFormat="1" x14ac:dyDescent="0.3"/>
    <row r="27715" customFormat="1" x14ac:dyDescent="0.3"/>
    <row r="27716" customFormat="1" x14ac:dyDescent="0.3"/>
    <row r="27717" customFormat="1" x14ac:dyDescent="0.3"/>
    <row r="27718" customFormat="1" x14ac:dyDescent="0.3"/>
    <row r="27719" customFormat="1" x14ac:dyDescent="0.3"/>
    <row r="27720" customFormat="1" x14ac:dyDescent="0.3"/>
    <row r="27721" customFormat="1" x14ac:dyDescent="0.3"/>
    <row r="27722" customFormat="1" x14ac:dyDescent="0.3"/>
    <row r="27723" customFormat="1" x14ac:dyDescent="0.3"/>
    <row r="27724" customFormat="1" x14ac:dyDescent="0.3"/>
    <row r="27725" customFormat="1" x14ac:dyDescent="0.3"/>
    <row r="27726" customFormat="1" x14ac:dyDescent="0.3"/>
    <row r="27727" customFormat="1" x14ac:dyDescent="0.3"/>
    <row r="27728" customFormat="1" x14ac:dyDescent="0.3"/>
    <row r="27729" customFormat="1" x14ac:dyDescent="0.3"/>
    <row r="27730" customFormat="1" x14ac:dyDescent="0.3"/>
    <row r="27731" customFormat="1" x14ac:dyDescent="0.3"/>
    <row r="27732" customFormat="1" x14ac:dyDescent="0.3"/>
    <row r="27733" customFormat="1" x14ac:dyDescent="0.3"/>
    <row r="27734" customFormat="1" x14ac:dyDescent="0.3"/>
    <row r="27735" customFormat="1" x14ac:dyDescent="0.3"/>
    <row r="27736" customFormat="1" x14ac:dyDescent="0.3"/>
    <row r="27737" customFormat="1" x14ac:dyDescent="0.3"/>
    <row r="27738" customFormat="1" x14ac:dyDescent="0.3"/>
    <row r="27739" customFormat="1" x14ac:dyDescent="0.3"/>
    <row r="27740" customFormat="1" x14ac:dyDescent="0.3"/>
    <row r="27741" customFormat="1" x14ac:dyDescent="0.3"/>
    <row r="27742" customFormat="1" x14ac:dyDescent="0.3"/>
    <row r="27743" customFormat="1" x14ac:dyDescent="0.3"/>
    <row r="27744" customFormat="1" x14ac:dyDescent="0.3"/>
    <row r="27745" customFormat="1" x14ac:dyDescent="0.3"/>
    <row r="27746" customFormat="1" x14ac:dyDescent="0.3"/>
    <row r="27747" customFormat="1" x14ac:dyDescent="0.3"/>
    <row r="27748" customFormat="1" x14ac:dyDescent="0.3"/>
    <row r="27749" customFormat="1" x14ac:dyDescent="0.3"/>
    <row r="27750" customFormat="1" x14ac:dyDescent="0.3"/>
    <row r="27751" customFormat="1" x14ac:dyDescent="0.3"/>
    <row r="27752" customFormat="1" x14ac:dyDescent="0.3"/>
    <row r="27753" customFormat="1" x14ac:dyDescent="0.3"/>
    <row r="27754" customFormat="1" x14ac:dyDescent="0.3"/>
    <row r="27755" customFormat="1" x14ac:dyDescent="0.3"/>
    <row r="27756" customFormat="1" x14ac:dyDescent="0.3"/>
    <row r="27757" customFormat="1" x14ac:dyDescent="0.3"/>
    <row r="27758" customFormat="1" x14ac:dyDescent="0.3"/>
    <row r="27759" customFormat="1" x14ac:dyDescent="0.3"/>
    <row r="27760" customFormat="1" x14ac:dyDescent="0.3"/>
    <row r="27761" customFormat="1" x14ac:dyDescent="0.3"/>
    <row r="27762" customFormat="1" x14ac:dyDescent="0.3"/>
    <row r="27763" customFormat="1" x14ac:dyDescent="0.3"/>
    <row r="27764" customFormat="1" x14ac:dyDescent="0.3"/>
    <row r="27765" customFormat="1" x14ac:dyDescent="0.3"/>
    <row r="27766" customFormat="1" x14ac:dyDescent="0.3"/>
    <row r="27767" customFormat="1" x14ac:dyDescent="0.3"/>
    <row r="27768" customFormat="1" x14ac:dyDescent="0.3"/>
    <row r="27769" customFormat="1" x14ac:dyDescent="0.3"/>
    <row r="27770" customFormat="1" x14ac:dyDescent="0.3"/>
    <row r="27771" customFormat="1" x14ac:dyDescent="0.3"/>
    <row r="27772" customFormat="1" x14ac:dyDescent="0.3"/>
    <row r="27773" customFormat="1" x14ac:dyDescent="0.3"/>
    <row r="27774" customFormat="1" x14ac:dyDescent="0.3"/>
    <row r="27775" customFormat="1" x14ac:dyDescent="0.3"/>
    <row r="27776" customFormat="1" x14ac:dyDescent="0.3"/>
    <row r="27777" customFormat="1" x14ac:dyDescent="0.3"/>
    <row r="27778" customFormat="1" x14ac:dyDescent="0.3"/>
    <row r="27779" customFormat="1" x14ac:dyDescent="0.3"/>
    <row r="27780" customFormat="1" x14ac:dyDescent="0.3"/>
    <row r="27781" customFormat="1" x14ac:dyDescent="0.3"/>
    <row r="27782" customFormat="1" x14ac:dyDescent="0.3"/>
    <row r="27783" customFormat="1" x14ac:dyDescent="0.3"/>
    <row r="27784" customFormat="1" x14ac:dyDescent="0.3"/>
    <row r="27785" customFormat="1" x14ac:dyDescent="0.3"/>
    <row r="27786" customFormat="1" x14ac:dyDescent="0.3"/>
    <row r="27787" customFormat="1" x14ac:dyDescent="0.3"/>
    <row r="27788" customFormat="1" x14ac:dyDescent="0.3"/>
    <row r="27789" customFormat="1" x14ac:dyDescent="0.3"/>
    <row r="27790" customFormat="1" x14ac:dyDescent="0.3"/>
    <row r="27791" customFormat="1" x14ac:dyDescent="0.3"/>
    <row r="27792" customFormat="1" x14ac:dyDescent="0.3"/>
    <row r="27793" customFormat="1" x14ac:dyDescent="0.3"/>
    <row r="27794" customFormat="1" x14ac:dyDescent="0.3"/>
    <row r="27795" customFormat="1" x14ac:dyDescent="0.3"/>
    <row r="27796" customFormat="1" x14ac:dyDescent="0.3"/>
    <row r="27797" customFormat="1" x14ac:dyDescent="0.3"/>
    <row r="27798" customFormat="1" x14ac:dyDescent="0.3"/>
    <row r="27799" customFormat="1" x14ac:dyDescent="0.3"/>
    <row r="27800" customFormat="1" x14ac:dyDescent="0.3"/>
    <row r="27801" customFormat="1" x14ac:dyDescent="0.3"/>
    <row r="27802" customFormat="1" x14ac:dyDescent="0.3"/>
    <row r="27803" customFormat="1" x14ac:dyDescent="0.3"/>
    <row r="27804" customFormat="1" x14ac:dyDescent="0.3"/>
    <row r="27805" customFormat="1" x14ac:dyDescent="0.3"/>
    <row r="27806" customFormat="1" x14ac:dyDescent="0.3"/>
    <row r="27807" customFormat="1" x14ac:dyDescent="0.3"/>
    <row r="27808" customFormat="1" x14ac:dyDescent="0.3"/>
    <row r="27809" customFormat="1" x14ac:dyDescent="0.3"/>
    <row r="27810" customFormat="1" x14ac:dyDescent="0.3"/>
    <row r="27811" customFormat="1" x14ac:dyDescent="0.3"/>
    <row r="27812" customFormat="1" x14ac:dyDescent="0.3"/>
    <row r="27813" customFormat="1" x14ac:dyDescent="0.3"/>
    <row r="27814" customFormat="1" x14ac:dyDescent="0.3"/>
    <row r="27815" customFormat="1" x14ac:dyDescent="0.3"/>
    <row r="27816" customFormat="1" x14ac:dyDescent="0.3"/>
    <row r="27817" customFormat="1" x14ac:dyDescent="0.3"/>
    <row r="27818" customFormat="1" x14ac:dyDescent="0.3"/>
    <row r="27819" customFormat="1" x14ac:dyDescent="0.3"/>
    <row r="27820" customFormat="1" x14ac:dyDescent="0.3"/>
    <row r="27821" customFormat="1" x14ac:dyDescent="0.3"/>
    <row r="27822" customFormat="1" x14ac:dyDescent="0.3"/>
    <row r="27823" customFormat="1" x14ac:dyDescent="0.3"/>
    <row r="27824" customFormat="1" x14ac:dyDescent="0.3"/>
    <row r="27825" customFormat="1" x14ac:dyDescent="0.3"/>
    <row r="27826" customFormat="1" x14ac:dyDescent="0.3"/>
    <row r="27827" customFormat="1" x14ac:dyDescent="0.3"/>
    <row r="27828" customFormat="1" x14ac:dyDescent="0.3"/>
    <row r="27829" customFormat="1" x14ac:dyDescent="0.3"/>
    <row r="27830" customFormat="1" x14ac:dyDescent="0.3"/>
    <row r="27831" customFormat="1" x14ac:dyDescent="0.3"/>
    <row r="27832" customFormat="1" x14ac:dyDescent="0.3"/>
    <row r="27833" customFormat="1" x14ac:dyDescent="0.3"/>
    <row r="27834" customFormat="1" x14ac:dyDescent="0.3"/>
    <row r="27835" customFormat="1" x14ac:dyDescent="0.3"/>
    <row r="27836" customFormat="1" x14ac:dyDescent="0.3"/>
    <row r="27837" customFormat="1" x14ac:dyDescent="0.3"/>
    <row r="27838" customFormat="1" x14ac:dyDescent="0.3"/>
    <row r="27839" customFormat="1" x14ac:dyDescent="0.3"/>
    <row r="27840" customFormat="1" x14ac:dyDescent="0.3"/>
    <row r="27841" customFormat="1" x14ac:dyDescent="0.3"/>
    <row r="27842" customFormat="1" x14ac:dyDescent="0.3"/>
    <row r="27843" customFormat="1" x14ac:dyDescent="0.3"/>
    <row r="27844" customFormat="1" x14ac:dyDescent="0.3"/>
    <row r="27845" customFormat="1" x14ac:dyDescent="0.3"/>
    <row r="27846" customFormat="1" x14ac:dyDescent="0.3"/>
    <row r="27847" customFormat="1" x14ac:dyDescent="0.3"/>
    <row r="27848" customFormat="1" x14ac:dyDescent="0.3"/>
    <row r="27849" customFormat="1" x14ac:dyDescent="0.3"/>
    <row r="27850" customFormat="1" x14ac:dyDescent="0.3"/>
    <row r="27851" customFormat="1" x14ac:dyDescent="0.3"/>
    <row r="27852" customFormat="1" x14ac:dyDescent="0.3"/>
    <row r="27853" customFormat="1" x14ac:dyDescent="0.3"/>
    <row r="27854" customFormat="1" x14ac:dyDescent="0.3"/>
    <row r="27855" customFormat="1" x14ac:dyDescent="0.3"/>
    <row r="27856" customFormat="1" x14ac:dyDescent="0.3"/>
    <row r="27857" customFormat="1" x14ac:dyDescent="0.3"/>
    <row r="27858" customFormat="1" x14ac:dyDescent="0.3"/>
    <row r="27859" customFormat="1" x14ac:dyDescent="0.3"/>
    <row r="27860" customFormat="1" x14ac:dyDescent="0.3"/>
    <row r="27861" customFormat="1" x14ac:dyDescent="0.3"/>
    <row r="27862" customFormat="1" x14ac:dyDescent="0.3"/>
    <row r="27863" customFormat="1" x14ac:dyDescent="0.3"/>
    <row r="27864" customFormat="1" x14ac:dyDescent="0.3"/>
    <row r="27865" customFormat="1" x14ac:dyDescent="0.3"/>
    <row r="27866" customFormat="1" x14ac:dyDescent="0.3"/>
    <row r="27867" customFormat="1" x14ac:dyDescent="0.3"/>
    <row r="27868" customFormat="1" x14ac:dyDescent="0.3"/>
    <row r="27869" customFormat="1" x14ac:dyDescent="0.3"/>
    <row r="27870" customFormat="1" x14ac:dyDescent="0.3"/>
    <row r="27871" customFormat="1" x14ac:dyDescent="0.3"/>
    <row r="27872" customFormat="1" x14ac:dyDescent="0.3"/>
    <row r="27873" customFormat="1" x14ac:dyDescent="0.3"/>
    <row r="27874" customFormat="1" x14ac:dyDescent="0.3"/>
    <row r="27875" customFormat="1" x14ac:dyDescent="0.3"/>
    <row r="27876" customFormat="1" x14ac:dyDescent="0.3"/>
    <row r="27877" customFormat="1" x14ac:dyDescent="0.3"/>
    <row r="27878" customFormat="1" x14ac:dyDescent="0.3"/>
    <row r="27879" customFormat="1" x14ac:dyDescent="0.3"/>
    <row r="27880" customFormat="1" x14ac:dyDescent="0.3"/>
    <row r="27881" customFormat="1" x14ac:dyDescent="0.3"/>
    <row r="27882" customFormat="1" x14ac:dyDescent="0.3"/>
    <row r="27883" customFormat="1" x14ac:dyDescent="0.3"/>
    <row r="27884" customFormat="1" x14ac:dyDescent="0.3"/>
    <row r="27885" customFormat="1" x14ac:dyDescent="0.3"/>
    <row r="27886" customFormat="1" x14ac:dyDescent="0.3"/>
    <row r="27887" customFormat="1" x14ac:dyDescent="0.3"/>
    <row r="27888" customFormat="1" x14ac:dyDescent="0.3"/>
    <row r="27889" customFormat="1" x14ac:dyDescent="0.3"/>
    <row r="27890" customFormat="1" x14ac:dyDescent="0.3"/>
    <row r="27891" customFormat="1" x14ac:dyDescent="0.3"/>
    <row r="27892" customFormat="1" x14ac:dyDescent="0.3"/>
    <row r="27893" customFormat="1" x14ac:dyDescent="0.3"/>
    <row r="27894" customFormat="1" x14ac:dyDescent="0.3"/>
    <row r="27895" customFormat="1" x14ac:dyDescent="0.3"/>
    <row r="27896" customFormat="1" x14ac:dyDescent="0.3"/>
    <row r="27897" customFormat="1" x14ac:dyDescent="0.3"/>
    <row r="27898" customFormat="1" x14ac:dyDescent="0.3"/>
    <row r="27899" customFormat="1" x14ac:dyDescent="0.3"/>
    <row r="27900" customFormat="1" x14ac:dyDescent="0.3"/>
    <row r="27901" customFormat="1" x14ac:dyDescent="0.3"/>
    <row r="27902" customFormat="1" x14ac:dyDescent="0.3"/>
    <row r="27903" customFormat="1" x14ac:dyDescent="0.3"/>
    <row r="27904" customFormat="1" x14ac:dyDescent="0.3"/>
    <row r="27905" customFormat="1" x14ac:dyDescent="0.3"/>
    <row r="27906" customFormat="1" x14ac:dyDescent="0.3"/>
    <row r="27907" customFormat="1" x14ac:dyDescent="0.3"/>
    <row r="27908" customFormat="1" x14ac:dyDescent="0.3"/>
    <row r="27909" customFormat="1" x14ac:dyDescent="0.3"/>
    <row r="27910" customFormat="1" x14ac:dyDescent="0.3"/>
    <row r="27911" customFormat="1" x14ac:dyDescent="0.3"/>
    <row r="27912" customFormat="1" x14ac:dyDescent="0.3"/>
    <row r="27913" customFormat="1" x14ac:dyDescent="0.3"/>
    <row r="27914" customFormat="1" x14ac:dyDescent="0.3"/>
    <row r="27915" customFormat="1" x14ac:dyDescent="0.3"/>
    <row r="27916" customFormat="1" x14ac:dyDescent="0.3"/>
    <row r="27917" customFormat="1" x14ac:dyDescent="0.3"/>
    <row r="27918" customFormat="1" x14ac:dyDescent="0.3"/>
    <row r="27919" customFormat="1" x14ac:dyDescent="0.3"/>
    <row r="27920" customFormat="1" x14ac:dyDescent="0.3"/>
    <row r="27921" customFormat="1" x14ac:dyDescent="0.3"/>
    <row r="27922" customFormat="1" x14ac:dyDescent="0.3"/>
    <row r="27923" customFormat="1" x14ac:dyDescent="0.3"/>
    <row r="27924" customFormat="1" x14ac:dyDescent="0.3"/>
    <row r="27925" customFormat="1" x14ac:dyDescent="0.3"/>
    <row r="27926" customFormat="1" x14ac:dyDescent="0.3"/>
    <row r="27927" customFormat="1" x14ac:dyDescent="0.3"/>
    <row r="27928" customFormat="1" x14ac:dyDescent="0.3"/>
    <row r="27929" customFormat="1" x14ac:dyDescent="0.3"/>
    <row r="27930" customFormat="1" x14ac:dyDescent="0.3"/>
    <row r="27931" customFormat="1" x14ac:dyDescent="0.3"/>
    <row r="27932" customFormat="1" x14ac:dyDescent="0.3"/>
    <row r="27933" customFormat="1" x14ac:dyDescent="0.3"/>
    <row r="27934" customFormat="1" x14ac:dyDescent="0.3"/>
    <row r="27935" customFormat="1" x14ac:dyDescent="0.3"/>
    <row r="27936" customFormat="1" x14ac:dyDescent="0.3"/>
    <row r="27937" customFormat="1" x14ac:dyDescent="0.3"/>
    <row r="27938" customFormat="1" x14ac:dyDescent="0.3"/>
    <row r="27939" customFormat="1" x14ac:dyDescent="0.3"/>
    <row r="27940" customFormat="1" x14ac:dyDescent="0.3"/>
    <row r="27941" customFormat="1" x14ac:dyDescent="0.3"/>
    <row r="27942" customFormat="1" x14ac:dyDescent="0.3"/>
    <row r="27943" customFormat="1" x14ac:dyDescent="0.3"/>
    <row r="27944" customFormat="1" x14ac:dyDescent="0.3"/>
    <row r="27945" customFormat="1" x14ac:dyDescent="0.3"/>
    <row r="27946" customFormat="1" x14ac:dyDescent="0.3"/>
    <row r="27947" customFormat="1" x14ac:dyDescent="0.3"/>
    <row r="27948" customFormat="1" x14ac:dyDescent="0.3"/>
    <row r="27949" customFormat="1" x14ac:dyDescent="0.3"/>
    <row r="27950" customFormat="1" x14ac:dyDescent="0.3"/>
    <row r="27951" customFormat="1" x14ac:dyDescent="0.3"/>
    <row r="27952" customFormat="1" x14ac:dyDescent="0.3"/>
    <row r="27953" customFormat="1" x14ac:dyDescent="0.3"/>
    <row r="27954" customFormat="1" x14ac:dyDescent="0.3"/>
    <row r="27955" customFormat="1" x14ac:dyDescent="0.3"/>
    <row r="27956" customFormat="1" x14ac:dyDescent="0.3"/>
    <row r="27957" customFormat="1" x14ac:dyDescent="0.3"/>
    <row r="27958" customFormat="1" x14ac:dyDescent="0.3"/>
    <row r="27959" customFormat="1" x14ac:dyDescent="0.3"/>
    <row r="27960" customFormat="1" x14ac:dyDescent="0.3"/>
    <row r="27961" customFormat="1" x14ac:dyDescent="0.3"/>
    <row r="27962" customFormat="1" x14ac:dyDescent="0.3"/>
    <row r="27963" customFormat="1" x14ac:dyDescent="0.3"/>
    <row r="27964" customFormat="1" x14ac:dyDescent="0.3"/>
    <row r="27965" customFormat="1" x14ac:dyDescent="0.3"/>
    <row r="27966" customFormat="1" x14ac:dyDescent="0.3"/>
    <row r="27967" customFormat="1" x14ac:dyDescent="0.3"/>
    <row r="27968" customFormat="1" x14ac:dyDescent="0.3"/>
    <row r="27969" customFormat="1" x14ac:dyDescent="0.3"/>
    <row r="27970" customFormat="1" x14ac:dyDescent="0.3"/>
    <row r="27971" customFormat="1" x14ac:dyDescent="0.3"/>
    <row r="27972" customFormat="1" x14ac:dyDescent="0.3"/>
    <row r="27973" customFormat="1" x14ac:dyDescent="0.3"/>
    <row r="27974" customFormat="1" x14ac:dyDescent="0.3"/>
    <row r="27975" customFormat="1" x14ac:dyDescent="0.3"/>
    <row r="27976" customFormat="1" x14ac:dyDescent="0.3"/>
    <row r="27977" customFormat="1" x14ac:dyDescent="0.3"/>
    <row r="27978" customFormat="1" x14ac:dyDescent="0.3"/>
    <row r="27979" customFormat="1" x14ac:dyDescent="0.3"/>
    <row r="27980" customFormat="1" x14ac:dyDescent="0.3"/>
    <row r="27981" customFormat="1" x14ac:dyDescent="0.3"/>
    <row r="27982" customFormat="1" x14ac:dyDescent="0.3"/>
    <row r="27983" customFormat="1" x14ac:dyDescent="0.3"/>
    <row r="27984" customFormat="1" x14ac:dyDescent="0.3"/>
    <row r="27985" customFormat="1" x14ac:dyDescent="0.3"/>
    <row r="27986" customFormat="1" x14ac:dyDescent="0.3"/>
    <row r="27987" customFormat="1" x14ac:dyDescent="0.3"/>
    <row r="27988" customFormat="1" x14ac:dyDescent="0.3"/>
    <row r="27989" customFormat="1" x14ac:dyDescent="0.3"/>
    <row r="27990" customFormat="1" x14ac:dyDescent="0.3"/>
    <row r="27991" customFormat="1" x14ac:dyDescent="0.3"/>
    <row r="27992" customFormat="1" x14ac:dyDescent="0.3"/>
    <row r="27993" customFormat="1" x14ac:dyDescent="0.3"/>
    <row r="27994" customFormat="1" x14ac:dyDescent="0.3"/>
    <row r="27995" customFormat="1" x14ac:dyDescent="0.3"/>
    <row r="27996" customFormat="1" x14ac:dyDescent="0.3"/>
    <row r="27997" customFormat="1" x14ac:dyDescent="0.3"/>
    <row r="27998" customFormat="1" x14ac:dyDescent="0.3"/>
    <row r="27999" customFormat="1" x14ac:dyDescent="0.3"/>
    <row r="28000" customFormat="1" x14ac:dyDescent="0.3"/>
    <row r="28001" customFormat="1" x14ac:dyDescent="0.3"/>
    <row r="28002" customFormat="1" x14ac:dyDescent="0.3"/>
    <row r="28003" customFormat="1" x14ac:dyDescent="0.3"/>
    <row r="28004" customFormat="1" x14ac:dyDescent="0.3"/>
    <row r="28005" customFormat="1" x14ac:dyDescent="0.3"/>
    <row r="28006" customFormat="1" x14ac:dyDescent="0.3"/>
    <row r="28007" customFormat="1" x14ac:dyDescent="0.3"/>
    <row r="28008" customFormat="1" x14ac:dyDescent="0.3"/>
    <row r="28009" customFormat="1" x14ac:dyDescent="0.3"/>
    <row r="28010" customFormat="1" x14ac:dyDescent="0.3"/>
    <row r="28011" customFormat="1" x14ac:dyDescent="0.3"/>
    <row r="28012" customFormat="1" x14ac:dyDescent="0.3"/>
    <row r="28013" customFormat="1" x14ac:dyDescent="0.3"/>
    <row r="28014" customFormat="1" x14ac:dyDescent="0.3"/>
    <row r="28015" customFormat="1" x14ac:dyDescent="0.3"/>
    <row r="28016" customFormat="1" x14ac:dyDescent="0.3"/>
    <row r="28017" customFormat="1" x14ac:dyDescent="0.3"/>
    <row r="28018" customFormat="1" x14ac:dyDescent="0.3"/>
    <row r="28019" customFormat="1" x14ac:dyDescent="0.3"/>
    <row r="28020" customFormat="1" x14ac:dyDescent="0.3"/>
    <row r="28021" customFormat="1" x14ac:dyDescent="0.3"/>
    <row r="28022" customFormat="1" x14ac:dyDescent="0.3"/>
    <row r="28023" customFormat="1" x14ac:dyDescent="0.3"/>
    <row r="28024" customFormat="1" x14ac:dyDescent="0.3"/>
    <row r="28025" customFormat="1" x14ac:dyDescent="0.3"/>
    <row r="28026" customFormat="1" x14ac:dyDescent="0.3"/>
    <row r="28027" customFormat="1" x14ac:dyDescent="0.3"/>
    <row r="28028" customFormat="1" x14ac:dyDescent="0.3"/>
    <row r="28029" customFormat="1" x14ac:dyDescent="0.3"/>
    <row r="28030" customFormat="1" x14ac:dyDescent="0.3"/>
    <row r="28031" customFormat="1" x14ac:dyDescent="0.3"/>
    <row r="28032" customFormat="1" x14ac:dyDescent="0.3"/>
    <row r="28033" customFormat="1" x14ac:dyDescent="0.3"/>
    <row r="28034" customFormat="1" x14ac:dyDescent="0.3"/>
    <row r="28035" customFormat="1" x14ac:dyDescent="0.3"/>
    <row r="28036" customFormat="1" x14ac:dyDescent="0.3"/>
    <row r="28037" customFormat="1" x14ac:dyDescent="0.3"/>
    <row r="28038" customFormat="1" x14ac:dyDescent="0.3"/>
    <row r="28039" customFormat="1" x14ac:dyDescent="0.3"/>
    <row r="28040" customFormat="1" x14ac:dyDescent="0.3"/>
    <row r="28041" customFormat="1" x14ac:dyDescent="0.3"/>
    <row r="28042" customFormat="1" x14ac:dyDescent="0.3"/>
    <row r="28043" customFormat="1" x14ac:dyDescent="0.3"/>
    <row r="28044" customFormat="1" x14ac:dyDescent="0.3"/>
    <row r="28045" customFormat="1" x14ac:dyDescent="0.3"/>
    <row r="28046" customFormat="1" x14ac:dyDescent="0.3"/>
    <row r="28047" customFormat="1" x14ac:dyDescent="0.3"/>
    <row r="28048" customFormat="1" x14ac:dyDescent="0.3"/>
    <row r="28049" customFormat="1" x14ac:dyDescent="0.3"/>
    <row r="28050" customFormat="1" x14ac:dyDescent="0.3"/>
    <row r="28051" customFormat="1" x14ac:dyDescent="0.3"/>
    <row r="28052" customFormat="1" x14ac:dyDescent="0.3"/>
    <row r="28053" customFormat="1" x14ac:dyDescent="0.3"/>
    <row r="28054" customFormat="1" x14ac:dyDescent="0.3"/>
    <row r="28055" customFormat="1" x14ac:dyDescent="0.3"/>
    <row r="28056" customFormat="1" x14ac:dyDescent="0.3"/>
    <row r="28057" customFormat="1" x14ac:dyDescent="0.3"/>
    <row r="28058" customFormat="1" x14ac:dyDescent="0.3"/>
    <row r="28059" customFormat="1" x14ac:dyDescent="0.3"/>
    <row r="28060" customFormat="1" x14ac:dyDescent="0.3"/>
    <row r="28061" customFormat="1" x14ac:dyDescent="0.3"/>
    <row r="28062" customFormat="1" x14ac:dyDescent="0.3"/>
    <row r="28063" customFormat="1" x14ac:dyDescent="0.3"/>
    <row r="28064" customFormat="1" x14ac:dyDescent="0.3"/>
    <row r="28065" customFormat="1" x14ac:dyDescent="0.3"/>
    <row r="28066" customFormat="1" x14ac:dyDescent="0.3"/>
    <row r="28067" customFormat="1" x14ac:dyDescent="0.3"/>
    <row r="28068" customFormat="1" x14ac:dyDescent="0.3"/>
    <row r="28069" customFormat="1" x14ac:dyDescent="0.3"/>
    <row r="28070" customFormat="1" x14ac:dyDescent="0.3"/>
    <row r="28071" customFormat="1" x14ac:dyDescent="0.3"/>
    <row r="28072" customFormat="1" x14ac:dyDescent="0.3"/>
    <row r="28073" customFormat="1" x14ac:dyDescent="0.3"/>
    <row r="28074" customFormat="1" x14ac:dyDescent="0.3"/>
    <row r="28075" customFormat="1" x14ac:dyDescent="0.3"/>
    <row r="28076" customFormat="1" x14ac:dyDescent="0.3"/>
    <row r="28077" customFormat="1" x14ac:dyDescent="0.3"/>
    <row r="28078" customFormat="1" x14ac:dyDescent="0.3"/>
    <row r="28079" customFormat="1" x14ac:dyDescent="0.3"/>
    <row r="28080" customFormat="1" x14ac:dyDescent="0.3"/>
    <row r="28081" customFormat="1" x14ac:dyDescent="0.3"/>
    <row r="28082" customFormat="1" x14ac:dyDescent="0.3"/>
    <row r="28083" customFormat="1" x14ac:dyDescent="0.3"/>
    <row r="28084" customFormat="1" x14ac:dyDescent="0.3"/>
    <row r="28085" customFormat="1" x14ac:dyDescent="0.3"/>
    <row r="28086" customFormat="1" x14ac:dyDescent="0.3"/>
    <row r="28087" customFormat="1" x14ac:dyDescent="0.3"/>
    <row r="28088" customFormat="1" x14ac:dyDescent="0.3"/>
    <row r="28089" customFormat="1" x14ac:dyDescent="0.3"/>
    <row r="28090" customFormat="1" x14ac:dyDescent="0.3"/>
    <row r="28091" customFormat="1" x14ac:dyDescent="0.3"/>
    <row r="28092" customFormat="1" x14ac:dyDescent="0.3"/>
    <row r="28093" customFormat="1" x14ac:dyDescent="0.3"/>
    <row r="28094" customFormat="1" x14ac:dyDescent="0.3"/>
    <row r="28095" customFormat="1" x14ac:dyDescent="0.3"/>
    <row r="28096" customFormat="1" x14ac:dyDescent="0.3"/>
    <row r="28097" customFormat="1" x14ac:dyDescent="0.3"/>
    <row r="28098" customFormat="1" x14ac:dyDescent="0.3"/>
    <row r="28099" customFormat="1" x14ac:dyDescent="0.3"/>
    <row r="28100" customFormat="1" x14ac:dyDescent="0.3"/>
    <row r="28101" customFormat="1" x14ac:dyDescent="0.3"/>
    <row r="28102" customFormat="1" x14ac:dyDescent="0.3"/>
    <row r="28103" customFormat="1" x14ac:dyDescent="0.3"/>
    <row r="28104" customFormat="1" x14ac:dyDescent="0.3"/>
    <row r="28105" customFormat="1" x14ac:dyDescent="0.3"/>
    <row r="28106" customFormat="1" x14ac:dyDescent="0.3"/>
    <row r="28107" customFormat="1" x14ac:dyDescent="0.3"/>
    <row r="28108" customFormat="1" x14ac:dyDescent="0.3"/>
    <row r="28109" customFormat="1" x14ac:dyDescent="0.3"/>
    <row r="28110" customFormat="1" x14ac:dyDescent="0.3"/>
    <row r="28111" customFormat="1" x14ac:dyDescent="0.3"/>
    <row r="28112" customFormat="1" x14ac:dyDescent="0.3"/>
    <row r="28113" customFormat="1" x14ac:dyDescent="0.3"/>
    <row r="28114" customFormat="1" x14ac:dyDescent="0.3"/>
    <row r="28115" customFormat="1" x14ac:dyDescent="0.3"/>
    <row r="28116" customFormat="1" x14ac:dyDescent="0.3"/>
    <row r="28117" customFormat="1" x14ac:dyDescent="0.3"/>
    <row r="28118" customFormat="1" x14ac:dyDescent="0.3"/>
    <row r="28119" customFormat="1" x14ac:dyDescent="0.3"/>
    <row r="28120" customFormat="1" x14ac:dyDescent="0.3"/>
    <row r="28121" customFormat="1" x14ac:dyDescent="0.3"/>
    <row r="28122" customFormat="1" x14ac:dyDescent="0.3"/>
    <row r="28123" customFormat="1" x14ac:dyDescent="0.3"/>
    <row r="28124" customFormat="1" x14ac:dyDescent="0.3"/>
    <row r="28125" customFormat="1" x14ac:dyDescent="0.3"/>
    <row r="28126" customFormat="1" x14ac:dyDescent="0.3"/>
    <row r="28127" customFormat="1" x14ac:dyDescent="0.3"/>
    <row r="28128" customFormat="1" x14ac:dyDescent="0.3"/>
    <row r="28129" customFormat="1" x14ac:dyDescent="0.3"/>
    <row r="28130" customFormat="1" x14ac:dyDescent="0.3"/>
    <row r="28131" customFormat="1" x14ac:dyDescent="0.3"/>
    <row r="28132" customFormat="1" x14ac:dyDescent="0.3"/>
    <row r="28133" customFormat="1" x14ac:dyDescent="0.3"/>
    <row r="28134" customFormat="1" x14ac:dyDescent="0.3"/>
    <row r="28135" customFormat="1" x14ac:dyDescent="0.3"/>
    <row r="28136" customFormat="1" x14ac:dyDescent="0.3"/>
    <row r="28137" customFormat="1" x14ac:dyDescent="0.3"/>
    <row r="28138" customFormat="1" x14ac:dyDescent="0.3"/>
    <row r="28139" customFormat="1" x14ac:dyDescent="0.3"/>
    <row r="28140" customFormat="1" x14ac:dyDescent="0.3"/>
    <row r="28141" customFormat="1" x14ac:dyDescent="0.3"/>
    <row r="28142" customFormat="1" x14ac:dyDescent="0.3"/>
    <row r="28143" customFormat="1" x14ac:dyDescent="0.3"/>
    <row r="28144" customFormat="1" x14ac:dyDescent="0.3"/>
    <row r="28145" customFormat="1" x14ac:dyDescent="0.3"/>
    <row r="28146" customFormat="1" x14ac:dyDescent="0.3"/>
    <row r="28147" customFormat="1" x14ac:dyDescent="0.3"/>
    <row r="28148" customFormat="1" x14ac:dyDescent="0.3"/>
    <row r="28149" customFormat="1" x14ac:dyDescent="0.3"/>
    <row r="28150" customFormat="1" x14ac:dyDescent="0.3"/>
    <row r="28151" customFormat="1" x14ac:dyDescent="0.3"/>
    <row r="28152" customFormat="1" x14ac:dyDescent="0.3"/>
    <row r="28153" customFormat="1" x14ac:dyDescent="0.3"/>
    <row r="28154" customFormat="1" x14ac:dyDescent="0.3"/>
    <row r="28155" customFormat="1" x14ac:dyDescent="0.3"/>
    <row r="28156" customFormat="1" x14ac:dyDescent="0.3"/>
    <row r="28157" customFormat="1" x14ac:dyDescent="0.3"/>
    <row r="28158" customFormat="1" x14ac:dyDescent="0.3"/>
    <row r="28159" customFormat="1" x14ac:dyDescent="0.3"/>
    <row r="28160" customFormat="1" x14ac:dyDescent="0.3"/>
    <row r="28161" customFormat="1" x14ac:dyDescent="0.3"/>
    <row r="28162" customFormat="1" x14ac:dyDescent="0.3"/>
    <row r="28163" customFormat="1" x14ac:dyDescent="0.3"/>
    <row r="28164" customFormat="1" x14ac:dyDescent="0.3"/>
    <row r="28165" customFormat="1" x14ac:dyDescent="0.3"/>
    <row r="28166" customFormat="1" x14ac:dyDescent="0.3"/>
    <row r="28167" customFormat="1" x14ac:dyDescent="0.3"/>
    <row r="28168" customFormat="1" x14ac:dyDescent="0.3"/>
    <row r="28169" customFormat="1" x14ac:dyDescent="0.3"/>
    <row r="28170" customFormat="1" x14ac:dyDescent="0.3"/>
    <row r="28171" customFormat="1" x14ac:dyDescent="0.3"/>
    <row r="28172" customFormat="1" x14ac:dyDescent="0.3"/>
    <row r="28173" customFormat="1" x14ac:dyDescent="0.3"/>
    <row r="28174" customFormat="1" x14ac:dyDescent="0.3"/>
    <row r="28175" customFormat="1" x14ac:dyDescent="0.3"/>
    <row r="28176" customFormat="1" x14ac:dyDescent="0.3"/>
    <row r="28177" customFormat="1" x14ac:dyDescent="0.3"/>
    <row r="28178" customFormat="1" x14ac:dyDescent="0.3"/>
    <row r="28179" customFormat="1" x14ac:dyDescent="0.3"/>
    <row r="28180" customFormat="1" x14ac:dyDescent="0.3"/>
    <row r="28181" customFormat="1" x14ac:dyDescent="0.3"/>
    <row r="28182" customFormat="1" x14ac:dyDescent="0.3"/>
    <row r="28183" customFormat="1" x14ac:dyDescent="0.3"/>
    <row r="28184" customFormat="1" x14ac:dyDescent="0.3"/>
    <row r="28185" customFormat="1" x14ac:dyDescent="0.3"/>
    <row r="28186" customFormat="1" x14ac:dyDescent="0.3"/>
    <row r="28187" customFormat="1" x14ac:dyDescent="0.3"/>
    <row r="28188" customFormat="1" x14ac:dyDescent="0.3"/>
    <row r="28189" customFormat="1" x14ac:dyDescent="0.3"/>
    <row r="28190" customFormat="1" x14ac:dyDescent="0.3"/>
    <row r="28191" customFormat="1" x14ac:dyDescent="0.3"/>
    <row r="28192" customFormat="1" x14ac:dyDescent="0.3"/>
    <row r="28193" customFormat="1" x14ac:dyDescent="0.3"/>
    <row r="28194" customFormat="1" x14ac:dyDescent="0.3"/>
    <row r="28195" customFormat="1" x14ac:dyDescent="0.3"/>
    <row r="28196" customFormat="1" x14ac:dyDescent="0.3"/>
    <row r="28197" customFormat="1" x14ac:dyDescent="0.3"/>
    <row r="28198" customFormat="1" x14ac:dyDescent="0.3"/>
    <row r="28199" customFormat="1" x14ac:dyDescent="0.3"/>
    <row r="28200" customFormat="1" x14ac:dyDescent="0.3"/>
    <row r="28201" customFormat="1" x14ac:dyDescent="0.3"/>
    <row r="28202" customFormat="1" x14ac:dyDescent="0.3"/>
    <row r="28203" customFormat="1" x14ac:dyDescent="0.3"/>
    <row r="28204" customFormat="1" x14ac:dyDescent="0.3"/>
    <row r="28205" customFormat="1" x14ac:dyDescent="0.3"/>
    <row r="28206" customFormat="1" x14ac:dyDescent="0.3"/>
    <row r="28207" customFormat="1" x14ac:dyDescent="0.3"/>
    <row r="28208" customFormat="1" x14ac:dyDescent="0.3"/>
    <row r="28209" customFormat="1" x14ac:dyDescent="0.3"/>
    <row r="28210" customFormat="1" x14ac:dyDescent="0.3"/>
    <row r="28211" customFormat="1" x14ac:dyDescent="0.3"/>
    <row r="28212" customFormat="1" x14ac:dyDescent="0.3"/>
    <row r="28213" customFormat="1" x14ac:dyDescent="0.3"/>
    <row r="28214" customFormat="1" x14ac:dyDescent="0.3"/>
    <row r="28215" customFormat="1" x14ac:dyDescent="0.3"/>
    <row r="28216" customFormat="1" x14ac:dyDescent="0.3"/>
    <row r="28217" customFormat="1" x14ac:dyDescent="0.3"/>
    <row r="28218" customFormat="1" x14ac:dyDescent="0.3"/>
    <row r="28219" customFormat="1" x14ac:dyDescent="0.3"/>
    <row r="28220" customFormat="1" x14ac:dyDescent="0.3"/>
    <row r="28221" customFormat="1" x14ac:dyDescent="0.3"/>
    <row r="28222" customFormat="1" x14ac:dyDescent="0.3"/>
    <row r="28223" customFormat="1" x14ac:dyDescent="0.3"/>
    <row r="28224" customFormat="1" x14ac:dyDescent="0.3"/>
    <row r="28225" customFormat="1" x14ac:dyDescent="0.3"/>
    <row r="28226" customFormat="1" x14ac:dyDescent="0.3"/>
    <row r="28227" customFormat="1" x14ac:dyDescent="0.3"/>
    <row r="28228" customFormat="1" x14ac:dyDescent="0.3"/>
    <row r="28229" customFormat="1" x14ac:dyDescent="0.3"/>
    <row r="28230" customFormat="1" x14ac:dyDescent="0.3"/>
    <row r="28231" customFormat="1" x14ac:dyDescent="0.3"/>
    <row r="28232" customFormat="1" x14ac:dyDescent="0.3"/>
    <row r="28233" customFormat="1" x14ac:dyDescent="0.3"/>
    <row r="28234" customFormat="1" x14ac:dyDescent="0.3"/>
    <row r="28235" customFormat="1" x14ac:dyDescent="0.3"/>
    <row r="28236" customFormat="1" x14ac:dyDescent="0.3"/>
    <row r="28237" customFormat="1" x14ac:dyDescent="0.3"/>
    <row r="28238" customFormat="1" x14ac:dyDescent="0.3"/>
    <row r="28239" customFormat="1" x14ac:dyDescent="0.3"/>
    <row r="28240" customFormat="1" x14ac:dyDescent="0.3"/>
    <row r="28241" customFormat="1" x14ac:dyDescent="0.3"/>
    <row r="28242" customFormat="1" x14ac:dyDescent="0.3"/>
    <row r="28243" customFormat="1" x14ac:dyDescent="0.3"/>
    <row r="28244" customFormat="1" x14ac:dyDescent="0.3"/>
    <row r="28245" customFormat="1" x14ac:dyDescent="0.3"/>
    <row r="28246" customFormat="1" x14ac:dyDescent="0.3"/>
    <row r="28247" customFormat="1" x14ac:dyDescent="0.3"/>
    <row r="28248" customFormat="1" x14ac:dyDescent="0.3"/>
    <row r="28249" customFormat="1" x14ac:dyDescent="0.3"/>
    <row r="28250" customFormat="1" x14ac:dyDescent="0.3"/>
    <row r="28251" customFormat="1" x14ac:dyDescent="0.3"/>
    <row r="28252" customFormat="1" x14ac:dyDescent="0.3"/>
    <row r="28253" customFormat="1" x14ac:dyDescent="0.3"/>
    <row r="28254" customFormat="1" x14ac:dyDescent="0.3"/>
    <row r="28255" customFormat="1" x14ac:dyDescent="0.3"/>
    <row r="28256" customFormat="1" x14ac:dyDescent="0.3"/>
    <row r="28257" customFormat="1" x14ac:dyDescent="0.3"/>
    <row r="28258" customFormat="1" x14ac:dyDescent="0.3"/>
    <row r="28259" customFormat="1" x14ac:dyDescent="0.3"/>
    <row r="28260" customFormat="1" x14ac:dyDescent="0.3"/>
    <row r="28261" customFormat="1" x14ac:dyDescent="0.3"/>
    <row r="28262" customFormat="1" x14ac:dyDescent="0.3"/>
    <row r="28263" customFormat="1" x14ac:dyDescent="0.3"/>
    <row r="28264" customFormat="1" x14ac:dyDescent="0.3"/>
    <row r="28265" customFormat="1" x14ac:dyDescent="0.3"/>
    <row r="28266" customFormat="1" x14ac:dyDescent="0.3"/>
    <row r="28267" customFormat="1" x14ac:dyDescent="0.3"/>
    <row r="28268" customFormat="1" x14ac:dyDescent="0.3"/>
    <row r="28269" customFormat="1" x14ac:dyDescent="0.3"/>
    <row r="28270" customFormat="1" x14ac:dyDescent="0.3"/>
    <row r="28271" customFormat="1" x14ac:dyDescent="0.3"/>
    <row r="28272" customFormat="1" x14ac:dyDescent="0.3"/>
    <row r="28273" customFormat="1" x14ac:dyDescent="0.3"/>
    <row r="28274" customFormat="1" x14ac:dyDescent="0.3"/>
    <row r="28275" customFormat="1" x14ac:dyDescent="0.3"/>
    <row r="28276" customFormat="1" x14ac:dyDescent="0.3"/>
    <row r="28277" customFormat="1" x14ac:dyDescent="0.3"/>
    <row r="28278" customFormat="1" x14ac:dyDescent="0.3"/>
    <row r="28279" customFormat="1" x14ac:dyDescent="0.3"/>
    <row r="28280" customFormat="1" x14ac:dyDescent="0.3"/>
    <row r="28281" customFormat="1" x14ac:dyDescent="0.3"/>
    <row r="28282" customFormat="1" x14ac:dyDescent="0.3"/>
    <row r="28283" customFormat="1" x14ac:dyDescent="0.3"/>
    <row r="28284" customFormat="1" x14ac:dyDescent="0.3"/>
    <row r="28285" customFormat="1" x14ac:dyDescent="0.3"/>
    <row r="28286" customFormat="1" x14ac:dyDescent="0.3"/>
    <row r="28287" customFormat="1" x14ac:dyDescent="0.3"/>
    <row r="28288" customFormat="1" x14ac:dyDescent="0.3"/>
    <row r="28289" customFormat="1" x14ac:dyDescent="0.3"/>
    <row r="28290" customFormat="1" x14ac:dyDescent="0.3"/>
    <row r="28291" customFormat="1" x14ac:dyDescent="0.3"/>
    <row r="28292" customFormat="1" x14ac:dyDescent="0.3"/>
    <row r="28293" customFormat="1" x14ac:dyDescent="0.3"/>
    <row r="28294" customFormat="1" x14ac:dyDescent="0.3"/>
    <row r="28295" customFormat="1" x14ac:dyDescent="0.3"/>
    <row r="28296" customFormat="1" x14ac:dyDescent="0.3"/>
    <row r="28297" customFormat="1" x14ac:dyDescent="0.3"/>
    <row r="28298" customFormat="1" x14ac:dyDescent="0.3"/>
    <row r="28299" customFormat="1" x14ac:dyDescent="0.3"/>
    <row r="28300" customFormat="1" x14ac:dyDescent="0.3"/>
    <row r="28301" customFormat="1" x14ac:dyDescent="0.3"/>
    <row r="28302" customFormat="1" x14ac:dyDescent="0.3"/>
    <row r="28303" customFormat="1" x14ac:dyDescent="0.3"/>
    <row r="28304" customFormat="1" x14ac:dyDescent="0.3"/>
    <row r="28305" customFormat="1" x14ac:dyDescent="0.3"/>
    <row r="28306" customFormat="1" x14ac:dyDescent="0.3"/>
    <row r="28307" customFormat="1" x14ac:dyDescent="0.3"/>
    <row r="28308" customFormat="1" x14ac:dyDescent="0.3"/>
    <row r="28309" customFormat="1" x14ac:dyDescent="0.3"/>
    <row r="28310" customFormat="1" x14ac:dyDescent="0.3"/>
    <row r="28311" customFormat="1" x14ac:dyDescent="0.3"/>
    <row r="28312" customFormat="1" x14ac:dyDescent="0.3"/>
    <row r="28313" customFormat="1" x14ac:dyDescent="0.3"/>
    <row r="28314" customFormat="1" x14ac:dyDescent="0.3"/>
    <row r="28315" customFormat="1" x14ac:dyDescent="0.3"/>
    <row r="28316" customFormat="1" x14ac:dyDescent="0.3"/>
    <row r="28317" customFormat="1" x14ac:dyDescent="0.3"/>
    <row r="28318" customFormat="1" x14ac:dyDescent="0.3"/>
    <row r="28319" customFormat="1" x14ac:dyDescent="0.3"/>
    <row r="28320" customFormat="1" x14ac:dyDescent="0.3"/>
    <row r="28321" customFormat="1" x14ac:dyDescent="0.3"/>
    <row r="28322" customFormat="1" x14ac:dyDescent="0.3"/>
    <row r="28323" customFormat="1" x14ac:dyDescent="0.3"/>
    <row r="28324" customFormat="1" x14ac:dyDescent="0.3"/>
    <row r="28325" customFormat="1" x14ac:dyDescent="0.3"/>
    <row r="28326" customFormat="1" x14ac:dyDescent="0.3"/>
    <row r="28327" customFormat="1" x14ac:dyDescent="0.3"/>
    <row r="28328" customFormat="1" x14ac:dyDescent="0.3"/>
    <row r="28329" customFormat="1" x14ac:dyDescent="0.3"/>
    <row r="28330" customFormat="1" x14ac:dyDescent="0.3"/>
    <row r="28331" customFormat="1" x14ac:dyDescent="0.3"/>
    <row r="28332" customFormat="1" x14ac:dyDescent="0.3"/>
    <row r="28333" customFormat="1" x14ac:dyDescent="0.3"/>
    <row r="28334" customFormat="1" x14ac:dyDescent="0.3"/>
    <row r="28335" customFormat="1" x14ac:dyDescent="0.3"/>
    <row r="28336" customFormat="1" x14ac:dyDescent="0.3"/>
    <row r="28337" customFormat="1" x14ac:dyDescent="0.3"/>
    <row r="28338" customFormat="1" x14ac:dyDescent="0.3"/>
    <row r="28339" customFormat="1" x14ac:dyDescent="0.3"/>
    <row r="28340" customFormat="1" x14ac:dyDescent="0.3"/>
    <row r="28341" customFormat="1" x14ac:dyDescent="0.3"/>
    <row r="28342" customFormat="1" x14ac:dyDescent="0.3"/>
    <row r="28343" customFormat="1" x14ac:dyDescent="0.3"/>
    <row r="28344" customFormat="1" x14ac:dyDescent="0.3"/>
    <row r="28345" customFormat="1" x14ac:dyDescent="0.3"/>
    <row r="28346" customFormat="1" x14ac:dyDescent="0.3"/>
    <row r="28347" customFormat="1" x14ac:dyDescent="0.3"/>
    <row r="28348" customFormat="1" x14ac:dyDescent="0.3"/>
    <row r="28349" customFormat="1" x14ac:dyDescent="0.3"/>
    <row r="28350" customFormat="1" x14ac:dyDescent="0.3"/>
    <row r="28351" customFormat="1" x14ac:dyDescent="0.3"/>
    <row r="28352" customFormat="1" x14ac:dyDescent="0.3"/>
    <row r="28353" customFormat="1" x14ac:dyDescent="0.3"/>
    <row r="28354" customFormat="1" x14ac:dyDescent="0.3"/>
    <row r="28355" customFormat="1" x14ac:dyDescent="0.3"/>
    <row r="28356" customFormat="1" x14ac:dyDescent="0.3"/>
    <row r="28357" customFormat="1" x14ac:dyDescent="0.3"/>
    <row r="28358" customFormat="1" x14ac:dyDescent="0.3"/>
    <row r="28359" customFormat="1" x14ac:dyDescent="0.3"/>
    <row r="28360" customFormat="1" x14ac:dyDescent="0.3"/>
    <row r="28361" customFormat="1" x14ac:dyDescent="0.3"/>
    <row r="28362" customFormat="1" x14ac:dyDescent="0.3"/>
    <row r="28363" customFormat="1" x14ac:dyDescent="0.3"/>
    <row r="28364" customFormat="1" x14ac:dyDescent="0.3"/>
    <row r="28365" customFormat="1" x14ac:dyDescent="0.3"/>
    <row r="28366" customFormat="1" x14ac:dyDescent="0.3"/>
    <row r="28367" customFormat="1" x14ac:dyDescent="0.3"/>
    <row r="28368" customFormat="1" x14ac:dyDescent="0.3"/>
    <row r="28369" customFormat="1" x14ac:dyDescent="0.3"/>
    <row r="28370" customFormat="1" x14ac:dyDescent="0.3"/>
    <row r="28371" customFormat="1" x14ac:dyDescent="0.3"/>
    <row r="28372" customFormat="1" x14ac:dyDescent="0.3"/>
    <row r="28373" customFormat="1" x14ac:dyDescent="0.3"/>
    <row r="28374" customFormat="1" x14ac:dyDescent="0.3"/>
    <row r="28375" customFormat="1" x14ac:dyDescent="0.3"/>
    <row r="28376" customFormat="1" x14ac:dyDescent="0.3"/>
    <row r="28377" customFormat="1" x14ac:dyDescent="0.3"/>
    <row r="28378" customFormat="1" x14ac:dyDescent="0.3"/>
    <row r="28379" customFormat="1" x14ac:dyDescent="0.3"/>
    <row r="28380" customFormat="1" x14ac:dyDescent="0.3"/>
    <row r="28381" customFormat="1" x14ac:dyDescent="0.3"/>
    <row r="28382" customFormat="1" x14ac:dyDescent="0.3"/>
    <row r="28383" customFormat="1" x14ac:dyDescent="0.3"/>
    <row r="28384" customFormat="1" x14ac:dyDescent="0.3"/>
    <row r="28385" customFormat="1" x14ac:dyDescent="0.3"/>
    <row r="28386" customFormat="1" x14ac:dyDescent="0.3"/>
    <row r="28387" customFormat="1" x14ac:dyDescent="0.3"/>
    <row r="28388" customFormat="1" x14ac:dyDescent="0.3"/>
    <row r="28389" customFormat="1" x14ac:dyDescent="0.3"/>
    <row r="28390" customFormat="1" x14ac:dyDescent="0.3"/>
    <row r="28391" customFormat="1" x14ac:dyDescent="0.3"/>
    <row r="28392" customFormat="1" x14ac:dyDescent="0.3"/>
    <row r="28393" customFormat="1" x14ac:dyDescent="0.3"/>
    <row r="28394" customFormat="1" x14ac:dyDescent="0.3"/>
    <row r="28395" customFormat="1" x14ac:dyDescent="0.3"/>
    <row r="28396" customFormat="1" x14ac:dyDescent="0.3"/>
    <row r="28397" customFormat="1" x14ac:dyDescent="0.3"/>
    <row r="28398" customFormat="1" x14ac:dyDescent="0.3"/>
    <row r="28399" customFormat="1" x14ac:dyDescent="0.3"/>
    <row r="28400" customFormat="1" x14ac:dyDescent="0.3"/>
    <row r="28401" customFormat="1" x14ac:dyDescent="0.3"/>
    <row r="28402" customFormat="1" x14ac:dyDescent="0.3"/>
    <row r="28403" customFormat="1" x14ac:dyDescent="0.3"/>
    <row r="28404" customFormat="1" x14ac:dyDescent="0.3"/>
    <row r="28405" customFormat="1" x14ac:dyDescent="0.3"/>
    <row r="28406" customFormat="1" x14ac:dyDescent="0.3"/>
    <row r="28407" customFormat="1" x14ac:dyDescent="0.3"/>
    <row r="28408" customFormat="1" x14ac:dyDescent="0.3"/>
    <row r="28409" customFormat="1" x14ac:dyDescent="0.3"/>
    <row r="28410" customFormat="1" x14ac:dyDescent="0.3"/>
    <row r="28411" customFormat="1" x14ac:dyDescent="0.3"/>
    <row r="28412" customFormat="1" x14ac:dyDescent="0.3"/>
    <row r="28413" customFormat="1" x14ac:dyDescent="0.3"/>
    <row r="28414" customFormat="1" x14ac:dyDescent="0.3"/>
    <row r="28415" customFormat="1" x14ac:dyDescent="0.3"/>
    <row r="28416" customFormat="1" x14ac:dyDescent="0.3"/>
    <row r="28417" customFormat="1" x14ac:dyDescent="0.3"/>
    <row r="28418" customFormat="1" x14ac:dyDescent="0.3"/>
    <row r="28419" customFormat="1" x14ac:dyDescent="0.3"/>
    <row r="28420" customFormat="1" x14ac:dyDescent="0.3"/>
    <row r="28421" customFormat="1" x14ac:dyDescent="0.3"/>
    <row r="28422" customFormat="1" x14ac:dyDescent="0.3"/>
    <row r="28423" customFormat="1" x14ac:dyDescent="0.3"/>
    <row r="28424" customFormat="1" x14ac:dyDescent="0.3"/>
    <row r="28425" customFormat="1" x14ac:dyDescent="0.3"/>
    <row r="28426" customFormat="1" x14ac:dyDescent="0.3"/>
    <row r="28427" customFormat="1" x14ac:dyDescent="0.3"/>
    <row r="28428" customFormat="1" x14ac:dyDescent="0.3"/>
    <row r="28429" customFormat="1" x14ac:dyDescent="0.3"/>
    <row r="28430" customFormat="1" x14ac:dyDescent="0.3"/>
    <row r="28431" customFormat="1" x14ac:dyDescent="0.3"/>
    <row r="28432" customFormat="1" x14ac:dyDescent="0.3"/>
    <row r="28433" customFormat="1" x14ac:dyDescent="0.3"/>
    <row r="28434" customFormat="1" x14ac:dyDescent="0.3"/>
    <row r="28435" customFormat="1" x14ac:dyDescent="0.3"/>
    <row r="28436" customFormat="1" x14ac:dyDescent="0.3"/>
    <row r="28437" customFormat="1" x14ac:dyDescent="0.3"/>
    <row r="28438" customFormat="1" x14ac:dyDescent="0.3"/>
    <row r="28439" customFormat="1" x14ac:dyDescent="0.3"/>
    <row r="28440" customFormat="1" x14ac:dyDescent="0.3"/>
    <row r="28441" customFormat="1" x14ac:dyDescent="0.3"/>
    <row r="28442" customFormat="1" x14ac:dyDescent="0.3"/>
    <row r="28443" customFormat="1" x14ac:dyDescent="0.3"/>
    <row r="28444" customFormat="1" x14ac:dyDescent="0.3"/>
    <row r="28445" customFormat="1" x14ac:dyDescent="0.3"/>
    <row r="28446" customFormat="1" x14ac:dyDescent="0.3"/>
    <row r="28447" customFormat="1" x14ac:dyDescent="0.3"/>
    <row r="28448" customFormat="1" x14ac:dyDescent="0.3"/>
    <row r="28449" customFormat="1" x14ac:dyDescent="0.3"/>
    <row r="28450" customFormat="1" x14ac:dyDescent="0.3"/>
    <row r="28451" customFormat="1" x14ac:dyDescent="0.3"/>
    <row r="28452" customFormat="1" x14ac:dyDescent="0.3"/>
    <row r="28453" customFormat="1" x14ac:dyDescent="0.3"/>
    <row r="28454" customFormat="1" x14ac:dyDescent="0.3"/>
    <row r="28455" customFormat="1" x14ac:dyDescent="0.3"/>
    <row r="28456" customFormat="1" x14ac:dyDescent="0.3"/>
    <row r="28457" customFormat="1" x14ac:dyDescent="0.3"/>
    <row r="28458" customFormat="1" x14ac:dyDescent="0.3"/>
    <row r="28459" customFormat="1" x14ac:dyDescent="0.3"/>
    <row r="28460" customFormat="1" x14ac:dyDescent="0.3"/>
    <row r="28461" customFormat="1" x14ac:dyDescent="0.3"/>
    <row r="28462" customFormat="1" x14ac:dyDescent="0.3"/>
    <row r="28463" customFormat="1" x14ac:dyDescent="0.3"/>
    <row r="28464" customFormat="1" x14ac:dyDescent="0.3"/>
    <row r="28465" customFormat="1" x14ac:dyDescent="0.3"/>
    <row r="28466" customFormat="1" x14ac:dyDescent="0.3"/>
    <row r="28467" customFormat="1" x14ac:dyDescent="0.3"/>
    <row r="28468" customFormat="1" x14ac:dyDescent="0.3"/>
    <row r="28469" customFormat="1" x14ac:dyDescent="0.3"/>
    <row r="28470" customFormat="1" x14ac:dyDescent="0.3"/>
    <row r="28471" customFormat="1" x14ac:dyDescent="0.3"/>
    <row r="28472" customFormat="1" x14ac:dyDescent="0.3"/>
    <row r="28473" customFormat="1" x14ac:dyDescent="0.3"/>
    <row r="28474" customFormat="1" x14ac:dyDescent="0.3"/>
    <row r="28475" customFormat="1" x14ac:dyDescent="0.3"/>
    <row r="28476" customFormat="1" x14ac:dyDescent="0.3"/>
    <row r="28477" customFormat="1" x14ac:dyDescent="0.3"/>
    <row r="28478" customFormat="1" x14ac:dyDescent="0.3"/>
    <row r="28479" customFormat="1" x14ac:dyDescent="0.3"/>
    <row r="28480" customFormat="1" x14ac:dyDescent="0.3"/>
    <row r="28481" customFormat="1" x14ac:dyDescent="0.3"/>
    <row r="28482" customFormat="1" x14ac:dyDescent="0.3"/>
    <row r="28483" customFormat="1" x14ac:dyDescent="0.3"/>
    <row r="28484" customFormat="1" x14ac:dyDescent="0.3"/>
    <row r="28485" customFormat="1" x14ac:dyDescent="0.3"/>
    <row r="28486" customFormat="1" x14ac:dyDescent="0.3"/>
    <row r="28487" customFormat="1" x14ac:dyDescent="0.3"/>
    <row r="28488" customFormat="1" x14ac:dyDescent="0.3"/>
    <row r="28489" customFormat="1" x14ac:dyDescent="0.3"/>
    <row r="28490" customFormat="1" x14ac:dyDescent="0.3"/>
    <row r="28491" customFormat="1" x14ac:dyDescent="0.3"/>
    <row r="28492" customFormat="1" x14ac:dyDescent="0.3"/>
    <row r="28493" customFormat="1" x14ac:dyDescent="0.3"/>
    <row r="28494" customFormat="1" x14ac:dyDescent="0.3"/>
    <row r="28495" customFormat="1" x14ac:dyDescent="0.3"/>
    <row r="28496" customFormat="1" x14ac:dyDescent="0.3"/>
    <row r="28497" customFormat="1" x14ac:dyDescent="0.3"/>
    <row r="28498" customFormat="1" x14ac:dyDescent="0.3"/>
    <row r="28499" customFormat="1" x14ac:dyDescent="0.3"/>
    <row r="28500" customFormat="1" x14ac:dyDescent="0.3"/>
    <row r="28501" customFormat="1" x14ac:dyDescent="0.3"/>
    <row r="28502" customFormat="1" x14ac:dyDescent="0.3"/>
    <row r="28503" customFormat="1" x14ac:dyDescent="0.3"/>
    <row r="28504" customFormat="1" x14ac:dyDescent="0.3"/>
    <row r="28505" customFormat="1" x14ac:dyDescent="0.3"/>
    <row r="28506" customFormat="1" x14ac:dyDescent="0.3"/>
    <row r="28507" customFormat="1" x14ac:dyDescent="0.3"/>
    <row r="28508" customFormat="1" x14ac:dyDescent="0.3"/>
    <row r="28509" customFormat="1" x14ac:dyDescent="0.3"/>
    <row r="28510" customFormat="1" x14ac:dyDescent="0.3"/>
    <row r="28511" customFormat="1" x14ac:dyDescent="0.3"/>
    <row r="28512" customFormat="1" x14ac:dyDescent="0.3"/>
    <row r="28513" customFormat="1" x14ac:dyDescent="0.3"/>
    <row r="28514" customFormat="1" x14ac:dyDescent="0.3"/>
    <row r="28515" customFormat="1" x14ac:dyDescent="0.3"/>
    <row r="28516" customFormat="1" x14ac:dyDescent="0.3"/>
    <row r="28517" customFormat="1" x14ac:dyDescent="0.3"/>
    <row r="28518" customFormat="1" x14ac:dyDescent="0.3"/>
    <row r="28519" customFormat="1" x14ac:dyDescent="0.3"/>
    <row r="28520" customFormat="1" x14ac:dyDescent="0.3"/>
    <row r="28521" customFormat="1" x14ac:dyDescent="0.3"/>
    <row r="28522" customFormat="1" x14ac:dyDescent="0.3"/>
    <row r="28523" customFormat="1" x14ac:dyDescent="0.3"/>
    <row r="28524" customFormat="1" x14ac:dyDescent="0.3"/>
    <row r="28525" customFormat="1" x14ac:dyDescent="0.3"/>
    <row r="28526" customFormat="1" x14ac:dyDescent="0.3"/>
    <row r="28527" customFormat="1" x14ac:dyDescent="0.3"/>
    <row r="28528" customFormat="1" x14ac:dyDescent="0.3"/>
    <row r="28529" customFormat="1" x14ac:dyDescent="0.3"/>
    <row r="28530" customFormat="1" x14ac:dyDescent="0.3"/>
    <row r="28531" customFormat="1" x14ac:dyDescent="0.3"/>
    <row r="28532" customFormat="1" x14ac:dyDescent="0.3"/>
    <row r="28533" customFormat="1" x14ac:dyDescent="0.3"/>
    <row r="28534" customFormat="1" x14ac:dyDescent="0.3"/>
    <row r="28535" customFormat="1" x14ac:dyDescent="0.3"/>
    <row r="28536" customFormat="1" x14ac:dyDescent="0.3"/>
    <row r="28537" customFormat="1" x14ac:dyDescent="0.3"/>
    <row r="28538" customFormat="1" x14ac:dyDescent="0.3"/>
    <row r="28539" customFormat="1" x14ac:dyDescent="0.3"/>
    <row r="28540" customFormat="1" x14ac:dyDescent="0.3"/>
    <row r="28541" customFormat="1" x14ac:dyDescent="0.3"/>
    <row r="28542" customFormat="1" x14ac:dyDescent="0.3"/>
    <row r="28543" customFormat="1" x14ac:dyDescent="0.3"/>
    <row r="28544" customFormat="1" x14ac:dyDescent="0.3"/>
    <row r="28545" customFormat="1" x14ac:dyDescent="0.3"/>
    <row r="28546" customFormat="1" x14ac:dyDescent="0.3"/>
    <row r="28547" customFormat="1" x14ac:dyDescent="0.3"/>
    <row r="28548" customFormat="1" x14ac:dyDescent="0.3"/>
    <row r="28549" customFormat="1" x14ac:dyDescent="0.3"/>
    <row r="28550" customFormat="1" x14ac:dyDescent="0.3"/>
    <row r="28551" customFormat="1" x14ac:dyDescent="0.3"/>
    <row r="28552" customFormat="1" x14ac:dyDescent="0.3"/>
    <row r="28553" customFormat="1" x14ac:dyDescent="0.3"/>
    <row r="28554" customFormat="1" x14ac:dyDescent="0.3"/>
    <row r="28555" customFormat="1" x14ac:dyDescent="0.3"/>
    <row r="28556" customFormat="1" x14ac:dyDescent="0.3"/>
    <row r="28557" customFormat="1" x14ac:dyDescent="0.3"/>
    <row r="28558" customFormat="1" x14ac:dyDescent="0.3"/>
    <row r="28559" customFormat="1" x14ac:dyDescent="0.3"/>
    <row r="28560" customFormat="1" x14ac:dyDescent="0.3"/>
    <row r="28561" customFormat="1" x14ac:dyDescent="0.3"/>
    <row r="28562" customFormat="1" x14ac:dyDescent="0.3"/>
    <row r="28563" customFormat="1" x14ac:dyDescent="0.3"/>
    <row r="28564" customFormat="1" x14ac:dyDescent="0.3"/>
    <row r="28565" customFormat="1" x14ac:dyDescent="0.3"/>
    <row r="28566" customFormat="1" x14ac:dyDescent="0.3"/>
    <row r="28567" customFormat="1" x14ac:dyDescent="0.3"/>
    <row r="28568" customFormat="1" x14ac:dyDescent="0.3"/>
    <row r="28569" customFormat="1" x14ac:dyDescent="0.3"/>
    <row r="28570" customFormat="1" x14ac:dyDescent="0.3"/>
    <row r="28571" customFormat="1" x14ac:dyDescent="0.3"/>
    <row r="28572" customFormat="1" x14ac:dyDescent="0.3"/>
    <row r="28573" customFormat="1" x14ac:dyDescent="0.3"/>
    <row r="28574" customFormat="1" x14ac:dyDescent="0.3"/>
    <row r="28575" customFormat="1" x14ac:dyDescent="0.3"/>
    <row r="28576" customFormat="1" x14ac:dyDescent="0.3"/>
    <row r="28577" customFormat="1" x14ac:dyDescent="0.3"/>
    <row r="28578" customFormat="1" x14ac:dyDescent="0.3"/>
    <row r="28579" customFormat="1" x14ac:dyDescent="0.3"/>
    <row r="28580" customFormat="1" x14ac:dyDescent="0.3"/>
    <row r="28581" customFormat="1" x14ac:dyDescent="0.3"/>
    <row r="28582" customFormat="1" x14ac:dyDescent="0.3"/>
    <row r="28583" customFormat="1" x14ac:dyDescent="0.3"/>
    <row r="28584" customFormat="1" x14ac:dyDescent="0.3"/>
    <row r="28585" customFormat="1" x14ac:dyDescent="0.3"/>
    <row r="28586" customFormat="1" x14ac:dyDescent="0.3"/>
    <row r="28587" customFormat="1" x14ac:dyDescent="0.3"/>
    <row r="28588" customFormat="1" x14ac:dyDescent="0.3"/>
    <row r="28589" customFormat="1" x14ac:dyDescent="0.3"/>
    <row r="28590" customFormat="1" x14ac:dyDescent="0.3"/>
    <row r="28591" customFormat="1" x14ac:dyDescent="0.3"/>
    <row r="28592" customFormat="1" x14ac:dyDescent="0.3"/>
    <row r="28593" customFormat="1" x14ac:dyDescent="0.3"/>
    <row r="28594" customFormat="1" x14ac:dyDescent="0.3"/>
    <row r="28595" customFormat="1" x14ac:dyDescent="0.3"/>
    <row r="28596" customFormat="1" x14ac:dyDescent="0.3"/>
    <row r="28597" customFormat="1" x14ac:dyDescent="0.3"/>
    <row r="28598" customFormat="1" x14ac:dyDescent="0.3"/>
    <row r="28599" customFormat="1" x14ac:dyDescent="0.3"/>
    <row r="28600" customFormat="1" x14ac:dyDescent="0.3"/>
    <row r="28601" customFormat="1" x14ac:dyDescent="0.3"/>
    <row r="28602" customFormat="1" x14ac:dyDescent="0.3"/>
    <row r="28603" customFormat="1" x14ac:dyDescent="0.3"/>
    <row r="28604" customFormat="1" x14ac:dyDescent="0.3"/>
    <row r="28605" customFormat="1" x14ac:dyDescent="0.3"/>
    <row r="28606" customFormat="1" x14ac:dyDescent="0.3"/>
    <row r="28607" customFormat="1" x14ac:dyDescent="0.3"/>
    <row r="28608" customFormat="1" x14ac:dyDescent="0.3"/>
    <row r="28609" customFormat="1" x14ac:dyDescent="0.3"/>
    <row r="28610" customFormat="1" x14ac:dyDescent="0.3"/>
    <row r="28611" customFormat="1" x14ac:dyDescent="0.3"/>
    <row r="28612" customFormat="1" x14ac:dyDescent="0.3"/>
    <row r="28613" customFormat="1" x14ac:dyDescent="0.3"/>
    <row r="28614" customFormat="1" x14ac:dyDescent="0.3"/>
    <row r="28615" customFormat="1" x14ac:dyDescent="0.3"/>
    <row r="28616" customFormat="1" x14ac:dyDescent="0.3"/>
    <row r="28617" customFormat="1" x14ac:dyDescent="0.3"/>
    <row r="28618" customFormat="1" x14ac:dyDescent="0.3"/>
    <row r="28619" customFormat="1" x14ac:dyDescent="0.3"/>
    <row r="28620" customFormat="1" x14ac:dyDescent="0.3"/>
    <row r="28621" customFormat="1" x14ac:dyDescent="0.3"/>
    <row r="28622" customFormat="1" x14ac:dyDescent="0.3"/>
    <row r="28623" customFormat="1" x14ac:dyDescent="0.3"/>
    <row r="28624" customFormat="1" x14ac:dyDescent="0.3"/>
    <row r="28625" customFormat="1" x14ac:dyDescent="0.3"/>
    <row r="28626" customFormat="1" x14ac:dyDescent="0.3"/>
    <row r="28627" customFormat="1" x14ac:dyDescent="0.3"/>
    <row r="28628" customFormat="1" x14ac:dyDescent="0.3"/>
    <row r="28629" customFormat="1" x14ac:dyDescent="0.3"/>
    <row r="28630" customFormat="1" x14ac:dyDescent="0.3"/>
    <row r="28631" customFormat="1" x14ac:dyDescent="0.3"/>
    <row r="28632" customFormat="1" x14ac:dyDescent="0.3"/>
    <row r="28633" customFormat="1" x14ac:dyDescent="0.3"/>
    <row r="28634" customFormat="1" x14ac:dyDescent="0.3"/>
    <row r="28635" customFormat="1" x14ac:dyDescent="0.3"/>
    <row r="28636" customFormat="1" x14ac:dyDescent="0.3"/>
    <row r="28637" customFormat="1" x14ac:dyDescent="0.3"/>
    <row r="28638" customFormat="1" x14ac:dyDescent="0.3"/>
    <row r="28639" customFormat="1" x14ac:dyDescent="0.3"/>
    <row r="28640" customFormat="1" x14ac:dyDescent="0.3"/>
    <row r="28641" customFormat="1" x14ac:dyDescent="0.3"/>
    <row r="28642" customFormat="1" x14ac:dyDescent="0.3"/>
    <row r="28643" customFormat="1" x14ac:dyDescent="0.3"/>
    <row r="28644" customFormat="1" x14ac:dyDescent="0.3"/>
    <row r="28645" customFormat="1" x14ac:dyDescent="0.3"/>
    <row r="28646" customFormat="1" x14ac:dyDescent="0.3"/>
    <row r="28647" customFormat="1" x14ac:dyDescent="0.3"/>
    <row r="28648" customFormat="1" x14ac:dyDescent="0.3"/>
    <row r="28649" customFormat="1" x14ac:dyDescent="0.3"/>
    <row r="28650" customFormat="1" x14ac:dyDescent="0.3"/>
    <row r="28651" customFormat="1" x14ac:dyDescent="0.3"/>
    <row r="28652" customFormat="1" x14ac:dyDescent="0.3"/>
    <row r="28653" customFormat="1" x14ac:dyDescent="0.3"/>
    <row r="28654" customFormat="1" x14ac:dyDescent="0.3"/>
    <row r="28655" customFormat="1" x14ac:dyDescent="0.3"/>
    <row r="28656" customFormat="1" x14ac:dyDescent="0.3"/>
    <row r="28657" customFormat="1" x14ac:dyDescent="0.3"/>
    <row r="28658" customFormat="1" x14ac:dyDescent="0.3"/>
    <row r="28659" customFormat="1" x14ac:dyDescent="0.3"/>
    <row r="28660" customFormat="1" x14ac:dyDescent="0.3"/>
    <row r="28661" customFormat="1" x14ac:dyDescent="0.3"/>
    <row r="28662" customFormat="1" x14ac:dyDescent="0.3"/>
    <row r="28663" customFormat="1" x14ac:dyDescent="0.3"/>
    <row r="28664" customFormat="1" x14ac:dyDescent="0.3"/>
    <row r="28665" customFormat="1" x14ac:dyDescent="0.3"/>
    <row r="28666" customFormat="1" x14ac:dyDescent="0.3"/>
    <row r="28667" customFormat="1" x14ac:dyDescent="0.3"/>
    <row r="28668" customFormat="1" x14ac:dyDescent="0.3"/>
    <row r="28669" customFormat="1" x14ac:dyDescent="0.3"/>
    <row r="28670" customFormat="1" x14ac:dyDescent="0.3"/>
    <row r="28671" customFormat="1" x14ac:dyDescent="0.3"/>
    <row r="28672" customFormat="1" x14ac:dyDescent="0.3"/>
    <row r="28673" customFormat="1" x14ac:dyDescent="0.3"/>
    <row r="28674" customFormat="1" x14ac:dyDescent="0.3"/>
    <row r="28675" customFormat="1" x14ac:dyDescent="0.3"/>
    <row r="28676" customFormat="1" x14ac:dyDescent="0.3"/>
    <row r="28677" customFormat="1" x14ac:dyDescent="0.3"/>
    <row r="28678" customFormat="1" x14ac:dyDescent="0.3"/>
    <row r="28679" customFormat="1" x14ac:dyDescent="0.3"/>
    <row r="28680" customFormat="1" x14ac:dyDescent="0.3"/>
    <row r="28681" customFormat="1" x14ac:dyDescent="0.3"/>
    <row r="28682" customFormat="1" x14ac:dyDescent="0.3"/>
    <row r="28683" customFormat="1" x14ac:dyDescent="0.3"/>
    <row r="28684" customFormat="1" x14ac:dyDescent="0.3"/>
    <row r="28685" customFormat="1" x14ac:dyDescent="0.3"/>
    <row r="28686" customFormat="1" x14ac:dyDescent="0.3"/>
    <row r="28687" customFormat="1" x14ac:dyDescent="0.3"/>
    <row r="28688" customFormat="1" x14ac:dyDescent="0.3"/>
    <row r="28689" customFormat="1" x14ac:dyDescent="0.3"/>
    <row r="28690" customFormat="1" x14ac:dyDescent="0.3"/>
    <row r="28691" customFormat="1" x14ac:dyDescent="0.3"/>
    <row r="28692" customFormat="1" x14ac:dyDescent="0.3"/>
    <row r="28693" customFormat="1" x14ac:dyDescent="0.3"/>
    <row r="28694" customFormat="1" x14ac:dyDescent="0.3"/>
    <row r="28695" customFormat="1" x14ac:dyDescent="0.3"/>
    <row r="28696" customFormat="1" x14ac:dyDescent="0.3"/>
    <row r="28697" customFormat="1" x14ac:dyDescent="0.3"/>
    <row r="28698" customFormat="1" x14ac:dyDescent="0.3"/>
    <row r="28699" customFormat="1" x14ac:dyDescent="0.3"/>
    <row r="28700" customFormat="1" x14ac:dyDescent="0.3"/>
    <row r="28701" customFormat="1" x14ac:dyDescent="0.3"/>
    <row r="28702" customFormat="1" x14ac:dyDescent="0.3"/>
    <row r="28703" customFormat="1" x14ac:dyDescent="0.3"/>
    <row r="28704" customFormat="1" x14ac:dyDescent="0.3"/>
    <row r="28705" customFormat="1" x14ac:dyDescent="0.3"/>
    <row r="28706" customFormat="1" x14ac:dyDescent="0.3"/>
    <row r="28707" customFormat="1" x14ac:dyDescent="0.3"/>
    <row r="28708" customFormat="1" x14ac:dyDescent="0.3"/>
    <row r="28709" customFormat="1" x14ac:dyDescent="0.3"/>
    <row r="28710" customFormat="1" x14ac:dyDescent="0.3"/>
    <row r="28711" customFormat="1" x14ac:dyDescent="0.3"/>
    <row r="28712" customFormat="1" x14ac:dyDescent="0.3"/>
    <row r="28713" customFormat="1" x14ac:dyDescent="0.3"/>
    <row r="28714" customFormat="1" x14ac:dyDescent="0.3"/>
    <row r="28715" customFormat="1" x14ac:dyDescent="0.3"/>
    <row r="28716" customFormat="1" x14ac:dyDescent="0.3"/>
    <row r="28717" customFormat="1" x14ac:dyDescent="0.3"/>
    <row r="28718" customFormat="1" x14ac:dyDescent="0.3"/>
    <row r="28719" customFormat="1" x14ac:dyDescent="0.3"/>
    <row r="28720" customFormat="1" x14ac:dyDescent="0.3"/>
    <row r="28721" customFormat="1" x14ac:dyDescent="0.3"/>
    <row r="28722" customFormat="1" x14ac:dyDescent="0.3"/>
    <row r="28723" customFormat="1" x14ac:dyDescent="0.3"/>
    <row r="28724" customFormat="1" x14ac:dyDescent="0.3"/>
    <row r="28725" customFormat="1" x14ac:dyDescent="0.3"/>
    <row r="28726" customFormat="1" x14ac:dyDescent="0.3"/>
    <row r="28727" customFormat="1" x14ac:dyDescent="0.3"/>
    <row r="28728" customFormat="1" x14ac:dyDescent="0.3"/>
    <row r="28729" customFormat="1" x14ac:dyDescent="0.3"/>
    <row r="28730" customFormat="1" x14ac:dyDescent="0.3"/>
    <row r="28731" customFormat="1" x14ac:dyDescent="0.3"/>
    <row r="28732" customFormat="1" x14ac:dyDescent="0.3"/>
    <row r="28733" customFormat="1" x14ac:dyDescent="0.3"/>
    <row r="28734" customFormat="1" x14ac:dyDescent="0.3"/>
    <row r="28735" customFormat="1" x14ac:dyDescent="0.3"/>
    <row r="28736" customFormat="1" x14ac:dyDescent="0.3"/>
    <row r="28737" customFormat="1" x14ac:dyDescent="0.3"/>
    <row r="28738" customFormat="1" x14ac:dyDescent="0.3"/>
    <row r="28739" customFormat="1" x14ac:dyDescent="0.3"/>
    <row r="28740" customFormat="1" x14ac:dyDescent="0.3"/>
    <row r="28741" customFormat="1" x14ac:dyDescent="0.3"/>
    <row r="28742" customFormat="1" x14ac:dyDescent="0.3"/>
    <row r="28743" customFormat="1" x14ac:dyDescent="0.3"/>
    <row r="28744" customFormat="1" x14ac:dyDescent="0.3"/>
    <row r="28745" customFormat="1" x14ac:dyDescent="0.3"/>
    <row r="28746" customFormat="1" x14ac:dyDescent="0.3"/>
    <row r="28747" customFormat="1" x14ac:dyDescent="0.3"/>
    <row r="28748" customFormat="1" x14ac:dyDescent="0.3"/>
    <row r="28749" customFormat="1" x14ac:dyDescent="0.3"/>
    <row r="28750" customFormat="1" x14ac:dyDescent="0.3"/>
    <row r="28751" customFormat="1" x14ac:dyDescent="0.3"/>
    <row r="28752" customFormat="1" x14ac:dyDescent="0.3"/>
    <row r="28753" customFormat="1" x14ac:dyDescent="0.3"/>
    <row r="28754" customFormat="1" x14ac:dyDescent="0.3"/>
    <row r="28755" customFormat="1" x14ac:dyDescent="0.3"/>
    <row r="28756" customFormat="1" x14ac:dyDescent="0.3"/>
    <row r="28757" customFormat="1" x14ac:dyDescent="0.3"/>
    <row r="28758" customFormat="1" x14ac:dyDescent="0.3"/>
    <row r="28759" customFormat="1" x14ac:dyDescent="0.3"/>
    <row r="28760" customFormat="1" x14ac:dyDescent="0.3"/>
    <row r="28761" customFormat="1" x14ac:dyDescent="0.3"/>
    <row r="28762" customFormat="1" x14ac:dyDescent="0.3"/>
    <row r="28763" customFormat="1" x14ac:dyDescent="0.3"/>
    <row r="28764" customFormat="1" x14ac:dyDescent="0.3"/>
    <row r="28765" customFormat="1" x14ac:dyDescent="0.3"/>
    <row r="28766" customFormat="1" x14ac:dyDescent="0.3"/>
    <row r="28767" customFormat="1" x14ac:dyDescent="0.3"/>
    <row r="28768" customFormat="1" x14ac:dyDescent="0.3"/>
    <row r="28769" customFormat="1" x14ac:dyDescent="0.3"/>
    <row r="28770" customFormat="1" x14ac:dyDescent="0.3"/>
    <row r="28771" customFormat="1" x14ac:dyDescent="0.3"/>
    <row r="28772" customFormat="1" x14ac:dyDescent="0.3"/>
    <row r="28773" customFormat="1" x14ac:dyDescent="0.3"/>
    <row r="28774" customFormat="1" x14ac:dyDescent="0.3"/>
    <row r="28775" customFormat="1" x14ac:dyDescent="0.3"/>
    <row r="28776" customFormat="1" x14ac:dyDescent="0.3"/>
    <row r="28777" customFormat="1" x14ac:dyDescent="0.3"/>
    <row r="28778" customFormat="1" x14ac:dyDescent="0.3"/>
    <row r="28779" customFormat="1" x14ac:dyDescent="0.3"/>
    <row r="28780" customFormat="1" x14ac:dyDescent="0.3"/>
    <row r="28781" customFormat="1" x14ac:dyDescent="0.3"/>
    <row r="28782" customFormat="1" x14ac:dyDescent="0.3"/>
    <row r="28783" customFormat="1" x14ac:dyDescent="0.3"/>
    <row r="28784" customFormat="1" x14ac:dyDescent="0.3"/>
    <row r="28785" customFormat="1" x14ac:dyDescent="0.3"/>
    <row r="28786" customFormat="1" x14ac:dyDescent="0.3"/>
    <row r="28787" customFormat="1" x14ac:dyDescent="0.3"/>
    <row r="28788" customFormat="1" x14ac:dyDescent="0.3"/>
    <row r="28789" customFormat="1" x14ac:dyDescent="0.3"/>
    <row r="28790" customFormat="1" x14ac:dyDescent="0.3"/>
    <row r="28791" customFormat="1" x14ac:dyDescent="0.3"/>
    <row r="28792" customFormat="1" x14ac:dyDescent="0.3"/>
    <row r="28793" customFormat="1" x14ac:dyDescent="0.3"/>
    <row r="28794" customFormat="1" x14ac:dyDescent="0.3"/>
    <row r="28795" customFormat="1" x14ac:dyDescent="0.3"/>
    <row r="28796" customFormat="1" x14ac:dyDescent="0.3"/>
    <row r="28797" customFormat="1" x14ac:dyDescent="0.3"/>
    <row r="28798" customFormat="1" x14ac:dyDescent="0.3"/>
    <row r="28799" customFormat="1" x14ac:dyDescent="0.3"/>
    <row r="28800" customFormat="1" x14ac:dyDescent="0.3"/>
    <row r="28801" customFormat="1" x14ac:dyDescent="0.3"/>
    <row r="28802" customFormat="1" x14ac:dyDescent="0.3"/>
    <row r="28803" customFormat="1" x14ac:dyDescent="0.3"/>
    <row r="28804" customFormat="1" x14ac:dyDescent="0.3"/>
    <row r="28805" customFormat="1" x14ac:dyDescent="0.3"/>
    <row r="28806" customFormat="1" x14ac:dyDescent="0.3"/>
    <row r="28807" customFormat="1" x14ac:dyDescent="0.3"/>
    <row r="28808" customFormat="1" x14ac:dyDescent="0.3"/>
    <row r="28809" customFormat="1" x14ac:dyDescent="0.3"/>
    <row r="28810" customFormat="1" x14ac:dyDescent="0.3"/>
    <row r="28811" customFormat="1" x14ac:dyDescent="0.3"/>
    <row r="28812" customFormat="1" x14ac:dyDescent="0.3"/>
    <row r="28813" customFormat="1" x14ac:dyDescent="0.3"/>
    <row r="28814" customFormat="1" x14ac:dyDescent="0.3"/>
    <row r="28815" customFormat="1" x14ac:dyDescent="0.3"/>
    <row r="28816" customFormat="1" x14ac:dyDescent="0.3"/>
    <row r="28817" customFormat="1" x14ac:dyDescent="0.3"/>
    <row r="28818" customFormat="1" x14ac:dyDescent="0.3"/>
    <row r="28819" customFormat="1" x14ac:dyDescent="0.3"/>
    <row r="28820" customFormat="1" x14ac:dyDescent="0.3"/>
    <row r="28821" customFormat="1" x14ac:dyDescent="0.3"/>
    <row r="28822" customFormat="1" x14ac:dyDescent="0.3"/>
    <row r="28823" customFormat="1" x14ac:dyDescent="0.3"/>
    <row r="28824" customFormat="1" x14ac:dyDescent="0.3"/>
    <row r="28825" customFormat="1" x14ac:dyDescent="0.3"/>
    <row r="28826" customFormat="1" x14ac:dyDescent="0.3"/>
    <row r="28827" customFormat="1" x14ac:dyDescent="0.3"/>
    <row r="28828" customFormat="1" x14ac:dyDescent="0.3"/>
    <row r="28829" customFormat="1" x14ac:dyDescent="0.3"/>
    <row r="28830" customFormat="1" x14ac:dyDescent="0.3"/>
    <row r="28831" customFormat="1" x14ac:dyDescent="0.3"/>
    <row r="28832" customFormat="1" x14ac:dyDescent="0.3"/>
    <row r="28833" customFormat="1" x14ac:dyDescent="0.3"/>
    <row r="28834" customFormat="1" x14ac:dyDescent="0.3"/>
    <row r="28835" customFormat="1" x14ac:dyDescent="0.3"/>
    <row r="28836" customFormat="1" x14ac:dyDescent="0.3"/>
    <row r="28837" customFormat="1" x14ac:dyDescent="0.3"/>
    <row r="28838" customFormat="1" x14ac:dyDescent="0.3"/>
    <row r="28839" customFormat="1" x14ac:dyDescent="0.3"/>
    <row r="28840" customFormat="1" x14ac:dyDescent="0.3"/>
    <row r="28841" customFormat="1" x14ac:dyDescent="0.3"/>
    <row r="28842" customFormat="1" x14ac:dyDescent="0.3"/>
    <row r="28843" customFormat="1" x14ac:dyDescent="0.3"/>
    <row r="28844" customFormat="1" x14ac:dyDescent="0.3"/>
    <row r="28845" customFormat="1" x14ac:dyDescent="0.3"/>
    <row r="28846" customFormat="1" x14ac:dyDescent="0.3"/>
    <row r="28847" customFormat="1" x14ac:dyDescent="0.3"/>
    <row r="28848" customFormat="1" x14ac:dyDescent="0.3"/>
    <row r="28849" customFormat="1" x14ac:dyDescent="0.3"/>
    <row r="28850" customFormat="1" x14ac:dyDescent="0.3"/>
    <row r="28851" customFormat="1" x14ac:dyDescent="0.3"/>
    <row r="28852" customFormat="1" x14ac:dyDescent="0.3"/>
    <row r="28853" customFormat="1" x14ac:dyDescent="0.3"/>
    <row r="28854" customFormat="1" x14ac:dyDescent="0.3"/>
    <row r="28855" customFormat="1" x14ac:dyDescent="0.3"/>
    <row r="28856" customFormat="1" x14ac:dyDescent="0.3"/>
    <row r="28857" customFormat="1" x14ac:dyDescent="0.3"/>
    <row r="28858" customFormat="1" x14ac:dyDescent="0.3"/>
    <row r="28859" customFormat="1" x14ac:dyDescent="0.3"/>
    <row r="28860" customFormat="1" x14ac:dyDescent="0.3"/>
    <row r="28861" customFormat="1" x14ac:dyDescent="0.3"/>
    <row r="28862" customFormat="1" x14ac:dyDescent="0.3"/>
    <row r="28863" customFormat="1" x14ac:dyDescent="0.3"/>
    <row r="28864" customFormat="1" x14ac:dyDescent="0.3"/>
    <row r="28865" customFormat="1" x14ac:dyDescent="0.3"/>
    <row r="28866" customFormat="1" x14ac:dyDescent="0.3"/>
    <row r="28867" customFormat="1" x14ac:dyDescent="0.3"/>
    <row r="28868" customFormat="1" x14ac:dyDescent="0.3"/>
    <row r="28869" customFormat="1" x14ac:dyDescent="0.3"/>
    <row r="28870" customFormat="1" x14ac:dyDescent="0.3"/>
    <row r="28871" customFormat="1" x14ac:dyDescent="0.3"/>
    <row r="28872" customFormat="1" x14ac:dyDescent="0.3"/>
    <row r="28873" customFormat="1" x14ac:dyDescent="0.3"/>
    <row r="28874" customFormat="1" x14ac:dyDescent="0.3"/>
    <row r="28875" customFormat="1" x14ac:dyDescent="0.3"/>
    <row r="28876" customFormat="1" x14ac:dyDescent="0.3"/>
    <row r="28877" customFormat="1" x14ac:dyDescent="0.3"/>
    <row r="28878" customFormat="1" x14ac:dyDescent="0.3"/>
    <row r="28879" customFormat="1" x14ac:dyDescent="0.3"/>
    <row r="28880" customFormat="1" x14ac:dyDescent="0.3"/>
    <row r="28881" customFormat="1" x14ac:dyDescent="0.3"/>
    <row r="28882" customFormat="1" x14ac:dyDescent="0.3"/>
    <row r="28883" customFormat="1" x14ac:dyDescent="0.3"/>
    <row r="28884" customFormat="1" x14ac:dyDescent="0.3"/>
    <row r="28885" customFormat="1" x14ac:dyDescent="0.3"/>
    <row r="28886" customFormat="1" x14ac:dyDescent="0.3"/>
    <row r="28887" customFormat="1" x14ac:dyDescent="0.3"/>
    <row r="28888" customFormat="1" x14ac:dyDescent="0.3"/>
    <row r="28889" customFormat="1" x14ac:dyDescent="0.3"/>
    <row r="28890" customFormat="1" x14ac:dyDescent="0.3"/>
    <row r="28891" customFormat="1" x14ac:dyDescent="0.3"/>
    <row r="28892" customFormat="1" x14ac:dyDescent="0.3"/>
    <row r="28893" customFormat="1" x14ac:dyDescent="0.3"/>
    <row r="28894" customFormat="1" x14ac:dyDescent="0.3"/>
    <row r="28895" customFormat="1" x14ac:dyDescent="0.3"/>
    <row r="28896" customFormat="1" x14ac:dyDescent="0.3"/>
    <row r="28897" customFormat="1" x14ac:dyDescent="0.3"/>
    <row r="28898" customFormat="1" x14ac:dyDescent="0.3"/>
    <row r="28899" customFormat="1" x14ac:dyDescent="0.3"/>
    <row r="28900" customFormat="1" x14ac:dyDescent="0.3"/>
    <row r="28901" customFormat="1" x14ac:dyDescent="0.3"/>
    <row r="28902" customFormat="1" x14ac:dyDescent="0.3"/>
    <row r="28903" customFormat="1" x14ac:dyDescent="0.3"/>
    <row r="28904" customFormat="1" x14ac:dyDescent="0.3"/>
    <row r="28905" customFormat="1" x14ac:dyDescent="0.3"/>
    <row r="28906" customFormat="1" x14ac:dyDescent="0.3"/>
    <row r="28907" customFormat="1" x14ac:dyDescent="0.3"/>
    <row r="28908" customFormat="1" x14ac:dyDescent="0.3"/>
    <row r="28909" customFormat="1" x14ac:dyDescent="0.3"/>
    <row r="28910" customFormat="1" x14ac:dyDescent="0.3"/>
    <row r="28911" customFormat="1" x14ac:dyDescent="0.3"/>
    <row r="28912" customFormat="1" x14ac:dyDescent="0.3"/>
    <row r="28913" customFormat="1" x14ac:dyDescent="0.3"/>
    <row r="28914" customFormat="1" x14ac:dyDescent="0.3"/>
    <row r="28915" customFormat="1" x14ac:dyDescent="0.3"/>
    <row r="28916" customFormat="1" x14ac:dyDescent="0.3"/>
    <row r="28917" customFormat="1" x14ac:dyDescent="0.3"/>
    <row r="28918" customFormat="1" x14ac:dyDescent="0.3"/>
    <row r="28919" customFormat="1" x14ac:dyDescent="0.3"/>
    <row r="28920" customFormat="1" x14ac:dyDescent="0.3"/>
    <row r="28921" customFormat="1" x14ac:dyDescent="0.3"/>
    <row r="28922" customFormat="1" x14ac:dyDescent="0.3"/>
    <row r="28923" customFormat="1" x14ac:dyDescent="0.3"/>
    <row r="28924" customFormat="1" x14ac:dyDescent="0.3"/>
    <row r="28925" customFormat="1" x14ac:dyDescent="0.3"/>
    <row r="28926" customFormat="1" x14ac:dyDescent="0.3"/>
    <row r="28927" customFormat="1" x14ac:dyDescent="0.3"/>
    <row r="28928" customFormat="1" x14ac:dyDescent="0.3"/>
    <row r="28929" customFormat="1" x14ac:dyDescent="0.3"/>
    <row r="28930" customFormat="1" x14ac:dyDescent="0.3"/>
    <row r="28931" customFormat="1" x14ac:dyDescent="0.3"/>
    <row r="28932" customFormat="1" x14ac:dyDescent="0.3"/>
    <row r="28933" customFormat="1" x14ac:dyDescent="0.3"/>
    <row r="28934" customFormat="1" x14ac:dyDescent="0.3"/>
    <row r="28935" customFormat="1" x14ac:dyDescent="0.3"/>
    <row r="28936" customFormat="1" x14ac:dyDescent="0.3"/>
    <row r="28937" customFormat="1" x14ac:dyDescent="0.3"/>
    <row r="28938" customFormat="1" x14ac:dyDescent="0.3"/>
    <row r="28939" customFormat="1" x14ac:dyDescent="0.3"/>
    <row r="28940" customFormat="1" x14ac:dyDescent="0.3"/>
    <row r="28941" customFormat="1" x14ac:dyDescent="0.3"/>
    <row r="28942" customFormat="1" x14ac:dyDescent="0.3"/>
    <row r="28943" customFormat="1" x14ac:dyDescent="0.3"/>
    <row r="28944" customFormat="1" x14ac:dyDescent="0.3"/>
    <row r="28945" customFormat="1" x14ac:dyDescent="0.3"/>
    <row r="28946" customFormat="1" x14ac:dyDescent="0.3"/>
    <row r="28947" customFormat="1" x14ac:dyDescent="0.3"/>
    <row r="28948" customFormat="1" x14ac:dyDescent="0.3"/>
    <row r="28949" customFormat="1" x14ac:dyDescent="0.3"/>
    <row r="28950" customFormat="1" x14ac:dyDescent="0.3"/>
    <row r="28951" customFormat="1" x14ac:dyDescent="0.3"/>
    <row r="28952" customFormat="1" x14ac:dyDescent="0.3"/>
    <row r="28953" customFormat="1" x14ac:dyDescent="0.3"/>
    <row r="28954" customFormat="1" x14ac:dyDescent="0.3"/>
    <row r="28955" customFormat="1" x14ac:dyDescent="0.3"/>
    <row r="28956" customFormat="1" x14ac:dyDescent="0.3"/>
    <row r="28957" customFormat="1" x14ac:dyDescent="0.3"/>
    <row r="28958" customFormat="1" x14ac:dyDescent="0.3"/>
    <row r="28959" customFormat="1" x14ac:dyDescent="0.3"/>
    <row r="28960" customFormat="1" x14ac:dyDescent="0.3"/>
    <row r="28961" customFormat="1" x14ac:dyDescent="0.3"/>
    <row r="28962" customFormat="1" x14ac:dyDescent="0.3"/>
    <row r="28963" customFormat="1" x14ac:dyDescent="0.3"/>
    <row r="28964" customFormat="1" x14ac:dyDescent="0.3"/>
    <row r="28965" customFormat="1" x14ac:dyDescent="0.3"/>
    <row r="28966" customFormat="1" x14ac:dyDescent="0.3"/>
    <row r="28967" customFormat="1" x14ac:dyDescent="0.3"/>
    <row r="28968" customFormat="1" x14ac:dyDescent="0.3"/>
    <row r="28969" customFormat="1" x14ac:dyDescent="0.3"/>
    <row r="28970" customFormat="1" x14ac:dyDescent="0.3"/>
    <row r="28971" customFormat="1" x14ac:dyDescent="0.3"/>
    <row r="28972" customFormat="1" x14ac:dyDescent="0.3"/>
    <row r="28973" customFormat="1" x14ac:dyDescent="0.3"/>
    <row r="28974" customFormat="1" x14ac:dyDescent="0.3"/>
    <row r="28975" customFormat="1" x14ac:dyDescent="0.3"/>
    <row r="28976" customFormat="1" x14ac:dyDescent="0.3"/>
    <row r="28977" customFormat="1" x14ac:dyDescent="0.3"/>
    <row r="28978" customFormat="1" x14ac:dyDescent="0.3"/>
    <row r="28979" customFormat="1" x14ac:dyDescent="0.3"/>
    <row r="28980" customFormat="1" x14ac:dyDescent="0.3"/>
    <row r="28981" customFormat="1" x14ac:dyDescent="0.3"/>
    <row r="28982" customFormat="1" x14ac:dyDescent="0.3"/>
    <row r="28983" customFormat="1" x14ac:dyDescent="0.3"/>
    <row r="28984" customFormat="1" x14ac:dyDescent="0.3"/>
    <row r="28985" customFormat="1" x14ac:dyDescent="0.3"/>
    <row r="28986" customFormat="1" x14ac:dyDescent="0.3"/>
    <row r="28987" customFormat="1" x14ac:dyDescent="0.3"/>
    <row r="28988" customFormat="1" x14ac:dyDescent="0.3"/>
    <row r="28989" customFormat="1" x14ac:dyDescent="0.3"/>
    <row r="28990" customFormat="1" x14ac:dyDescent="0.3"/>
    <row r="28991" customFormat="1" x14ac:dyDescent="0.3"/>
    <row r="28992" customFormat="1" x14ac:dyDescent="0.3"/>
    <row r="28993" customFormat="1" x14ac:dyDescent="0.3"/>
    <row r="28994" customFormat="1" x14ac:dyDescent="0.3"/>
    <row r="28995" customFormat="1" x14ac:dyDescent="0.3"/>
    <row r="28996" customFormat="1" x14ac:dyDescent="0.3"/>
    <row r="28997" customFormat="1" x14ac:dyDescent="0.3"/>
    <row r="28998" customFormat="1" x14ac:dyDescent="0.3"/>
    <row r="28999" customFormat="1" x14ac:dyDescent="0.3"/>
    <row r="29000" customFormat="1" x14ac:dyDescent="0.3"/>
    <row r="29001" customFormat="1" x14ac:dyDescent="0.3"/>
    <row r="29002" customFormat="1" x14ac:dyDescent="0.3"/>
    <row r="29003" customFormat="1" x14ac:dyDescent="0.3"/>
    <row r="29004" customFormat="1" x14ac:dyDescent="0.3"/>
    <row r="29005" customFormat="1" x14ac:dyDescent="0.3"/>
    <row r="29006" customFormat="1" x14ac:dyDescent="0.3"/>
    <row r="29007" customFormat="1" x14ac:dyDescent="0.3"/>
    <row r="29008" customFormat="1" x14ac:dyDescent="0.3"/>
    <row r="29009" customFormat="1" x14ac:dyDescent="0.3"/>
    <row r="29010" customFormat="1" x14ac:dyDescent="0.3"/>
    <row r="29011" customFormat="1" x14ac:dyDescent="0.3"/>
    <row r="29012" customFormat="1" x14ac:dyDescent="0.3"/>
    <row r="29013" customFormat="1" x14ac:dyDescent="0.3"/>
    <row r="29014" customFormat="1" x14ac:dyDescent="0.3"/>
    <row r="29015" customFormat="1" x14ac:dyDescent="0.3"/>
    <row r="29016" customFormat="1" x14ac:dyDescent="0.3"/>
    <row r="29017" customFormat="1" x14ac:dyDescent="0.3"/>
    <row r="29018" customFormat="1" x14ac:dyDescent="0.3"/>
    <row r="29019" customFormat="1" x14ac:dyDescent="0.3"/>
    <row r="29020" customFormat="1" x14ac:dyDescent="0.3"/>
    <row r="29021" customFormat="1" x14ac:dyDescent="0.3"/>
    <row r="29022" customFormat="1" x14ac:dyDescent="0.3"/>
    <row r="29023" customFormat="1" x14ac:dyDescent="0.3"/>
    <row r="29024" customFormat="1" x14ac:dyDescent="0.3"/>
    <row r="29025" customFormat="1" x14ac:dyDescent="0.3"/>
    <row r="29026" customFormat="1" x14ac:dyDescent="0.3"/>
    <row r="29027" customFormat="1" x14ac:dyDescent="0.3"/>
    <row r="29028" customFormat="1" x14ac:dyDescent="0.3"/>
    <row r="29029" customFormat="1" x14ac:dyDescent="0.3"/>
    <row r="29030" customFormat="1" x14ac:dyDescent="0.3"/>
    <row r="29031" customFormat="1" x14ac:dyDescent="0.3"/>
    <row r="29032" customFormat="1" x14ac:dyDescent="0.3"/>
    <row r="29033" customFormat="1" x14ac:dyDescent="0.3"/>
    <row r="29034" customFormat="1" x14ac:dyDescent="0.3"/>
    <row r="29035" customFormat="1" x14ac:dyDescent="0.3"/>
    <row r="29036" customFormat="1" x14ac:dyDescent="0.3"/>
    <row r="29037" customFormat="1" x14ac:dyDescent="0.3"/>
    <row r="29038" customFormat="1" x14ac:dyDescent="0.3"/>
    <row r="29039" customFormat="1" x14ac:dyDescent="0.3"/>
    <row r="29040" customFormat="1" x14ac:dyDescent="0.3"/>
    <row r="29041" customFormat="1" x14ac:dyDescent="0.3"/>
    <row r="29042" customFormat="1" x14ac:dyDescent="0.3"/>
    <row r="29043" customFormat="1" x14ac:dyDescent="0.3"/>
    <row r="29044" customFormat="1" x14ac:dyDescent="0.3"/>
    <row r="29045" customFormat="1" x14ac:dyDescent="0.3"/>
    <row r="29046" customFormat="1" x14ac:dyDescent="0.3"/>
    <row r="29047" customFormat="1" x14ac:dyDescent="0.3"/>
    <row r="29048" customFormat="1" x14ac:dyDescent="0.3"/>
    <row r="29049" customFormat="1" x14ac:dyDescent="0.3"/>
    <row r="29050" customFormat="1" x14ac:dyDescent="0.3"/>
    <row r="29051" customFormat="1" x14ac:dyDescent="0.3"/>
    <row r="29052" customFormat="1" x14ac:dyDescent="0.3"/>
    <row r="29053" customFormat="1" x14ac:dyDescent="0.3"/>
    <row r="29054" customFormat="1" x14ac:dyDescent="0.3"/>
    <row r="29055" customFormat="1" x14ac:dyDescent="0.3"/>
    <row r="29056" customFormat="1" x14ac:dyDescent="0.3"/>
    <row r="29057" customFormat="1" x14ac:dyDescent="0.3"/>
    <row r="29058" customFormat="1" x14ac:dyDescent="0.3"/>
    <row r="29059" customFormat="1" x14ac:dyDescent="0.3"/>
    <row r="29060" customFormat="1" x14ac:dyDescent="0.3"/>
    <row r="29061" customFormat="1" x14ac:dyDescent="0.3"/>
    <row r="29062" customFormat="1" x14ac:dyDescent="0.3"/>
    <row r="29063" customFormat="1" x14ac:dyDescent="0.3"/>
    <row r="29064" customFormat="1" x14ac:dyDescent="0.3"/>
    <row r="29065" customFormat="1" x14ac:dyDescent="0.3"/>
    <row r="29066" customFormat="1" x14ac:dyDescent="0.3"/>
    <row r="29067" customFormat="1" x14ac:dyDescent="0.3"/>
    <row r="29068" customFormat="1" x14ac:dyDescent="0.3"/>
    <row r="29069" customFormat="1" x14ac:dyDescent="0.3"/>
    <row r="29070" customFormat="1" x14ac:dyDescent="0.3"/>
    <row r="29071" customFormat="1" x14ac:dyDescent="0.3"/>
    <row r="29072" customFormat="1" x14ac:dyDescent="0.3"/>
    <row r="29073" customFormat="1" x14ac:dyDescent="0.3"/>
    <row r="29074" customFormat="1" x14ac:dyDescent="0.3"/>
    <row r="29075" customFormat="1" x14ac:dyDescent="0.3"/>
    <row r="29076" customFormat="1" x14ac:dyDescent="0.3"/>
    <row r="29077" customFormat="1" x14ac:dyDescent="0.3"/>
    <row r="29078" customFormat="1" x14ac:dyDescent="0.3"/>
    <row r="29079" customFormat="1" x14ac:dyDescent="0.3"/>
    <row r="29080" customFormat="1" x14ac:dyDescent="0.3"/>
    <row r="29081" customFormat="1" x14ac:dyDescent="0.3"/>
    <row r="29082" customFormat="1" x14ac:dyDescent="0.3"/>
    <row r="29083" customFormat="1" x14ac:dyDescent="0.3"/>
    <row r="29084" customFormat="1" x14ac:dyDescent="0.3"/>
    <row r="29085" customFormat="1" x14ac:dyDescent="0.3"/>
    <row r="29086" customFormat="1" x14ac:dyDescent="0.3"/>
    <row r="29087" customFormat="1" x14ac:dyDescent="0.3"/>
    <row r="29088" customFormat="1" x14ac:dyDescent="0.3"/>
    <row r="29089" customFormat="1" x14ac:dyDescent="0.3"/>
    <row r="29090" customFormat="1" x14ac:dyDescent="0.3"/>
    <row r="29091" customFormat="1" x14ac:dyDescent="0.3"/>
    <row r="29092" customFormat="1" x14ac:dyDescent="0.3"/>
    <row r="29093" customFormat="1" x14ac:dyDescent="0.3"/>
    <row r="29094" customFormat="1" x14ac:dyDescent="0.3"/>
    <row r="29095" customFormat="1" x14ac:dyDescent="0.3"/>
    <row r="29096" customFormat="1" x14ac:dyDescent="0.3"/>
    <row r="29097" customFormat="1" x14ac:dyDescent="0.3"/>
    <row r="29098" customFormat="1" x14ac:dyDescent="0.3"/>
    <row r="29099" customFormat="1" x14ac:dyDescent="0.3"/>
    <row r="29100" customFormat="1" x14ac:dyDescent="0.3"/>
    <row r="29101" customFormat="1" x14ac:dyDescent="0.3"/>
    <row r="29102" customFormat="1" x14ac:dyDescent="0.3"/>
    <row r="29103" customFormat="1" x14ac:dyDescent="0.3"/>
    <row r="29104" customFormat="1" x14ac:dyDescent="0.3"/>
    <row r="29105" customFormat="1" x14ac:dyDescent="0.3"/>
    <row r="29106" customFormat="1" x14ac:dyDescent="0.3"/>
    <row r="29107" customFormat="1" x14ac:dyDescent="0.3"/>
    <row r="29108" customFormat="1" x14ac:dyDescent="0.3"/>
    <row r="29109" customFormat="1" x14ac:dyDescent="0.3"/>
    <row r="29110" customFormat="1" x14ac:dyDescent="0.3"/>
    <row r="29111" customFormat="1" x14ac:dyDescent="0.3"/>
    <row r="29112" customFormat="1" x14ac:dyDescent="0.3"/>
    <row r="29113" customFormat="1" x14ac:dyDescent="0.3"/>
    <row r="29114" customFormat="1" x14ac:dyDescent="0.3"/>
    <row r="29115" customFormat="1" x14ac:dyDescent="0.3"/>
    <row r="29116" customFormat="1" x14ac:dyDescent="0.3"/>
    <row r="29117" customFormat="1" x14ac:dyDescent="0.3"/>
    <row r="29118" customFormat="1" x14ac:dyDescent="0.3"/>
    <row r="29119" customFormat="1" x14ac:dyDescent="0.3"/>
    <row r="29120" customFormat="1" x14ac:dyDescent="0.3"/>
    <row r="29121" customFormat="1" x14ac:dyDescent="0.3"/>
    <row r="29122" customFormat="1" x14ac:dyDescent="0.3"/>
    <row r="29123" customFormat="1" x14ac:dyDescent="0.3"/>
    <row r="29124" customFormat="1" x14ac:dyDescent="0.3"/>
    <row r="29125" customFormat="1" x14ac:dyDescent="0.3"/>
    <row r="29126" customFormat="1" x14ac:dyDescent="0.3"/>
    <row r="29127" customFormat="1" x14ac:dyDescent="0.3"/>
    <row r="29128" customFormat="1" x14ac:dyDescent="0.3"/>
    <row r="29129" customFormat="1" x14ac:dyDescent="0.3"/>
    <row r="29130" customFormat="1" x14ac:dyDescent="0.3"/>
    <row r="29131" customFormat="1" x14ac:dyDescent="0.3"/>
    <row r="29132" customFormat="1" x14ac:dyDescent="0.3"/>
    <row r="29133" customFormat="1" x14ac:dyDescent="0.3"/>
    <row r="29134" customFormat="1" x14ac:dyDescent="0.3"/>
    <row r="29135" customFormat="1" x14ac:dyDescent="0.3"/>
    <row r="29136" customFormat="1" x14ac:dyDescent="0.3"/>
    <row r="29137" customFormat="1" x14ac:dyDescent="0.3"/>
    <row r="29138" customFormat="1" x14ac:dyDescent="0.3"/>
    <row r="29139" customFormat="1" x14ac:dyDescent="0.3"/>
    <row r="29140" customFormat="1" x14ac:dyDescent="0.3"/>
    <row r="29141" customFormat="1" x14ac:dyDescent="0.3"/>
    <row r="29142" customFormat="1" x14ac:dyDescent="0.3"/>
    <row r="29143" customFormat="1" x14ac:dyDescent="0.3"/>
    <row r="29144" customFormat="1" x14ac:dyDescent="0.3"/>
    <row r="29145" customFormat="1" x14ac:dyDescent="0.3"/>
    <row r="29146" customFormat="1" x14ac:dyDescent="0.3"/>
    <row r="29147" customFormat="1" x14ac:dyDescent="0.3"/>
    <row r="29148" customFormat="1" x14ac:dyDescent="0.3"/>
    <row r="29149" customFormat="1" x14ac:dyDescent="0.3"/>
    <row r="29150" customFormat="1" x14ac:dyDescent="0.3"/>
    <row r="29151" customFormat="1" x14ac:dyDescent="0.3"/>
    <row r="29152" customFormat="1" x14ac:dyDescent="0.3"/>
    <row r="29153" customFormat="1" x14ac:dyDescent="0.3"/>
    <row r="29154" customFormat="1" x14ac:dyDescent="0.3"/>
    <row r="29155" customFormat="1" x14ac:dyDescent="0.3"/>
    <row r="29156" customFormat="1" x14ac:dyDescent="0.3"/>
    <row r="29157" customFormat="1" x14ac:dyDescent="0.3"/>
    <row r="29158" customFormat="1" x14ac:dyDescent="0.3"/>
    <row r="29159" customFormat="1" x14ac:dyDescent="0.3"/>
    <row r="29160" customFormat="1" x14ac:dyDescent="0.3"/>
    <row r="29161" customFormat="1" x14ac:dyDescent="0.3"/>
    <row r="29162" customFormat="1" x14ac:dyDescent="0.3"/>
    <row r="29163" customFormat="1" x14ac:dyDescent="0.3"/>
    <row r="29164" customFormat="1" x14ac:dyDescent="0.3"/>
    <row r="29165" customFormat="1" x14ac:dyDescent="0.3"/>
    <row r="29166" customFormat="1" x14ac:dyDescent="0.3"/>
    <row r="29167" customFormat="1" x14ac:dyDescent="0.3"/>
    <row r="29168" customFormat="1" x14ac:dyDescent="0.3"/>
    <row r="29169" customFormat="1" x14ac:dyDescent="0.3"/>
    <row r="29170" customFormat="1" x14ac:dyDescent="0.3"/>
    <row r="29171" customFormat="1" x14ac:dyDescent="0.3"/>
    <row r="29172" customFormat="1" x14ac:dyDescent="0.3"/>
    <row r="29173" customFormat="1" x14ac:dyDescent="0.3"/>
    <row r="29174" customFormat="1" x14ac:dyDescent="0.3"/>
    <row r="29175" customFormat="1" x14ac:dyDescent="0.3"/>
    <row r="29176" customFormat="1" x14ac:dyDescent="0.3"/>
    <row r="29177" customFormat="1" x14ac:dyDescent="0.3"/>
    <row r="29178" customFormat="1" x14ac:dyDescent="0.3"/>
    <row r="29179" customFormat="1" x14ac:dyDescent="0.3"/>
    <row r="29180" customFormat="1" x14ac:dyDescent="0.3"/>
    <row r="29181" customFormat="1" x14ac:dyDescent="0.3"/>
    <row r="29182" customFormat="1" x14ac:dyDescent="0.3"/>
    <row r="29183" customFormat="1" x14ac:dyDescent="0.3"/>
    <row r="29184" customFormat="1" x14ac:dyDescent="0.3"/>
    <row r="29185" customFormat="1" x14ac:dyDescent="0.3"/>
    <row r="29186" customFormat="1" x14ac:dyDescent="0.3"/>
    <row r="29187" customFormat="1" x14ac:dyDescent="0.3"/>
    <row r="29188" customFormat="1" x14ac:dyDescent="0.3"/>
    <row r="29189" customFormat="1" x14ac:dyDescent="0.3"/>
    <row r="29190" customFormat="1" x14ac:dyDescent="0.3"/>
    <row r="29191" customFormat="1" x14ac:dyDescent="0.3"/>
    <row r="29192" customFormat="1" x14ac:dyDescent="0.3"/>
    <row r="29193" customFormat="1" x14ac:dyDescent="0.3"/>
    <row r="29194" customFormat="1" x14ac:dyDescent="0.3"/>
    <row r="29195" customFormat="1" x14ac:dyDescent="0.3"/>
    <row r="29196" customFormat="1" x14ac:dyDescent="0.3"/>
    <row r="29197" customFormat="1" x14ac:dyDescent="0.3"/>
    <row r="29198" customFormat="1" x14ac:dyDescent="0.3"/>
    <row r="29199" customFormat="1" x14ac:dyDescent="0.3"/>
    <row r="29200" customFormat="1" x14ac:dyDescent="0.3"/>
    <row r="29201" customFormat="1" x14ac:dyDescent="0.3"/>
    <row r="29202" customFormat="1" x14ac:dyDescent="0.3"/>
    <row r="29203" customFormat="1" x14ac:dyDescent="0.3"/>
    <row r="29204" customFormat="1" x14ac:dyDescent="0.3"/>
    <row r="29205" customFormat="1" x14ac:dyDescent="0.3"/>
    <row r="29206" customFormat="1" x14ac:dyDescent="0.3"/>
    <row r="29207" customFormat="1" x14ac:dyDescent="0.3"/>
    <row r="29208" customFormat="1" x14ac:dyDescent="0.3"/>
    <row r="29209" customFormat="1" x14ac:dyDescent="0.3"/>
    <row r="29210" customFormat="1" x14ac:dyDescent="0.3"/>
    <row r="29211" customFormat="1" x14ac:dyDescent="0.3"/>
    <row r="29212" customFormat="1" x14ac:dyDescent="0.3"/>
    <row r="29213" customFormat="1" x14ac:dyDescent="0.3"/>
    <row r="29214" customFormat="1" x14ac:dyDescent="0.3"/>
    <row r="29215" customFormat="1" x14ac:dyDescent="0.3"/>
    <row r="29216" customFormat="1" x14ac:dyDescent="0.3"/>
    <row r="29217" customFormat="1" x14ac:dyDescent="0.3"/>
    <row r="29218" customFormat="1" x14ac:dyDescent="0.3"/>
    <row r="29219" customFormat="1" x14ac:dyDescent="0.3"/>
    <row r="29220" customFormat="1" x14ac:dyDescent="0.3"/>
    <row r="29221" customFormat="1" x14ac:dyDescent="0.3"/>
    <row r="29222" customFormat="1" x14ac:dyDescent="0.3"/>
    <row r="29223" customFormat="1" x14ac:dyDescent="0.3"/>
    <row r="29224" customFormat="1" x14ac:dyDescent="0.3"/>
    <row r="29225" customFormat="1" x14ac:dyDescent="0.3"/>
    <row r="29226" customFormat="1" x14ac:dyDescent="0.3"/>
    <row r="29227" customFormat="1" x14ac:dyDescent="0.3"/>
    <row r="29228" customFormat="1" x14ac:dyDescent="0.3"/>
    <row r="29229" customFormat="1" x14ac:dyDescent="0.3"/>
    <row r="29230" customFormat="1" x14ac:dyDescent="0.3"/>
    <row r="29231" customFormat="1" x14ac:dyDescent="0.3"/>
    <row r="29232" customFormat="1" x14ac:dyDescent="0.3"/>
    <row r="29233" customFormat="1" x14ac:dyDescent="0.3"/>
    <row r="29234" customFormat="1" x14ac:dyDescent="0.3"/>
    <row r="29235" customFormat="1" x14ac:dyDescent="0.3"/>
    <row r="29236" customFormat="1" x14ac:dyDescent="0.3"/>
    <row r="29237" customFormat="1" x14ac:dyDescent="0.3"/>
    <row r="29238" customFormat="1" x14ac:dyDescent="0.3"/>
    <row r="29239" customFormat="1" x14ac:dyDescent="0.3"/>
    <row r="29240" customFormat="1" x14ac:dyDescent="0.3"/>
    <row r="29241" customFormat="1" x14ac:dyDescent="0.3"/>
    <row r="29242" customFormat="1" x14ac:dyDescent="0.3"/>
    <row r="29243" customFormat="1" x14ac:dyDescent="0.3"/>
    <row r="29244" customFormat="1" x14ac:dyDescent="0.3"/>
    <row r="29245" customFormat="1" x14ac:dyDescent="0.3"/>
    <row r="29246" customFormat="1" x14ac:dyDescent="0.3"/>
    <row r="29247" customFormat="1" x14ac:dyDescent="0.3"/>
    <row r="29248" customFormat="1" x14ac:dyDescent="0.3"/>
    <row r="29249" customFormat="1" x14ac:dyDescent="0.3"/>
    <row r="29250" customFormat="1" x14ac:dyDescent="0.3"/>
    <row r="29251" customFormat="1" x14ac:dyDescent="0.3"/>
    <row r="29252" customFormat="1" x14ac:dyDescent="0.3"/>
    <row r="29253" customFormat="1" x14ac:dyDescent="0.3"/>
    <row r="29254" customFormat="1" x14ac:dyDescent="0.3"/>
    <row r="29255" customFormat="1" x14ac:dyDescent="0.3"/>
    <row r="29256" customFormat="1" x14ac:dyDescent="0.3"/>
    <row r="29257" customFormat="1" x14ac:dyDescent="0.3"/>
    <row r="29258" customFormat="1" x14ac:dyDescent="0.3"/>
    <row r="29259" customFormat="1" x14ac:dyDescent="0.3"/>
    <row r="29260" customFormat="1" x14ac:dyDescent="0.3"/>
    <row r="29261" customFormat="1" x14ac:dyDescent="0.3"/>
    <row r="29262" customFormat="1" x14ac:dyDescent="0.3"/>
    <row r="29263" customFormat="1" x14ac:dyDescent="0.3"/>
    <row r="29264" customFormat="1" x14ac:dyDescent="0.3"/>
    <row r="29265" customFormat="1" x14ac:dyDescent="0.3"/>
    <row r="29266" customFormat="1" x14ac:dyDescent="0.3"/>
    <row r="29267" customFormat="1" x14ac:dyDescent="0.3"/>
    <row r="29268" customFormat="1" x14ac:dyDescent="0.3"/>
    <row r="29269" customFormat="1" x14ac:dyDescent="0.3"/>
    <row r="29270" customFormat="1" x14ac:dyDescent="0.3"/>
    <row r="29271" customFormat="1" x14ac:dyDescent="0.3"/>
    <row r="29272" customFormat="1" x14ac:dyDescent="0.3"/>
    <row r="29273" customFormat="1" x14ac:dyDescent="0.3"/>
    <row r="29274" customFormat="1" x14ac:dyDescent="0.3"/>
    <row r="29275" customFormat="1" x14ac:dyDescent="0.3"/>
    <row r="29276" customFormat="1" x14ac:dyDescent="0.3"/>
    <row r="29277" customFormat="1" x14ac:dyDescent="0.3"/>
    <row r="29278" customFormat="1" x14ac:dyDescent="0.3"/>
    <row r="29279" customFormat="1" x14ac:dyDescent="0.3"/>
    <row r="29280" customFormat="1" x14ac:dyDescent="0.3"/>
    <row r="29281" customFormat="1" x14ac:dyDescent="0.3"/>
    <row r="29282" customFormat="1" x14ac:dyDescent="0.3"/>
    <row r="29283" customFormat="1" x14ac:dyDescent="0.3"/>
    <row r="29284" customFormat="1" x14ac:dyDescent="0.3"/>
    <row r="29285" customFormat="1" x14ac:dyDescent="0.3"/>
    <row r="29286" customFormat="1" x14ac:dyDescent="0.3"/>
    <row r="29287" customFormat="1" x14ac:dyDescent="0.3"/>
    <row r="29288" customFormat="1" x14ac:dyDescent="0.3"/>
    <row r="29289" customFormat="1" x14ac:dyDescent="0.3"/>
    <row r="29290" customFormat="1" x14ac:dyDescent="0.3"/>
    <row r="29291" customFormat="1" x14ac:dyDescent="0.3"/>
    <row r="29292" customFormat="1" x14ac:dyDescent="0.3"/>
    <row r="29293" customFormat="1" x14ac:dyDescent="0.3"/>
    <row r="29294" customFormat="1" x14ac:dyDescent="0.3"/>
    <row r="29295" customFormat="1" x14ac:dyDescent="0.3"/>
    <row r="29296" customFormat="1" x14ac:dyDescent="0.3"/>
    <row r="29297" customFormat="1" x14ac:dyDescent="0.3"/>
    <row r="29298" customFormat="1" x14ac:dyDescent="0.3"/>
    <row r="29299" customFormat="1" x14ac:dyDescent="0.3"/>
    <row r="29300" customFormat="1" x14ac:dyDescent="0.3"/>
    <row r="29301" customFormat="1" x14ac:dyDescent="0.3"/>
    <row r="29302" customFormat="1" x14ac:dyDescent="0.3"/>
    <row r="29303" customFormat="1" x14ac:dyDescent="0.3"/>
    <row r="29304" customFormat="1" x14ac:dyDescent="0.3"/>
    <row r="29305" customFormat="1" x14ac:dyDescent="0.3"/>
    <row r="29306" customFormat="1" x14ac:dyDescent="0.3"/>
    <row r="29307" customFormat="1" x14ac:dyDescent="0.3"/>
    <row r="29308" customFormat="1" x14ac:dyDescent="0.3"/>
    <row r="29309" customFormat="1" x14ac:dyDescent="0.3"/>
    <row r="29310" customFormat="1" x14ac:dyDescent="0.3"/>
    <row r="29311" customFormat="1" x14ac:dyDescent="0.3"/>
    <row r="29312" customFormat="1" x14ac:dyDescent="0.3"/>
    <row r="29313" customFormat="1" x14ac:dyDescent="0.3"/>
    <row r="29314" customFormat="1" x14ac:dyDescent="0.3"/>
    <row r="29315" customFormat="1" x14ac:dyDescent="0.3"/>
    <row r="29316" customFormat="1" x14ac:dyDescent="0.3"/>
    <row r="29317" customFormat="1" x14ac:dyDescent="0.3"/>
    <row r="29318" customFormat="1" x14ac:dyDescent="0.3"/>
    <row r="29319" customFormat="1" x14ac:dyDescent="0.3"/>
    <row r="29320" customFormat="1" x14ac:dyDescent="0.3"/>
    <row r="29321" customFormat="1" x14ac:dyDescent="0.3"/>
    <row r="29322" customFormat="1" x14ac:dyDescent="0.3"/>
    <row r="29323" customFormat="1" x14ac:dyDescent="0.3"/>
    <row r="29324" customFormat="1" x14ac:dyDescent="0.3"/>
    <row r="29325" customFormat="1" x14ac:dyDescent="0.3"/>
    <row r="29326" customFormat="1" x14ac:dyDescent="0.3"/>
    <row r="29327" customFormat="1" x14ac:dyDescent="0.3"/>
    <row r="29328" customFormat="1" x14ac:dyDescent="0.3"/>
    <row r="29329" customFormat="1" x14ac:dyDescent="0.3"/>
    <row r="29330" customFormat="1" x14ac:dyDescent="0.3"/>
    <row r="29331" customFormat="1" x14ac:dyDescent="0.3"/>
    <row r="29332" customFormat="1" x14ac:dyDescent="0.3"/>
    <row r="29333" customFormat="1" x14ac:dyDescent="0.3"/>
    <row r="29334" customFormat="1" x14ac:dyDescent="0.3"/>
    <row r="29335" customFormat="1" x14ac:dyDescent="0.3"/>
    <row r="29336" customFormat="1" x14ac:dyDescent="0.3"/>
    <row r="29337" customFormat="1" x14ac:dyDescent="0.3"/>
    <row r="29338" customFormat="1" x14ac:dyDescent="0.3"/>
    <row r="29339" customFormat="1" x14ac:dyDescent="0.3"/>
    <row r="29340" customFormat="1" x14ac:dyDescent="0.3"/>
    <row r="29341" customFormat="1" x14ac:dyDescent="0.3"/>
    <row r="29342" customFormat="1" x14ac:dyDescent="0.3"/>
    <row r="29343" customFormat="1" x14ac:dyDescent="0.3"/>
    <row r="29344" customFormat="1" x14ac:dyDescent="0.3"/>
    <row r="29345" customFormat="1" x14ac:dyDescent="0.3"/>
    <row r="29346" customFormat="1" x14ac:dyDescent="0.3"/>
    <row r="29347" customFormat="1" x14ac:dyDescent="0.3"/>
    <row r="29348" customFormat="1" x14ac:dyDescent="0.3"/>
    <row r="29349" customFormat="1" x14ac:dyDescent="0.3"/>
    <row r="29350" customFormat="1" x14ac:dyDescent="0.3"/>
    <row r="29351" customFormat="1" x14ac:dyDescent="0.3"/>
    <row r="29352" customFormat="1" x14ac:dyDescent="0.3"/>
    <row r="29353" customFormat="1" x14ac:dyDescent="0.3"/>
    <row r="29354" customFormat="1" x14ac:dyDescent="0.3"/>
    <row r="29355" customFormat="1" x14ac:dyDescent="0.3"/>
    <row r="29356" customFormat="1" x14ac:dyDescent="0.3"/>
    <row r="29357" customFormat="1" x14ac:dyDescent="0.3"/>
    <row r="29358" customFormat="1" x14ac:dyDescent="0.3"/>
    <row r="29359" customFormat="1" x14ac:dyDescent="0.3"/>
    <row r="29360" customFormat="1" x14ac:dyDescent="0.3"/>
    <row r="29361" customFormat="1" x14ac:dyDescent="0.3"/>
    <row r="29362" customFormat="1" x14ac:dyDescent="0.3"/>
    <row r="29363" customFormat="1" x14ac:dyDescent="0.3"/>
    <row r="29364" customFormat="1" x14ac:dyDescent="0.3"/>
    <row r="29365" customFormat="1" x14ac:dyDescent="0.3"/>
    <row r="29366" customFormat="1" x14ac:dyDescent="0.3"/>
    <row r="29367" customFormat="1" x14ac:dyDescent="0.3"/>
    <row r="29368" customFormat="1" x14ac:dyDescent="0.3"/>
    <row r="29369" customFormat="1" x14ac:dyDescent="0.3"/>
    <row r="29370" customFormat="1" x14ac:dyDescent="0.3"/>
    <row r="29371" customFormat="1" x14ac:dyDescent="0.3"/>
    <row r="29372" customFormat="1" x14ac:dyDescent="0.3"/>
    <row r="29373" customFormat="1" x14ac:dyDescent="0.3"/>
    <row r="29374" customFormat="1" x14ac:dyDescent="0.3"/>
    <row r="29375" customFormat="1" x14ac:dyDescent="0.3"/>
    <row r="29376" customFormat="1" x14ac:dyDescent="0.3"/>
    <row r="29377" customFormat="1" x14ac:dyDescent="0.3"/>
    <row r="29378" customFormat="1" x14ac:dyDescent="0.3"/>
    <row r="29379" customFormat="1" x14ac:dyDescent="0.3"/>
    <row r="29380" customFormat="1" x14ac:dyDescent="0.3"/>
    <row r="29381" customFormat="1" x14ac:dyDescent="0.3"/>
    <row r="29382" customFormat="1" x14ac:dyDescent="0.3"/>
    <row r="29383" customFormat="1" x14ac:dyDescent="0.3"/>
    <row r="29384" customFormat="1" x14ac:dyDescent="0.3"/>
    <row r="29385" customFormat="1" x14ac:dyDescent="0.3"/>
    <row r="29386" customFormat="1" x14ac:dyDescent="0.3"/>
    <row r="29387" customFormat="1" x14ac:dyDescent="0.3"/>
    <row r="29388" customFormat="1" x14ac:dyDescent="0.3"/>
    <row r="29389" customFormat="1" x14ac:dyDescent="0.3"/>
    <row r="29390" customFormat="1" x14ac:dyDescent="0.3"/>
    <row r="29391" customFormat="1" x14ac:dyDescent="0.3"/>
    <row r="29392" customFormat="1" x14ac:dyDescent="0.3"/>
    <row r="29393" customFormat="1" x14ac:dyDescent="0.3"/>
    <row r="29394" customFormat="1" x14ac:dyDescent="0.3"/>
    <row r="29395" customFormat="1" x14ac:dyDescent="0.3"/>
    <row r="29396" customFormat="1" x14ac:dyDescent="0.3"/>
    <row r="29397" customFormat="1" x14ac:dyDescent="0.3"/>
    <row r="29398" customFormat="1" x14ac:dyDescent="0.3"/>
    <row r="29399" customFormat="1" x14ac:dyDescent="0.3"/>
    <row r="29400" customFormat="1" x14ac:dyDescent="0.3"/>
    <row r="29401" customFormat="1" x14ac:dyDescent="0.3"/>
    <row r="29402" customFormat="1" x14ac:dyDescent="0.3"/>
    <row r="29403" customFormat="1" x14ac:dyDescent="0.3"/>
    <row r="29404" customFormat="1" x14ac:dyDescent="0.3"/>
    <row r="29405" customFormat="1" x14ac:dyDescent="0.3"/>
    <row r="29406" customFormat="1" x14ac:dyDescent="0.3"/>
    <row r="29407" customFormat="1" x14ac:dyDescent="0.3"/>
    <row r="29408" customFormat="1" x14ac:dyDescent="0.3"/>
    <row r="29409" customFormat="1" x14ac:dyDescent="0.3"/>
    <row r="29410" customFormat="1" x14ac:dyDescent="0.3"/>
    <row r="29411" customFormat="1" x14ac:dyDescent="0.3"/>
    <row r="29412" customFormat="1" x14ac:dyDescent="0.3"/>
    <row r="29413" customFormat="1" x14ac:dyDescent="0.3"/>
    <row r="29414" customFormat="1" x14ac:dyDescent="0.3"/>
    <row r="29415" customFormat="1" x14ac:dyDescent="0.3"/>
    <row r="29416" customFormat="1" x14ac:dyDescent="0.3"/>
    <row r="29417" customFormat="1" x14ac:dyDescent="0.3"/>
    <row r="29418" customFormat="1" x14ac:dyDescent="0.3"/>
    <row r="29419" customFormat="1" x14ac:dyDescent="0.3"/>
    <row r="29420" customFormat="1" x14ac:dyDescent="0.3"/>
    <row r="29421" customFormat="1" x14ac:dyDescent="0.3"/>
    <row r="29422" customFormat="1" x14ac:dyDescent="0.3"/>
    <row r="29423" customFormat="1" x14ac:dyDescent="0.3"/>
    <row r="29424" customFormat="1" x14ac:dyDescent="0.3"/>
    <row r="29425" customFormat="1" x14ac:dyDescent="0.3"/>
    <row r="29426" customFormat="1" x14ac:dyDescent="0.3"/>
    <row r="29427" customFormat="1" x14ac:dyDescent="0.3"/>
    <row r="29428" customFormat="1" x14ac:dyDescent="0.3"/>
    <row r="29429" customFormat="1" x14ac:dyDescent="0.3"/>
    <row r="29430" customFormat="1" x14ac:dyDescent="0.3"/>
    <row r="29431" customFormat="1" x14ac:dyDescent="0.3"/>
    <row r="29432" customFormat="1" x14ac:dyDescent="0.3"/>
    <row r="29433" customFormat="1" x14ac:dyDescent="0.3"/>
    <row r="29434" customFormat="1" x14ac:dyDescent="0.3"/>
    <row r="29435" customFormat="1" x14ac:dyDescent="0.3"/>
    <row r="29436" customFormat="1" x14ac:dyDescent="0.3"/>
    <row r="29437" customFormat="1" x14ac:dyDescent="0.3"/>
    <row r="29438" customFormat="1" x14ac:dyDescent="0.3"/>
    <row r="29439" customFormat="1" x14ac:dyDescent="0.3"/>
    <row r="29440" customFormat="1" x14ac:dyDescent="0.3"/>
    <row r="29441" customFormat="1" x14ac:dyDescent="0.3"/>
    <row r="29442" customFormat="1" x14ac:dyDescent="0.3"/>
    <row r="29443" customFormat="1" x14ac:dyDescent="0.3"/>
    <row r="29444" customFormat="1" x14ac:dyDescent="0.3"/>
    <row r="29445" customFormat="1" x14ac:dyDescent="0.3"/>
    <row r="29446" customFormat="1" x14ac:dyDescent="0.3"/>
    <row r="29447" customFormat="1" x14ac:dyDescent="0.3"/>
    <row r="29448" customFormat="1" x14ac:dyDescent="0.3"/>
    <row r="29449" customFormat="1" x14ac:dyDescent="0.3"/>
    <row r="29450" customFormat="1" x14ac:dyDescent="0.3"/>
    <row r="29451" customFormat="1" x14ac:dyDescent="0.3"/>
    <row r="29452" customFormat="1" x14ac:dyDescent="0.3"/>
    <row r="29453" customFormat="1" x14ac:dyDescent="0.3"/>
    <row r="29454" customFormat="1" x14ac:dyDescent="0.3"/>
    <row r="29455" customFormat="1" x14ac:dyDescent="0.3"/>
    <row r="29456" customFormat="1" x14ac:dyDescent="0.3"/>
    <row r="29457" customFormat="1" x14ac:dyDescent="0.3"/>
    <row r="29458" customFormat="1" x14ac:dyDescent="0.3"/>
    <row r="29459" customFormat="1" x14ac:dyDescent="0.3"/>
    <row r="29460" customFormat="1" x14ac:dyDescent="0.3"/>
    <row r="29461" customFormat="1" x14ac:dyDescent="0.3"/>
    <row r="29462" customFormat="1" x14ac:dyDescent="0.3"/>
    <row r="29463" customFormat="1" x14ac:dyDescent="0.3"/>
    <row r="29464" customFormat="1" x14ac:dyDescent="0.3"/>
    <row r="29465" customFormat="1" x14ac:dyDescent="0.3"/>
    <row r="29466" customFormat="1" x14ac:dyDescent="0.3"/>
    <row r="29467" customFormat="1" x14ac:dyDescent="0.3"/>
    <row r="29468" customFormat="1" x14ac:dyDescent="0.3"/>
    <row r="29469" customFormat="1" x14ac:dyDescent="0.3"/>
    <row r="29470" customFormat="1" x14ac:dyDescent="0.3"/>
    <row r="29471" customFormat="1" x14ac:dyDescent="0.3"/>
    <row r="29472" customFormat="1" x14ac:dyDescent="0.3"/>
    <row r="29473" customFormat="1" x14ac:dyDescent="0.3"/>
    <row r="29474" customFormat="1" x14ac:dyDescent="0.3"/>
    <row r="29475" customFormat="1" x14ac:dyDescent="0.3"/>
    <row r="29476" customFormat="1" x14ac:dyDescent="0.3"/>
    <row r="29477" customFormat="1" x14ac:dyDescent="0.3"/>
    <row r="29478" customFormat="1" x14ac:dyDescent="0.3"/>
    <row r="29479" customFormat="1" x14ac:dyDescent="0.3"/>
    <row r="29480" customFormat="1" x14ac:dyDescent="0.3"/>
    <row r="29481" customFormat="1" x14ac:dyDescent="0.3"/>
    <row r="29482" customFormat="1" x14ac:dyDescent="0.3"/>
    <row r="29483" customFormat="1" x14ac:dyDescent="0.3"/>
    <row r="29484" customFormat="1" x14ac:dyDescent="0.3"/>
    <row r="29485" customFormat="1" x14ac:dyDescent="0.3"/>
    <row r="29486" customFormat="1" x14ac:dyDescent="0.3"/>
    <row r="29487" customFormat="1" x14ac:dyDescent="0.3"/>
    <row r="29488" customFormat="1" x14ac:dyDescent="0.3"/>
    <row r="29489" customFormat="1" x14ac:dyDescent="0.3"/>
    <row r="29490" customFormat="1" x14ac:dyDescent="0.3"/>
    <row r="29491" customFormat="1" x14ac:dyDescent="0.3"/>
    <row r="29492" customFormat="1" x14ac:dyDescent="0.3"/>
    <row r="29493" customFormat="1" x14ac:dyDescent="0.3"/>
    <row r="29494" customFormat="1" x14ac:dyDescent="0.3"/>
    <row r="29495" customFormat="1" x14ac:dyDescent="0.3"/>
    <row r="29496" customFormat="1" x14ac:dyDescent="0.3"/>
    <row r="29497" customFormat="1" x14ac:dyDescent="0.3"/>
    <row r="29498" customFormat="1" x14ac:dyDescent="0.3"/>
    <row r="29499" customFormat="1" x14ac:dyDescent="0.3"/>
    <row r="29500" customFormat="1" x14ac:dyDescent="0.3"/>
    <row r="29501" customFormat="1" x14ac:dyDescent="0.3"/>
    <row r="29502" customFormat="1" x14ac:dyDescent="0.3"/>
    <row r="29503" customFormat="1" x14ac:dyDescent="0.3"/>
    <row r="29504" customFormat="1" x14ac:dyDescent="0.3"/>
    <row r="29505" customFormat="1" x14ac:dyDescent="0.3"/>
    <row r="29506" customFormat="1" x14ac:dyDescent="0.3"/>
    <row r="29507" customFormat="1" x14ac:dyDescent="0.3"/>
    <row r="29508" customFormat="1" x14ac:dyDescent="0.3"/>
    <row r="29509" customFormat="1" x14ac:dyDescent="0.3"/>
    <row r="29510" customFormat="1" x14ac:dyDescent="0.3"/>
    <row r="29511" customFormat="1" x14ac:dyDescent="0.3"/>
    <row r="29512" customFormat="1" x14ac:dyDescent="0.3"/>
    <row r="29513" customFormat="1" x14ac:dyDescent="0.3"/>
    <row r="29514" customFormat="1" x14ac:dyDescent="0.3"/>
    <row r="29515" customFormat="1" x14ac:dyDescent="0.3"/>
    <row r="29516" customFormat="1" x14ac:dyDescent="0.3"/>
    <row r="29517" customFormat="1" x14ac:dyDescent="0.3"/>
    <row r="29518" customFormat="1" x14ac:dyDescent="0.3"/>
    <row r="29519" customFormat="1" x14ac:dyDescent="0.3"/>
    <row r="29520" customFormat="1" x14ac:dyDescent="0.3"/>
    <row r="29521" customFormat="1" x14ac:dyDescent="0.3"/>
    <row r="29522" customFormat="1" x14ac:dyDescent="0.3"/>
    <row r="29523" customFormat="1" x14ac:dyDescent="0.3"/>
    <row r="29524" customFormat="1" x14ac:dyDescent="0.3"/>
    <row r="29525" customFormat="1" x14ac:dyDescent="0.3"/>
    <row r="29526" customFormat="1" x14ac:dyDescent="0.3"/>
    <row r="29527" customFormat="1" x14ac:dyDescent="0.3"/>
    <row r="29528" customFormat="1" x14ac:dyDescent="0.3"/>
    <row r="29529" customFormat="1" x14ac:dyDescent="0.3"/>
    <row r="29530" customFormat="1" x14ac:dyDescent="0.3"/>
    <row r="29531" customFormat="1" x14ac:dyDescent="0.3"/>
    <row r="29532" customFormat="1" x14ac:dyDescent="0.3"/>
    <row r="29533" customFormat="1" x14ac:dyDescent="0.3"/>
    <row r="29534" customFormat="1" x14ac:dyDescent="0.3"/>
    <row r="29535" customFormat="1" x14ac:dyDescent="0.3"/>
    <row r="29536" customFormat="1" x14ac:dyDescent="0.3"/>
    <row r="29537" customFormat="1" x14ac:dyDescent="0.3"/>
    <row r="29538" customFormat="1" x14ac:dyDescent="0.3"/>
    <row r="29539" customFormat="1" x14ac:dyDescent="0.3"/>
    <row r="29540" customFormat="1" x14ac:dyDescent="0.3"/>
    <row r="29541" customFormat="1" x14ac:dyDescent="0.3"/>
    <row r="29542" customFormat="1" x14ac:dyDescent="0.3"/>
    <row r="29543" customFormat="1" x14ac:dyDescent="0.3"/>
    <row r="29544" customFormat="1" x14ac:dyDescent="0.3"/>
    <row r="29545" customFormat="1" x14ac:dyDescent="0.3"/>
    <row r="29546" customFormat="1" x14ac:dyDescent="0.3"/>
    <row r="29547" customFormat="1" x14ac:dyDescent="0.3"/>
    <row r="29548" customFormat="1" x14ac:dyDescent="0.3"/>
    <row r="29549" customFormat="1" x14ac:dyDescent="0.3"/>
    <row r="29550" customFormat="1" x14ac:dyDescent="0.3"/>
    <row r="29551" customFormat="1" x14ac:dyDescent="0.3"/>
    <row r="29552" customFormat="1" x14ac:dyDescent="0.3"/>
    <row r="29553" customFormat="1" x14ac:dyDescent="0.3"/>
    <row r="29554" customFormat="1" x14ac:dyDescent="0.3"/>
    <row r="29555" customFormat="1" x14ac:dyDescent="0.3"/>
    <row r="29556" customFormat="1" x14ac:dyDescent="0.3"/>
    <row r="29557" customFormat="1" x14ac:dyDescent="0.3"/>
    <row r="29558" customFormat="1" x14ac:dyDescent="0.3"/>
    <row r="29559" customFormat="1" x14ac:dyDescent="0.3"/>
    <row r="29560" customFormat="1" x14ac:dyDescent="0.3"/>
    <row r="29561" customFormat="1" x14ac:dyDescent="0.3"/>
    <row r="29562" customFormat="1" x14ac:dyDescent="0.3"/>
    <row r="29563" customFormat="1" x14ac:dyDescent="0.3"/>
    <row r="29564" customFormat="1" x14ac:dyDescent="0.3"/>
    <row r="29565" customFormat="1" x14ac:dyDescent="0.3"/>
    <row r="29566" customFormat="1" x14ac:dyDescent="0.3"/>
    <row r="29567" customFormat="1" x14ac:dyDescent="0.3"/>
    <row r="29568" customFormat="1" x14ac:dyDescent="0.3"/>
    <row r="29569" customFormat="1" x14ac:dyDescent="0.3"/>
    <row r="29570" customFormat="1" x14ac:dyDescent="0.3"/>
    <row r="29571" customFormat="1" x14ac:dyDescent="0.3"/>
    <row r="29572" customFormat="1" x14ac:dyDescent="0.3"/>
    <row r="29573" customFormat="1" x14ac:dyDescent="0.3"/>
    <row r="29574" customFormat="1" x14ac:dyDescent="0.3"/>
    <row r="29575" customFormat="1" x14ac:dyDescent="0.3"/>
    <row r="29576" customFormat="1" x14ac:dyDescent="0.3"/>
    <row r="29577" customFormat="1" x14ac:dyDescent="0.3"/>
    <row r="29578" customFormat="1" x14ac:dyDescent="0.3"/>
    <row r="29579" customFormat="1" x14ac:dyDescent="0.3"/>
    <row r="29580" customFormat="1" x14ac:dyDescent="0.3"/>
    <row r="29581" customFormat="1" x14ac:dyDescent="0.3"/>
    <row r="29582" customFormat="1" x14ac:dyDescent="0.3"/>
    <row r="29583" customFormat="1" x14ac:dyDescent="0.3"/>
    <row r="29584" customFormat="1" x14ac:dyDescent="0.3"/>
    <row r="29585" customFormat="1" x14ac:dyDescent="0.3"/>
    <row r="29586" customFormat="1" x14ac:dyDescent="0.3"/>
    <row r="29587" customFormat="1" x14ac:dyDescent="0.3"/>
    <row r="29588" customFormat="1" x14ac:dyDescent="0.3"/>
    <row r="29589" customFormat="1" x14ac:dyDescent="0.3"/>
    <row r="29590" customFormat="1" x14ac:dyDescent="0.3"/>
    <row r="29591" customFormat="1" x14ac:dyDescent="0.3"/>
    <row r="29592" customFormat="1" x14ac:dyDescent="0.3"/>
    <row r="29593" customFormat="1" x14ac:dyDescent="0.3"/>
    <row r="29594" customFormat="1" x14ac:dyDescent="0.3"/>
    <row r="29595" customFormat="1" x14ac:dyDescent="0.3"/>
    <row r="29596" customFormat="1" x14ac:dyDescent="0.3"/>
    <row r="29597" customFormat="1" x14ac:dyDescent="0.3"/>
    <row r="29598" customFormat="1" x14ac:dyDescent="0.3"/>
    <row r="29599" customFormat="1" x14ac:dyDescent="0.3"/>
    <row r="29600" customFormat="1" x14ac:dyDescent="0.3"/>
    <row r="29601" customFormat="1" x14ac:dyDescent="0.3"/>
    <row r="29602" customFormat="1" x14ac:dyDescent="0.3"/>
    <row r="29603" customFormat="1" x14ac:dyDescent="0.3"/>
    <row r="29604" customFormat="1" x14ac:dyDescent="0.3"/>
    <row r="29605" customFormat="1" x14ac:dyDescent="0.3"/>
    <row r="29606" customFormat="1" x14ac:dyDescent="0.3"/>
    <row r="29607" customFormat="1" x14ac:dyDescent="0.3"/>
    <row r="29608" customFormat="1" x14ac:dyDescent="0.3"/>
    <row r="29609" customFormat="1" x14ac:dyDescent="0.3"/>
    <row r="29610" customFormat="1" x14ac:dyDescent="0.3"/>
    <row r="29611" customFormat="1" x14ac:dyDescent="0.3"/>
    <row r="29612" customFormat="1" x14ac:dyDescent="0.3"/>
    <row r="29613" customFormat="1" x14ac:dyDescent="0.3"/>
    <row r="29614" customFormat="1" x14ac:dyDescent="0.3"/>
    <row r="29615" customFormat="1" x14ac:dyDescent="0.3"/>
    <row r="29616" customFormat="1" x14ac:dyDescent="0.3"/>
    <row r="29617" customFormat="1" x14ac:dyDescent="0.3"/>
    <row r="29618" customFormat="1" x14ac:dyDescent="0.3"/>
    <row r="29619" customFormat="1" x14ac:dyDescent="0.3"/>
    <row r="29620" customFormat="1" x14ac:dyDescent="0.3"/>
    <row r="29621" customFormat="1" x14ac:dyDescent="0.3"/>
    <row r="29622" customFormat="1" x14ac:dyDescent="0.3"/>
    <row r="29623" customFormat="1" x14ac:dyDescent="0.3"/>
    <row r="29624" customFormat="1" x14ac:dyDescent="0.3"/>
    <row r="29625" customFormat="1" x14ac:dyDescent="0.3"/>
    <row r="29626" customFormat="1" x14ac:dyDescent="0.3"/>
    <row r="29627" customFormat="1" x14ac:dyDescent="0.3"/>
    <row r="29628" customFormat="1" x14ac:dyDescent="0.3"/>
    <row r="29629" customFormat="1" x14ac:dyDescent="0.3"/>
    <row r="29630" customFormat="1" x14ac:dyDescent="0.3"/>
    <row r="29631" customFormat="1" x14ac:dyDescent="0.3"/>
    <row r="29632" customFormat="1" x14ac:dyDescent="0.3"/>
    <row r="29633" customFormat="1" x14ac:dyDescent="0.3"/>
    <row r="29634" customFormat="1" x14ac:dyDescent="0.3"/>
    <row r="29635" customFormat="1" x14ac:dyDescent="0.3"/>
    <row r="29636" customFormat="1" x14ac:dyDescent="0.3"/>
    <row r="29637" customFormat="1" x14ac:dyDescent="0.3"/>
    <row r="29638" customFormat="1" x14ac:dyDescent="0.3"/>
    <row r="29639" customFormat="1" x14ac:dyDescent="0.3"/>
    <row r="29640" customFormat="1" x14ac:dyDescent="0.3"/>
    <row r="29641" customFormat="1" x14ac:dyDescent="0.3"/>
    <row r="29642" customFormat="1" x14ac:dyDescent="0.3"/>
    <row r="29643" customFormat="1" x14ac:dyDescent="0.3"/>
    <row r="29644" customFormat="1" x14ac:dyDescent="0.3"/>
    <row r="29645" customFormat="1" x14ac:dyDescent="0.3"/>
    <row r="29646" customFormat="1" x14ac:dyDescent="0.3"/>
    <row r="29647" customFormat="1" x14ac:dyDescent="0.3"/>
    <row r="29648" customFormat="1" x14ac:dyDescent="0.3"/>
    <row r="29649" customFormat="1" x14ac:dyDescent="0.3"/>
    <row r="29650" customFormat="1" x14ac:dyDescent="0.3"/>
    <row r="29651" customFormat="1" x14ac:dyDescent="0.3"/>
    <row r="29652" customFormat="1" x14ac:dyDescent="0.3"/>
    <row r="29653" customFormat="1" x14ac:dyDescent="0.3"/>
    <row r="29654" customFormat="1" x14ac:dyDescent="0.3"/>
    <row r="29655" customFormat="1" x14ac:dyDescent="0.3"/>
    <row r="29656" customFormat="1" x14ac:dyDescent="0.3"/>
    <row r="29657" customFormat="1" x14ac:dyDescent="0.3"/>
    <row r="29658" customFormat="1" x14ac:dyDescent="0.3"/>
    <row r="29659" customFormat="1" x14ac:dyDescent="0.3"/>
    <row r="29660" customFormat="1" x14ac:dyDescent="0.3"/>
    <row r="29661" customFormat="1" x14ac:dyDescent="0.3"/>
    <row r="29662" customFormat="1" x14ac:dyDescent="0.3"/>
    <row r="29663" customFormat="1" x14ac:dyDescent="0.3"/>
    <row r="29664" customFormat="1" x14ac:dyDescent="0.3"/>
    <row r="29665" customFormat="1" x14ac:dyDescent="0.3"/>
    <row r="29666" customFormat="1" x14ac:dyDescent="0.3"/>
    <row r="29667" customFormat="1" x14ac:dyDescent="0.3"/>
    <row r="29668" customFormat="1" x14ac:dyDescent="0.3"/>
    <row r="29669" customFormat="1" x14ac:dyDescent="0.3"/>
    <row r="29670" customFormat="1" x14ac:dyDescent="0.3"/>
    <row r="29671" customFormat="1" x14ac:dyDescent="0.3"/>
    <row r="29672" customFormat="1" x14ac:dyDescent="0.3"/>
    <row r="29673" customFormat="1" x14ac:dyDescent="0.3"/>
    <row r="29674" customFormat="1" x14ac:dyDescent="0.3"/>
    <row r="29675" customFormat="1" x14ac:dyDescent="0.3"/>
    <row r="29676" customFormat="1" x14ac:dyDescent="0.3"/>
    <row r="29677" customFormat="1" x14ac:dyDescent="0.3"/>
    <row r="29678" customFormat="1" x14ac:dyDescent="0.3"/>
    <row r="29679" customFormat="1" x14ac:dyDescent="0.3"/>
    <row r="29680" customFormat="1" x14ac:dyDescent="0.3"/>
    <row r="29681" customFormat="1" x14ac:dyDescent="0.3"/>
    <row r="29682" customFormat="1" x14ac:dyDescent="0.3"/>
    <row r="29683" customFormat="1" x14ac:dyDescent="0.3"/>
    <row r="29684" customFormat="1" x14ac:dyDescent="0.3"/>
    <row r="29685" customFormat="1" x14ac:dyDescent="0.3"/>
    <row r="29686" customFormat="1" x14ac:dyDescent="0.3"/>
    <row r="29687" customFormat="1" x14ac:dyDescent="0.3"/>
    <row r="29688" customFormat="1" x14ac:dyDescent="0.3"/>
    <row r="29689" customFormat="1" x14ac:dyDescent="0.3"/>
    <row r="29690" customFormat="1" x14ac:dyDescent="0.3"/>
    <row r="29691" customFormat="1" x14ac:dyDescent="0.3"/>
    <row r="29692" customFormat="1" x14ac:dyDescent="0.3"/>
    <row r="29693" customFormat="1" x14ac:dyDescent="0.3"/>
    <row r="29694" customFormat="1" x14ac:dyDescent="0.3"/>
    <row r="29695" customFormat="1" x14ac:dyDescent="0.3"/>
    <row r="29696" customFormat="1" x14ac:dyDescent="0.3"/>
    <row r="29697" customFormat="1" x14ac:dyDescent="0.3"/>
    <row r="29698" customFormat="1" x14ac:dyDescent="0.3"/>
    <row r="29699" customFormat="1" x14ac:dyDescent="0.3"/>
    <row r="29700" customFormat="1" x14ac:dyDescent="0.3"/>
    <row r="29701" customFormat="1" x14ac:dyDescent="0.3"/>
    <row r="29702" customFormat="1" x14ac:dyDescent="0.3"/>
    <row r="29703" customFormat="1" x14ac:dyDescent="0.3"/>
    <row r="29704" customFormat="1" x14ac:dyDescent="0.3"/>
    <row r="29705" customFormat="1" x14ac:dyDescent="0.3"/>
    <row r="29706" customFormat="1" x14ac:dyDescent="0.3"/>
    <row r="29707" customFormat="1" x14ac:dyDescent="0.3"/>
    <row r="29708" customFormat="1" x14ac:dyDescent="0.3"/>
    <row r="29709" customFormat="1" x14ac:dyDescent="0.3"/>
    <row r="29710" customFormat="1" x14ac:dyDescent="0.3"/>
    <row r="29711" customFormat="1" x14ac:dyDescent="0.3"/>
    <row r="29712" customFormat="1" x14ac:dyDescent="0.3"/>
    <row r="29713" customFormat="1" x14ac:dyDescent="0.3"/>
    <row r="29714" customFormat="1" x14ac:dyDescent="0.3"/>
    <row r="29715" customFormat="1" x14ac:dyDescent="0.3"/>
    <row r="29716" customFormat="1" x14ac:dyDescent="0.3"/>
    <row r="29717" customFormat="1" x14ac:dyDescent="0.3"/>
    <row r="29718" customFormat="1" x14ac:dyDescent="0.3"/>
    <row r="29719" customFormat="1" x14ac:dyDescent="0.3"/>
    <row r="29720" customFormat="1" x14ac:dyDescent="0.3"/>
    <row r="29721" customFormat="1" x14ac:dyDescent="0.3"/>
    <row r="29722" customFormat="1" x14ac:dyDescent="0.3"/>
    <row r="29723" customFormat="1" x14ac:dyDescent="0.3"/>
    <row r="29724" customFormat="1" x14ac:dyDescent="0.3"/>
    <row r="29725" customFormat="1" x14ac:dyDescent="0.3"/>
    <row r="29726" customFormat="1" x14ac:dyDescent="0.3"/>
    <row r="29727" customFormat="1" x14ac:dyDescent="0.3"/>
    <row r="29728" customFormat="1" x14ac:dyDescent="0.3"/>
    <row r="29729" customFormat="1" x14ac:dyDescent="0.3"/>
    <row r="29730" customFormat="1" x14ac:dyDescent="0.3"/>
    <row r="29731" customFormat="1" x14ac:dyDescent="0.3"/>
    <row r="29732" customFormat="1" x14ac:dyDescent="0.3"/>
    <row r="29733" customFormat="1" x14ac:dyDescent="0.3"/>
    <row r="29734" customFormat="1" x14ac:dyDescent="0.3"/>
    <row r="29735" customFormat="1" x14ac:dyDescent="0.3"/>
    <row r="29736" customFormat="1" x14ac:dyDescent="0.3"/>
    <row r="29737" customFormat="1" x14ac:dyDescent="0.3"/>
    <row r="29738" customFormat="1" x14ac:dyDescent="0.3"/>
    <row r="29739" customFormat="1" x14ac:dyDescent="0.3"/>
    <row r="29740" customFormat="1" x14ac:dyDescent="0.3"/>
    <row r="29741" customFormat="1" x14ac:dyDescent="0.3"/>
    <row r="29742" customFormat="1" x14ac:dyDescent="0.3"/>
    <row r="29743" customFormat="1" x14ac:dyDescent="0.3"/>
    <row r="29744" customFormat="1" x14ac:dyDescent="0.3"/>
    <row r="29745" customFormat="1" x14ac:dyDescent="0.3"/>
    <row r="29746" customFormat="1" x14ac:dyDescent="0.3"/>
    <row r="29747" customFormat="1" x14ac:dyDescent="0.3"/>
    <row r="29748" customFormat="1" x14ac:dyDescent="0.3"/>
    <row r="29749" customFormat="1" x14ac:dyDescent="0.3"/>
    <row r="29750" customFormat="1" x14ac:dyDescent="0.3"/>
    <row r="29751" customFormat="1" x14ac:dyDescent="0.3"/>
    <row r="29752" customFormat="1" x14ac:dyDescent="0.3"/>
    <row r="29753" customFormat="1" x14ac:dyDescent="0.3"/>
    <row r="29754" customFormat="1" x14ac:dyDescent="0.3"/>
    <row r="29755" customFormat="1" x14ac:dyDescent="0.3"/>
    <row r="29756" customFormat="1" x14ac:dyDescent="0.3"/>
    <row r="29757" customFormat="1" x14ac:dyDescent="0.3"/>
    <row r="29758" customFormat="1" x14ac:dyDescent="0.3"/>
    <row r="29759" customFormat="1" x14ac:dyDescent="0.3"/>
    <row r="29760" customFormat="1" x14ac:dyDescent="0.3"/>
    <row r="29761" customFormat="1" x14ac:dyDescent="0.3"/>
    <row r="29762" customFormat="1" x14ac:dyDescent="0.3"/>
    <row r="29763" customFormat="1" x14ac:dyDescent="0.3"/>
    <row r="29764" customFormat="1" x14ac:dyDescent="0.3"/>
    <row r="29765" customFormat="1" x14ac:dyDescent="0.3"/>
    <row r="29766" customFormat="1" x14ac:dyDescent="0.3"/>
    <row r="29767" customFormat="1" x14ac:dyDescent="0.3"/>
    <row r="29768" customFormat="1" x14ac:dyDescent="0.3"/>
    <row r="29769" customFormat="1" x14ac:dyDescent="0.3"/>
    <row r="29770" customFormat="1" x14ac:dyDescent="0.3"/>
    <row r="29771" customFormat="1" x14ac:dyDescent="0.3"/>
    <row r="29772" customFormat="1" x14ac:dyDescent="0.3"/>
    <row r="29773" customFormat="1" x14ac:dyDescent="0.3"/>
    <row r="29774" customFormat="1" x14ac:dyDescent="0.3"/>
    <row r="29775" customFormat="1" x14ac:dyDescent="0.3"/>
    <row r="29776" customFormat="1" x14ac:dyDescent="0.3"/>
    <row r="29777" customFormat="1" x14ac:dyDescent="0.3"/>
    <row r="29778" customFormat="1" x14ac:dyDescent="0.3"/>
    <row r="29779" customFormat="1" x14ac:dyDescent="0.3"/>
    <row r="29780" customFormat="1" x14ac:dyDescent="0.3"/>
    <row r="29781" customFormat="1" x14ac:dyDescent="0.3"/>
    <row r="29782" customFormat="1" x14ac:dyDescent="0.3"/>
    <row r="29783" customFormat="1" x14ac:dyDescent="0.3"/>
    <row r="29784" customFormat="1" x14ac:dyDescent="0.3"/>
    <row r="29785" customFormat="1" x14ac:dyDescent="0.3"/>
    <row r="29786" customFormat="1" x14ac:dyDescent="0.3"/>
    <row r="29787" customFormat="1" x14ac:dyDescent="0.3"/>
    <row r="29788" customFormat="1" x14ac:dyDescent="0.3"/>
    <row r="29789" customFormat="1" x14ac:dyDescent="0.3"/>
    <row r="29790" customFormat="1" x14ac:dyDescent="0.3"/>
    <row r="29791" customFormat="1" x14ac:dyDescent="0.3"/>
    <row r="29792" customFormat="1" x14ac:dyDescent="0.3"/>
    <row r="29793" customFormat="1" x14ac:dyDescent="0.3"/>
    <row r="29794" customFormat="1" x14ac:dyDescent="0.3"/>
    <row r="29795" customFormat="1" x14ac:dyDescent="0.3"/>
    <row r="29796" customFormat="1" x14ac:dyDescent="0.3"/>
    <row r="29797" customFormat="1" x14ac:dyDescent="0.3"/>
    <row r="29798" customFormat="1" x14ac:dyDescent="0.3"/>
    <row r="29799" customFormat="1" x14ac:dyDescent="0.3"/>
    <row r="29800" customFormat="1" x14ac:dyDescent="0.3"/>
    <row r="29801" customFormat="1" x14ac:dyDescent="0.3"/>
    <row r="29802" customFormat="1" x14ac:dyDescent="0.3"/>
    <row r="29803" customFormat="1" x14ac:dyDescent="0.3"/>
    <row r="29804" customFormat="1" x14ac:dyDescent="0.3"/>
    <row r="29805" customFormat="1" x14ac:dyDescent="0.3"/>
    <row r="29806" customFormat="1" x14ac:dyDescent="0.3"/>
    <row r="29807" customFormat="1" x14ac:dyDescent="0.3"/>
    <row r="29808" customFormat="1" x14ac:dyDescent="0.3"/>
    <row r="29809" customFormat="1" x14ac:dyDescent="0.3"/>
    <row r="29810" customFormat="1" x14ac:dyDescent="0.3"/>
    <row r="29811" customFormat="1" x14ac:dyDescent="0.3"/>
    <row r="29812" customFormat="1" x14ac:dyDescent="0.3"/>
    <row r="29813" customFormat="1" x14ac:dyDescent="0.3"/>
    <row r="29814" customFormat="1" x14ac:dyDescent="0.3"/>
    <row r="29815" customFormat="1" x14ac:dyDescent="0.3"/>
    <row r="29816" customFormat="1" x14ac:dyDescent="0.3"/>
    <row r="29817" customFormat="1" x14ac:dyDescent="0.3"/>
    <row r="29818" customFormat="1" x14ac:dyDescent="0.3"/>
    <row r="29819" customFormat="1" x14ac:dyDescent="0.3"/>
    <row r="29820" customFormat="1" x14ac:dyDescent="0.3"/>
    <row r="29821" customFormat="1" x14ac:dyDescent="0.3"/>
    <row r="29822" customFormat="1" x14ac:dyDescent="0.3"/>
    <row r="29823" customFormat="1" x14ac:dyDescent="0.3"/>
    <row r="29824" customFormat="1" x14ac:dyDescent="0.3"/>
    <row r="29825" customFormat="1" x14ac:dyDescent="0.3"/>
    <row r="29826" customFormat="1" x14ac:dyDescent="0.3"/>
    <row r="29827" customFormat="1" x14ac:dyDescent="0.3"/>
    <row r="29828" customFormat="1" x14ac:dyDescent="0.3"/>
    <row r="29829" customFormat="1" x14ac:dyDescent="0.3"/>
    <row r="29830" customFormat="1" x14ac:dyDescent="0.3"/>
    <row r="29831" customFormat="1" x14ac:dyDescent="0.3"/>
    <row r="29832" customFormat="1" x14ac:dyDescent="0.3"/>
    <row r="29833" customFormat="1" x14ac:dyDescent="0.3"/>
    <row r="29834" customFormat="1" x14ac:dyDescent="0.3"/>
    <row r="29835" customFormat="1" x14ac:dyDescent="0.3"/>
    <row r="29836" customFormat="1" x14ac:dyDescent="0.3"/>
    <row r="29837" customFormat="1" x14ac:dyDescent="0.3"/>
    <row r="29838" customFormat="1" x14ac:dyDescent="0.3"/>
    <row r="29839" customFormat="1" x14ac:dyDescent="0.3"/>
    <row r="29840" customFormat="1" x14ac:dyDescent="0.3"/>
    <row r="29841" customFormat="1" x14ac:dyDescent="0.3"/>
    <row r="29842" customFormat="1" x14ac:dyDescent="0.3"/>
    <row r="29843" customFormat="1" x14ac:dyDescent="0.3"/>
    <row r="29844" customFormat="1" x14ac:dyDescent="0.3"/>
    <row r="29845" customFormat="1" x14ac:dyDescent="0.3"/>
    <row r="29846" customFormat="1" x14ac:dyDescent="0.3"/>
    <row r="29847" customFormat="1" x14ac:dyDescent="0.3"/>
    <row r="29848" customFormat="1" x14ac:dyDescent="0.3"/>
    <row r="29849" customFormat="1" x14ac:dyDescent="0.3"/>
    <row r="29850" customFormat="1" x14ac:dyDescent="0.3"/>
    <row r="29851" customFormat="1" x14ac:dyDescent="0.3"/>
    <row r="29852" customFormat="1" x14ac:dyDescent="0.3"/>
    <row r="29853" customFormat="1" x14ac:dyDescent="0.3"/>
    <row r="29854" customFormat="1" x14ac:dyDescent="0.3"/>
    <row r="29855" customFormat="1" x14ac:dyDescent="0.3"/>
    <row r="29856" customFormat="1" x14ac:dyDescent="0.3"/>
    <row r="29857" customFormat="1" x14ac:dyDescent="0.3"/>
    <row r="29858" customFormat="1" x14ac:dyDescent="0.3"/>
    <row r="29859" customFormat="1" x14ac:dyDescent="0.3"/>
    <row r="29860" customFormat="1" x14ac:dyDescent="0.3"/>
    <row r="29861" customFormat="1" x14ac:dyDescent="0.3"/>
    <row r="29862" customFormat="1" x14ac:dyDescent="0.3"/>
    <row r="29863" customFormat="1" x14ac:dyDescent="0.3"/>
    <row r="29864" customFormat="1" x14ac:dyDescent="0.3"/>
    <row r="29865" customFormat="1" x14ac:dyDescent="0.3"/>
    <row r="29866" customFormat="1" x14ac:dyDescent="0.3"/>
    <row r="29867" customFormat="1" x14ac:dyDescent="0.3"/>
    <row r="29868" customFormat="1" x14ac:dyDescent="0.3"/>
    <row r="29869" customFormat="1" x14ac:dyDescent="0.3"/>
    <row r="29870" customFormat="1" x14ac:dyDescent="0.3"/>
    <row r="29871" customFormat="1" x14ac:dyDescent="0.3"/>
    <row r="29872" customFormat="1" x14ac:dyDescent="0.3"/>
    <row r="29873" customFormat="1" x14ac:dyDescent="0.3"/>
    <row r="29874" customFormat="1" x14ac:dyDescent="0.3"/>
    <row r="29875" customFormat="1" x14ac:dyDescent="0.3"/>
    <row r="29876" customFormat="1" x14ac:dyDescent="0.3"/>
    <row r="29877" customFormat="1" x14ac:dyDescent="0.3"/>
    <row r="29878" customFormat="1" x14ac:dyDescent="0.3"/>
    <row r="29879" customFormat="1" x14ac:dyDescent="0.3"/>
    <row r="29880" customFormat="1" x14ac:dyDescent="0.3"/>
    <row r="29881" customFormat="1" x14ac:dyDescent="0.3"/>
    <row r="29882" customFormat="1" x14ac:dyDescent="0.3"/>
    <row r="29883" customFormat="1" x14ac:dyDescent="0.3"/>
    <row r="29884" customFormat="1" x14ac:dyDescent="0.3"/>
    <row r="29885" customFormat="1" x14ac:dyDescent="0.3"/>
    <row r="29886" customFormat="1" x14ac:dyDescent="0.3"/>
    <row r="29887" customFormat="1" x14ac:dyDescent="0.3"/>
    <row r="29888" customFormat="1" x14ac:dyDescent="0.3"/>
    <row r="29889" customFormat="1" x14ac:dyDescent="0.3"/>
    <row r="29890" customFormat="1" x14ac:dyDescent="0.3"/>
    <row r="29891" customFormat="1" x14ac:dyDescent="0.3"/>
    <row r="29892" customFormat="1" x14ac:dyDescent="0.3"/>
    <row r="29893" customFormat="1" x14ac:dyDescent="0.3"/>
    <row r="29894" customFormat="1" x14ac:dyDescent="0.3"/>
    <row r="29895" customFormat="1" x14ac:dyDescent="0.3"/>
    <row r="29896" customFormat="1" x14ac:dyDescent="0.3"/>
    <row r="29897" customFormat="1" x14ac:dyDescent="0.3"/>
    <row r="29898" customFormat="1" x14ac:dyDescent="0.3"/>
    <row r="29899" customFormat="1" x14ac:dyDescent="0.3"/>
    <row r="29900" customFormat="1" x14ac:dyDescent="0.3"/>
    <row r="29901" customFormat="1" x14ac:dyDescent="0.3"/>
    <row r="29902" customFormat="1" x14ac:dyDescent="0.3"/>
    <row r="29903" customFormat="1" x14ac:dyDescent="0.3"/>
    <row r="29904" customFormat="1" x14ac:dyDescent="0.3"/>
    <row r="29905" customFormat="1" x14ac:dyDescent="0.3"/>
    <row r="29906" customFormat="1" x14ac:dyDescent="0.3"/>
    <row r="29907" customFormat="1" x14ac:dyDescent="0.3"/>
    <row r="29908" customFormat="1" x14ac:dyDescent="0.3"/>
    <row r="29909" customFormat="1" x14ac:dyDescent="0.3"/>
    <row r="29910" customFormat="1" x14ac:dyDescent="0.3"/>
    <row r="29911" customFormat="1" x14ac:dyDescent="0.3"/>
    <row r="29912" customFormat="1" x14ac:dyDescent="0.3"/>
    <row r="29913" customFormat="1" x14ac:dyDescent="0.3"/>
    <row r="29914" customFormat="1" x14ac:dyDescent="0.3"/>
    <row r="29915" customFormat="1" x14ac:dyDescent="0.3"/>
    <row r="29916" customFormat="1" x14ac:dyDescent="0.3"/>
    <row r="29917" customFormat="1" x14ac:dyDescent="0.3"/>
    <row r="29918" customFormat="1" x14ac:dyDescent="0.3"/>
    <row r="29919" customFormat="1" x14ac:dyDescent="0.3"/>
    <row r="29920" customFormat="1" x14ac:dyDescent="0.3"/>
    <row r="29921" customFormat="1" x14ac:dyDescent="0.3"/>
    <row r="29922" customFormat="1" x14ac:dyDescent="0.3"/>
    <row r="29923" customFormat="1" x14ac:dyDescent="0.3"/>
    <row r="29924" customFormat="1" x14ac:dyDescent="0.3"/>
    <row r="29925" customFormat="1" x14ac:dyDescent="0.3"/>
    <row r="29926" customFormat="1" x14ac:dyDescent="0.3"/>
    <row r="29927" customFormat="1" x14ac:dyDescent="0.3"/>
    <row r="29928" customFormat="1" x14ac:dyDescent="0.3"/>
    <row r="29929" customFormat="1" x14ac:dyDescent="0.3"/>
    <row r="29930" customFormat="1" x14ac:dyDescent="0.3"/>
    <row r="29931" customFormat="1" x14ac:dyDescent="0.3"/>
    <row r="29932" customFormat="1" x14ac:dyDescent="0.3"/>
    <row r="29933" customFormat="1" x14ac:dyDescent="0.3"/>
    <row r="29934" customFormat="1" x14ac:dyDescent="0.3"/>
    <row r="29935" customFormat="1" x14ac:dyDescent="0.3"/>
    <row r="29936" customFormat="1" x14ac:dyDescent="0.3"/>
    <row r="29937" customFormat="1" x14ac:dyDescent="0.3"/>
    <row r="29938" customFormat="1" x14ac:dyDescent="0.3"/>
    <row r="29939" customFormat="1" x14ac:dyDescent="0.3"/>
    <row r="29940" customFormat="1" x14ac:dyDescent="0.3"/>
    <row r="29941" customFormat="1" x14ac:dyDescent="0.3"/>
    <row r="29942" customFormat="1" x14ac:dyDescent="0.3"/>
    <row r="29943" customFormat="1" x14ac:dyDescent="0.3"/>
    <row r="29944" customFormat="1" x14ac:dyDescent="0.3"/>
    <row r="29945" customFormat="1" x14ac:dyDescent="0.3"/>
    <row r="29946" customFormat="1" x14ac:dyDescent="0.3"/>
    <row r="29947" customFormat="1" x14ac:dyDescent="0.3"/>
    <row r="29948" customFormat="1" x14ac:dyDescent="0.3"/>
    <row r="29949" customFormat="1" x14ac:dyDescent="0.3"/>
    <row r="29950" customFormat="1" x14ac:dyDescent="0.3"/>
    <row r="29951" customFormat="1" x14ac:dyDescent="0.3"/>
    <row r="29952" customFormat="1" x14ac:dyDescent="0.3"/>
    <row r="29953" customFormat="1" x14ac:dyDescent="0.3"/>
    <row r="29954" customFormat="1" x14ac:dyDescent="0.3"/>
    <row r="29955" customFormat="1" x14ac:dyDescent="0.3"/>
    <row r="29956" customFormat="1" x14ac:dyDescent="0.3"/>
    <row r="29957" customFormat="1" x14ac:dyDescent="0.3"/>
    <row r="29958" customFormat="1" x14ac:dyDescent="0.3"/>
    <row r="29959" customFormat="1" x14ac:dyDescent="0.3"/>
    <row r="29960" customFormat="1" x14ac:dyDescent="0.3"/>
    <row r="29961" customFormat="1" x14ac:dyDescent="0.3"/>
    <row r="29962" customFormat="1" x14ac:dyDescent="0.3"/>
    <row r="29963" customFormat="1" x14ac:dyDescent="0.3"/>
    <row r="29964" customFormat="1" x14ac:dyDescent="0.3"/>
    <row r="29965" customFormat="1" x14ac:dyDescent="0.3"/>
    <row r="29966" customFormat="1" x14ac:dyDescent="0.3"/>
    <row r="29967" customFormat="1" x14ac:dyDescent="0.3"/>
    <row r="29968" customFormat="1" x14ac:dyDescent="0.3"/>
    <row r="29969" customFormat="1" x14ac:dyDescent="0.3"/>
    <row r="29970" customFormat="1" x14ac:dyDescent="0.3"/>
    <row r="29971" customFormat="1" x14ac:dyDescent="0.3"/>
    <row r="29972" customFormat="1" x14ac:dyDescent="0.3"/>
    <row r="29973" customFormat="1" x14ac:dyDescent="0.3"/>
    <row r="29974" customFormat="1" x14ac:dyDescent="0.3"/>
    <row r="29975" customFormat="1" x14ac:dyDescent="0.3"/>
    <row r="29976" customFormat="1" x14ac:dyDescent="0.3"/>
    <row r="29977" customFormat="1" x14ac:dyDescent="0.3"/>
    <row r="29978" customFormat="1" x14ac:dyDescent="0.3"/>
    <row r="29979" customFormat="1" x14ac:dyDescent="0.3"/>
    <row r="29980" customFormat="1" x14ac:dyDescent="0.3"/>
    <row r="29981" customFormat="1" x14ac:dyDescent="0.3"/>
    <row r="29982" customFormat="1" x14ac:dyDescent="0.3"/>
    <row r="29983" customFormat="1" x14ac:dyDescent="0.3"/>
    <row r="29984" customFormat="1" x14ac:dyDescent="0.3"/>
    <row r="29985" customFormat="1" x14ac:dyDescent="0.3"/>
    <row r="29986" customFormat="1" x14ac:dyDescent="0.3"/>
    <row r="29987" customFormat="1" x14ac:dyDescent="0.3"/>
    <row r="29988" customFormat="1" x14ac:dyDescent="0.3"/>
    <row r="29989" customFormat="1" x14ac:dyDescent="0.3"/>
    <row r="29990" customFormat="1" x14ac:dyDescent="0.3"/>
    <row r="29991" customFormat="1" x14ac:dyDescent="0.3"/>
    <row r="29992" customFormat="1" x14ac:dyDescent="0.3"/>
    <row r="29993" customFormat="1" x14ac:dyDescent="0.3"/>
    <row r="29994" customFormat="1" x14ac:dyDescent="0.3"/>
    <row r="29995" customFormat="1" x14ac:dyDescent="0.3"/>
    <row r="29996" customFormat="1" x14ac:dyDescent="0.3"/>
    <row r="29997" customFormat="1" x14ac:dyDescent="0.3"/>
    <row r="29998" customFormat="1" x14ac:dyDescent="0.3"/>
    <row r="29999" customFormat="1" x14ac:dyDescent="0.3"/>
    <row r="30000" customFormat="1" x14ac:dyDescent="0.3"/>
    <row r="30001" customFormat="1" x14ac:dyDescent="0.3"/>
    <row r="30002" customFormat="1" x14ac:dyDescent="0.3"/>
    <row r="30003" customFormat="1" x14ac:dyDescent="0.3"/>
    <row r="30004" customFormat="1" x14ac:dyDescent="0.3"/>
    <row r="30005" customFormat="1" x14ac:dyDescent="0.3"/>
    <row r="30006" customFormat="1" x14ac:dyDescent="0.3"/>
    <row r="30007" customFormat="1" x14ac:dyDescent="0.3"/>
    <row r="30008" customFormat="1" x14ac:dyDescent="0.3"/>
    <row r="30009" customFormat="1" x14ac:dyDescent="0.3"/>
    <row r="30010" customFormat="1" x14ac:dyDescent="0.3"/>
    <row r="30011" customFormat="1" x14ac:dyDescent="0.3"/>
    <row r="30012" customFormat="1" x14ac:dyDescent="0.3"/>
    <row r="30013" customFormat="1" x14ac:dyDescent="0.3"/>
    <row r="30014" customFormat="1" x14ac:dyDescent="0.3"/>
    <row r="30015" customFormat="1" x14ac:dyDescent="0.3"/>
    <row r="30016" customFormat="1" x14ac:dyDescent="0.3"/>
    <row r="30017" customFormat="1" x14ac:dyDescent="0.3"/>
    <row r="30018" customFormat="1" x14ac:dyDescent="0.3"/>
    <row r="30019" customFormat="1" x14ac:dyDescent="0.3"/>
    <row r="30020" customFormat="1" x14ac:dyDescent="0.3"/>
    <row r="30021" customFormat="1" x14ac:dyDescent="0.3"/>
    <row r="30022" customFormat="1" x14ac:dyDescent="0.3"/>
    <row r="30023" customFormat="1" x14ac:dyDescent="0.3"/>
    <row r="30024" customFormat="1" x14ac:dyDescent="0.3"/>
    <row r="30025" customFormat="1" x14ac:dyDescent="0.3"/>
    <row r="30026" customFormat="1" x14ac:dyDescent="0.3"/>
    <row r="30027" customFormat="1" x14ac:dyDescent="0.3"/>
    <row r="30028" customFormat="1" x14ac:dyDescent="0.3"/>
    <row r="30029" customFormat="1" x14ac:dyDescent="0.3"/>
    <row r="30030" customFormat="1" x14ac:dyDescent="0.3"/>
    <row r="30031" customFormat="1" x14ac:dyDescent="0.3"/>
    <row r="30032" customFormat="1" x14ac:dyDescent="0.3"/>
    <row r="30033" customFormat="1" x14ac:dyDescent="0.3"/>
    <row r="30034" customFormat="1" x14ac:dyDescent="0.3"/>
    <row r="30035" customFormat="1" x14ac:dyDescent="0.3"/>
    <row r="30036" customFormat="1" x14ac:dyDescent="0.3"/>
    <row r="30037" customFormat="1" x14ac:dyDescent="0.3"/>
    <row r="30038" customFormat="1" x14ac:dyDescent="0.3"/>
    <row r="30039" customFormat="1" x14ac:dyDescent="0.3"/>
    <row r="30040" customFormat="1" x14ac:dyDescent="0.3"/>
    <row r="30041" customFormat="1" x14ac:dyDescent="0.3"/>
    <row r="30042" customFormat="1" x14ac:dyDescent="0.3"/>
    <row r="30043" customFormat="1" x14ac:dyDescent="0.3"/>
    <row r="30044" customFormat="1" x14ac:dyDescent="0.3"/>
    <row r="30045" customFormat="1" x14ac:dyDescent="0.3"/>
    <row r="30046" customFormat="1" x14ac:dyDescent="0.3"/>
    <row r="30047" customFormat="1" x14ac:dyDescent="0.3"/>
    <row r="30048" customFormat="1" x14ac:dyDescent="0.3"/>
    <row r="30049" customFormat="1" x14ac:dyDescent="0.3"/>
    <row r="30050" customFormat="1" x14ac:dyDescent="0.3"/>
    <row r="30051" customFormat="1" x14ac:dyDescent="0.3"/>
    <row r="30052" customFormat="1" x14ac:dyDescent="0.3"/>
    <row r="30053" customFormat="1" x14ac:dyDescent="0.3"/>
    <row r="30054" customFormat="1" x14ac:dyDescent="0.3"/>
    <row r="30055" customFormat="1" x14ac:dyDescent="0.3"/>
    <row r="30056" customFormat="1" x14ac:dyDescent="0.3"/>
    <row r="30057" customFormat="1" x14ac:dyDescent="0.3"/>
    <row r="30058" customFormat="1" x14ac:dyDescent="0.3"/>
    <row r="30059" customFormat="1" x14ac:dyDescent="0.3"/>
    <row r="30060" customFormat="1" x14ac:dyDescent="0.3"/>
    <row r="30061" customFormat="1" x14ac:dyDescent="0.3"/>
    <row r="30062" customFormat="1" x14ac:dyDescent="0.3"/>
    <row r="30063" customFormat="1" x14ac:dyDescent="0.3"/>
    <row r="30064" customFormat="1" x14ac:dyDescent="0.3"/>
    <row r="30065" customFormat="1" x14ac:dyDescent="0.3"/>
    <row r="30066" customFormat="1" x14ac:dyDescent="0.3"/>
    <row r="30067" customFormat="1" x14ac:dyDescent="0.3"/>
    <row r="30068" customFormat="1" x14ac:dyDescent="0.3"/>
    <row r="30069" customFormat="1" x14ac:dyDescent="0.3"/>
    <row r="30070" customFormat="1" x14ac:dyDescent="0.3"/>
    <row r="30071" customFormat="1" x14ac:dyDescent="0.3"/>
    <row r="30072" customFormat="1" x14ac:dyDescent="0.3"/>
    <row r="30073" customFormat="1" x14ac:dyDescent="0.3"/>
    <row r="30074" customFormat="1" x14ac:dyDescent="0.3"/>
    <row r="30075" customFormat="1" x14ac:dyDescent="0.3"/>
    <row r="30076" customFormat="1" x14ac:dyDescent="0.3"/>
    <row r="30077" customFormat="1" x14ac:dyDescent="0.3"/>
    <row r="30078" customFormat="1" x14ac:dyDescent="0.3"/>
    <row r="30079" customFormat="1" x14ac:dyDescent="0.3"/>
    <row r="30080" customFormat="1" x14ac:dyDescent="0.3"/>
    <row r="30081" customFormat="1" x14ac:dyDescent="0.3"/>
    <row r="30082" customFormat="1" x14ac:dyDescent="0.3"/>
    <row r="30083" customFormat="1" x14ac:dyDescent="0.3"/>
    <row r="30084" customFormat="1" x14ac:dyDescent="0.3"/>
    <row r="30085" customFormat="1" x14ac:dyDescent="0.3"/>
    <row r="30086" customFormat="1" x14ac:dyDescent="0.3"/>
    <row r="30087" customFormat="1" x14ac:dyDescent="0.3"/>
    <row r="30088" customFormat="1" x14ac:dyDescent="0.3"/>
    <row r="30089" customFormat="1" x14ac:dyDescent="0.3"/>
    <row r="30090" customFormat="1" x14ac:dyDescent="0.3"/>
    <row r="30091" customFormat="1" x14ac:dyDescent="0.3"/>
    <row r="30092" customFormat="1" x14ac:dyDescent="0.3"/>
    <row r="30093" customFormat="1" x14ac:dyDescent="0.3"/>
    <row r="30094" customFormat="1" x14ac:dyDescent="0.3"/>
    <row r="30095" customFormat="1" x14ac:dyDescent="0.3"/>
    <row r="30096" customFormat="1" x14ac:dyDescent="0.3"/>
    <row r="30097" customFormat="1" x14ac:dyDescent="0.3"/>
    <row r="30098" customFormat="1" x14ac:dyDescent="0.3"/>
    <row r="30099" customFormat="1" x14ac:dyDescent="0.3"/>
    <row r="30100" customFormat="1" x14ac:dyDescent="0.3"/>
    <row r="30101" customFormat="1" x14ac:dyDescent="0.3"/>
    <row r="30102" customFormat="1" x14ac:dyDescent="0.3"/>
    <row r="30103" customFormat="1" x14ac:dyDescent="0.3"/>
    <row r="30104" customFormat="1" x14ac:dyDescent="0.3"/>
    <row r="30105" customFormat="1" x14ac:dyDescent="0.3"/>
    <row r="30106" customFormat="1" x14ac:dyDescent="0.3"/>
    <row r="30107" customFormat="1" x14ac:dyDescent="0.3"/>
    <row r="30108" customFormat="1" x14ac:dyDescent="0.3"/>
    <row r="30109" customFormat="1" x14ac:dyDescent="0.3"/>
    <row r="30110" customFormat="1" x14ac:dyDescent="0.3"/>
    <row r="30111" customFormat="1" x14ac:dyDescent="0.3"/>
    <row r="30112" customFormat="1" x14ac:dyDescent="0.3"/>
    <row r="30113" customFormat="1" x14ac:dyDescent="0.3"/>
    <row r="30114" customFormat="1" x14ac:dyDescent="0.3"/>
    <row r="30115" customFormat="1" x14ac:dyDescent="0.3"/>
    <row r="30116" customFormat="1" x14ac:dyDescent="0.3"/>
    <row r="30117" customFormat="1" x14ac:dyDescent="0.3"/>
    <row r="30118" customFormat="1" x14ac:dyDescent="0.3"/>
    <row r="30119" customFormat="1" x14ac:dyDescent="0.3"/>
    <row r="30120" customFormat="1" x14ac:dyDescent="0.3"/>
    <row r="30121" customFormat="1" x14ac:dyDescent="0.3"/>
    <row r="30122" customFormat="1" x14ac:dyDescent="0.3"/>
    <row r="30123" customFormat="1" x14ac:dyDescent="0.3"/>
    <row r="30124" customFormat="1" x14ac:dyDescent="0.3"/>
    <row r="30125" customFormat="1" x14ac:dyDescent="0.3"/>
    <row r="30126" customFormat="1" x14ac:dyDescent="0.3"/>
    <row r="30127" customFormat="1" x14ac:dyDescent="0.3"/>
    <row r="30128" customFormat="1" x14ac:dyDescent="0.3"/>
    <row r="30129" customFormat="1" x14ac:dyDescent="0.3"/>
    <row r="30130" customFormat="1" x14ac:dyDescent="0.3"/>
    <row r="30131" customFormat="1" x14ac:dyDescent="0.3"/>
    <row r="30132" customFormat="1" x14ac:dyDescent="0.3"/>
    <row r="30133" customFormat="1" x14ac:dyDescent="0.3"/>
    <row r="30134" customFormat="1" x14ac:dyDescent="0.3"/>
    <row r="30135" customFormat="1" x14ac:dyDescent="0.3"/>
    <row r="30136" customFormat="1" x14ac:dyDescent="0.3"/>
    <row r="30137" customFormat="1" x14ac:dyDescent="0.3"/>
    <row r="30138" customFormat="1" x14ac:dyDescent="0.3"/>
    <row r="30139" customFormat="1" x14ac:dyDescent="0.3"/>
    <row r="30140" customFormat="1" x14ac:dyDescent="0.3"/>
    <row r="30141" customFormat="1" x14ac:dyDescent="0.3"/>
    <row r="30142" customFormat="1" x14ac:dyDescent="0.3"/>
    <row r="30143" customFormat="1" x14ac:dyDescent="0.3"/>
    <row r="30144" customFormat="1" x14ac:dyDescent="0.3"/>
    <row r="30145" customFormat="1" x14ac:dyDescent="0.3"/>
    <row r="30146" customFormat="1" x14ac:dyDescent="0.3"/>
    <row r="30147" customFormat="1" x14ac:dyDescent="0.3"/>
    <row r="30148" customFormat="1" x14ac:dyDescent="0.3"/>
    <row r="30149" customFormat="1" x14ac:dyDescent="0.3"/>
    <row r="30150" customFormat="1" x14ac:dyDescent="0.3"/>
    <row r="30151" customFormat="1" x14ac:dyDescent="0.3"/>
    <row r="30152" customFormat="1" x14ac:dyDescent="0.3"/>
    <row r="30153" customFormat="1" x14ac:dyDescent="0.3"/>
    <row r="30154" customFormat="1" x14ac:dyDescent="0.3"/>
    <row r="30155" customFormat="1" x14ac:dyDescent="0.3"/>
    <row r="30156" customFormat="1" x14ac:dyDescent="0.3"/>
    <row r="30157" customFormat="1" x14ac:dyDescent="0.3"/>
    <row r="30158" customFormat="1" x14ac:dyDescent="0.3"/>
    <row r="30159" customFormat="1" x14ac:dyDescent="0.3"/>
    <row r="30160" customFormat="1" x14ac:dyDescent="0.3"/>
    <row r="30161" customFormat="1" x14ac:dyDescent="0.3"/>
    <row r="30162" customFormat="1" x14ac:dyDescent="0.3"/>
    <row r="30163" customFormat="1" x14ac:dyDescent="0.3"/>
    <row r="30164" customFormat="1" x14ac:dyDescent="0.3"/>
    <row r="30165" customFormat="1" x14ac:dyDescent="0.3"/>
    <row r="30166" customFormat="1" x14ac:dyDescent="0.3"/>
    <row r="30167" customFormat="1" x14ac:dyDescent="0.3"/>
    <row r="30168" customFormat="1" x14ac:dyDescent="0.3"/>
    <row r="30169" customFormat="1" x14ac:dyDescent="0.3"/>
    <row r="30170" customFormat="1" x14ac:dyDescent="0.3"/>
    <row r="30171" customFormat="1" x14ac:dyDescent="0.3"/>
    <row r="30172" customFormat="1" x14ac:dyDescent="0.3"/>
    <row r="30173" customFormat="1" x14ac:dyDescent="0.3"/>
    <row r="30174" customFormat="1" x14ac:dyDescent="0.3"/>
    <row r="30175" customFormat="1" x14ac:dyDescent="0.3"/>
    <row r="30176" customFormat="1" x14ac:dyDescent="0.3"/>
    <row r="30177" customFormat="1" x14ac:dyDescent="0.3"/>
    <row r="30178" customFormat="1" x14ac:dyDescent="0.3"/>
    <row r="30179" customFormat="1" x14ac:dyDescent="0.3"/>
    <row r="30180" customFormat="1" x14ac:dyDescent="0.3"/>
    <row r="30181" customFormat="1" x14ac:dyDescent="0.3"/>
    <row r="30182" customFormat="1" x14ac:dyDescent="0.3"/>
    <row r="30183" customFormat="1" x14ac:dyDescent="0.3"/>
    <row r="30184" customFormat="1" x14ac:dyDescent="0.3"/>
    <row r="30185" customFormat="1" x14ac:dyDescent="0.3"/>
    <row r="30186" customFormat="1" x14ac:dyDescent="0.3"/>
    <row r="30187" customFormat="1" x14ac:dyDescent="0.3"/>
    <row r="30188" customFormat="1" x14ac:dyDescent="0.3"/>
    <row r="30189" customFormat="1" x14ac:dyDescent="0.3"/>
    <row r="30190" customFormat="1" x14ac:dyDescent="0.3"/>
    <row r="30191" customFormat="1" x14ac:dyDescent="0.3"/>
    <row r="30192" customFormat="1" x14ac:dyDescent="0.3"/>
    <row r="30193" customFormat="1" x14ac:dyDescent="0.3"/>
    <row r="30194" customFormat="1" x14ac:dyDescent="0.3"/>
    <row r="30195" customFormat="1" x14ac:dyDescent="0.3"/>
    <row r="30196" customFormat="1" x14ac:dyDescent="0.3"/>
    <row r="30197" customFormat="1" x14ac:dyDescent="0.3"/>
    <row r="30198" customFormat="1" x14ac:dyDescent="0.3"/>
    <row r="30199" customFormat="1" x14ac:dyDescent="0.3"/>
    <row r="30200" customFormat="1" x14ac:dyDescent="0.3"/>
    <row r="30201" customFormat="1" x14ac:dyDescent="0.3"/>
    <row r="30202" customFormat="1" x14ac:dyDescent="0.3"/>
    <row r="30203" customFormat="1" x14ac:dyDescent="0.3"/>
    <row r="30204" customFormat="1" x14ac:dyDescent="0.3"/>
    <row r="30205" customFormat="1" x14ac:dyDescent="0.3"/>
    <row r="30206" customFormat="1" x14ac:dyDescent="0.3"/>
    <row r="30207" customFormat="1" x14ac:dyDescent="0.3"/>
    <row r="30208" customFormat="1" x14ac:dyDescent="0.3"/>
    <row r="30209" customFormat="1" x14ac:dyDescent="0.3"/>
    <row r="30210" customFormat="1" x14ac:dyDescent="0.3"/>
    <row r="30211" customFormat="1" x14ac:dyDescent="0.3"/>
    <row r="30212" customFormat="1" x14ac:dyDescent="0.3"/>
    <row r="30213" customFormat="1" x14ac:dyDescent="0.3"/>
    <row r="30214" customFormat="1" x14ac:dyDescent="0.3"/>
    <row r="30215" customFormat="1" x14ac:dyDescent="0.3"/>
    <row r="30216" customFormat="1" x14ac:dyDescent="0.3"/>
    <row r="30217" customFormat="1" x14ac:dyDescent="0.3"/>
    <row r="30218" customFormat="1" x14ac:dyDescent="0.3"/>
    <row r="30219" customFormat="1" x14ac:dyDescent="0.3"/>
    <row r="30220" customFormat="1" x14ac:dyDescent="0.3"/>
    <row r="30221" customFormat="1" x14ac:dyDescent="0.3"/>
    <row r="30222" customFormat="1" x14ac:dyDescent="0.3"/>
    <row r="30223" customFormat="1" x14ac:dyDescent="0.3"/>
    <row r="30224" customFormat="1" x14ac:dyDescent="0.3"/>
    <row r="30225" customFormat="1" x14ac:dyDescent="0.3"/>
    <row r="30226" customFormat="1" x14ac:dyDescent="0.3"/>
    <row r="30227" customFormat="1" x14ac:dyDescent="0.3"/>
    <row r="30228" customFormat="1" x14ac:dyDescent="0.3"/>
    <row r="30229" customFormat="1" x14ac:dyDescent="0.3"/>
    <row r="30230" customFormat="1" x14ac:dyDescent="0.3"/>
    <row r="30231" customFormat="1" x14ac:dyDescent="0.3"/>
    <row r="30232" customFormat="1" x14ac:dyDescent="0.3"/>
    <row r="30233" customFormat="1" x14ac:dyDescent="0.3"/>
    <row r="30234" customFormat="1" x14ac:dyDescent="0.3"/>
    <row r="30235" customFormat="1" x14ac:dyDescent="0.3"/>
    <row r="30236" customFormat="1" x14ac:dyDescent="0.3"/>
    <row r="30237" customFormat="1" x14ac:dyDescent="0.3"/>
    <row r="30238" customFormat="1" x14ac:dyDescent="0.3"/>
    <row r="30239" customFormat="1" x14ac:dyDescent="0.3"/>
    <row r="30240" customFormat="1" x14ac:dyDescent="0.3"/>
    <row r="30241" customFormat="1" x14ac:dyDescent="0.3"/>
    <row r="30242" customFormat="1" x14ac:dyDescent="0.3"/>
    <row r="30243" customFormat="1" x14ac:dyDescent="0.3"/>
    <row r="30244" customFormat="1" x14ac:dyDescent="0.3"/>
    <row r="30245" customFormat="1" x14ac:dyDescent="0.3"/>
    <row r="30246" customFormat="1" x14ac:dyDescent="0.3"/>
    <row r="30247" customFormat="1" x14ac:dyDescent="0.3"/>
    <row r="30248" customFormat="1" x14ac:dyDescent="0.3"/>
    <row r="30249" customFormat="1" x14ac:dyDescent="0.3"/>
    <row r="30250" customFormat="1" x14ac:dyDescent="0.3"/>
    <row r="30251" customFormat="1" x14ac:dyDescent="0.3"/>
    <row r="30252" customFormat="1" x14ac:dyDescent="0.3"/>
    <row r="30253" customFormat="1" x14ac:dyDescent="0.3"/>
    <row r="30254" customFormat="1" x14ac:dyDescent="0.3"/>
    <row r="30255" customFormat="1" x14ac:dyDescent="0.3"/>
    <row r="30256" customFormat="1" x14ac:dyDescent="0.3"/>
    <row r="30257" customFormat="1" x14ac:dyDescent="0.3"/>
    <row r="30258" customFormat="1" x14ac:dyDescent="0.3"/>
    <row r="30259" customFormat="1" x14ac:dyDescent="0.3"/>
    <row r="30260" customFormat="1" x14ac:dyDescent="0.3"/>
    <row r="30261" customFormat="1" x14ac:dyDescent="0.3"/>
    <row r="30262" customFormat="1" x14ac:dyDescent="0.3"/>
    <row r="30263" customFormat="1" x14ac:dyDescent="0.3"/>
    <row r="30264" customFormat="1" x14ac:dyDescent="0.3"/>
    <row r="30265" customFormat="1" x14ac:dyDescent="0.3"/>
    <row r="30266" customFormat="1" x14ac:dyDescent="0.3"/>
    <row r="30267" customFormat="1" x14ac:dyDescent="0.3"/>
    <row r="30268" customFormat="1" x14ac:dyDescent="0.3"/>
    <row r="30269" customFormat="1" x14ac:dyDescent="0.3"/>
    <row r="30270" customFormat="1" x14ac:dyDescent="0.3"/>
    <row r="30271" customFormat="1" x14ac:dyDescent="0.3"/>
    <row r="30272" customFormat="1" x14ac:dyDescent="0.3"/>
    <row r="30273" customFormat="1" x14ac:dyDescent="0.3"/>
    <row r="30274" customFormat="1" x14ac:dyDescent="0.3"/>
    <row r="30275" customFormat="1" x14ac:dyDescent="0.3"/>
    <row r="30276" customFormat="1" x14ac:dyDescent="0.3"/>
    <row r="30277" customFormat="1" x14ac:dyDescent="0.3"/>
    <row r="30278" customFormat="1" x14ac:dyDescent="0.3"/>
    <row r="30279" customFormat="1" x14ac:dyDescent="0.3"/>
    <row r="30280" customFormat="1" x14ac:dyDescent="0.3"/>
    <row r="30281" customFormat="1" x14ac:dyDescent="0.3"/>
    <row r="30282" customFormat="1" x14ac:dyDescent="0.3"/>
    <row r="30283" customFormat="1" x14ac:dyDescent="0.3"/>
    <row r="30284" customFormat="1" x14ac:dyDescent="0.3"/>
    <row r="30285" customFormat="1" x14ac:dyDescent="0.3"/>
    <row r="30286" customFormat="1" x14ac:dyDescent="0.3"/>
    <row r="30287" customFormat="1" x14ac:dyDescent="0.3"/>
    <row r="30288" customFormat="1" x14ac:dyDescent="0.3"/>
    <row r="30289" customFormat="1" x14ac:dyDescent="0.3"/>
    <row r="30290" customFormat="1" x14ac:dyDescent="0.3"/>
    <row r="30291" customFormat="1" x14ac:dyDescent="0.3"/>
    <row r="30292" customFormat="1" x14ac:dyDescent="0.3"/>
    <row r="30293" customFormat="1" x14ac:dyDescent="0.3"/>
    <row r="30294" customFormat="1" x14ac:dyDescent="0.3"/>
    <row r="30295" customFormat="1" x14ac:dyDescent="0.3"/>
    <row r="30296" customFormat="1" x14ac:dyDescent="0.3"/>
    <row r="30297" customFormat="1" x14ac:dyDescent="0.3"/>
    <row r="30298" customFormat="1" x14ac:dyDescent="0.3"/>
    <row r="30299" customFormat="1" x14ac:dyDescent="0.3"/>
    <row r="30300" customFormat="1" x14ac:dyDescent="0.3"/>
    <row r="30301" customFormat="1" x14ac:dyDescent="0.3"/>
    <row r="30302" customFormat="1" x14ac:dyDescent="0.3"/>
    <row r="30303" customFormat="1" x14ac:dyDescent="0.3"/>
    <row r="30304" customFormat="1" x14ac:dyDescent="0.3"/>
    <row r="30305" customFormat="1" x14ac:dyDescent="0.3"/>
    <row r="30306" customFormat="1" x14ac:dyDescent="0.3"/>
    <row r="30307" customFormat="1" x14ac:dyDescent="0.3"/>
    <row r="30308" customFormat="1" x14ac:dyDescent="0.3"/>
    <row r="30309" customFormat="1" x14ac:dyDescent="0.3"/>
    <row r="30310" customFormat="1" x14ac:dyDescent="0.3"/>
    <row r="30311" customFormat="1" x14ac:dyDescent="0.3"/>
    <row r="30312" customFormat="1" x14ac:dyDescent="0.3"/>
    <row r="30313" customFormat="1" x14ac:dyDescent="0.3"/>
    <row r="30314" customFormat="1" x14ac:dyDescent="0.3"/>
    <row r="30315" customFormat="1" x14ac:dyDescent="0.3"/>
    <row r="30316" customFormat="1" x14ac:dyDescent="0.3"/>
    <row r="30317" customFormat="1" x14ac:dyDescent="0.3"/>
    <row r="30318" customFormat="1" x14ac:dyDescent="0.3"/>
    <row r="30319" customFormat="1" x14ac:dyDescent="0.3"/>
    <row r="30320" customFormat="1" x14ac:dyDescent="0.3"/>
    <row r="30321" customFormat="1" x14ac:dyDescent="0.3"/>
    <row r="30322" customFormat="1" x14ac:dyDescent="0.3"/>
    <row r="30323" customFormat="1" x14ac:dyDescent="0.3"/>
    <row r="30324" customFormat="1" x14ac:dyDescent="0.3"/>
    <row r="30325" customFormat="1" x14ac:dyDescent="0.3"/>
    <row r="30326" customFormat="1" x14ac:dyDescent="0.3"/>
    <row r="30327" customFormat="1" x14ac:dyDescent="0.3"/>
    <row r="30328" customFormat="1" x14ac:dyDescent="0.3"/>
    <row r="30329" customFormat="1" x14ac:dyDescent="0.3"/>
    <row r="30330" customFormat="1" x14ac:dyDescent="0.3"/>
    <row r="30331" customFormat="1" x14ac:dyDescent="0.3"/>
    <row r="30332" customFormat="1" x14ac:dyDescent="0.3"/>
    <row r="30333" customFormat="1" x14ac:dyDescent="0.3"/>
    <row r="30334" customFormat="1" x14ac:dyDescent="0.3"/>
    <row r="30335" customFormat="1" x14ac:dyDescent="0.3"/>
    <row r="30336" customFormat="1" x14ac:dyDescent="0.3"/>
    <row r="30337" customFormat="1" x14ac:dyDescent="0.3"/>
    <row r="30338" customFormat="1" x14ac:dyDescent="0.3"/>
    <row r="30339" customFormat="1" x14ac:dyDescent="0.3"/>
    <row r="30340" customFormat="1" x14ac:dyDescent="0.3"/>
    <row r="30341" customFormat="1" x14ac:dyDescent="0.3"/>
    <row r="30342" customFormat="1" x14ac:dyDescent="0.3"/>
    <row r="30343" customFormat="1" x14ac:dyDescent="0.3"/>
    <row r="30344" customFormat="1" x14ac:dyDescent="0.3"/>
    <row r="30345" customFormat="1" x14ac:dyDescent="0.3"/>
    <row r="30346" customFormat="1" x14ac:dyDescent="0.3"/>
    <row r="30347" customFormat="1" x14ac:dyDescent="0.3"/>
    <row r="30348" customFormat="1" x14ac:dyDescent="0.3"/>
    <row r="30349" customFormat="1" x14ac:dyDescent="0.3"/>
    <row r="30350" customFormat="1" x14ac:dyDescent="0.3"/>
    <row r="30351" customFormat="1" x14ac:dyDescent="0.3"/>
    <row r="30352" customFormat="1" x14ac:dyDescent="0.3"/>
    <row r="30353" customFormat="1" x14ac:dyDescent="0.3"/>
    <row r="30354" customFormat="1" x14ac:dyDescent="0.3"/>
    <row r="30355" customFormat="1" x14ac:dyDescent="0.3"/>
    <row r="30356" customFormat="1" x14ac:dyDescent="0.3"/>
    <row r="30357" customFormat="1" x14ac:dyDescent="0.3"/>
    <row r="30358" customFormat="1" x14ac:dyDescent="0.3"/>
    <row r="30359" customFormat="1" x14ac:dyDescent="0.3"/>
    <row r="30360" customFormat="1" x14ac:dyDescent="0.3"/>
    <row r="30361" customFormat="1" x14ac:dyDescent="0.3"/>
    <row r="30362" customFormat="1" x14ac:dyDescent="0.3"/>
    <row r="30363" customFormat="1" x14ac:dyDescent="0.3"/>
    <row r="30364" customFormat="1" x14ac:dyDescent="0.3"/>
    <row r="30365" customFormat="1" x14ac:dyDescent="0.3"/>
    <row r="30366" customFormat="1" x14ac:dyDescent="0.3"/>
    <row r="30367" customFormat="1" x14ac:dyDescent="0.3"/>
    <row r="30368" customFormat="1" x14ac:dyDescent="0.3"/>
    <row r="30369" customFormat="1" x14ac:dyDescent="0.3"/>
    <row r="30370" customFormat="1" x14ac:dyDescent="0.3"/>
    <row r="30371" customFormat="1" x14ac:dyDescent="0.3"/>
    <row r="30372" customFormat="1" x14ac:dyDescent="0.3"/>
    <row r="30373" customFormat="1" x14ac:dyDescent="0.3"/>
    <row r="30374" customFormat="1" x14ac:dyDescent="0.3"/>
    <row r="30375" customFormat="1" x14ac:dyDescent="0.3"/>
    <row r="30376" customFormat="1" x14ac:dyDescent="0.3"/>
    <row r="30377" customFormat="1" x14ac:dyDescent="0.3"/>
    <row r="30378" customFormat="1" x14ac:dyDescent="0.3"/>
    <row r="30379" customFormat="1" x14ac:dyDescent="0.3"/>
    <row r="30380" customFormat="1" x14ac:dyDescent="0.3"/>
    <row r="30381" customFormat="1" x14ac:dyDescent="0.3"/>
    <row r="30382" customFormat="1" x14ac:dyDescent="0.3"/>
    <row r="30383" customFormat="1" x14ac:dyDescent="0.3"/>
    <row r="30384" customFormat="1" x14ac:dyDescent="0.3"/>
    <row r="30385" customFormat="1" x14ac:dyDescent="0.3"/>
    <row r="30386" customFormat="1" x14ac:dyDescent="0.3"/>
    <row r="30387" customFormat="1" x14ac:dyDescent="0.3"/>
    <row r="30388" customFormat="1" x14ac:dyDescent="0.3"/>
    <row r="30389" customFormat="1" x14ac:dyDescent="0.3"/>
    <row r="30390" customFormat="1" x14ac:dyDescent="0.3"/>
    <row r="30391" customFormat="1" x14ac:dyDescent="0.3"/>
    <row r="30392" customFormat="1" x14ac:dyDescent="0.3"/>
    <row r="30393" customFormat="1" x14ac:dyDescent="0.3"/>
    <row r="30394" customFormat="1" x14ac:dyDescent="0.3"/>
    <row r="30395" customFormat="1" x14ac:dyDescent="0.3"/>
    <row r="30396" customFormat="1" x14ac:dyDescent="0.3"/>
    <row r="30397" customFormat="1" x14ac:dyDescent="0.3"/>
    <row r="30398" customFormat="1" x14ac:dyDescent="0.3"/>
    <row r="30399" customFormat="1" x14ac:dyDescent="0.3"/>
    <row r="30400" customFormat="1" x14ac:dyDescent="0.3"/>
    <row r="30401" customFormat="1" x14ac:dyDescent="0.3"/>
    <row r="30402" customFormat="1" x14ac:dyDescent="0.3"/>
    <row r="30403" customFormat="1" x14ac:dyDescent="0.3"/>
    <row r="30404" customFormat="1" x14ac:dyDescent="0.3"/>
    <row r="30405" customFormat="1" x14ac:dyDescent="0.3"/>
    <row r="30406" customFormat="1" x14ac:dyDescent="0.3"/>
    <row r="30407" customFormat="1" x14ac:dyDescent="0.3"/>
    <row r="30408" customFormat="1" x14ac:dyDescent="0.3"/>
    <row r="30409" customFormat="1" x14ac:dyDescent="0.3"/>
    <row r="30410" customFormat="1" x14ac:dyDescent="0.3"/>
    <row r="30411" customFormat="1" x14ac:dyDescent="0.3"/>
    <row r="30412" customFormat="1" x14ac:dyDescent="0.3"/>
    <row r="30413" customFormat="1" x14ac:dyDescent="0.3"/>
    <row r="30414" customFormat="1" x14ac:dyDescent="0.3"/>
    <row r="30415" customFormat="1" x14ac:dyDescent="0.3"/>
    <row r="30416" customFormat="1" x14ac:dyDescent="0.3"/>
    <row r="30417" customFormat="1" x14ac:dyDescent="0.3"/>
    <row r="30418" customFormat="1" x14ac:dyDescent="0.3"/>
    <row r="30419" customFormat="1" x14ac:dyDescent="0.3"/>
    <row r="30420" customFormat="1" x14ac:dyDescent="0.3"/>
    <row r="30421" customFormat="1" x14ac:dyDescent="0.3"/>
    <row r="30422" customFormat="1" x14ac:dyDescent="0.3"/>
    <row r="30423" customFormat="1" x14ac:dyDescent="0.3"/>
    <row r="30424" customFormat="1" x14ac:dyDescent="0.3"/>
    <row r="30425" customFormat="1" x14ac:dyDescent="0.3"/>
    <row r="30426" customFormat="1" x14ac:dyDescent="0.3"/>
    <row r="30427" customFormat="1" x14ac:dyDescent="0.3"/>
    <row r="30428" customFormat="1" x14ac:dyDescent="0.3"/>
    <row r="30429" customFormat="1" x14ac:dyDescent="0.3"/>
    <row r="30430" customFormat="1" x14ac:dyDescent="0.3"/>
    <row r="30431" customFormat="1" x14ac:dyDescent="0.3"/>
    <row r="30432" customFormat="1" x14ac:dyDescent="0.3"/>
    <row r="30433" customFormat="1" x14ac:dyDescent="0.3"/>
    <row r="30434" customFormat="1" x14ac:dyDescent="0.3"/>
    <row r="30435" customFormat="1" x14ac:dyDescent="0.3"/>
    <row r="30436" customFormat="1" x14ac:dyDescent="0.3"/>
    <row r="30437" customFormat="1" x14ac:dyDescent="0.3"/>
    <row r="30438" customFormat="1" x14ac:dyDescent="0.3"/>
    <row r="30439" customFormat="1" x14ac:dyDescent="0.3"/>
    <row r="30440" customFormat="1" x14ac:dyDescent="0.3"/>
    <row r="30441" customFormat="1" x14ac:dyDescent="0.3"/>
    <row r="30442" customFormat="1" x14ac:dyDescent="0.3"/>
    <row r="30443" customFormat="1" x14ac:dyDescent="0.3"/>
    <row r="30444" customFormat="1" x14ac:dyDescent="0.3"/>
    <row r="30445" customFormat="1" x14ac:dyDescent="0.3"/>
    <row r="30446" customFormat="1" x14ac:dyDescent="0.3"/>
    <row r="30447" customFormat="1" x14ac:dyDescent="0.3"/>
    <row r="30448" customFormat="1" x14ac:dyDescent="0.3"/>
    <row r="30449" customFormat="1" x14ac:dyDescent="0.3"/>
    <row r="30450" customFormat="1" x14ac:dyDescent="0.3"/>
    <row r="30451" customFormat="1" x14ac:dyDescent="0.3"/>
    <row r="30452" customFormat="1" x14ac:dyDescent="0.3"/>
    <row r="30453" customFormat="1" x14ac:dyDescent="0.3"/>
    <row r="30454" customFormat="1" x14ac:dyDescent="0.3"/>
    <row r="30455" customFormat="1" x14ac:dyDescent="0.3"/>
    <row r="30456" customFormat="1" x14ac:dyDescent="0.3"/>
    <row r="30457" customFormat="1" x14ac:dyDescent="0.3"/>
    <row r="30458" customFormat="1" x14ac:dyDescent="0.3"/>
    <row r="30459" customFormat="1" x14ac:dyDescent="0.3"/>
    <row r="30460" customFormat="1" x14ac:dyDescent="0.3"/>
    <row r="30461" customFormat="1" x14ac:dyDescent="0.3"/>
    <row r="30462" customFormat="1" x14ac:dyDescent="0.3"/>
    <row r="30463" customFormat="1" x14ac:dyDescent="0.3"/>
    <row r="30464" customFormat="1" x14ac:dyDescent="0.3"/>
    <row r="30465" customFormat="1" x14ac:dyDescent="0.3"/>
    <row r="30466" customFormat="1" x14ac:dyDescent="0.3"/>
    <row r="30467" customFormat="1" x14ac:dyDescent="0.3"/>
    <row r="30468" customFormat="1" x14ac:dyDescent="0.3"/>
    <row r="30469" customFormat="1" x14ac:dyDescent="0.3"/>
    <row r="30470" customFormat="1" x14ac:dyDescent="0.3"/>
    <row r="30471" customFormat="1" x14ac:dyDescent="0.3"/>
    <row r="30472" customFormat="1" x14ac:dyDescent="0.3"/>
    <row r="30473" customFormat="1" x14ac:dyDescent="0.3"/>
    <row r="30474" customFormat="1" x14ac:dyDescent="0.3"/>
    <row r="30475" customFormat="1" x14ac:dyDescent="0.3"/>
    <row r="30476" customFormat="1" x14ac:dyDescent="0.3"/>
    <row r="30477" customFormat="1" x14ac:dyDescent="0.3"/>
    <row r="30478" customFormat="1" x14ac:dyDescent="0.3"/>
    <row r="30479" customFormat="1" x14ac:dyDescent="0.3"/>
    <row r="30480" customFormat="1" x14ac:dyDescent="0.3"/>
    <row r="30481" customFormat="1" x14ac:dyDescent="0.3"/>
    <row r="30482" customFormat="1" x14ac:dyDescent="0.3"/>
    <row r="30483" customFormat="1" x14ac:dyDescent="0.3"/>
    <row r="30484" customFormat="1" x14ac:dyDescent="0.3"/>
    <row r="30485" customFormat="1" x14ac:dyDescent="0.3"/>
    <row r="30486" customFormat="1" x14ac:dyDescent="0.3"/>
    <row r="30487" customFormat="1" x14ac:dyDescent="0.3"/>
    <row r="30488" customFormat="1" x14ac:dyDescent="0.3"/>
    <row r="30489" customFormat="1" x14ac:dyDescent="0.3"/>
    <row r="30490" customFormat="1" x14ac:dyDescent="0.3"/>
    <row r="30491" customFormat="1" x14ac:dyDescent="0.3"/>
    <row r="30492" customFormat="1" x14ac:dyDescent="0.3"/>
    <row r="30493" customFormat="1" x14ac:dyDescent="0.3"/>
    <row r="30494" customFormat="1" x14ac:dyDescent="0.3"/>
    <row r="30495" customFormat="1" x14ac:dyDescent="0.3"/>
    <row r="30496" customFormat="1" x14ac:dyDescent="0.3"/>
    <row r="30497" customFormat="1" x14ac:dyDescent="0.3"/>
    <row r="30498" customFormat="1" x14ac:dyDescent="0.3"/>
    <row r="30499" customFormat="1" x14ac:dyDescent="0.3"/>
    <row r="30500" customFormat="1" x14ac:dyDescent="0.3"/>
    <row r="30501" customFormat="1" x14ac:dyDescent="0.3"/>
    <row r="30502" customFormat="1" x14ac:dyDescent="0.3"/>
    <row r="30503" customFormat="1" x14ac:dyDescent="0.3"/>
    <row r="30504" customFormat="1" x14ac:dyDescent="0.3"/>
    <row r="30505" customFormat="1" x14ac:dyDescent="0.3"/>
    <row r="30506" customFormat="1" x14ac:dyDescent="0.3"/>
    <row r="30507" customFormat="1" x14ac:dyDescent="0.3"/>
    <row r="30508" customFormat="1" x14ac:dyDescent="0.3"/>
    <row r="30509" customFormat="1" x14ac:dyDescent="0.3"/>
    <row r="30510" customFormat="1" x14ac:dyDescent="0.3"/>
    <row r="30511" customFormat="1" x14ac:dyDescent="0.3"/>
    <row r="30512" customFormat="1" x14ac:dyDescent="0.3"/>
    <row r="30513" customFormat="1" x14ac:dyDescent="0.3"/>
    <row r="30514" customFormat="1" x14ac:dyDescent="0.3"/>
    <row r="30515" customFormat="1" x14ac:dyDescent="0.3"/>
    <row r="30516" customFormat="1" x14ac:dyDescent="0.3"/>
    <row r="30517" customFormat="1" x14ac:dyDescent="0.3"/>
    <row r="30518" customFormat="1" x14ac:dyDescent="0.3"/>
    <row r="30519" customFormat="1" x14ac:dyDescent="0.3"/>
    <row r="30520" customFormat="1" x14ac:dyDescent="0.3"/>
    <row r="30521" customFormat="1" x14ac:dyDescent="0.3"/>
    <row r="30522" customFormat="1" x14ac:dyDescent="0.3"/>
    <row r="30523" customFormat="1" x14ac:dyDescent="0.3"/>
    <row r="30524" customFormat="1" x14ac:dyDescent="0.3"/>
    <row r="30525" customFormat="1" x14ac:dyDescent="0.3"/>
    <row r="30526" customFormat="1" x14ac:dyDescent="0.3"/>
    <row r="30527" customFormat="1" x14ac:dyDescent="0.3"/>
    <row r="30528" customFormat="1" x14ac:dyDescent="0.3"/>
    <row r="30529" customFormat="1" x14ac:dyDescent="0.3"/>
    <row r="30530" customFormat="1" x14ac:dyDescent="0.3"/>
    <row r="30531" customFormat="1" x14ac:dyDescent="0.3"/>
    <row r="30532" customFormat="1" x14ac:dyDescent="0.3"/>
    <row r="30533" customFormat="1" x14ac:dyDescent="0.3"/>
    <row r="30534" customFormat="1" x14ac:dyDescent="0.3"/>
    <row r="30535" customFormat="1" x14ac:dyDescent="0.3"/>
    <row r="30536" customFormat="1" x14ac:dyDescent="0.3"/>
    <row r="30537" customFormat="1" x14ac:dyDescent="0.3"/>
    <row r="30538" customFormat="1" x14ac:dyDescent="0.3"/>
    <row r="30539" customFormat="1" x14ac:dyDescent="0.3"/>
    <row r="30540" customFormat="1" x14ac:dyDescent="0.3"/>
    <row r="30541" customFormat="1" x14ac:dyDescent="0.3"/>
    <row r="30542" customFormat="1" x14ac:dyDescent="0.3"/>
    <row r="30543" customFormat="1" x14ac:dyDescent="0.3"/>
    <row r="30544" customFormat="1" x14ac:dyDescent="0.3"/>
    <row r="30545" customFormat="1" x14ac:dyDescent="0.3"/>
    <row r="30546" customFormat="1" x14ac:dyDescent="0.3"/>
    <row r="30547" customFormat="1" x14ac:dyDescent="0.3"/>
    <row r="30548" customFormat="1" x14ac:dyDescent="0.3"/>
    <row r="30549" customFormat="1" x14ac:dyDescent="0.3"/>
    <row r="30550" customFormat="1" x14ac:dyDescent="0.3"/>
    <row r="30551" customFormat="1" x14ac:dyDescent="0.3"/>
    <row r="30552" customFormat="1" x14ac:dyDescent="0.3"/>
    <row r="30553" customFormat="1" x14ac:dyDescent="0.3"/>
    <row r="30554" customFormat="1" x14ac:dyDescent="0.3"/>
    <row r="30555" customFormat="1" x14ac:dyDescent="0.3"/>
    <row r="30556" customFormat="1" x14ac:dyDescent="0.3"/>
    <row r="30557" customFormat="1" x14ac:dyDescent="0.3"/>
    <row r="30558" customFormat="1" x14ac:dyDescent="0.3"/>
    <row r="30559" customFormat="1" x14ac:dyDescent="0.3"/>
    <row r="30560" customFormat="1" x14ac:dyDescent="0.3"/>
    <row r="30561" customFormat="1" x14ac:dyDescent="0.3"/>
    <row r="30562" customFormat="1" x14ac:dyDescent="0.3"/>
    <row r="30563" customFormat="1" x14ac:dyDescent="0.3"/>
    <row r="30564" customFormat="1" x14ac:dyDescent="0.3"/>
    <row r="30565" customFormat="1" x14ac:dyDescent="0.3"/>
    <row r="30566" customFormat="1" x14ac:dyDescent="0.3"/>
    <row r="30567" customFormat="1" x14ac:dyDescent="0.3"/>
    <row r="30568" customFormat="1" x14ac:dyDescent="0.3"/>
    <row r="30569" customFormat="1" x14ac:dyDescent="0.3"/>
    <row r="30570" customFormat="1" x14ac:dyDescent="0.3"/>
    <row r="30571" customFormat="1" x14ac:dyDescent="0.3"/>
    <row r="30572" customFormat="1" x14ac:dyDescent="0.3"/>
    <row r="30573" customFormat="1" x14ac:dyDescent="0.3"/>
    <row r="30574" customFormat="1" x14ac:dyDescent="0.3"/>
    <row r="30575" customFormat="1" x14ac:dyDescent="0.3"/>
    <row r="30576" customFormat="1" x14ac:dyDescent="0.3"/>
    <row r="30577" customFormat="1" x14ac:dyDescent="0.3"/>
    <row r="30578" customFormat="1" x14ac:dyDescent="0.3"/>
    <row r="30579" customFormat="1" x14ac:dyDescent="0.3"/>
    <row r="30580" customFormat="1" x14ac:dyDescent="0.3"/>
    <row r="30581" customFormat="1" x14ac:dyDescent="0.3"/>
    <row r="30582" customFormat="1" x14ac:dyDescent="0.3"/>
    <row r="30583" customFormat="1" x14ac:dyDescent="0.3"/>
    <row r="30584" customFormat="1" x14ac:dyDescent="0.3"/>
    <row r="30585" customFormat="1" x14ac:dyDescent="0.3"/>
    <row r="30586" customFormat="1" x14ac:dyDescent="0.3"/>
    <row r="30587" customFormat="1" x14ac:dyDescent="0.3"/>
    <row r="30588" customFormat="1" x14ac:dyDescent="0.3"/>
    <row r="30589" customFormat="1" x14ac:dyDescent="0.3"/>
    <row r="30590" customFormat="1" x14ac:dyDescent="0.3"/>
    <row r="30591" customFormat="1" x14ac:dyDescent="0.3"/>
    <row r="30592" customFormat="1" x14ac:dyDescent="0.3"/>
    <row r="30593" customFormat="1" x14ac:dyDescent="0.3"/>
    <row r="30594" customFormat="1" x14ac:dyDescent="0.3"/>
    <row r="30595" customFormat="1" x14ac:dyDescent="0.3"/>
    <row r="30596" customFormat="1" x14ac:dyDescent="0.3"/>
    <row r="30597" customFormat="1" x14ac:dyDescent="0.3"/>
    <row r="30598" customFormat="1" x14ac:dyDescent="0.3"/>
    <row r="30599" customFormat="1" x14ac:dyDescent="0.3"/>
    <row r="30600" customFormat="1" x14ac:dyDescent="0.3"/>
    <row r="30601" customFormat="1" x14ac:dyDescent="0.3"/>
    <row r="30602" customFormat="1" x14ac:dyDescent="0.3"/>
    <row r="30603" customFormat="1" x14ac:dyDescent="0.3"/>
    <row r="30604" customFormat="1" x14ac:dyDescent="0.3"/>
    <row r="30605" customFormat="1" x14ac:dyDescent="0.3"/>
    <row r="30606" customFormat="1" x14ac:dyDescent="0.3"/>
    <row r="30607" customFormat="1" x14ac:dyDescent="0.3"/>
    <row r="30608" customFormat="1" x14ac:dyDescent="0.3"/>
    <row r="30609" customFormat="1" x14ac:dyDescent="0.3"/>
    <row r="30610" customFormat="1" x14ac:dyDescent="0.3"/>
    <row r="30611" customFormat="1" x14ac:dyDescent="0.3"/>
    <row r="30612" customFormat="1" x14ac:dyDescent="0.3"/>
    <row r="30613" customFormat="1" x14ac:dyDescent="0.3"/>
    <row r="30614" customFormat="1" x14ac:dyDescent="0.3"/>
    <row r="30615" customFormat="1" x14ac:dyDescent="0.3"/>
    <row r="30616" customFormat="1" x14ac:dyDescent="0.3"/>
    <row r="30617" customFormat="1" x14ac:dyDescent="0.3"/>
    <row r="30618" customFormat="1" x14ac:dyDescent="0.3"/>
    <row r="30619" customFormat="1" x14ac:dyDescent="0.3"/>
    <row r="30620" customFormat="1" x14ac:dyDescent="0.3"/>
    <row r="30621" customFormat="1" x14ac:dyDescent="0.3"/>
    <row r="30622" customFormat="1" x14ac:dyDescent="0.3"/>
    <row r="30623" customFormat="1" x14ac:dyDescent="0.3"/>
    <row r="30624" customFormat="1" x14ac:dyDescent="0.3"/>
    <row r="30625" customFormat="1" x14ac:dyDescent="0.3"/>
    <row r="30626" customFormat="1" x14ac:dyDescent="0.3"/>
    <row r="30627" customFormat="1" x14ac:dyDescent="0.3"/>
    <row r="30628" customFormat="1" x14ac:dyDescent="0.3"/>
    <row r="30629" customFormat="1" x14ac:dyDescent="0.3"/>
    <row r="30630" customFormat="1" x14ac:dyDescent="0.3"/>
    <row r="30631" customFormat="1" x14ac:dyDescent="0.3"/>
    <row r="30632" customFormat="1" x14ac:dyDescent="0.3"/>
    <row r="30633" customFormat="1" x14ac:dyDescent="0.3"/>
    <row r="30634" customFormat="1" x14ac:dyDescent="0.3"/>
    <row r="30635" customFormat="1" x14ac:dyDescent="0.3"/>
    <row r="30636" customFormat="1" x14ac:dyDescent="0.3"/>
    <row r="30637" customFormat="1" x14ac:dyDescent="0.3"/>
    <row r="30638" customFormat="1" x14ac:dyDescent="0.3"/>
    <row r="30639" customFormat="1" x14ac:dyDescent="0.3"/>
    <row r="30640" customFormat="1" x14ac:dyDescent="0.3"/>
    <row r="30641" customFormat="1" x14ac:dyDescent="0.3"/>
    <row r="30642" customFormat="1" x14ac:dyDescent="0.3"/>
    <row r="30643" customFormat="1" x14ac:dyDescent="0.3"/>
    <row r="30644" customFormat="1" x14ac:dyDescent="0.3"/>
    <row r="30645" customFormat="1" x14ac:dyDescent="0.3"/>
    <row r="30646" customFormat="1" x14ac:dyDescent="0.3"/>
    <row r="30647" customFormat="1" x14ac:dyDescent="0.3"/>
    <row r="30648" customFormat="1" x14ac:dyDescent="0.3"/>
    <row r="30649" customFormat="1" x14ac:dyDescent="0.3"/>
    <row r="30650" customFormat="1" x14ac:dyDescent="0.3"/>
    <row r="30651" customFormat="1" x14ac:dyDescent="0.3"/>
    <row r="30652" customFormat="1" x14ac:dyDescent="0.3"/>
    <row r="30653" customFormat="1" x14ac:dyDescent="0.3"/>
    <row r="30654" customFormat="1" x14ac:dyDescent="0.3"/>
    <row r="30655" customFormat="1" x14ac:dyDescent="0.3"/>
    <row r="30656" customFormat="1" x14ac:dyDescent="0.3"/>
    <row r="30657" customFormat="1" x14ac:dyDescent="0.3"/>
    <row r="30658" customFormat="1" x14ac:dyDescent="0.3"/>
    <row r="30659" customFormat="1" x14ac:dyDescent="0.3"/>
    <row r="30660" customFormat="1" x14ac:dyDescent="0.3"/>
    <row r="30661" customFormat="1" x14ac:dyDescent="0.3"/>
    <row r="30662" customFormat="1" x14ac:dyDescent="0.3"/>
    <row r="30663" customFormat="1" x14ac:dyDescent="0.3"/>
    <row r="30664" customFormat="1" x14ac:dyDescent="0.3"/>
    <row r="30665" customFormat="1" x14ac:dyDescent="0.3"/>
    <row r="30666" customFormat="1" x14ac:dyDescent="0.3"/>
    <row r="30667" customFormat="1" x14ac:dyDescent="0.3"/>
    <row r="30668" customFormat="1" x14ac:dyDescent="0.3"/>
    <row r="30669" customFormat="1" x14ac:dyDescent="0.3"/>
    <row r="30670" customFormat="1" x14ac:dyDescent="0.3"/>
    <row r="30671" customFormat="1" x14ac:dyDescent="0.3"/>
    <row r="30672" customFormat="1" x14ac:dyDescent="0.3"/>
    <row r="30673" customFormat="1" x14ac:dyDescent="0.3"/>
    <row r="30674" customFormat="1" x14ac:dyDescent="0.3"/>
    <row r="30675" customFormat="1" x14ac:dyDescent="0.3"/>
    <row r="30676" customFormat="1" x14ac:dyDescent="0.3"/>
    <row r="30677" customFormat="1" x14ac:dyDescent="0.3"/>
    <row r="30678" customFormat="1" x14ac:dyDescent="0.3"/>
    <row r="30679" customFormat="1" x14ac:dyDescent="0.3"/>
    <row r="30680" customFormat="1" x14ac:dyDescent="0.3"/>
    <row r="30681" customFormat="1" x14ac:dyDescent="0.3"/>
    <row r="30682" customFormat="1" x14ac:dyDescent="0.3"/>
    <row r="30683" customFormat="1" x14ac:dyDescent="0.3"/>
    <row r="30684" customFormat="1" x14ac:dyDescent="0.3"/>
    <row r="30685" customFormat="1" x14ac:dyDescent="0.3"/>
    <row r="30686" customFormat="1" x14ac:dyDescent="0.3"/>
    <row r="30687" customFormat="1" x14ac:dyDescent="0.3"/>
    <row r="30688" customFormat="1" x14ac:dyDescent="0.3"/>
    <row r="30689" customFormat="1" x14ac:dyDescent="0.3"/>
    <row r="30690" customFormat="1" x14ac:dyDescent="0.3"/>
    <row r="30691" customFormat="1" x14ac:dyDescent="0.3"/>
    <row r="30692" customFormat="1" x14ac:dyDescent="0.3"/>
    <row r="30693" customFormat="1" x14ac:dyDescent="0.3"/>
    <row r="30694" customFormat="1" x14ac:dyDescent="0.3"/>
    <row r="30695" customFormat="1" x14ac:dyDescent="0.3"/>
    <row r="30696" customFormat="1" x14ac:dyDescent="0.3"/>
    <row r="30697" customFormat="1" x14ac:dyDescent="0.3"/>
    <row r="30698" customFormat="1" x14ac:dyDescent="0.3"/>
    <row r="30699" customFormat="1" x14ac:dyDescent="0.3"/>
    <row r="30700" customFormat="1" x14ac:dyDescent="0.3"/>
    <row r="30701" customFormat="1" x14ac:dyDescent="0.3"/>
    <row r="30702" customFormat="1" x14ac:dyDescent="0.3"/>
    <row r="30703" customFormat="1" x14ac:dyDescent="0.3"/>
    <row r="30704" customFormat="1" x14ac:dyDescent="0.3"/>
    <row r="30705" customFormat="1" x14ac:dyDescent="0.3"/>
    <row r="30706" customFormat="1" x14ac:dyDescent="0.3"/>
    <row r="30707" customFormat="1" x14ac:dyDescent="0.3"/>
    <row r="30708" customFormat="1" x14ac:dyDescent="0.3"/>
    <row r="30709" customFormat="1" x14ac:dyDescent="0.3"/>
    <row r="30710" customFormat="1" x14ac:dyDescent="0.3"/>
    <row r="30711" customFormat="1" x14ac:dyDescent="0.3"/>
    <row r="30712" customFormat="1" x14ac:dyDescent="0.3"/>
    <row r="30713" customFormat="1" x14ac:dyDescent="0.3"/>
    <row r="30714" customFormat="1" x14ac:dyDescent="0.3"/>
    <row r="30715" customFormat="1" x14ac:dyDescent="0.3"/>
    <row r="30716" customFormat="1" x14ac:dyDescent="0.3"/>
    <row r="30717" customFormat="1" x14ac:dyDescent="0.3"/>
    <row r="30718" customFormat="1" x14ac:dyDescent="0.3"/>
    <row r="30719" customFormat="1" x14ac:dyDescent="0.3"/>
    <row r="30720" customFormat="1" x14ac:dyDescent="0.3"/>
    <row r="30721" customFormat="1" x14ac:dyDescent="0.3"/>
    <row r="30722" customFormat="1" x14ac:dyDescent="0.3"/>
    <row r="30723" customFormat="1" x14ac:dyDescent="0.3"/>
    <row r="30724" customFormat="1" x14ac:dyDescent="0.3"/>
    <row r="30725" customFormat="1" x14ac:dyDescent="0.3"/>
    <row r="30726" customFormat="1" x14ac:dyDescent="0.3"/>
    <row r="30727" customFormat="1" x14ac:dyDescent="0.3"/>
    <row r="30728" customFormat="1" x14ac:dyDescent="0.3"/>
    <row r="30729" customFormat="1" x14ac:dyDescent="0.3"/>
    <row r="30730" customFormat="1" x14ac:dyDescent="0.3"/>
    <row r="30731" customFormat="1" x14ac:dyDescent="0.3"/>
    <row r="30732" customFormat="1" x14ac:dyDescent="0.3"/>
    <row r="30733" customFormat="1" x14ac:dyDescent="0.3"/>
    <row r="30734" customFormat="1" x14ac:dyDescent="0.3"/>
    <row r="30735" customFormat="1" x14ac:dyDescent="0.3"/>
    <row r="30736" customFormat="1" x14ac:dyDescent="0.3"/>
    <row r="30737" customFormat="1" x14ac:dyDescent="0.3"/>
    <row r="30738" customFormat="1" x14ac:dyDescent="0.3"/>
    <row r="30739" customFormat="1" x14ac:dyDescent="0.3"/>
    <row r="30740" customFormat="1" x14ac:dyDescent="0.3"/>
    <row r="30741" customFormat="1" x14ac:dyDescent="0.3"/>
    <row r="30742" customFormat="1" x14ac:dyDescent="0.3"/>
    <row r="30743" customFormat="1" x14ac:dyDescent="0.3"/>
    <row r="30744" customFormat="1" x14ac:dyDescent="0.3"/>
    <row r="30745" customFormat="1" x14ac:dyDescent="0.3"/>
    <row r="30746" customFormat="1" x14ac:dyDescent="0.3"/>
    <row r="30747" customFormat="1" x14ac:dyDescent="0.3"/>
    <row r="30748" customFormat="1" x14ac:dyDescent="0.3"/>
    <row r="30749" customFormat="1" x14ac:dyDescent="0.3"/>
    <row r="30750" customFormat="1" x14ac:dyDescent="0.3"/>
    <row r="30751" customFormat="1" x14ac:dyDescent="0.3"/>
    <row r="30752" customFormat="1" x14ac:dyDescent="0.3"/>
    <row r="30753" customFormat="1" x14ac:dyDescent="0.3"/>
    <row r="30754" customFormat="1" x14ac:dyDescent="0.3"/>
    <row r="30755" customFormat="1" x14ac:dyDescent="0.3"/>
    <row r="30756" customFormat="1" x14ac:dyDescent="0.3"/>
    <row r="30757" customFormat="1" x14ac:dyDescent="0.3"/>
    <row r="30758" customFormat="1" x14ac:dyDescent="0.3"/>
    <row r="30759" customFormat="1" x14ac:dyDescent="0.3"/>
    <row r="30760" customFormat="1" x14ac:dyDescent="0.3"/>
    <row r="30761" customFormat="1" x14ac:dyDescent="0.3"/>
    <row r="30762" customFormat="1" x14ac:dyDescent="0.3"/>
    <row r="30763" customFormat="1" x14ac:dyDescent="0.3"/>
    <row r="30764" customFormat="1" x14ac:dyDescent="0.3"/>
    <row r="30765" customFormat="1" x14ac:dyDescent="0.3"/>
    <row r="30766" customFormat="1" x14ac:dyDescent="0.3"/>
    <row r="30767" customFormat="1" x14ac:dyDescent="0.3"/>
    <row r="30768" customFormat="1" x14ac:dyDescent="0.3"/>
    <row r="30769" customFormat="1" x14ac:dyDescent="0.3"/>
    <row r="30770" customFormat="1" x14ac:dyDescent="0.3"/>
    <row r="30771" customFormat="1" x14ac:dyDescent="0.3"/>
    <row r="30772" customFormat="1" x14ac:dyDescent="0.3"/>
    <row r="30773" customFormat="1" x14ac:dyDescent="0.3"/>
    <row r="30774" customFormat="1" x14ac:dyDescent="0.3"/>
    <row r="30775" customFormat="1" x14ac:dyDescent="0.3"/>
    <row r="30776" customFormat="1" x14ac:dyDescent="0.3"/>
    <row r="30777" customFormat="1" x14ac:dyDescent="0.3"/>
    <row r="30778" customFormat="1" x14ac:dyDescent="0.3"/>
    <row r="30779" customFormat="1" x14ac:dyDescent="0.3"/>
    <row r="30780" customFormat="1" x14ac:dyDescent="0.3"/>
    <row r="30781" customFormat="1" x14ac:dyDescent="0.3"/>
    <row r="30782" customFormat="1" x14ac:dyDescent="0.3"/>
    <row r="30783" customFormat="1" x14ac:dyDescent="0.3"/>
    <row r="30784" customFormat="1" x14ac:dyDescent="0.3"/>
    <row r="30785" customFormat="1" x14ac:dyDescent="0.3"/>
    <row r="30786" customFormat="1" x14ac:dyDescent="0.3"/>
    <row r="30787" customFormat="1" x14ac:dyDescent="0.3"/>
    <row r="30788" customFormat="1" x14ac:dyDescent="0.3"/>
    <row r="30789" customFormat="1" x14ac:dyDescent="0.3"/>
    <row r="30790" customFormat="1" x14ac:dyDescent="0.3"/>
    <row r="30791" customFormat="1" x14ac:dyDescent="0.3"/>
    <row r="30792" customFormat="1" x14ac:dyDescent="0.3"/>
    <row r="30793" customFormat="1" x14ac:dyDescent="0.3"/>
    <row r="30794" customFormat="1" x14ac:dyDescent="0.3"/>
    <row r="30795" customFormat="1" x14ac:dyDescent="0.3"/>
    <row r="30796" customFormat="1" x14ac:dyDescent="0.3"/>
    <row r="30797" customFormat="1" x14ac:dyDescent="0.3"/>
    <row r="30798" customFormat="1" x14ac:dyDescent="0.3"/>
    <row r="30799" customFormat="1" x14ac:dyDescent="0.3"/>
    <row r="30800" customFormat="1" x14ac:dyDescent="0.3"/>
    <row r="30801" customFormat="1" x14ac:dyDescent="0.3"/>
    <row r="30802" customFormat="1" x14ac:dyDescent="0.3"/>
    <row r="30803" customFormat="1" x14ac:dyDescent="0.3"/>
    <row r="30804" customFormat="1" x14ac:dyDescent="0.3"/>
    <row r="30805" customFormat="1" x14ac:dyDescent="0.3"/>
    <row r="30806" customFormat="1" x14ac:dyDescent="0.3"/>
    <row r="30807" customFormat="1" x14ac:dyDescent="0.3"/>
    <row r="30808" customFormat="1" x14ac:dyDescent="0.3"/>
    <row r="30809" customFormat="1" x14ac:dyDescent="0.3"/>
    <row r="30810" customFormat="1" x14ac:dyDescent="0.3"/>
    <row r="30811" customFormat="1" x14ac:dyDescent="0.3"/>
    <row r="30812" customFormat="1" x14ac:dyDescent="0.3"/>
    <row r="30813" customFormat="1" x14ac:dyDescent="0.3"/>
    <row r="30814" customFormat="1" x14ac:dyDescent="0.3"/>
    <row r="30815" customFormat="1" x14ac:dyDescent="0.3"/>
    <row r="30816" customFormat="1" x14ac:dyDescent="0.3"/>
    <row r="30817" customFormat="1" x14ac:dyDescent="0.3"/>
    <row r="30818" customFormat="1" x14ac:dyDescent="0.3"/>
    <row r="30819" customFormat="1" x14ac:dyDescent="0.3"/>
    <row r="30820" customFormat="1" x14ac:dyDescent="0.3"/>
    <row r="30821" customFormat="1" x14ac:dyDescent="0.3"/>
    <row r="30822" customFormat="1" x14ac:dyDescent="0.3"/>
    <row r="30823" customFormat="1" x14ac:dyDescent="0.3"/>
    <row r="30824" customFormat="1" x14ac:dyDescent="0.3"/>
    <row r="30825" customFormat="1" x14ac:dyDescent="0.3"/>
    <row r="30826" customFormat="1" x14ac:dyDescent="0.3"/>
    <row r="30827" customFormat="1" x14ac:dyDescent="0.3"/>
    <row r="30828" customFormat="1" x14ac:dyDescent="0.3"/>
    <row r="30829" customFormat="1" x14ac:dyDescent="0.3"/>
    <row r="30830" customFormat="1" x14ac:dyDescent="0.3"/>
    <row r="30831" customFormat="1" x14ac:dyDescent="0.3"/>
    <row r="30832" customFormat="1" x14ac:dyDescent="0.3"/>
    <row r="30833" customFormat="1" x14ac:dyDescent="0.3"/>
    <row r="30834" customFormat="1" x14ac:dyDescent="0.3"/>
    <row r="30835" customFormat="1" x14ac:dyDescent="0.3"/>
    <row r="30836" customFormat="1" x14ac:dyDescent="0.3"/>
    <row r="30837" customFormat="1" x14ac:dyDescent="0.3"/>
    <row r="30838" customFormat="1" x14ac:dyDescent="0.3"/>
    <row r="30839" customFormat="1" x14ac:dyDescent="0.3"/>
    <row r="30840" customFormat="1" x14ac:dyDescent="0.3"/>
    <row r="30841" customFormat="1" x14ac:dyDescent="0.3"/>
    <row r="30842" customFormat="1" x14ac:dyDescent="0.3"/>
    <row r="30843" customFormat="1" x14ac:dyDescent="0.3"/>
    <row r="30844" customFormat="1" x14ac:dyDescent="0.3"/>
    <row r="30845" customFormat="1" x14ac:dyDescent="0.3"/>
    <row r="30846" customFormat="1" x14ac:dyDescent="0.3"/>
    <row r="30847" customFormat="1" x14ac:dyDescent="0.3"/>
    <row r="30848" customFormat="1" x14ac:dyDescent="0.3"/>
    <row r="30849" customFormat="1" x14ac:dyDescent="0.3"/>
    <row r="30850" customFormat="1" x14ac:dyDescent="0.3"/>
    <row r="30851" customFormat="1" x14ac:dyDescent="0.3"/>
    <row r="30852" customFormat="1" x14ac:dyDescent="0.3"/>
    <row r="30853" customFormat="1" x14ac:dyDescent="0.3"/>
    <row r="30854" customFormat="1" x14ac:dyDescent="0.3"/>
    <row r="30855" customFormat="1" x14ac:dyDescent="0.3"/>
    <row r="30856" customFormat="1" x14ac:dyDescent="0.3"/>
    <row r="30857" customFormat="1" x14ac:dyDescent="0.3"/>
    <row r="30858" customFormat="1" x14ac:dyDescent="0.3"/>
    <row r="30859" customFormat="1" x14ac:dyDescent="0.3"/>
    <row r="30860" customFormat="1" x14ac:dyDescent="0.3"/>
    <row r="30861" customFormat="1" x14ac:dyDescent="0.3"/>
    <row r="30862" customFormat="1" x14ac:dyDescent="0.3"/>
    <row r="30863" customFormat="1" x14ac:dyDescent="0.3"/>
    <row r="30864" customFormat="1" x14ac:dyDescent="0.3"/>
    <row r="30865" customFormat="1" x14ac:dyDescent="0.3"/>
    <row r="30866" customFormat="1" x14ac:dyDescent="0.3"/>
    <row r="30867" customFormat="1" x14ac:dyDescent="0.3"/>
    <row r="30868" customFormat="1" x14ac:dyDescent="0.3"/>
    <row r="30869" customFormat="1" x14ac:dyDescent="0.3"/>
    <row r="30870" customFormat="1" x14ac:dyDescent="0.3"/>
    <row r="30871" customFormat="1" x14ac:dyDescent="0.3"/>
    <row r="30872" customFormat="1" x14ac:dyDescent="0.3"/>
    <row r="30873" customFormat="1" x14ac:dyDescent="0.3"/>
    <row r="30874" customFormat="1" x14ac:dyDescent="0.3"/>
    <row r="30875" customFormat="1" x14ac:dyDescent="0.3"/>
    <row r="30876" customFormat="1" x14ac:dyDescent="0.3"/>
    <row r="30877" customFormat="1" x14ac:dyDescent="0.3"/>
    <row r="30878" customFormat="1" x14ac:dyDescent="0.3"/>
    <row r="30879" customFormat="1" x14ac:dyDescent="0.3"/>
    <row r="30880" customFormat="1" x14ac:dyDescent="0.3"/>
    <row r="30881" customFormat="1" x14ac:dyDescent="0.3"/>
    <row r="30882" customFormat="1" x14ac:dyDescent="0.3"/>
    <row r="30883" customFormat="1" x14ac:dyDescent="0.3"/>
    <row r="30884" customFormat="1" x14ac:dyDescent="0.3"/>
    <row r="30885" customFormat="1" x14ac:dyDescent="0.3"/>
    <row r="30886" customFormat="1" x14ac:dyDescent="0.3"/>
    <row r="30887" customFormat="1" x14ac:dyDescent="0.3"/>
    <row r="30888" customFormat="1" x14ac:dyDescent="0.3"/>
    <row r="30889" customFormat="1" x14ac:dyDescent="0.3"/>
    <row r="30890" customFormat="1" x14ac:dyDescent="0.3"/>
    <row r="30891" customFormat="1" x14ac:dyDescent="0.3"/>
    <row r="30892" customFormat="1" x14ac:dyDescent="0.3"/>
    <row r="30893" customFormat="1" x14ac:dyDescent="0.3"/>
    <row r="30894" customFormat="1" x14ac:dyDescent="0.3"/>
    <row r="30895" customFormat="1" x14ac:dyDescent="0.3"/>
    <row r="30896" customFormat="1" x14ac:dyDescent="0.3"/>
    <row r="30897" customFormat="1" x14ac:dyDescent="0.3"/>
    <row r="30898" customFormat="1" x14ac:dyDescent="0.3"/>
    <row r="30899" customFormat="1" x14ac:dyDescent="0.3"/>
    <row r="30900" customFormat="1" x14ac:dyDescent="0.3"/>
    <row r="30901" customFormat="1" x14ac:dyDescent="0.3"/>
    <row r="30902" customFormat="1" x14ac:dyDescent="0.3"/>
    <row r="30903" customFormat="1" x14ac:dyDescent="0.3"/>
    <row r="30904" customFormat="1" x14ac:dyDescent="0.3"/>
    <row r="30905" customFormat="1" x14ac:dyDescent="0.3"/>
    <row r="30906" customFormat="1" x14ac:dyDescent="0.3"/>
    <row r="30907" customFormat="1" x14ac:dyDescent="0.3"/>
    <row r="30908" customFormat="1" x14ac:dyDescent="0.3"/>
    <row r="30909" customFormat="1" x14ac:dyDescent="0.3"/>
    <row r="30910" customFormat="1" x14ac:dyDescent="0.3"/>
    <row r="30911" customFormat="1" x14ac:dyDescent="0.3"/>
    <row r="30912" customFormat="1" x14ac:dyDescent="0.3"/>
    <row r="30913" customFormat="1" x14ac:dyDescent="0.3"/>
    <row r="30914" customFormat="1" x14ac:dyDescent="0.3"/>
    <row r="30915" customFormat="1" x14ac:dyDescent="0.3"/>
    <row r="30916" customFormat="1" x14ac:dyDescent="0.3"/>
    <row r="30917" customFormat="1" x14ac:dyDescent="0.3"/>
    <row r="30918" customFormat="1" x14ac:dyDescent="0.3"/>
    <row r="30919" customFormat="1" x14ac:dyDescent="0.3"/>
    <row r="30920" customFormat="1" x14ac:dyDescent="0.3"/>
    <row r="30921" customFormat="1" x14ac:dyDescent="0.3"/>
    <row r="30922" customFormat="1" x14ac:dyDescent="0.3"/>
    <row r="30923" customFormat="1" x14ac:dyDescent="0.3"/>
    <row r="30924" customFormat="1" x14ac:dyDescent="0.3"/>
    <row r="30925" customFormat="1" x14ac:dyDescent="0.3"/>
    <row r="30926" customFormat="1" x14ac:dyDescent="0.3"/>
    <row r="30927" customFormat="1" x14ac:dyDescent="0.3"/>
    <row r="30928" customFormat="1" x14ac:dyDescent="0.3"/>
    <row r="30929" customFormat="1" x14ac:dyDescent="0.3"/>
    <row r="30930" customFormat="1" x14ac:dyDescent="0.3"/>
    <row r="30931" customFormat="1" x14ac:dyDescent="0.3"/>
    <row r="30932" customFormat="1" x14ac:dyDescent="0.3"/>
    <row r="30933" customFormat="1" x14ac:dyDescent="0.3"/>
    <row r="30934" customFormat="1" x14ac:dyDescent="0.3"/>
    <row r="30935" customFormat="1" x14ac:dyDescent="0.3"/>
    <row r="30936" customFormat="1" x14ac:dyDescent="0.3"/>
    <row r="30937" customFormat="1" x14ac:dyDescent="0.3"/>
    <row r="30938" customFormat="1" x14ac:dyDescent="0.3"/>
    <row r="30939" customFormat="1" x14ac:dyDescent="0.3"/>
    <row r="30940" customFormat="1" x14ac:dyDescent="0.3"/>
    <row r="30941" customFormat="1" x14ac:dyDescent="0.3"/>
    <row r="30942" customFormat="1" x14ac:dyDescent="0.3"/>
    <row r="30943" customFormat="1" x14ac:dyDescent="0.3"/>
    <row r="30944" customFormat="1" x14ac:dyDescent="0.3"/>
    <row r="30945" customFormat="1" x14ac:dyDescent="0.3"/>
    <row r="30946" customFormat="1" x14ac:dyDescent="0.3"/>
    <row r="30947" customFormat="1" x14ac:dyDescent="0.3"/>
    <row r="30948" customFormat="1" x14ac:dyDescent="0.3"/>
    <row r="30949" customFormat="1" x14ac:dyDescent="0.3"/>
    <row r="30950" customFormat="1" x14ac:dyDescent="0.3"/>
    <row r="30951" customFormat="1" x14ac:dyDescent="0.3"/>
    <row r="30952" customFormat="1" x14ac:dyDescent="0.3"/>
    <row r="30953" customFormat="1" x14ac:dyDescent="0.3"/>
    <row r="30954" customFormat="1" x14ac:dyDescent="0.3"/>
    <row r="30955" customFormat="1" x14ac:dyDescent="0.3"/>
    <row r="30956" customFormat="1" x14ac:dyDescent="0.3"/>
    <row r="30957" customFormat="1" x14ac:dyDescent="0.3"/>
    <row r="30958" customFormat="1" x14ac:dyDescent="0.3"/>
    <row r="30959" customFormat="1" x14ac:dyDescent="0.3"/>
    <row r="30960" customFormat="1" x14ac:dyDescent="0.3"/>
    <row r="30961" customFormat="1" x14ac:dyDescent="0.3"/>
    <row r="30962" customFormat="1" x14ac:dyDescent="0.3"/>
    <row r="30963" customFormat="1" x14ac:dyDescent="0.3"/>
    <row r="30964" customFormat="1" x14ac:dyDescent="0.3"/>
    <row r="30965" customFormat="1" x14ac:dyDescent="0.3"/>
    <row r="30966" customFormat="1" x14ac:dyDescent="0.3"/>
    <row r="30967" customFormat="1" x14ac:dyDescent="0.3"/>
    <row r="30968" customFormat="1" x14ac:dyDescent="0.3"/>
    <row r="30969" customFormat="1" x14ac:dyDescent="0.3"/>
    <row r="30970" customFormat="1" x14ac:dyDescent="0.3"/>
    <row r="30971" customFormat="1" x14ac:dyDescent="0.3"/>
    <row r="30972" customFormat="1" x14ac:dyDescent="0.3"/>
    <row r="30973" customFormat="1" x14ac:dyDescent="0.3"/>
    <row r="30974" customFormat="1" x14ac:dyDescent="0.3"/>
    <row r="30975" customFormat="1" x14ac:dyDescent="0.3"/>
    <row r="30976" customFormat="1" x14ac:dyDescent="0.3"/>
    <row r="30977" customFormat="1" x14ac:dyDescent="0.3"/>
    <row r="30978" customFormat="1" x14ac:dyDescent="0.3"/>
    <row r="30979" customFormat="1" x14ac:dyDescent="0.3"/>
    <row r="30980" customFormat="1" x14ac:dyDescent="0.3"/>
    <row r="30981" customFormat="1" x14ac:dyDescent="0.3"/>
    <row r="30982" customFormat="1" x14ac:dyDescent="0.3"/>
    <row r="30983" customFormat="1" x14ac:dyDescent="0.3"/>
    <row r="30984" customFormat="1" x14ac:dyDescent="0.3"/>
    <row r="30985" customFormat="1" x14ac:dyDescent="0.3"/>
    <row r="30986" customFormat="1" x14ac:dyDescent="0.3"/>
    <row r="30987" customFormat="1" x14ac:dyDescent="0.3"/>
    <row r="30988" customFormat="1" x14ac:dyDescent="0.3"/>
    <row r="30989" customFormat="1" x14ac:dyDescent="0.3"/>
    <row r="30990" customFormat="1" x14ac:dyDescent="0.3"/>
    <row r="30991" customFormat="1" x14ac:dyDescent="0.3"/>
    <row r="30992" customFormat="1" x14ac:dyDescent="0.3"/>
    <row r="30993" customFormat="1" x14ac:dyDescent="0.3"/>
    <row r="30994" customFormat="1" x14ac:dyDescent="0.3"/>
    <row r="30995" customFormat="1" x14ac:dyDescent="0.3"/>
    <row r="30996" customFormat="1" x14ac:dyDescent="0.3"/>
    <row r="30997" customFormat="1" x14ac:dyDescent="0.3"/>
    <row r="30998" customFormat="1" x14ac:dyDescent="0.3"/>
    <row r="30999" customFormat="1" x14ac:dyDescent="0.3"/>
    <row r="31000" customFormat="1" x14ac:dyDescent="0.3"/>
    <row r="31001" customFormat="1" x14ac:dyDescent="0.3"/>
    <row r="31002" customFormat="1" x14ac:dyDescent="0.3"/>
    <row r="31003" customFormat="1" x14ac:dyDescent="0.3"/>
    <row r="31004" customFormat="1" x14ac:dyDescent="0.3"/>
    <row r="31005" customFormat="1" x14ac:dyDescent="0.3"/>
    <row r="31006" customFormat="1" x14ac:dyDescent="0.3"/>
    <row r="31007" customFormat="1" x14ac:dyDescent="0.3"/>
    <row r="31008" customFormat="1" x14ac:dyDescent="0.3"/>
    <row r="31009" customFormat="1" x14ac:dyDescent="0.3"/>
    <row r="31010" customFormat="1" x14ac:dyDescent="0.3"/>
    <row r="31011" customFormat="1" x14ac:dyDescent="0.3"/>
    <row r="31012" customFormat="1" x14ac:dyDescent="0.3"/>
    <row r="31013" customFormat="1" x14ac:dyDescent="0.3"/>
    <row r="31014" customFormat="1" x14ac:dyDescent="0.3"/>
    <row r="31015" customFormat="1" x14ac:dyDescent="0.3"/>
    <row r="31016" customFormat="1" x14ac:dyDescent="0.3"/>
    <row r="31017" customFormat="1" x14ac:dyDescent="0.3"/>
    <row r="31018" customFormat="1" x14ac:dyDescent="0.3"/>
    <row r="31019" customFormat="1" x14ac:dyDescent="0.3"/>
    <row r="31020" customFormat="1" x14ac:dyDescent="0.3"/>
    <row r="31021" customFormat="1" x14ac:dyDescent="0.3"/>
    <row r="31022" customFormat="1" x14ac:dyDescent="0.3"/>
    <row r="31023" customFormat="1" x14ac:dyDescent="0.3"/>
    <row r="31024" customFormat="1" x14ac:dyDescent="0.3"/>
    <row r="31025" customFormat="1" x14ac:dyDescent="0.3"/>
    <row r="31026" customFormat="1" x14ac:dyDescent="0.3"/>
    <row r="31027" customFormat="1" x14ac:dyDescent="0.3"/>
    <row r="31028" customFormat="1" x14ac:dyDescent="0.3"/>
    <row r="31029" customFormat="1" x14ac:dyDescent="0.3"/>
    <row r="31030" customFormat="1" x14ac:dyDescent="0.3"/>
    <row r="31031" customFormat="1" x14ac:dyDescent="0.3"/>
    <row r="31032" customFormat="1" x14ac:dyDescent="0.3"/>
    <row r="31033" customFormat="1" x14ac:dyDescent="0.3"/>
    <row r="31034" customFormat="1" x14ac:dyDescent="0.3"/>
    <row r="31035" customFormat="1" x14ac:dyDescent="0.3"/>
    <row r="31036" customFormat="1" x14ac:dyDescent="0.3"/>
    <row r="31037" customFormat="1" x14ac:dyDescent="0.3"/>
    <row r="31038" customFormat="1" x14ac:dyDescent="0.3"/>
    <row r="31039" customFormat="1" x14ac:dyDescent="0.3"/>
    <row r="31040" customFormat="1" x14ac:dyDescent="0.3"/>
    <row r="31041" customFormat="1" x14ac:dyDescent="0.3"/>
    <row r="31042" customFormat="1" x14ac:dyDescent="0.3"/>
    <row r="31043" customFormat="1" x14ac:dyDescent="0.3"/>
    <row r="31044" customFormat="1" x14ac:dyDescent="0.3"/>
    <row r="31045" customFormat="1" x14ac:dyDescent="0.3"/>
    <row r="31046" customFormat="1" x14ac:dyDescent="0.3"/>
    <row r="31047" customFormat="1" x14ac:dyDescent="0.3"/>
    <row r="31048" customFormat="1" x14ac:dyDescent="0.3"/>
    <row r="31049" customFormat="1" x14ac:dyDescent="0.3"/>
    <row r="31050" customFormat="1" x14ac:dyDescent="0.3"/>
    <row r="31051" customFormat="1" x14ac:dyDescent="0.3"/>
    <row r="31052" customFormat="1" x14ac:dyDescent="0.3"/>
    <row r="31053" customFormat="1" x14ac:dyDescent="0.3"/>
    <row r="31054" customFormat="1" x14ac:dyDescent="0.3"/>
    <row r="31055" customFormat="1" x14ac:dyDescent="0.3"/>
    <row r="31056" customFormat="1" x14ac:dyDescent="0.3"/>
    <row r="31057" customFormat="1" x14ac:dyDescent="0.3"/>
    <row r="31058" customFormat="1" x14ac:dyDescent="0.3"/>
    <row r="31059" customFormat="1" x14ac:dyDescent="0.3"/>
    <row r="31060" customFormat="1" x14ac:dyDescent="0.3"/>
    <row r="31061" customFormat="1" x14ac:dyDescent="0.3"/>
    <row r="31062" customFormat="1" x14ac:dyDescent="0.3"/>
    <row r="31063" customFormat="1" x14ac:dyDescent="0.3"/>
    <row r="31064" customFormat="1" x14ac:dyDescent="0.3"/>
    <row r="31065" customFormat="1" x14ac:dyDescent="0.3"/>
    <row r="31066" customFormat="1" x14ac:dyDescent="0.3"/>
    <row r="31067" customFormat="1" x14ac:dyDescent="0.3"/>
    <row r="31068" customFormat="1" x14ac:dyDescent="0.3"/>
    <row r="31069" customFormat="1" x14ac:dyDescent="0.3"/>
    <row r="31070" customFormat="1" x14ac:dyDescent="0.3"/>
    <row r="31071" customFormat="1" x14ac:dyDescent="0.3"/>
    <row r="31072" customFormat="1" x14ac:dyDescent="0.3"/>
    <row r="31073" customFormat="1" x14ac:dyDescent="0.3"/>
    <row r="31074" customFormat="1" x14ac:dyDescent="0.3"/>
    <row r="31075" customFormat="1" x14ac:dyDescent="0.3"/>
    <row r="31076" customFormat="1" x14ac:dyDescent="0.3"/>
    <row r="31077" customFormat="1" x14ac:dyDescent="0.3"/>
    <row r="31078" customFormat="1" x14ac:dyDescent="0.3"/>
    <row r="31079" customFormat="1" x14ac:dyDescent="0.3"/>
    <row r="31080" customFormat="1" x14ac:dyDescent="0.3"/>
    <row r="31081" customFormat="1" x14ac:dyDescent="0.3"/>
    <row r="31082" customFormat="1" x14ac:dyDescent="0.3"/>
    <row r="31083" customFormat="1" x14ac:dyDescent="0.3"/>
    <row r="31084" customFormat="1" x14ac:dyDescent="0.3"/>
    <row r="31085" customFormat="1" x14ac:dyDescent="0.3"/>
    <row r="31086" customFormat="1" x14ac:dyDescent="0.3"/>
    <row r="31087" customFormat="1" x14ac:dyDescent="0.3"/>
    <row r="31088" customFormat="1" x14ac:dyDescent="0.3"/>
    <row r="31089" customFormat="1" x14ac:dyDescent="0.3"/>
    <row r="31090" customFormat="1" x14ac:dyDescent="0.3"/>
    <row r="31091" customFormat="1" x14ac:dyDescent="0.3"/>
    <row r="31092" customFormat="1" x14ac:dyDescent="0.3"/>
    <row r="31093" customFormat="1" x14ac:dyDescent="0.3"/>
    <row r="31094" customFormat="1" x14ac:dyDescent="0.3"/>
    <row r="31095" customFormat="1" x14ac:dyDescent="0.3"/>
    <row r="31096" customFormat="1" x14ac:dyDescent="0.3"/>
    <row r="31097" customFormat="1" x14ac:dyDescent="0.3"/>
    <row r="31098" customFormat="1" x14ac:dyDescent="0.3"/>
    <row r="31099" customFormat="1" x14ac:dyDescent="0.3"/>
    <row r="31100" customFormat="1" x14ac:dyDescent="0.3"/>
    <row r="31101" customFormat="1" x14ac:dyDescent="0.3"/>
    <row r="31102" customFormat="1" x14ac:dyDescent="0.3"/>
    <row r="31103" customFormat="1" x14ac:dyDescent="0.3"/>
    <row r="31104" customFormat="1" x14ac:dyDescent="0.3"/>
    <row r="31105" customFormat="1" x14ac:dyDescent="0.3"/>
    <row r="31106" customFormat="1" x14ac:dyDescent="0.3"/>
    <row r="31107" customFormat="1" x14ac:dyDescent="0.3"/>
    <row r="31108" customFormat="1" x14ac:dyDescent="0.3"/>
    <row r="31109" customFormat="1" x14ac:dyDescent="0.3"/>
    <row r="31110" customFormat="1" x14ac:dyDescent="0.3"/>
    <row r="31111" customFormat="1" x14ac:dyDescent="0.3"/>
    <row r="31112" customFormat="1" x14ac:dyDescent="0.3"/>
    <row r="31113" customFormat="1" x14ac:dyDescent="0.3"/>
    <row r="31114" customFormat="1" x14ac:dyDescent="0.3"/>
    <row r="31115" customFormat="1" x14ac:dyDescent="0.3"/>
    <row r="31116" customFormat="1" x14ac:dyDescent="0.3"/>
    <row r="31117" customFormat="1" x14ac:dyDescent="0.3"/>
    <row r="31118" customFormat="1" x14ac:dyDescent="0.3"/>
    <row r="31119" customFormat="1" x14ac:dyDescent="0.3"/>
    <row r="31120" customFormat="1" x14ac:dyDescent="0.3"/>
    <row r="31121" customFormat="1" x14ac:dyDescent="0.3"/>
    <row r="31122" customFormat="1" x14ac:dyDescent="0.3"/>
    <row r="31123" customFormat="1" x14ac:dyDescent="0.3"/>
    <row r="31124" customFormat="1" x14ac:dyDescent="0.3"/>
    <row r="31125" customFormat="1" x14ac:dyDescent="0.3"/>
    <row r="31126" customFormat="1" x14ac:dyDescent="0.3"/>
    <row r="31127" customFormat="1" x14ac:dyDescent="0.3"/>
    <row r="31128" customFormat="1" x14ac:dyDescent="0.3"/>
    <row r="31129" customFormat="1" x14ac:dyDescent="0.3"/>
    <row r="31130" customFormat="1" x14ac:dyDescent="0.3"/>
    <row r="31131" customFormat="1" x14ac:dyDescent="0.3"/>
    <row r="31132" customFormat="1" x14ac:dyDescent="0.3"/>
    <row r="31133" customFormat="1" x14ac:dyDescent="0.3"/>
    <row r="31134" customFormat="1" x14ac:dyDescent="0.3"/>
    <row r="31135" customFormat="1" x14ac:dyDescent="0.3"/>
    <row r="31136" customFormat="1" x14ac:dyDescent="0.3"/>
    <row r="31137" customFormat="1" x14ac:dyDescent="0.3"/>
    <row r="31138" customFormat="1" x14ac:dyDescent="0.3"/>
    <row r="31139" customFormat="1" x14ac:dyDescent="0.3"/>
    <row r="31140" customFormat="1" x14ac:dyDescent="0.3"/>
    <row r="31141" customFormat="1" x14ac:dyDescent="0.3"/>
    <row r="31142" customFormat="1" x14ac:dyDescent="0.3"/>
    <row r="31143" customFormat="1" x14ac:dyDescent="0.3"/>
    <row r="31144" customFormat="1" x14ac:dyDescent="0.3"/>
    <row r="31145" customFormat="1" x14ac:dyDescent="0.3"/>
    <row r="31146" customFormat="1" x14ac:dyDescent="0.3"/>
    <row r="31147" customFormat="1" x14ac:dyDescent="0.3"/>
    <row r="31148" customFormat="1" x14ac:dyDescent="0.3"/>
    <row r="31149" customFormat="1" x14ac:dyDescent="0.3"/>
    <row r="31150" customFormat="1" x14ac:dyDescent="0.3"/>
    <row r="31151" customFormat="1" x14ac:dyDescent="0.3"/>
    <row r="31152" customFormat="1" x14ac:dyDescent="0.3"/>
    <row r="31153" customFormat="1" x14ac:dyDescent="0.3"/>
    <row r="31154" customFormat="1" x14ac:dyDescent="0.3"/>
    <row r="31155" customFormat="1" x14ac:dyDescent="0.3"/>
    <row r="31156" customFormat="1" x14ac:dyDescent="0.3"/>
    <row r="31157" customFormat="1" x14ac:dyDescent="0.3"/>
    <row r="31158" customFormat="1" x14ac:dyDescent="0.3"/>
    <row r="31159" customFormat="1" x14ac:dyDescent="0.3"/>
    <row r="31160" customFormat="1" x14ac:dyDescent="0.3"/>
    <row r="31161" customFormat="1" x14ac:dyDescent="0.3"/>
    <row r="31162" customFormat="1" x14ac:dyDescent="0.3"/>
    <row r="31163" customFormat="1" x14ac:dyDescent="0.3"/>
    <row r="31164" customFormat="1" x14ac:dyDescent="0.3"/>
    <row r="31165" customFormat="1" x14ac:dyDescent="0.3"/>
    <row r="31166" customFormat="1" x14ac:dyDescent="0.3"/>
    <row r="31167" customFormat="1" x14ac:dyDescent="0.3"/>
    <row r="31168" customFormat="1" x14ac:dyDescent="0.3"/>
    <row r="31169" customFormat="1" x14ac:dyDescent="0.3"/>
    <row r="31170" customFormat="1" x14ac:dyDescent="0.3"/>
    <row r="31171" customFormat="1" x14ac:dyDescent="0.3"/>
    <row r="31172" customFormat="1" x14ac:dyDescent="0.3"/>
    <row r="31173" customFormat="1" x14ac:dyDescent="0.3"/>
    <row r="31174" customFormat="1" x14ac:dyDescent="0.3"/>
    <row r="31175" customFormat="1" x14ac:dyDescent="0.3"/>
    <row r="31176" customFormat="1" x14ac:dyDescent="0.3"/>
    <row r="31177" customFormat="1" x14ac:dyDescent="0.3"/>
    <row r="31178" customFormat="1" x14ac:dyDescent="0.3"/>
    <row r="31179" customFormat="1" x14ac:dyDescent="0.3"/>
    <row r="31180" customFormat="1" x14ac:dyDescent="0.3"/>
    <row r="31181" customFormat="1" x14ac:dyDescent="0.3"/>
    <row r="31182" customFormat="1" x14ac:dyDescent="0.3"/>
    <row r="31183" customFormat="1" x14ac:dyDescent="0.3"/>
    <row r="31184" customFormat="1" x14ac:dyDescent="0.3"/>
    <row r="31185" customFormat="1" x14ac:dyDescent="0.3"/>
    <row r="31186" customFormat="1" x14ac:dyDescent="0.3"/>
    <row r="31187" customFormat="1" x14ac:dyDescent="0.3"/>
    <row r="31188" customFormat="1" x14ac:dyDescent="0.3"/>
    <row r="31189" customFormat="1" x14ac:dyDescent="0.3"/>
    <row r="31190" customFormat="1" x14ac:dyDescent="0.3"/>
    <row r="31191" customFormat="1" x14ac:dyDescent="0.3"/>
    <row r="31192" customFormat="1" x14ac:dyDescent="0.3"/>
    <row r="31193" customFormat="1" x14ac:dyDescent="0.3"/>
    <row r="31194" customFormat="1" x14ac:dyDescent="0.3"/>
    <row r="31195" customFormat="1" x14ac:dyDescent="0.3"/>
    <row r="31196" customFormat="1" x14ac:dyDescent="0.3"/>
    <row r="31197" customFormat="1" x14ac:dyDescent="0.3"/>
    <row r="31198" customFormat="1" x14ac:dyDescent="0.3"/>
    <row r="31199" customFormat="1" x14ac:dyDescent="0.3"/>
    <row r="31200" customFormat="1" x14ac:dyDescent="0.3"/>
    <row r="31201" customFormat="1" x14ac:dyDescent="0.3"/>
    <row r="31202" customFormat="1" x14ac:dyDescent="0.3"/>
    <row r="31203" customFormat="1" x14ac:dyDescent="0.3"/>
    <row r="31204" customFormat="1" x14ac:dyDescent="0.3"/>
    <row r="31205" customFormat="1" x14ac:dyDescent="0.3"/>
    <row r="31206" customFormat="1" x14ac:dyDescent="0.3"/>
    <row r="31207" customFormat="1" x14ac:dyDescent="0.3"/>
    <row r="31208" customFormat="1" x14ac:dyDescent="0.3"/>
    <row r="31209" customFormat="1" x14ac:dyDescent="0.3"/>
    <row r="31210" customFormat="1" x14ac:dyDescent="0.3"/>
    <row r="31211" customFormat="1" x14ac:dyDescent="0.3"/>
    <row r="31212" customFormat="1" x14ac:dyDescent="0.3"/>
    <row r="31213" customFormat="1" x14ac:dyDescent="0.3"/>
    <row r="31214" customFormat="1" x14ac:dyDescent="0.3"/>
    <row r="31215" customFormat="1" x14ac:dyDescent="0.3"/>
    <row r="31216" customFormat="1" x14ac:dyDescent="0.3"/>
    <row r="31217" customFormat="1" x14ac:dyDescent="0.3"/>
    <row r="31218" customFormat="1" x14ac:dyDescent="0.3"/>
    <row r="31219" customFormat="1" x14ac:dyDescent="0.3"/>
    <row r="31220" customFormat="1" x14ac:dyDescent="0.3"/>
    <row r="31221" customFormat="1" x14ac:dyDescent="0.3"/>
    <row r="31222" customFormat="1" x14ac:dyDescent="0.3"/>
    <row r="31223" customFormat="1" x14ac:dyDescent="0.3"/>
    <row r="31224" customFormat="1" x14ac:dyDescent="0.3"/>
    <row r="31225" customFormat="1" x14ac:dyDescent="0.3"/>
    <row r="31226" customFormat="1" x14ac:dyDescent="0.3"/>
    <row r="31227" customFormat="1" x14ac:dyDescent="0.3"/>
    <row r="31228" customFormat="1" x14ac:dyDescent="0.3"/>
    <row r="31229" customFormat="1" x14ac:dyDescent="0.3"/>
    <row r="31230" customFormat="1" x14ac:dyDescent="0.3"/>
    <row r="31231" customFormat="1" x14ac:dyDescent="0.3"/>
    <row r="31232" customFormat="1" x14ac:dyDescent="0.3"/>
    <row r="31233" customFormat="1" x14ac:dyDescent="0.3"/>
    <row r="31234" customFormat="1" x14ac:dyDescent="0.3"/>
    <row r="31235" customFormat="1" x14ac:dyDescent="0.3"/>
    <row r="31236" customFormat="1" x14ac:dyDescent="0.3"/>
    <row r="31237" customFormat="1" x14ac:dyDescent="0.3"/>
    <row r="31238" customFormat="1" x14ac:dyDescent="0.3"/>
    <row r="31239" customFormat="1" x14ac:dyDescent="0.3"/>
    <row r="31240" customFormat="1" x14ac:dyDescent="0.3"/>
    <row r="31241" customFormat="1" x14ac:dyDescent="0.3"/>
    <row r="31242" customFormat="1" x14ac:dyDescent="0.3"/>
    <row r="31243" customFormat="1" x14ac:dyDescent="0.3"/>
    <row r="31244" customFormat="1" x14ac:dyDescent="0.3"/>
    <row r="31245" customFormat="1" x14ac:dyDescent="0.3"/>
    <row r="31246" customFormat="1" x14ac:dyDescent="0.3"/>
    <row r="31247" customFormat="1" x14ac:dyDescent="0.3"/>
    <row r="31248" customFormat="1" x14ac:dyDescent="0.3"/>
    <row r="31249" customFormat="1" x14ac:dyDescent="0.3"/>
    <row r="31250" customFormat="1" x14ac:dyDescent="0.3"/>
    <row r="31251" customFormat="1" x14ac:dyDescent="0.3"/>
    <row r="31252" customFormat="1" x14ac:dyDescent="0.3"/>
    <row r="31253" customFormat="1" x14ac:dyDescent="0.3"/>
    <row r="31254" customFormat="1" x14ac:dyDescent="0.3"/>
    <row r="31255" customFormat="1" x14ac:dyDescent="0.3"/>
    <row r="31256" customFormat="1" x14ac:dyDescent="0.3"/>
    <row r="31257" customFormat="1" x14ac:dyDescent="0.3"/>
    <row r="31258" customFormat="1" x14ac:dyDescent="0.3"/>
    <row r="31259" customFormat="1" x14ac:dyDescent="0.3"/>
    <row r="31260" customFormat="1" x14ac:dyDescent="0.3"/>
    <row r="31261" customFormat="1" x14ac:dyDescent="0.3"/>
    <row r="31262" customFormat="1" x14ac:dyDescent="0.3"/>
    <row r="31263" customFormat="1" x14ac:dyDescent="0.3"/>
    <row r="31264" customFormat="1" x14ac:dyDescent="0.3"/>
    <row r="31265" customFormat="1" x14ac:dyDescent="0.3"/>
    <row r="31266" customFormat="1" x14ac:dyDescent="0.3"/>
    <row r="31267" customFormat="1" x14ac:dyDescent="0.3"/>
    <row r="31268" customFormat="1" x14ac:dyDescent="0.3"/>
    <row r="31269" customFormat="1" x14ac:dyDescent="0.3"/>
    <row r="31270" customFormat="1" x14ac:dyDescent="0.3"/>
    <row r="31271" customFormat="1" x14ac:dyDescent="0.3"/>
    <row r="31272" customFormat="1" x14ac:dyDescent="0.3"/>
    <row r="31273" customFormat="1" x14ac:dyDescent="0.3"/>
    <row r="31274" customFormat="1" x14ac:dyDescent="0.3"/>
    <row r="31275" customFormat="1" x14ac:dyDescent="0.3"/>
    <row r="31276" customFormat="1" x14ac:dyDescent="0.3"/>
    <row r="31277" customFormat="1" x14ac:dyDescent="0.3"/>
    <row r="31278" customFormat="1" x14ac:dyDescent="0.3"/>
    <row r="31279" customFormat="1" x14ac:dyDescent="0.3"/>
    <row r="31280" customFormat="1" x14ac:dyDescent="0.3"/>
    <row r="31281" customFormat="1" x14ac:dyDescent="0.3"/>
    <row r="31282" customFormat="1" x14ac:dyDescent="0.3"/>
    <row r="31283" customFormat="1" x14ac:dyDescent="0.3"/>
    <row r="31284" customFormat="1" x14ac:dyDescent="0.3"/>
    <row r="31285" customFormat="1" x14ac:dyDescent="0.3"/>
    <row r="31286" customFormat="1" x14ac:dyDescent="0.3"/>
    <row r="31287" customFormat="1" x14ac:dyDescent="0.3"/>
    <row r="31288" customFormat="1" x14ac:dyDescent="0.3"/>
    <row r="31289" customFormat="1" x14ac:dyDescent="0.3"/>
    <row r="31290" customFormat="1" x14ac:dyDescent="0.3"/>
    <row r="31291" customFormat="1" x14ac:dyDescent="0.3"/>
    <row r="31292" customFormat="1" x14ac:dyDescent="0.3"/>
    <row r="31293" customFormat="1" x14ac:dyDescent="0.3"/>
    <row r="31294" customFormat="1" x14ac:dyDescent="0.3"/>
    <row r="31295" customFormat="1" x14ac:dyDescent="0.3"/>
    <row r="31296" customFormat="1" x14ac:dyDescent="0.3"/>
    <row r="31297" customFormat="1" x14ac:dyDescent="0.3"/>
    <row r="31298" customFormat="1" x14ac:dyDescent="0.3"/>
    <row r="31299" customFormat="1" x14ac:dyDescent="0.3"/>
    <row r="31300" customFormat="1" x14ac:dyDescent="0.3"/>
    <row r="31301" customFormat="1" x14ac:dyDescent="0.3"/>
    <row r="31302" customFormat="1" x14ac:dyDescent="0.3"/>
    <row r="31303" customFormat="1" x14ac:dyDescent="0.3"/>
    <row r="31304" customFormat="1" x14ac:dyDescent="0.3"/>
    <row r="31305" customFormat="1" x14ac:dyDescent="0.3"/>
    <row r="31306" customFormat="1" x14ac:dyDescent="0.3"/>
    <row r="31307" customFormat="1" x14ac:dyDescent="0.3"/>
    <row r="31308" customFormat="1" x14ac:dyDescent="0.3"/>
    <row r="31309" customFormat="1" x14ac:dyDescent="0.3"/>
    <row r="31310" customFormat="1" x14ac:dyDescent="0.3"/>
    <row r="31311" customFormat="1" x14ac:dyDescent="0.3"/>
    <row r="31312" customFormat="1" x14ac:dyDescent="0.3"/>
    <row r="31313" customFormat="1" x14ac:dyDescent="0.3"/>
    <row r="31314" customFormat="1" x14ac:dyDescent="0.3"/>
    <row r="31315" customFormat="1" x14ac:dyDescent="0.3"/>
    <row r="31316" customFormat="1" x14ac:dyDescent="0.3"/>
    <row r="31317" customFormat="1" x14ac:dyDescent="0.3"/>
    <row r="31318" customFormat="1" x14ac:dyDescent="0.3"/>
    <row r="31319" customFormat="1" x14ac:dyDescent="0.3"/>
    <row r="31320" customFormat="1" x14ac:dyDescent="0.3"/>
    <row r="31321" customFormat="1" x14ac:dyDescent="0.3"/>
    <row r="31322" customFormat="1" x14ac:dyDescent="0.3"/>
    <row r="31323" customFormat="1" x14ac:dyDescent="0.3"/>
    <row r="31324" customFormat="1" x14ac:dyDescent="0.3"/>
    <row r="31325" customFormat="1" x14ac:dyDescent="0.3"/>
    <row r="31326" customFormat="1" x14ac:dyDescent="0.3"/>
    <row r="31327" customFormat="1" x14ac:dyDescent="0.3"/>
    <row r="31328" customFormat="1" x14ac:dyDescent="0.3"/>
    <row r="31329" customFormat="1" x14ac:dyDescent="0.3"/>
    <row r="31330" customFormat="1" x14ac:dyDescent="0.3"/>
    <row r="31331" customFormat="1" x14ac:dyDescent="0.3"/>
    <row r="31332" customFormat="1" x14ac:dyDescent="0.3"/>
    <row r="31333" customFormat="1" x14ac:dyDescent="0.3"/>
    <row r="31334" customFormat="1" x14ac:dyDescent="0.3"/>
    <row r="31335" customFormat="1" x14ac:dyDescent="0.3"/>
    <row r="31336" customFormat="1" x14ac:dyDescent="0.3"/>
    <row r="31337" customFormat="1" x14ac:dyDescent="0.3"/>
    <row r="31338" customFormat="1" x14ac:dyDescent="0.3"/>
    <row r="31339" customFormat="1" x14ac:dyDescent="0.3"/>
    <row r="31340" customFormat="1" x14ac:dyDescent="0.3"/>
    <row r="31341" customFormat="1" x14ac:dyDescent="0.3"/>
    <row r="31342" customFormat="1" x14ac:dyDescent="0.3"/>
    <row r="31343" customFormat="1" x14ac:dyDescent="0.3"/>
    <row r="31344" customFormat="1" x14ac:dyDescent="0.3"/>
    <row r="31345" customFormat="1" x14ac:dyDescent="0.3"/>
    <row r="31346" customFormat="1" x14ac:dyDescent="0.3"/>
    <row r="31347" customFormat="1" x14ac:dyDescent="0.3"/>
    <row r="31348" customFormat="1" x14ac:dyDescent="0.3"/>
    <row r="31349" customFormat="1" x14ac:dyDescent="0.3"/>
    <row r="31350" customFormat="1" x14ac:dyDescent="0.3"/>
    <row r="31351" customFormat="1" x14ac:dyDescent="0.3"/>
    <row r="31352" customFormat="1" x14ac:dyDescent="0.3"/>
    <row r="31353" customFormat="1" x14ac:dyDescent="0.3"/>
    <row r="31354" customFormat="1" x14ac:dyDescent="0.3"/>
    <row r="31355" customFormat="1" x14ac:dyDescent="0.3"/>
    <row r="31356" customFormat="1" x14ac:dyDescent="0.3"/>
    <row r="31357" customFormat="1" x14ac:dyDescent="0.3"/>
    <row r="31358" customFormat="1" x14ac:dyDescent="0.3"/>
    <row r="31359" customFormat="1" x14ac:dyDescent="0.3"/>
    <row r="31360" customFormat="1" x14ac:dyDescent="0.3"/>
    <row r="31361" customFormat="1" x14ac:dyDescent="0.3"/>
    <row r="31362" customFormat="1" x14ac:dyDescent="0.3"/>
    <row r="31363" customFormat="1" x14ac:dyDescent="0.3"/>
    <row r="31364" customFormat="1" x14ac:dyDescent="0.3"/>
    <row r="31365" customFormat="1" x14ac:dyDescent="0.3"/>
    <row r="31366" customFormat="1" x14ac:dyDescent="0.3"/>
    <row r="31367" customFormat="1" x14ac:dyDescent="0.3"/>
    <row r="31368" customFormat="1" x14ac:dyDescent="0.3"/>
    <row r="31369" customFormat="1" x14ac:dyDescent="0.3"/>
    <row r="31370" customFormat="1" x14ac:dyDescent="0.3"/>
    <row r="31371" customFormat="1" x14ac:dyDescent="0.3"/>
    <row r="31372" customFormat="1" x14ac:dyDescent="0.3"/>
    <row r="31373" customFormat="1" x14ac:dyDescent="0.3"/>
    <row r="31374" customFormat="1" x14ac:dyDescent="0.3"/>
    <row r="31375" customFormat="1" x14ac:dyDescent="0.3"/>
    <row r="31376" customFormat="1" x14ac:dyDescent="0.3"/>
    <row r="31377" customFormat="1" x14ac:dyDescent="0.3"/>
    <row r="31378" customFormat="1" x14ac:dyDescent="0.3"/>
    <row r="31379" customFormat="1" x14ac:dyDescent="0.3"/>
    <row r="31380" customFormat="1" x14ac:dyDescent="0.3"/>
    <row r="31381" customFormat="1" x14ac:dyDescent="0.3"/>
    <row r="31382" customFormat="1" x14ac:dyDescent="0.3"/>
    <row r="31383" customFormat="1" x14ac:dyDescent="0.3"/>
    <row r="31384" customFormat="1" x14ac:dyDescent="0.3"/>
    <row r="31385" customFormat="1" x14ac:dyDescent="0.3"/>
    <row r="31386" customFormat="1" x14ac:dyDescent="0.3"/>
    <row r="31387" customFormat="1" x14ac:dyDescent="0.3"/>
    <row r="31388" customFormat="1" x14ac:dyDescent="0.3"/>
    <row r="31389" customFormat="1" x14ac:dyDescent="0.3"/>
    <row r="31390" customFormat="1" x14ac:dyDescent="0.3"/>
    <row r="31391" customFormat="1" x14ac:dyDescent="0.3"/>
    <row r="31392" customFormat="1" x14ac:dyDescent="0.3"/>
    <row r="31393" customFormat="1" x14ac:dyDescent="0.3"/>
    <row r="31394" customFormat="1" x14ac:dyDescent="0.3"/>
    <row r="31395" customFormat="1" x14ac:dyDescent="0.3"/>
    <row r="31396" customFormat="1" x14ac:dyDescent="0.3"/>
    <row r="31397" customFormat="1" x14ac:dyDescent="0.3"/>
    <row r="31398" customFormat="1" x14ac:dyDescent="0.3"/>
    <row r="31399" customFormat="1" x14ac:dyDescent="0.3"/>
    <row r="31400" customFormat="1" x14ac:dyDescent="0.3"/>
    <row r="31401" customFormat="1" x14ac:dyDescent="0.3"/>
    <row r="31402" customFormat="1" x14ac:dyDescent="0.3"/>
    <row r="31403" customFormat="1" x14ac:dyDescent="0.3"/>
    <row r="31404" customFormat="1" x14ac:dyDescent="0.3"/>
    <row r="31405" customFormat="1" x14ac:dyDescent="0.3"/>
    <row r="31406" customFormat="1" x14ac:dyDescent="0.3"/>
    <row r="31407" customFormat="1" x14ac:dyDescent="0.3"/>
    <row r="31408" customFormat="1" x14ac:dyDescent="0.3"/>
    <row r="31409" customFormat="1" x14ac:dyDescent="0.3"/>
    <row r="31410" customFormat="1" x14ac:dyDescent="0.3"/>
    <row r="31411" customFormat="1" x14ac:dyDescent="0.3"/>
    <row r="31412" customFormat="1" x14ac:dyDescent="0.3"/>
    <row r="31413" customFormat="1" x14ac:dyDescent="0.3"/>
    <row r="31414" customFormat="1" x14ac:dyDescent="0.3"/>
    <row r="31415" customFormat="1" x14ac:dyDescent="0.3"/>
    <row r="31416" customFormat="1" x14ac:dyDescent="0.3"/>
    <row r="31417" customFormat="1" x14ac:dyDescent="0.3"/>
    <row r="31418" customFormat="1" x14ac:dyDescent="0.3"/>
    <row r="31419" customFormat="1" x14ac:dyDescent="0.3"/>
    <row r="31420" customFormat="1" x14ac:dyDescent="0.3"/>
    <row r="31421" customFormat="1" x14ac:dyDescent="0.3"/>
    <row r="31422" customFormat="1" x14ac:dyDescent="0.3"/>
    <row r="31423" customFormat="1" x14ac:dyDescent="0.3"/>
    <row r="31424" customFormat="1" x14ac:dyDescent="0.3"/>
    <row r="31425" customFormat="1" x14ac:dyDescent="0.3"/>
    <row r="31426" customFormat="1" x14ac:dyDescent="0.3"/>
    <row r="31427" customFormat="1" x14ac:dyDescent="0.3"/>
    <row r="31428" customFormat="1" x14ac:dyDescent="0.3"/>
    <row r="31429" customFormat="1" x14ac:dyDescent="0.3"/>
    <row r="31430" customFormat="1" x14ac:dyDescent="0.3"/>
    <row r="31431" customFormat="1" x14ac:dyDescent="0.3"/>
    <row r="31432" customFormat="1" x14ac:dyDescent="0.3"/>
    <row r="31433" customFormat="1" x14ac:dyDescent="0.3"/>
    <row r="31434" customFormat="1" x14ac:dyDescent="0.3"/>
    <row r="31435" customFormat="1" x14ac:dyDescent="0.3"/>
    <row r="31436" customFormat="1" x14ac:dyDescent="0.3"/>
    <row r="31437" customFormat="1" x14ac:dyDescent="0.3"/>
    <row r="31438" customFormat="1" x14ac:dyDescent="0.3"/>
    <row r="31439" customFormat="1" x14ac:dyDescent="0.3"/>
    <row r="31440" customFormat="1" x14ac:dyDescent="0.3"/>
    <row r="31441" customFormat="1" x14ac:dyDescent="0.3"/>
    <row r="31442" customFormat="1" x14ac:dyDescent="0.3"/>
    <row r="31443" customFormat="1" x14ac:dyDescent="0.3"/>
    <row r="31444" customFormat="1" x14ac:dyDescent="0.3"/>
    <row r="31445" customFormat="1" x14ac:dyDescent="0.3"/>
    <row r="31446" customFormat="1" x14ac:dyDescent="0.3"/>
    <row r="31447" customFormat="1" x14ac:dyDescent="0.3"/>
    <row r="31448" customFormat="1" x14ac:dyDescent="0.3"/>
    <row r="31449" customFormat="1" x14ac:dyDescent="0.3"/>
    <row r="31450" customFormat="1" x14ac:dyDescent="0.3"/>
    <row r="31451" customFormat="1" x14ac:dyDescent="0.3"/>
    <row r="31452" customFormat="1" x14ac:dyDescent="0.3"/>
    <row r="31453" customFormat="1" x14ac:dyDescent="0.3"/>
    <row r="31454" customFormat="1" x14ac:dyDescent="0.3"/>
    <row r="31455" customFormat="1" x14ac:dyDescent="0.3"/>
    <row r="31456" customFormat="1" x14ac:dyDescent="0.3"/>
    <row r="31457" customFormat="1" x14ac:dyDescent="0.3"/>
    <row r="31458" customFormat="1" x14ac:dyDescent="0.3"/>
    <row r="31459" customFormat="1" x14ac:dyDescent="0.3"/>
    <row r="31460" customFormat="1" x14ac:dyDescent="0.3"/>
    <row r="31461" customFormat="1" x14ac:dyDescent="0.3"/>
    <row r="31462" customFormat="1" x14ac:dyDescent="0.3"/>
    <row r="31463" customFormat="1" x14ac:dyDescent="0.3"/>
    <row r="31464" customFormat="1" x14ac:dyDescent="0.3"/>
    <row r="31465" customFormat="1" x14ac:dyDescent="0.3"/>
    <row r="31466" customFormat="1" x14ac:dyDescent="0.3"/>
    <row r="31467" customFormat="1" x14ac:dyDescent="0.3"/>
    <row r="31468" customFormat="1" x14ac:dyDescent="0.3"/>
    <row r="31469" customFormat="1" x14ac:dyDescent="0.3"/>
    <row r="31470" customFormat="1" x14ac:dyDescent="0.3"/>
    <row r="31471" customFormat="1" x14ac:dyDescent="0.3"/>
    <row r="31472" customFormat="1" x14ac:dyDescent="0.3"/>
    <row r="31473" customFormat="1" x14ac:dyDescent="0.3"/>
    <row r="31474" customFormat="1" x14ac:dyDescent="0.3"/>
    <row r="31475" customFormat="1" x14ac:dyDescent="0.3"/>
    <row r="31476" customFormat="1" x14ac:dyDescent="0.3"/>
    <row r="31477" customFormat="1" x14ac:dyDescent="0.3"/>
    <row r="31478" customFormat="1" x14ac:dyDescent="0.3"/>
    <row r="31479" customFormat="1" x14ac:dyDescent="0.3"/>
    <row r="31480" customFormat="1" x14ac:dyDescent="0.3"/>
    <row r="31481" customFormat="1" x14ac:dyDescent="0.3"/>
    <row r="31482" customFormat="1" x14ac:dyDescent="0.3"/>
    <row r="31483" customFormat="1" x14ac:dyDescent="0.3"/>
    <row r="31484" customFormat="1" x14ac:dyDescent="0.3"/>
    <row r="31485" customFormat="1" x14ac:dyDescent="0.3"/>
    <row r="31486" customFormat="1" x14ac:dyDescent="0.3"/>
    <row r="31487" customFormat="1" x14ac:dyDescent="0.3"/>
    <row r="31488" customFormat="1" x14ac:dyDescent="0.3"/>
    <row r="31489" customFormat="1" x14ac:dyDescent="0.3"/>
    <row r="31490" customFormat="1" x14ac:dyDescent="0.3"/>
    <row r="31491" customFormat="1" x14ac:dyDescent="0.3"/>
    <row r="31492" customFormat="1" x14ac:dyDescent="0.3"/>
    <row r="31493" customFormat="1" x14ac:dyDescent="0.3"/>
    <row r="31494" customFormat="1" x14ac:dyDescent="0.3"/>
    <row r="31495" customFormat="1" x14ac:dyDescent="0.3"/>
    <row r="31496" customFormat="1" x14ac:dyDescent="0.3"/>
    <row r="31497" customFormat="1" x14ac:dyDescent="0.3"/>
    <row r="31498" customFormat="1" x14ac:dyDescent="0.3"/>
    <row r="31499" customFormat="1" x14ac:dyDescent="0.3"/>
    <row r="31500" customFormat="1" x14ac:dyDescent="0.3"/>
    <row r="31501" customFormat="1" x14ac:dyDescent="0.3"/>
    <row r="31502" customFormat="1" x14ac:dyDescent="0.3"/>
    <row r="31503" customFormat="1" x14ac:dyDescent="0.3"/>
    <row r="31504" customFormat="1" x14ac:dyDescent="0.3"/>
    <row r="31505" customFormat="1" x14ac:dyDescent="0.3"/>
    <row r="31506" customFormat="1" x14ac:dyDescent="0.3"/>
    <row r="31507" customFormat="1" x14ac:dyDescent="0.3"/>
    <row r="31508" customFormat="1" x14ac:dyDescent="0.3"/>
    <row r="31509" customFormat="1" x14ac:dyDescent="0.3"/>
    <row r="31510" customFormat="1" x14ac:dyDescent="0.3"/>
    <row r="31511" customFormat="1" x14ac:dyDescent="0.3"/>
    <row r="31512" customFormat="1" x14ac:dyDescent="0.3"/>
    <row r="31513" customFormat="1" x14ac:dyDescent="0.3"/>
    <row r="31514" customFormat="1" x14ac:dyDescent="0.3"/>
    <row r="31515" customFormat="1" x14ac:dyDescent="0.3"/>
    <row r="31516" customFormat="1" x14ac:dyDescent="0.3"/>
    <row r="31517" customFormat="1" x14ac:dyDescent="0.3"/>
    <row r="31518" customFormat="1" x14ac:dyDescent="0.3"/>
    <row r="31519" customFormat="1" x14ac:dyDescent="0.3"/>
    <row r="31520" customFormat="1" x14ac:dyDescent="0.3"/>
    <row r="31521" customFormat="1" x14ac:dyDescent="0.3"/>
    <row r="31522" customFormat="1" x14ac:dyDescent="0.3"/>
    <row r="31523" customFormat="1" x14ac:dyDescent="0.3"/>
    <row r="31524" customFormat="1" x14ac:dyDescent="0.3"/>
    <row r="31525" customFormat="1" x14ac:dyDescent="0.3"/>
    <row r="31526" customFormat="1" x14ac:dyDescent="0.3"/>
    <row r="31527" customFormat="1" x14ac:dyDescent="0.3"/>
    <row r="31528" customFormat="1" x14ac:dyDescent="0.3"/>
    <row r="31529" customFormat="1" x14ac:dyDescent="0.3"/>
    <row r="31530" customFormat="1" x14ac:dyDescent="0.3"/>
    <row r="31531" customFormat="1" x14ac:dyDescent="0.3"/>
    <row r="31532" customFormat="1" x14ac:dyDescent="0.3"/>
    <row r="31533" customFormat="1" x14ac:dyDescent="0.3"/>
    <row r="31534" customFormat="1" x14ac:dyDescent="0.3"/>
    <row r="31535" customFormat="1" x14ac:dyDescent="0.3"/>
    <row r="31536" customFormat="1" x14ac:dyDescent="0.3"/>
    <row r="31537" customFormat="1" x14ac:dyDescent="0.3"/>
    <row r="31538" customFormat="1" x14ac:dyDescent="0.3"/>
    <row r="31539" customFormat="1" x14ac:dyDescent="0.3"/>
    <row r="31540" customFormat="1" x14ac:dyDescent="0.3"/>
    <row r="31541" customFormat="1" x14ac:dyDescent="0.3"/>
    <row r="31542" customFormat="1" x14ac:dyDescent="0.3"/>
    <row r="31543" customFormat="1" x14ac:dyDescent="0.3"/>
    <row r="31544" customFormat="1" x14ac:dyDescent="0.3"/>
    <row r="31545" customFormat="1" x14ac:dyDescent="0.3"/>
    <row r="31546" customFormat="1" x14ac:dyDescent="0.3"/>
    <row r="31547" customFormat="1" x14ac:dyDescent="0.3"/>
    <row r="31548" customFormat="1" x14ac:dyDescent="0.3"/>
    <row r="31549" customFormat="1" x14ac:dyDescent="0.3"/>
    <row r="31550" customFormat="1" x14ac:dyDescent="0.3"/>
    <row r="31551" customFormat="1" x14ac:dyDescent="0.3"/>
    <row r="31552" customFormat="1" x14ac:dyDescent="0.3"/>
    <row r="31553" customFormat="1" x14ac:dyDescent="0.3"/>
    <row r="31554" customFormat="1" x14ac:dyDescent="0.3"/>
    <row r="31555" customFormat="1" x14ac:dyDescent="0.3"/>
    <row r="31556" customFormat="1" x14ac:dyDescent="0.3"/>
    <row r="31557" customFormat="1" x14ac:dyDescent="0.3"/>
    <row r="31558" customFormat="1" x14ac:dyDescent="0.3"/>
    <row r="31559" customFormat="1" x14ac:dyDescent="0.3"/>
    <row r="31560" customFormat="1" x14ac:dyDescent="0.3"/>
    <row r="31561" customFormat="1" x14ac:dyDescent="0.3"/>
    <row r="31562" customFormat="1" x14ac:dyDescent="0.3"/>
    <row r="31563" customFormat="1" x14ac:dyDescent="0.3"/>
    <row r="31564" customFormat="1" x14ac:dyDescent="0.3"/>
    <row r="31565" customFormat="1" x14ac:dyDescent="0.3"/>
    <row r="31566" customFormat="1" x14ac:dyDescent="0.3"/>
    <row r="31567" customFormat="1" x14ac:dyDescent="0.3"/>
    <row r="31568" customFormat="1" x14ac:dyDescent="0.3"/>
    <row r="31569" customFormat="1" x14ac:dyDescent="0.3"/>
    <row r="31570" customFormat="1" x14ac:dyDescent="0.3"/>
    <row r="31571" customFormat="1" x14ac:dyDescent="0.3"/>
    <row r="31572" customFormat="1" x14ac:dyDescent="0.3"/>
    <row r="31573" customFormat="1" x14ac:dyDescent="0.3"/>
    <row r="31574" customFormat="1" x14ac:dyDescent="0.3"/>
    <row r="31575" customFormat="1" x14ac:dyDescent="0.3"/>
    <row r="31576" customFormat="1" x14ac:dyDescent="0.3"/>
    <row r="31577" customFormat="1" x14ac:dyDescent="0.3"/>
    <row r="31578" customFormat="1" x14ac:dyDescent="0.3"/>
    <row r="31579" customFormat="1" x14ac:dyDescent="0.3"/>
    <row r="31580" customFormat="1" x14ac:dyDescent="0.3"/>
    <row r="31581" customFormat="1" x14ac:dyDescent="0.3"/>
    <row r="31582" customFormat="1" x14ac:dyDescent="0.3"/>
    <row r="31583" customFormat="1" x14ac:dyDescent="0.3"/>
    <row r="31584" customFormat="1" x14ac:dyDescent="0.3"/>
    <row r="31585" customFormat="1" x14ac:dyDescent="0.3"/>
    <row r="31586" customFormat="1" x14ac:dyDescent="0.3"/>
    <row r="31587" customFormat="1" x14ac:dyDescent="0.3"/>
    <row r="31588" customFormat="1" x14ac:dyDescent="0.3"/>
    <row r="31589" customFormat="1" x14ac:dyDescent="0.3"/>
    <row r="31590" customFormat="1" x14ac:dyDescent="0.3"/>
    <row r="31591" customFormat="1" x14ac:dyDescent="0.3"/>
    <row r="31592" customFormat="1" x14ac:dyDescent="0.3"/>
    <row r="31593" customFormat="1" x14ac:dyDescent="0.3"/>
    <row r="31594" customFormat="1" x14ac:dyDescent="0.3"/>
    <row r="31595" customFormat="1" x14ac:dyDescent="0.3"/>
    <row r="31596" customFormat="1" x14ac:dyDescent="0.3"/>
    <row r="31597" customFormat="1" x14ac:dyDescent="0.3"/>
    <row r="31598" customFormat="1" x14ac:dyDescent="0.3"/>
    <row r="31599" customFormat="1" x14ac:dyDescent="0.3"/>
    <row r="31600" customFormat="1" x14ac:dyDescent="0.3"/>
    <row r="31601" customFormat="1" x14ac:dyDescent="0.3"/>
    <row r="31602" customFormat="1" x14ac:dyDescent="0.3"/>
    <row r="31603" customFormat="1" x14ac:dyDescent="0.3"/>
    <row r="31604" customFormat="1" x14ac:dyDescent="0.3"/>
    <row r="31605" customFormat="1" x14ac:dyDescent="0.3"/>
    <row r="31606" customFormat="1" x14ac:dyDescent="0.3"/>
    <row r="31607" customFormat="1" x14ac:dyDescent="0.3"/>
    <row r="31608" customFormat="1" x14ac:dyDescent="0.3"/>
    <row r="31609" customFormat="1" x14ac:dyDescent="0.3"/>
    <row r="31610" customFormat="1" x14ac:dyDescent="0.3"/>
    <row r="31611" customFormat="1" x14ac:dyDescent="0.3"/>
    <row r="31612" customFormat="1" x14ac:dyDescent="0.3"/>
    <row r="31613" customFormat="1" x14ac:dyDescent="0.3"/>
    <row r="31614" customFormat="1" x14ac:dyDescent="0.3"/>
    <row r="31615" customFormat="1" x14ac:dyDescent="0.3"/>
    <row r="31616" customFormat="1" x14ac:dyDescent="0.3"/>
    <row r="31617" customFormat="1" x14ac:dyDescent="0.3"/>
    <row r="31618" customFormat="1" x14ac:dyDescent="0.3"/>
    <row r="31619" customFormat="1" x14ac:dyDescent="0.3"/>
    <row r="31620" customFormat="1" x14ac:dyDescent="0.3"/>
    <row r="31621" customFormat="1" x14ac:dyDescent="0.3"/>
    <row r="31622" customFormat="1" x14ac:dyDescent="0.3"/>
    <row r="31623" customFormat="1" x14ac:dyDescent="0.3"/>
    <row r="31624" customFormat="1" x14ac:dyDescent="0.3"/>
    <row r="31625" customFormat="1" x14ac:dyDescent="0.3"/>
    <row r="31626" customFormat="1" x14ac:dyDescent="0.3"/>
    <row r="31627" customFormat="1" x14ac:dyDescent="0.3"/>
    <row r="31628" customFormat="1" x14ac:dyDescent="0.3"/>
    <row r="31629" customFormat="1" x14ac:dyDescent="0.3"/>
    <row r="31630" customFormat="1" x14ac:dyDescent="0.3"/>
    <row r="31631" customFormat="1" x14ac:dyDescent="0.3"/>
    <row r="31632" customFormat="1" x14ac:dyDescent="0.3"/>
    <row r="31633" customFormat="1" x14ac:dyDescent="0.3"/>
    <row r="31634" customFormat="1" x14ac:dyDescent="0.3"/>
    <row r="31635" customFormat="1" x14ac:dyDescent="0.3"/>
    <row r="31636" customFormat="1" x14ac:dyDescent="0.3"/>
    <row r="31637" customFormat="1" x14ac:dyDescent="0.3"/>
    <row r="31638" customFormat="1" x14ac:dyDescent="0.3"/>
    <row r="31639" customFormat="1" x14ac:dyDescent="0.3"/>
    <row r="31640" customFormat="1" x14ac:dyDescent="0.3"/>
    <row r="31641" customFormat="1" x14ac:dyDescent="0.3"/>
    <row r="31642" customFormat="1" x14ac:dyDescent="0.3"/>
    <row r="31643" customFormat="1" x14ac:dyDescent="0.3"/>
    <row r="31644" customFormat="1" x14ac:dyDescent="0.3"/>
    <row r="31645" customFormat="1" x14ac:dyDescent="0.3"/>
    <row r="31646" customFormat="1" x14ac:dyDescent="0.3"/>
    <row r="31647" customFormat="1" x14ac:dyDescent="0.3"/>
    <row r="31648" customFormat="1" x14ac:dyDescent="0.3"/>
    <row r="31649" customFormat="1" x14ac:dyDescent="0.3"/>
    <row r="31650" customFormat="1" x14ac:dyDescent="0.3"/>
    <row r="31651" customFormat="1" x14ac:dyDescent="0.3"/>
    <row r="31652" customFormat="1" x14ac:dyDescent="0.3"/>
    <row r="31653" customFormat="1" x14ac:dyDescent="0.3"/>
    <row r="31654" customFormat="1" x14ac:dyDescent="0.3"/>
    <row r="31655" customFormat="1" x14ac:dyDescent="0.3"/>
    <row r="31656" customFormat="1" x14ac:dyDescent="0.3"/>
    <row r="31657" customFormat="1" x14ac:dyDescent="0.3"/>
    <row r="31658" customFormat="1" x14ac:dyDescent="0.3"/>
    <row r="31659" customFormat="1" x14ac:dyDescent="0.3"/>
    <row r="31660" customFormat="1" x14ac:dyDescent="0.3"/>
    <row r="31661" customFormat="1" x14ac:dyDescent="0.3"/>
    <row r="31662" customFormat="1" x14ac:dyDescent="0.3"/>
    <row r="31663" customFormat="1" x14ac:dyDescent="0.3"/>
    <row r="31664" customFormat="1" x14ac:dyDescent="0.3"/>
    <row r="31665" customFormat="1" x14ac:dyDescent="0.3"/>
    <row r="31666" customFormat="1" x14ac:dyDescent="0.3"/>
    <row r="31667" customFormat="1" x14ac:dyDescent="0.3"/>
    <row r="31668" customFormat="1" x14ac:dyDescent="0.3"/>
    <row r="31669" customFormat="1" x14ac:dyDescent="0.3"/>
    <row r="31670" customFormat="1" x14ac:dyDescent="0.3"/>
    <row r="31671" customFormat="1" x14ac:dyDescent="0.3"/>
    <row r="31672" customFormat="1" x14ac:dyDescent="0.3"/>
    <row r="31673" customFormat="1" x14ac:dyDescent="0.3"/>
    <row r="31674" customFormat="1" x14ac:dyDescent="0.3"/>
    <row r="31675" customFormat="1" x14ac:dyDescent="0.3"/>
    <row r="31676" customFormat="1" x14ac:dyDescent="0.3"/>
    <row r="31677" customFormat="1" x14ac:dyDescent="0.3"/>
    <row r="31678" customFormat="1" x14ac:dyDescent="0.3"/>
    <row r="31679" customFormat="1" x14ac:dyDescent="0.3"/>
    <row r="31680" customFormat="1" x14ac:dyDescent="0.3"/>
    <row r="31681" customFormat="1" x14ac:dyDescent="0.3"/>
    <row r="31682" customFormat="1" x14ac:dyDescent="0.3"/>
    <row r="31683" customFormat="1" x14ac:dyDescent="0.3"/>
    <row r="31684" customFormat="1" x14ac:dyDescent="0.3"/>
    <row r="31685" customFormat="1" x14ac:dyDescent="0.3"/>
    <row r="31686" customFormat="1" x14ac:dyDescent="0.3"/>
    <row r="31687" customFormat="1" x14ac:dyDescent="0.3"/>
    <row r="31688" customFormat="1" x14ac:dyDescent="0.3"/>
    <row r="31689" customFormat="1" x14ac:dyDescent="0.3"/>
    <row r="31690" customFormat="1" x14ac:dyDescent="0.3"/>
    <row r="31691" customFormat="1" x14ac:dyDescent="0.3"/>
    <row r="31692" customFormat="1" x14ac:dyDescent="0.3"/>
    <row r="31693" customFormat="1" x14ac:dyDescent="0.3"/>
    <row r="31694" customFormat="1" x14ac:dyDescent="0.3"/>
    <row r="31695" customFormat="1" x14ac:dyDescent="0.3"/>
    <row r="31696" customFormat="1" x14ac:dyDescent="0.3"/>
    <row r="31697" customFormat="1" x14ac:dyDescent="0.3"/>
    <row r="31698" customFormat="1" x14ac:dyDescent="0.3"/>
    <row r="31699" customFormat="1" x14ac:dyDescent="0.3"/>
    <row r="31700" customFormat="1" x14ac:dyDescent="0.3"/>
    <row r="31701" customFormat="1" x14ac:dyDescent="0.3"/>
    <row r="31702" customFormat="1" x14ac:dyDescent="0.3"/>
    <row r="31703" customFormat="1" x14ac:dyDescent="0.3"/>
    <row r="31704" customFormat="1" x14ac:dyDescent="0.3"/>
    <row r="31705" customFormat="1" x14ac:dyDescent="0.3"/>
    <row r="31706" customFormat="1" x14ac:dyDescent="0.3"/>
    <row r="31707" customFormat="1" x14ac:dyDescent="0.3"/>
    <row r="31708" customFormat="1" x14ac:dyDescent="0.3"/>
    <row r="31709" customFormat="1" x14ac:dyDescent="0.3"/>
    <row r="31710" customFormat="1" x14ac:dyDescent="0.3"/>
    <row r="31711" customFormat="1" x14ac:dyDescent="0.3"/>
    <row r="31712" customFormat="1" x14ac:dyDescent="0.3"/>
    <row r="31713" customFormat="1" x14ac:dyDescent="0.3"/>
    <row r="31714" customFormat="1" x14ac:dyDescent="0.3"/>
    <row r="31715" customFormat="1" x14ac:dyDescent="0.3"/>
    <row r="31716" customFormat="1" x14ac:dyDescent="0.3"/>
    <row r="31717" customFormat="1" x14ac:dyDescent="0.3"/>
    <row r="31718" customFormat="1" x14ac:dyDescent="0.3"/>
    <row r="31719" customFormat="1" x14ac:dyDescent="0.3"/>
    <row r="31720" customFormat="1" x14ac:dyDescent="0.3"/>
    <row r="31721" customFormat="1" x14ac:dyDescent="0.3"/>
    <row r="31722" customFormat="1" x14ac:dyDescent="0.3"/>
    <row r="31723" customFormat="1" x14ac:dyDescent="0.3"/>
    <row r="31724" customFormat="1" x14ac:dyDescent="0.3"/>
    <row r="31725" customFormat="1" x14ac:dyDescent="0.3"/>
    <row r="31726" customFormat="1" x14ac:dyDescent="0.3"/>
    <row r="31727" customFormat="1" x14ac:dyDescent="0.3"/>
    <row r="31728" customFormat="1" x14ac:dyDescent="0.3"/>
    <row r="31729" customFormat="1" x14ac:dyDescent="0.3"/>
    <row r="31730" customFormat="1" x14ac:dyDescent="0.3"/>
    <row r="31731" customFormat="1" x14ac:dyDescent="0.3"/>
    <row r="31732" customFormat="1" x14ac:dyDescent="0.3"/>
    <row r="31733" customFormat="1" x14ac:dyDescent="0.3"/>
    <row r="31734" customFormat="1" x14ac:dyDescent="0.3"/>
    <row r="31735" customFormat="1" x14ac:dyDescent="0.3"/>
    <row r="31736" customFormat="1" x14ac:dyDescent="0.3"/>
    <row r="31737" customFormat="1" x14ac:dyDescent="0.3"/>
    <row r="31738" customFormat="1" x14ac:dyDescent="0.3"/>
    <row r="31739" customFormat="1" x14ac:dyDescent="0.3"/>
    <row r="31740" customFormat="1" x14ac:dyDescent="0.3"/>
    <row r="31741" customFormat="1" x14ac:dyDescent="0.3"/>
    <row r="31742" customFormat="1" x14ac:dyDescent="0.3"/>
    <row r="31743" customFormat="1" x14ac:dyDescent="0.3"/>
    <row r="31744" customFormat="1" x14ac:dyDescent="0.3"/>
    <row r="31745" customFormat="1" x14ac:dyDescent="0.3"/>
    <row r="31746" customFormat="1" x14ac:dyDescent="0.3"/>
    <row r="31747" customFormat="1" x14ac:dyDescent="0.3"/>
    <row r="31748" customFormat="1" x14ac:dyDescent="0.3"/>
    <row r="31749" customFormat="1" x14ac:dyDescent="0.3"/>
    <row r="31750" customFormat="1" x14ac:dyDescent="0.3"/>
    <row r="31751" customFormat="1" x14ac:dyDescent="0.3"/>
    <row r="31752" customFormat="1" x14ac:dyDescent="0.3"/>
    <row r="31753" customFormat="1" x14ac:dyDescent="0.3"/>
    <row r="31754" customFormat="1" x14ac:dyDescent="0.3"/>
    <row r="31755" customFormat="1" x14ac:dyDescent="0.3"/>
    <row r="31756" customFormat="1" x14ac:dyDescent="0.3"/>
    <row r="31757" customFormat="1" x14ac:dyDescent="0.3"/>
    <row r="31758" customFormat="1" x14ac:dyDescent="0.3"/>
    <row r="31759" customFormat="1" x14ac:dyDescent="0.3"/>
    <row r="31760" customFormat="1" x14ac:dyDescent="0.3"/>
    <row r="31761" customFormat="1" x14ac:dyDescent="0.3"/>
    <row r="31762" customFormat="1" x14ac:dyDescent="0.3"/>
    <row r="31763" customFormat="1" x14ac:dyDescent="0.3"/>
    <row r="31764" customFormat="1" x14ac:dyDescent="0.3"/>
    <row r="31765" customFormat="1" x14ac:dyDescent="0.3"/>
    <row r="31766" customFormat="1" x14ac:dyDescent="0.3"/>
    <row r="31767" customFormat="1" x14ac:dyDescent="0.3"/>
    <row r="31768" customFormat="1" x14ac:dyDescent="0.3"/>
    <row r="31769" customFormat="1" x14ac:dyDescent="0.3"/>
    <row r="31770" customFormat="1" x14ac:dyDescent="0.3"/>
    <row r="31771" customFormat="1" x14ac:dyDescent="0.3"/>
    <row r="31772" customFormat="1" x14ac:dyDescent="0.3"/>
    <row r="31773" customFormat="1" x14ac:dyDescent="0.3"/>
    <row r="31774" customFormat="1" x14ac:dyDescent="0.3"/>
    <row r="31775" customFormat="1" x14ac:dyDescent="0.3"/>
    <row r="31776" customFormat="1" x14ac:dyDescent="0.3"/>
    <row r="31777" customFormat="1" x14ac:dyDescent="0.3"/>
    <row r="31778" customFormat="1" x14ac:dyDescent="0.3"/>
    <row r="31779" customFormat="1" x14ac:dyDescent="0.3"/>
    <row r="31780" customFormat="1" x14ac:dyDescent="0.3"/>
    <row r="31781" customFormat="1" x14ac:dyDescent="0.3"/>
    <row r="31782" customFormat="1" x14ac:dyDescent="0.3"/>
    <row r="31783" customFormat="1" x14ac:dyDescent="0.3"/>
    <row r="31784" customFormat="1" x14ac:dyDescent="0.3"/>
    <row r="31785" customFormat="1" x14ac:dyDescent="0.3"/>
    <row r="31786" customFormat="1" x14ac:dyDescent="0.3"/>
    <row r="31787" customFormat="1" x14ac:dyDescent="0.3"/>
    <row r="31788" customFormat="1" x14ac:dyDescent="0.3"/>
    <row r="31789" customFormat="1" x14ac:dyDescent="0.3"/>
    <row r="31790" customFormat="1" x14ac:dyDescent="0.3"/>
    <row r="31791" customFormat="1" x14ac:dyDescent="0.3"/>
    <row r="31792" customFormat="1" x14ac:dyDescent="0.3"/>
    <row r="31793" customFormat="1" x14ac:dyDescent="0.3"/>
    <row r="31794" customFormat="1" x14ac:dyDescent="0.3"/>
    <row r="31795" customFormat="1" x14ac:dyDescent="0.3"/>
    <row r="31796" customFormat="1" x14ac:dyDescent="0.3"/>
    <row r="31797" customFormat="1" x14ac:dyDescent="0.3"/>
    <row r="31798" customFormat="1" x14ac:dyDescent="0.3"/>
    <row r="31799" customFormat="1" x14ac:dyDescent="0.3"/>
    <row r="31800" customFormat="1" x14ac:dyDescent="0.3"/>
    <row r="31801" customFormat="1" x14ac:dyDescent="0.3"/>
    <row r="31802" customFormat="1" x14ac:dyDescent="0.3"/>
    <row r="31803" customFormat="1" x14ac:dyDescent="0.3"/>
    <row r="31804" customFormat="1" x14ac:dyDescent="0.3"/>
    <row r="31805" customFormat="1" x14ac:dyDescent="0.3"/>
    <row r="31806" customFormat="1" x14ac:dyDescent="0.3"/>
    <row r="31807" customFormat="1" x14ac:dyDescent="0.3"/>
    <row r="31808" customFormat="1" x14ac:dyDescent="0.3"/>
    <row r="31809" customFormat="1" x14ac:dyDescent="0.3"/>
    <row r="31810" customFormat="1" x14ac:dyDescent="0.3"/>
    <row r="31811" customFormat="1" x14ac:dyDescent="0.3"/>
    <row r="31812" customFormat="1" x14ac:dyDescent="0.3"/>
    <row r="31813" customFormat="1" x14ac:dyDescent="0.3"/>
    <row r="31814" customFormat="1" x14ac:dyDescent="0.3"/>
    <row r="31815" customFormat="1" x14ac:dyDescent="0.3"/>
    <row r="31816" customFormat="1" x14ac:dyDescent="0.3"/>
    <row r="31817" customFormat="1" x14ac:dyDescent="0.3"/>
    <row r="31818" customFormat="1" x14ac:dyDescent="0.3"/>
    <row r="31819" customFormat="1" x14ac:dyDescent="0.3"/>
    <row r="31820" customFormat="1" x14ac:dyDescent="0.3"/>
    <row r="31821" customFormat="1" x14ac:dyDescent="0.3"/>
    <row r="31822" customFormat="1" x14ac:dyDescent="0.3"/>
    <row r="31823" customFormat="1" x14ac:dyDescent="0.3"/>
    <row r="31824" customFormat="1" x14ac:dyDescent="0.3"/>
    <row r="31825" customFormat="1" x14ac:dyDescent="0.3"/>
    <row r="31826" customFormat="1" x14ac:dyDescent="0.3"/>
    <row r="31827" customFormat="1" x14ac:dyDescent="0.3"/>
    <row r="31828" customFormat="1" x14ac:dyDescent="0.3"/>
    <row r="31829" customFormat="1" x14ac:dyDescent="0.3"/>
    <row r="31830" customFormat="1" x14ac:dyDescent="0.3"/>
    <row r="31831" customFormat="1" x14ac:dyDescent="0.3"/>
    <row r="31832" customFormat="1" x14ac:dyDescent="0.3"/>
    <row r="31833" customFormat="1" x14ac:dyDescent="0.3"/>
    <row r="31834" customFormat="1" x14ac:dyDescent="0.3"/>
    <row r="31835" customFormat="1" x14ac:dyDescent="0.3"/>
    <row r="31836" customFormat="1" x14ac:dyDescent="0.3"/>
    <row r="31837" customFormat="1" x14ac:dyDescent="0.3"/>
    <row r="31838" customFormat="1" x14ac:dyDescent="0.3"/>
    <row r="31839" customFormat="1" x14ac:dyDescent="0.3"/>
    <row r="31840" customFormat="1" x14ac:dyDescent="0.3"/>
    <row r="31841" customFormat="1" x14ac:dyDescent="0.3"/>
    <row r="31842" customFormat="1" x14ac:dyDescent="0.3"/>
    <row r="31843" customFormat="1" x14ac:dyDescent="0.3"/>
    <row r="31844" customFormat="1" x14ac:dyDescent="0.3"/>
    <row r="31845" customFormat="1" x14ac:dyDescent="0.3"/>
    <row r="31846" customFormat="1" x14ac:dyDescent="0.3"/>
    <row r="31847" customFormat="1" x14ac:dyDescent="0.3"/>
    <row r="31848" customFormat="1" x14ac:dyDescent="0.3"/>
    <row r="31849" customFormat="1" x14ac:dyDescent="0.3"/>
    <row r="31850" customFormat="1" x14ac:dyDescent="0.3"/>
    <row r="31851" customFormat="1" x14ac:dyDescent="0.3"/>
    <row r="31852" customFormat="1" x14ac:dyDescent="0.3"/>
    <row r="31853" customFormat="1" x14ac:dyDescent="0.3"/>
    <row r="31854" customFormat="1" x14ac:dyDescent="0.3"/>
    <row r="31855" customFormat="1" x14ac:dyDescent="0.3"/>
    <row r="31856" customFormat="1" x14ac:dyDescent="0.3"/>
    <row r="31857" customFormat="1" x14ac:dyDescent="0.3"/>
    <row r="31858" customFormat="1" x14ac:dyDescent="0.3"/>
    <row r="31859" customFormat="1" x14ac:dyDescent="0.3"/>
    <row r="31860" customFormat="1" x14ac:dyDescent="0.3"/>
    <row r="31861" customFormat="1" x14ac:dyDescent="0.3"/>
    <row r="31862" customFormat="1" x14ac:dyDescent="0.3"/>
    <row r="31863" customFormat="1" x14ac:dyDescent="0.3"/>
    <row r="31864" customFormat="1" x14ac:dyDescent="0.3"/>
    <row r="31865" customFormat="1" x14ac:dyDescent="0.3"/>
    <row r="31866" customFormat="1" x14ac:dyDescent="0.3"/>
    <row r="31867" customFormat="1" x14ac:dyDescent="0.3"/>
    <row r="31868" customFormat="1" x14ac:dyDescent="0.3"/>
    <row r="31869" customFormat="1" x14ac:dyDescent="0.3"/>
    <row r="31870" customFormat="1" x14ac:dyDescent="0.3"/>
    <row r="31871" customFormat="1" x14ac:dyDescent="0.3"/>
    <row r="31872" customFormat="1" x14ac:dyDescent="0.3"/>
    <row r="31873" customFormat="1" x14ac:dyDescent="0.3"/>
    <row r="31874" customFormat="1" x14ac:dyDescent="0.3"/>
    <row r="31875" customFormat="1" x14ac:dyDescent="0.3"/>
    <row r="31876" customFormat="1" x14ac:dyDescent="0.3"/>
    <row r="31877" customFormat="1" x14ac:dyDescent="0.3"/>
    <row r="31878" customFormat="1" x14ac:dyDescent="0.3"/>
    <row r="31879" customFormat="1" x14ac:dyDescent="0.3"/>
    <row r="31880" customFormat="1" x14ac:dyDescent="0.3"/>
    <row r="31881" customFormat="1" x14ac:dyDescent="0.3"/>
    <row r="31882" customFormat="1" x14ac:dyDescent="0.3"/>
    <row r="31883" customFormat="1" x14ac:dyDescent="0.3"/>
    <row r="31884" customFormat="1" x14ac:dyDescent="0.3"/>
    <row r="31885" customFormat="1" x14ac:dyDescent="0.3"/>
    <row r="31886" customFormat="1" x14ac:dyDescent="0.3"/>
    <row r="31887" customFormat="1" x14ac:dyDescent="0.3"/>
    <row r="31888" customFormat="1" x14ac:dyDescent="0.3"/>
    <row r="31889" customFormat="1" x14ac:dyDescent="0.3"/>
    <row r="31890" customFormat="1" x14ac:dyDescent="0.3"/>
    <row r="31891" customFormat="1" x14ac:dyDescent="0.3"/>
    <row r="31892" customFormat="1" x14ac:dyDescent="0.3"/>
    <row r="31893" customFormat="1" x14ac:dyDescent="0.3"/>
    <row r="31894" customFormat="1" x14ac:dyDescent="0.3"/>
    <row r="31895" customFormat="1" x14ac:dyDescent="0.3"/>
    <row r="31896" customFormat="1" x14ac:dyDescent="0.3"/>
    <row r="31897" customFormat="1" x14ac:dyDescent="0.3"/>
    <row r="31898" customFormat="1" x14ac:dyDescent="0.3"/>
    <row r="31899" customFormat="1" x14ac:dyDescent="0.3"/>
    <row r="31900" customFormat="1" x14ac:dyDescent="0.3"/>
    <row r="31901" customFormat="1" x14ac:dyDescent="0.3"/>
    <row r="31902" customFormat="1" x14ac:dyDescent="0.3"/>
    <row r="31903" customFormat="1" x14ac:dyDescent="0.3"/>
    <row r="31904" customFormat="1" x14ac:dyDescent="0.3"/>
    <row r="31905" customFormat="1" x14ac:dyDescent="0.3"/>
    <row r="31906" customFormat="1" x14ac:dyDescent="0.3"/>
    <row r="31907" customFormat="1" x14ac:dyDescent="0.3"/>
    <row r="31908" customFormat="1" x14ac:dyDescent="0.3"/>
    <row r="31909" customFormat="1" x14ac:dyDescent="0.3"/>
    <row r="31910" customFormat="1" x14ac:dyDescent="0.3"/>
    <row r="31911" customFormat="1" x14ac:dyDescent="0.3"/>
    <row r="31912" customFormat="1" x14ac:dyDescent="0.3"/>
    <row r="31913" customFormat="1" x14ac:dyDescent="0.3"/>
    <row r="31914" customFormat="1" x14ac:dyDescent="0.3"/>
    <row r="31915" customFormat="1" x14ac:dyDescent="0.3"/>
    <row r="31916" customFormat="1" x14ac:dyDescent="0.3"/>
    <row r="31917" customFormat="1" x14ac:dyDescent="0.3"/>
    <row r="31918" customFormat="1" x14ac:dyDescent="0.3"/>
    <row r="31919" customFormat="1" x14ac:dyDescent="0.3"/>
    <row r="31920" customFormat="1" x14ac:dyDescent="0.3"/>
    <row r="31921" customFormat="1" x14ac:dyDescent="0.3"/>
    <row r="31922" customFormat="1" x14ac:dyDescent="0.3"/>
    <row r="31923" customFormat="1" x14ac:dyDescent="0.3"/>
    <row r="31924" customFormat="1" x14ac:dyDescent="0.3"/>
    <row r="31925" customFormat="1" x14ac:dyDescent="0.3"/>
    <row r="31926" customFormat="1" x14ac:dyDescent="0.3"/>
    <row r="31927" customFormat="1" x14ac:dyDescent="0.3"/>
    <row r="31928" customFormat="1" x14ac:dyDescent="0.3"/>
    <row r="31929" customFormat="1" x14ac:dyDescent="0.3"/>
    <row r="31930" customFormat="1" x14ac:dyDescent="0.3"/>
    <row r="31931" customFormat="1" x14ac:dyDescent="0.3"/>
    <row r="31932" customFormat="1" x14ac:dyDescent="0.3"/>
    <row r="31933" customFormat="1" x14ac:dyDescent="0.3"/>
    <row r="31934" customFormat="1" x14ac:dyDescent="0.3"/>
    <row r="31935" customFormat="1" x14ac:dyDescent="0.3"/>
    <row r="31936" customFormat="1" x14ac:dyDescent="0.3"/>
    <row r="31937" customFormat="1" x14ac:dyDescent="0.3"/>
    <row r="31938" customFormat="1" x14ac:dyDescent="0.3"/>
    <row r="31939" customFormat="1" x14ac:dyDescent="0.3"/>
    <row r="31940" customFormat="1" x14ac:dyDescent="0.3"/>
    <row r="31941" customFormat="1" x14ac:dyDescent="0.3"/>
    <row r="31942" customFormat="1" x14ac:dyDescent="0.3"/>
    <row r="31943" customFormat="1" x14ac:dyDescent="0.3"/>
    <row r="31944" customFormat="1" x14ac:dyDescent="0.3"/>
    <row r="31945" customFormat="1" x14ac:dyDescent="0.3"/>
    <row r="31946" customFormat="1" x14ac:dyDescent="0.3"/>
    <row r="31947" customFormat="1" x14ac:dyDescent="0.3"/>
    <row r="31948" customFormat="1" x14ac:dyDescent="0.3"/>
    <row r="31949" customFormat="1" x14ac:dyDescent="0.3"/>
    <row r="31950" customFormat="1" x14ac:dyDescent="0.3"/>
    <row r="31951" customFormat="1" x14ac:dyDescent="0.3"/>
    <row r="31952" customFormat="1" x14ac:dyDescent="0.3"/>
    <row r="31953" customFormat="1" x14ac:dyDescent="0.3"/>
    <row r="31954" customFormat="1" x14ac:dyDescent="0.3"/>
    <row r="31955" customFormat="1" x14ac:dyDescent="0.3"/>
    <row r="31956" customFormat="1" x14ac:dyDescent="0.3"/>
    <row r="31957" customFormat="1" x14ac:dyDescent="0.3"/>
    <row r="31958" customFormat="1" x14ac:dyDescent="0.3"/>
    <row r="31959" customFormat="1" x14ac:dyDescent="0.3"/>
    <row r="31960" customFormat="1" x14ac:dyDescent="0.3"/>
    <row r="31961" customFormat="1" x14ac:dyDescent="0.3"/>
    <row r="31962" customFormat="1" x14ac:dyDescent="0.3"/>
    <row r="31963" customFormat="1" x14ac:dyDescent="0.3"/>
    <row r="31964" customFormat="1" x14ac:dyDescent="0.3"/>
    <row r="31965" customFormat="1" x14ac:dyDescent="0.3"/>
    <row r="31966" customFormat="1" x14ac:dyDescent="0.3"/>
    <row r="31967" customFormat="1" x14ac:dyDescent="0.3"/>
    <row r="31968" customFormat="1" x14ac:dyDescent="0.3"/>
    <row r="31969" customFormat="1" x14ac:dyDescent="0.3"/>
    <row r="31970" customFormat="1" x14ac:dyDescent="0.3"/>
    <row r="31971" customFormat="1" x14ac:dyDescent="0.3"/>
    <row r="31972" customFormat="1" x14ac:dyDescent="0.3"/>
    <row r="31973" customFormat="1" x14ac:dyDescent="0.3"/>
    <row r="31974" customFormat="1" x14ac:dyDescent="0.3"/>
    <row r="31975" customFormat="1" x14ac:dyDescent="0.3"/>
    <row r="31976" customFormat="1" x14ac:dyDescent="0.3"/>
    <row r="31977" customFormat="1" x14ac:dyDescent="0.3"/>
    <row r="31978" customFormat="1" x14ac:dyDescent="0.3"/>
    <row r="31979" customFormat="1" x14ac:dyDescent="0.3"/>
    <row r="31980" customFormat="1" x14ac:dyDescent="0.3"/>
    <row r="31981" customFormat="1" x14ac:dyDescent="0.3"/>
    <row r="31982" customFormat="1" x14ac:dyDescent="0.3"/>
    <row r="31983" customFormat="1" x14ac:dyDescent="0.3"/>
    <row r="31984" customFormat="1" x14ac:dyDescent="0.3"/>
    <row r="31985" customFormat="1" x14ac:dyDescent="0.3"/>
    <row r="31986" customFormat="1" x14ac:dyDescent="0.3"/>
    <row r="31987" customFormat="1" x14ac:dyDescent="0.3"/>
    <row r="31988" customFormat="1" x14ac:dyDescent="0.3"/>
    <row r="31989" customFormat="1" x14ac:dyDescent="0.3"/>
    <row r="31990" customFormat="1" x14ac:dyDescent="0.3"/>
    <row r="31991" customFormat="1" x14ac:dyDescent="0.3"/>
    <row r="31992" customFormat="1" x14ac:dyDescent="0.3"/>
    <row r="31993" customFormat="1" x14ac:dyDescent="0.3"/>
    <row r="31994" customFormat="1" x14ac:dyDescent="0.3"/>
    <row r="31995" customFormat="1" x14ac:dyDescent="0.3"/>
    <row r="31996" customFormat="1" x14ac:dyDescent="0.3"/>
    <row r="31997" customFormat="1" x14ac:dyDescent="0.3"/>
    <row r="31998" customFormat="1" x14ac:dyDescent="0.3"/>
    <row r="31999" customFormat="1" x14ac:dyDescent="0.3"/>
    <row r="32000" customFormat="1" x14ac:dyDescent="0.3"/>
    <row r="32001" customFormat="1" x14ac:dyDescent="0.3"/>
    <row r="32002" customFormat="1" x14ac:dyDescent="0.3"/>
    <row r="32003" customFormat="1" x14ac:dyDescent="0.3"/>
    <row r="32004" customFormat="1" x14ac:dyDescent="0.3"/>
    <row r="32005" customFormat="1" x14ac:dyDescent="0.3"/>
    <row r="32006" customFormat="1" x14ac:dyDescent="0.3"/>
    <row r="32007" customFormat="1" x14ac:dyDescent="0.3"/>
    <row r="32008" customFormat="1" x14ac:dyDescent="0.3"/>
    <row r="32009" customFormat="1" x14ac:dyDescent="0.3"/>
    <row r="32010" customFormat="1" x14ac:dyDescent="0.3"/>
    <row r="32011" customFormat="1" x14ac:dyDescent="0.3"/>
    <row r="32012" customFormat="1" x14ac:dyDescent="0.3"/>
    <row r="32013" customFormat="1" x14ac:dyDescent="0.3"/>
    <row r="32014" customFormat="1" x14ac:dyDescent="0.3"/>
    <row r="32015" customFormat="1" x14ac:dyDescent="0.3"/>
    <row r="32016" customFormat="1" x14ac:dyDescent="0.3"/>
    <row r="32017" customFormat="1" x14ac:dyDescent="0.3"/>
    <row r="32018" customFormat="1" x14ac:dyDescent="0.3"/>
    <row r="32019" customFormat="1" x14ac:dyDescent="0.3"/>
    <row r="32020" customFormat="1" x14ac:dyDescent="0.3"/>
    <row r="32021" customFormat="1" x14ac:dyDescent="0.3"/>
    <row r="32022" customFormat="1" x14ac:dyDescent="0.3"/>
    <row r="32023" customFormat="1" x14ac:dyDescent="0.3"/>
    <row r="32024" customFormat="1" x14ac:dyDescent="0.3"/>
    <row r="32025" customFormat="1" x14ac:dyDescent="0.3"/>
    <row r="32026" customFormat="1" x14ac:dyDescent="0.3"/>
    <row r="32027" customFormat="1" x14ac:dyDescent="0.3"/>
    <row r="32028" customFormat="1" x14ac:dyDescent="0.3"/>
    <row r="32029" customFormat="1" x14ac:dyDescent="0.3"/>
    <row r="32030" customFormat="1" x14ac:dyDescent="0.3"/>
    <row r="32031" customFormat="1" x14ac:dyDescent="0.3"/>
    <row r="32032" customFormat="1" x14ac:dyDescent="0.3"/>
    <row r="32033" customFormat="1" x14ac:dyDescent="0.3"/>
    <row r="32034" customFormat="1" x14ac:dyDescent="0.3"/>
    <row r="32035" customFormat="1" x14ac:dyDescent="0.3"/>
    <row r="32036" customFormat="1" x14ac:dyDescent="0.3"/>
    <row r="32037" customFormat="1" x14ac:dyDescent="0.3"/>
    <row r="32038" customFormat="1" x14ac:dyDescent="0.3"/>
    <row r="32039" customFormat="1" x14ac:dyDescent="0.3"/>
    <row r="32040" customFormat="1" x14ac:dyDescent="0.3"/>
    <row r="32041" customFormat="1" x14ac:dyDescent="0.3"/>
    <row r="32042" customFormat="1" x14ac:dyDescent="0.3"/>
    <row r="32043" customFormat="1" x14ac:dyDescent="0.3"/>
    <row r="32044" customFormat="1" x14ac:dyDescent="0.3"/>
    <row r="32045" customFormat="1" x14ac:dyDescent="0.3"/>
    <row r="32046" customFormat="1" x14ac:dyDescent="0.3"/>
    <row r="32047" customFormat="1" x14ac:dyDescent="0.3"/>
    <row r="32048" customFormat="1" x14ac:dyDescent="0.3"/>
    <row r="32049" customFormat="1" x14ac:dyDescent="0.3"/>
    <row r="32050" customFormat="1" x14ac:dyDescent="0.3"/>
    <row r="32051" customFormat="1" x14ac:dyDescent="0.3"/>
    <row r="32052" customFormat="1" x14ac:dyDescent="0.3"/>
    <row r="32053" customFormat="1" x14ac:dyDescent="0.3"/>
    <row r="32054" customFormat="1" x14ac:dyDescent="0.3"/>
    <row r="32055" customFormat="1" x14ac:dyDescent="0.3"/>
    <row r="32056" customFormat="1" x14ac:dyDescent="0.3"/>
    <row r="32057" customFormat="1" x14ac:dyDescent="0.3"/>
    <row r="32058" customFormat="1" x14ac:dyDescent="0.3"/>
    <row r="32059" customFormat="1" x14ac:dyDescent="0.3"/>
    <row r="32060" customFormat="1" x14ac:dyDescent="0.3"/>
    <row r="32061" customFormat="1" x14ac:dyDescent="0.3"/>
    <row r="32062" customFormat="1" x14ac:dyDescent="0.3"/>
    <row r="32063" customFormat="1" x14ac:dyDescent="0.3"/>
    <row r="32064" customFormat="1" x14ac:dyDescent="0.3"/>
    <row r="32065" customFormat="1" x14ac:dyDescent="0.3"/>
    <row r="32066" customFormat="1" x14ac:dyDescent="0.3"/>
    <row r="32067" customFormat="1" x14ac:dyDescent="0.3"/>
    <row r="32068" customFormat="1" x14ac:dyDescent="0.3"/>
    <row r="32069" customFormat="1" x14ac:dyDescent="0.3"/>
    <row r="32070" customFormat="1" x14ac:dyDescent="0.3"/>
    <row r="32071" customFormat="1" x14ac:dyDescent="0.3"/>
    <row r="32072" customFormat="1" x14ac:dyDescent="0.3"/>
    <row r="32073" customFormat="1" x14ac:dyDescent="0.3"/>
    <row r="32074" customFormat="1" x14ac:dyDescent="0.3"/>
    <row r="32075" customFormat="1" x14ac:dyDescent="0.3"/>
    <row r="32076" customFormat="1" x14ac:dyDescent="0.3"/>
    <row r="32077" customFormat="1" x14ac:dyDescent="0.3"/>
    <row r="32078" customFormat="1" x14ac:dyDescent="0.3"/>
    <row r="32079" customFormat="1" x14ac:dyDescent="0.3"/>
    <row r="32080" customFormat="1" x14ac:dyDescent="0.3"/>
    <row r="32081" customFormat="1" x14ac:dyDescent="0.3"/>
    <row r="32082" customFormat="1" x14ac:dyDescent="0.3"/>
    <row r="32083" customFormat="1" x14ac:dyDescent="0.3"/>
    <row r="32084" customFormat="1" x14ac:dyDescent="0.3"/>
    <row r="32085" customFormat="1" x14ac:dyDescent="0.3"/>
    <row r="32086" customFormat="1" x14ac:dyDescent="0.3"/>
    <row r="32087" customFormat="1" x14ac:dyDescent="0.3"/>
    <row r="32088" customFormat="1" x14ac:dyDescent="0.3"/>
    <row r="32089" customFormat="1" x14ac:dyDescent="0.3"/>
    <row r="32090" customFormat="1" x14ac:dyDescent="0.3"/>
    <row r="32091" customFormat="1" x14ac:dyDescent="0.3"/>
    <row r="32092" customFormat="1" x14ac:dyDescent="0.3"/>
    <row r="32093" customFormat="1" x14ac:dyDescent="0.3"/>
    <row r="32094" customFormat="1" x14ac:dyDescent="0.3"/>
    <row r="32095" customFormat="1" x14ac:dyDescent="0.3"/>
    <row r="32096" customFormat="1" x14ac:dyDescent="0.3"/>
    <row r="32097" customFormat="1" x14ac:dyDescent="0.3"/>
    <row r="32098" customFormat="1" x14ac:dyDescent="0.3"/>
    <row r="32099" customFormat="1" x14ac:dyDescent="0.3"/>
    <row r="32100" customFormat="1" x14ac:dyDescent="0.3"/>
    <row r="32101" customFormat="1" x14ac:dyDescent="0.3"/>
    <row r="32102" customFormat="1" x14ac:dyDescent="0.3"/>
    <row r="32103" customFormat="1" x14ac:dyDescent="0.3"/>
    <row r="32104" customFormat="1" x14ac:dyDescent="0.3"/>
    <row r="32105" customFormat="1" x14ac:dyDescent="0.3"/>
    <row r="32106" customFormat="1" x14ac:dyDescent="0.3"/>
    <row r="32107" customFormat="1" x14ac:dyDescent="0.3"/>
    <row r="32108" customFormat="1" x14ac:dyDescent="0.3"/>
    <row r="32109" customFormat="1" x14ac:dyDescent="0.3"/>
    <row r="32110" customFormat="1" x14ac:dyDescent="0.3"/>
    <row r="32111" customFormat="1" x14ac:dyDescent="0.3"/>
    <row r="32112" customFormat="1" x14ac:dyDescent="0.3"/>
    <row r="32113" customFormat="1" x14ac:dyDescent="0.3"/>
    <row r="32114" customFormat="1" x14ac:dyDescent="0.3"/>
    <row r="32115" customFormat="1" x14ac:dyDescent="0.3"/>
    <row r="32116" customFormat="1" x14ac:dyDescent="0.3"/>
    <row r="32117" customFormat="1" x14ac:dyDescent="0.3"/>
    <row r="32118" customFormat="1" x14ac:dyDescent="0.3"/>
    <row r="32119" customFormat="1" x14ac:dyDescent="0.3"/>
    <row r="32120" customFormat="1" x14ac:dyDescent="0.3"/>
    <row r="32121" customFormat="1" x14ac:dyDescent="0.3"/>
    <row r="32122" customFormat="1" x14ac:dyDescent="0.3"/>
    <row r="32123" customFormat="1" x14ac:dyDescent="0.3"/>
    <row r="32124" customFormat="1" x14ac:dyDescent="0.3"/>
    <row r="32125" customFormat="1" x14ac:dyDescent="0.3"/>
    <row r="32126" customFormat="1" x14ac:dyDescent="0.3"/>
    <row r="32127" customFormat="1" x14ac:dyDescent="0.3"/>
    <row r="32128" customFormat="1" x14ac:dyDescent="0.3"/>
    <row r="32129" customFormat="1" x14ac:dyDescent="0.3"/>
    <row r="32130" customFormat="1" x14ac:dyDescent="0.3"/>
    <row r="32131" customFormat="1" x14ac:dyDescent="0.3"/>
    <row r="32132" customFormat="1" x14ac:dyDescent="0.3"/>
    <row r="32133" customFormat="1" x14ac:dyDescent="0.3"/>
    <row r="32134" customFormat="1" x14ac:dyDescent="0.3"/>
    <row r="32135" customFormat="1" x14ac:dyDescent="0.3"/>
    <row r="32136" customFormat="1" x14ac:dyDescent="0.3"/>
    <row r="32137" customFormat="1" x14ac:dyDescent="0.3"/>
    <row r="32138" customFormat="1" x14ac:dyDescent="0.3"/>
    <row r="32139" customFormat="1" x14ac:dyDescent="0.3"/>
    <row r="32140" customFormat="1" x14ac:dyDescent="0.3"/>
    <row r="32141" customFormat="1" x14ac:dyDescent="0.3"/>
    <row r="32142" customFormat="1" x14ac:dyDescent="0.3"/>
    <row r="32143" customFormat="1" x14ac:dyDescent="0.3"/>
    <row r="32144" customFormat="1" x14ac:dyDescent="0.3"/>
    <row r="32145" customFormat="1" x14ac:dyDescent="0.3"/>
    <row r="32146" customFormat="1" x14ac:dyDescent="0.3"/>
    <row r="32147" customFormat="1" x14ac:dyDescent="0.3"/>
    <row r="32148" customFormat="1" x14ac:dyDescent="0.3"/>
    <row r="32149" customFormat="1" x14ac:dyDescent="0.3"/>
    <row r="32150" customFormat="1" x14ac:dyDescent="0.3"/>
    <row r="32151" customFormat="1" x14ac:dyDescent="0.3"/>
    <row r="32152" customFormat="1" x14ac:dyDescent="0.3"/>
    <row r="32153" customFormat="1" x14ac:dyDescent="0.3"/>
    <row r="32154" customFormat="1" x14ac:dyDescent="0.3"/>
    <row r="32155" customFormat="1" x14ac:dyDescent="0.3"/>
    <row r="32156" customFormat="1" x14ac:dyDescent="0.3"/>
    <row r="32157" customFormat="1" x14ac:dyDescent="0.3"/>
    <row r="32158" customFormat="1" x14ac:dyDescent="0.3"/>
    <row r="32159" customFormat="1" x14ac:dyDescent="0.3"/>
    <row r="32160" customFormat="1" x14ac:dyDescent="0.3"/>
    <row r="32161" customFormat="1" x14ac:dyDescent="0.3"/>
    <row r="32162" customFormat="1" x14ac:dyDescent="0.3"/>
    <row r="32163" customFormat="1" x14ac:dyDescent="0.3"/>
    <row r="32164" customFormat="1" x14ac:dyDescent="0.3"/>
    <row r="32165" customFormat="1" x14ac:dyDescent="0.3"/>
    <row r="32166" customFormat="1" x14ac:dyDescent="0.3"/>
    <row r="32167" customFormat="1" x14ac:dyDescent="0.3"/>
    <row r="32168" customFormat="1" x14ac:dyDescent="0.3"/>
    <row r="32169" customFormat="1" x14ac:dyDescent="0.3"/>
    <row r="32170" customFormat="1" x14ac:dyDescent="0.3"/>
    <row r="32171" customFormat="1" x14ac:dyDescent="0.3"/>
    <row r="32172" customFormat="1" x14ac:dyDescent="0.3"/>
    <row r="32173" customFormat="1" x14ac:dyDescent="0.3"/>
    <row r="32174" customFormat="1" x14ac:dyDescent="0.3"/>
    <row r="32175" customFormat="1" x14ac:dyDescent="0.3"/>
    <row r="32176" customFormat="1" x14ac:dyDescent="0.3"/>
    <row r="32177" customFormat="1" x14ac:dyDescent="0.3"/>
    <row r="32178" customFormat="1" x14ac:dyDescent="0.3"/>
    <row r="32179" customFormat="1" x14ac:dyDescent="0.3"/>
    <row r="32180" customFormat="1" x14ac:dyDescent="0.3"/>
    <row r="32181" customFormat="1" x14ac:dyDescent="0.3"/>
    <row r="32182" customFormat="1" x14ac:dyDescent="0.3"/>
    <row r="32183" customFormat="1" x14ac:dyDescent="0.3"/>
    <row r="32184" customFormat="1" x14ac:dyDescent="0.3"/>
    <row r="32185" customFormat="1" x14ac:dyDescent="0.3"/>
    <row r="32186" customFormat="1" x14ac:dyDescent="0.3"/>
    <row r="32187" customFormat="1" x14ac:dyDescent="0.3"/>
    <row r="32188" customFormat="1" x14ac:dyDescent="0.3"/>
    <row r="32189" customFormat="1" x14ac:dyDescent="0.3"/>
    <row r="32190" customFormat="1" x14ac:dyDescent="0.3"/>
    <row r="32191" customFormat="1" x14ac:dyDescent="0.3"/>
    <row r="32192" customFormat="1" x14ac:dyDescent="0.3"/>
    <row r="32193" customFormat="1" x14ac:dyDescent="0.3"/>
    <row r="32194" customFormat="1" x14ac:dyDescent="0.3"/>
    <row r="32195" customFormat="1" x14ac:dyDescent="0.3"/>
    <row r="32196" customFormat="1" x14ac:dyDescent="0.3"/>
    <row r="32197" customFormat="1" x14ac:dyDescent="0.3"/>
    <row r="32198" customFormat="1" x14ac:dyDescent="0.3"/>
    <row r="32199" customFormat="1" x14ac:dyDescent="0.3"/>
    <row r="32200" customFormat="1" x14ac:dyDescent="0.3"/>
    <row r="32201" customFormat="1" x14ac:dyDescent="0.3"/>
    <row r="32202" customFormat="1" x14ac:dyDescent="0.3"/>
    <row r="32203" customFormat="1" x14ac:dyDescent="0.3"/>
    <row r="32204" customFormat="1" x14ac:dyDescent="0.3"/>
    <row r="32205" customFormat="1" x14ac:dyDescent="0.3"/>
    <row r="32206" customFormat="1" x14ac:dyDescent="0.3"/>
    <row r="32207" customFormat="1" x14ac:dyDescent="0.3"/>
    <row r="32208" customFormat="1" x14ac:dyDescent="0.3"/>
    <row r="32209" customFormat="1" x14ac:dyDescent="0.3"/>
    <row r="32210" customFormat="1" x14ac:dyDescent="0.3"/>
    <row r="32211" customFormat="1" x14ac:dyDescent="0.3"/>
    <row r="32212" customFormat="1" x14ac:dyDescent="0.3"/>
    <row r="32213" customFormat="1" x14ac:dyDescent="0.3"/>
    <row r="32214" customFormat="1" x14ac:dyDescent="0.3"/>
    <row r="32215" customFormat="1" x14ac:dyDescent="0.3"/>
    <row r="32216" customFormat="1" x14ac:dyDescent="0.3"/>
    <row r="32217" customFormat="1" x14ac:dyDescent="0.3"/>
    <row r="32218" customFormat="1" x14ac:dyDescent="0.3"/>
    <row r="32219" customFormat="1" x14ac:dyDescent="0.3"/>
    <row r="32220" customFormat="1" x14ac:dyDescent="0.3"/>
    <row r="32221" customFormat="1" x14ac:dyDescent="0.3"/>
    <row r="32222" customFormat="1" x14ac:dyDescent="0.3"/>
    <row r="32223" customFormat="1" x14ac:dyDescent="0.3"/>
    <row r="32224" customFormat="1" x14ac:dyDescent="0.3"/>
    <row r="32225" customFormat="1" x14ac:dyDescent="0.3"/>
    <row r="32226" customFormat="1" x14ac:dyDescent="0.3"/>
    <row r="32227" customFormat="1" x14ac:dyDescent="0.3"/>
    <row r="32228" customFormat="1" x14ac:dyDescent="0.3"/>
    <row r="32229" customFormat="1" x14ac:dyDescent="0.3"/>
    <row r="32230" customFormat="1" x14ac:dyDescent="0.3"/>
    <row r="32231" customFormat="1" x14ac:dyDescent="0.3"/>
    <row r="32232" customFormat="1" x14ac:dyDescent="0.3"/>
    <row r="32233" customFormat="1" x14ac:dyDescent="0.3"/>
    <row r="32234" customFormat="1" x14ac:dyDescent="0.3"/>
    <row r="32235" customFormat="1" x14ac:dyDescent="0.3"/>
    <row r="32236" customFormat="1" x14ac:dyDescent="0.3"/>
    <row r="32237" customFormat="1" x14ac:dyDescent="0.3"/>
    <row r="32238" customFormat="1" x14ac:dyDescent="0.3"/>
    <row r="32239" customFormat="1" x14ac:dyDescent="0.3"/>
    <row r="32240" customFormat="1" x14ac:dyDescent="0.3"/>
    <row r="32241" customFormat="1" x14ac:dyDescent="0.3"/>
    <row r="32242" customFormat="1" x14ac:dyDescent="0.3"/>
    <row r="32243" customFormat="1" x14ac:dyDescent="0.3"/>
    <row r="32244" customFormat="1" x14ac:dyDescent="0.3"/>
    <row r="32245" customFormat="1" x14ac:dyDescent="0.3"/>
    <row r="32246" customFormat="1" x14ac:dyDescent="0.3"/>
    <row r="32247" customFormat="1" x14ac:dyDescent="0.3"/>
    <row r="32248" customFormat="1" x14ac:dyDescent="0.3"/>
    <row r="32249" customFormat="1" x14ac:dyDescent="0.3"/>
    <row r="32250" customFormat="1" x14ac:dyDescent="0.3"/>
    <row r="32251" customFormat="1" x14ac:dyDescent="0.3"/>
    <row r="32252" customFormat="1" x14ac:dyDescent="0.3"/>
    <row r="32253" customFormat="1" x14ac:dyDescent="0.3"/>
    <row r="32254" customFormat="1" x14ac:dyDescent="0.3"/>
    <row r="32255" customFormat="1" x14ac:dyDescent="0.3"/>
    <row r="32256" customFormat="1" x14ac:dyDescent="0.3"/>
    <row r="32257" customFormat="1" x14ac:dyDescent="0.3"/>
    <row r="32258" customFormat="1" x14ac:dyDescent="0.3"/>
    <row r="32259" customFormat="1" x14ac:dyDescent="0.3"/>
    <row r="32260" customFormat="1" x14ac:dyDescent="0.3"/>
    <row r="32261" customFormat="1" x14ac:dyDescent="0.3"/>
    <row r="32262" customFormat="1" x14ac:dyDescent="0.3"/>
    <row r="32263" customFormat="1" x14ac:dyDescent="0.3"/>
    <row r="32264" customFormat="1" x14ac:dyDescent="0.3"/>
    <row r="32265" customFormat="1" x14ac:dyDescent="0.3"/>
    <row r="32266" customFormat="1" x14ac:dyDescent="0.3"/>
    <row r="32267" customFormat="1" x14ac:dyDescent="0.3"/>
    <row r="32268" customFormat="1" x14ac:dyDescent="0.3"/>
    <row r="32269" customFormat="1" x14ac:dyDescent="0.3"/>
    <row r="32270" customFormat="1" x14ac:dyDescent="0.3"/>
    <row r="32271" customFormat="1" x14ac:dyDescent="0.3"/>
    <row r="32272" customFormat="1" x14ac:dyDescent="0.3"/>
    <row r="32273" customFormat="1" x14ac:dyDescent="0.3"/>
    <row r="32274" customFormat="1" x14ac:dyDescent="0.3"/>
    <row r="32275" customFormat="1" x14ac:dyDescent="0.3"/>
    <row r="32276" customFormat="1" x14ac:dyDescent="0.3"/>
    <row r="32277" customFormat="1" x14ac:dyDescent="0.3"/>
    <row r="32278" customFormat="1" x14ac:dyDescent="0.3"/>
    <row r="32279" customFormat="1" x14ac:dyDescent="0.3"/>
    <row r="32280" customFormat="1" x14ac:dyDescent="0.3"/>
    <row r="32281" customFormat="1" x14ac:dyDescent="0.3"/>
    <row r="32282" customFormat="1" x14ac:dyDescent="0.3"/>
    <row r="32283" customFormat="1" x14ac:dyDescent="0.3"/>
    <row r="32284" customFormat="1" x14ac:dyDescent="0.3"/>
    <row r="32285" customFormat="1" x14ac:dyDescent="0.3"/>
    <row r="32286" customFormat="1" x14ac:dyDescent="0.3"/>
    <row r="32287" customFormat="1" x14ac:dyDescent="0.3"/>
    <row r="32288" customFormat="1" x14ac:dyDescent="0.3"/>
    <row r="32289" customFormat="1" x14ac:dyDescent="0.3"/>
    <row r="32290" customFormat="1" x14ac:dyDescent="0.3"/>
    <row r="32291" customFormat="1" x14ac:dyDescent="0.3"/>
    <row r="32292" customFormat="1" x14ac:dyDescent="0.3"/>
    <row r="32293" customFormat="1" x14ac:dyDescent="0.3"/>
    <row r="32294" customFormat="1" x14ac:dyDescent="0.3"/>
    <row r="32295" customFormat="1" x14ac:dyDescent="0.3"/>
    <row r="32296" customFormat="1" x14ac:dyDescent="0.3"/>
    <row r="32297" customFormat="1" x14ac:dyDescent="0.3"/>
    <row r="32298" customFormat="1" x14ac:dyDescent="0.3"/>
    <row r="32299" customFormat="1" x14ac:dyDescent="0.3"/>
    <row r="32300" customFormat="1" x14ac:dyDescent="0.3"/>
    <row r="32301" customFormat="1" x14ac:dyDescent="0.3"/>
    <row r="32302" customFormat="1" x14ac:dyDescent="0.3"/>
    <row r="32303" customFormat="1" x14ac:dyDescent="0.3"/>
    <row r="32304" customFormat="1" x14ac:dyDescent="0.3"/>
    <row r="32305" customFormat="1" x14ac:dyDescent="0.3"/>
    <row r="32306" customFormat="1" x14ac:dyDescent="0.3"/>
    <row r="32307" customFormat="1" x14ac:dyDescent="0.3"/>
    <row r="32308" customFormat="1" x14ac:dyDescent="0.3"/>
    <row r="32309" customFormat="1" x14ac:dyDescent="0.3"/>
    <row r="32310" customFormat="1" x14ac:dyDescent="0.3"/>
    <row r="32311" customFormat="1" x14ac:dyDescent="0.3"/>
    <row r="32312" customFormat="1" x14ac:dyDescent="0.3"/>
    <row r="32313" customFormat="1" x14ac:dyDescent="0.3"/>
    <row r="32314" customFormat="1" x14ac:dyDescent="0.3"/>
    <row r="32315" customFormat="1" x14ac:dyDescent="0.3"/>
    <row r="32316" customFormat="1" x14ac:dyDescent="0.3"/>
    <row r="32317" customFormat="1" x14ac:dyDescent="0.3"/>
    <row r="32318" customFormat="1" x14ac:dyDescent="0.3"/>
    <row r="32319" customFormat="1" x14ac:dyDescent="0.3"/>
    <row r="32320" customFormat="1" x14ac:dyDescent="0.3"/>
    <row r="32321" customFormat="1" x14ac:dyDescent="0.3"/>
    <row r="32322" customFormat="1" x14ac:dyDescent="0.3"/>
    <row r="32323" customFormat="1" x14ac:dyDescent="0.3"/>
    <row r="32324" customFormat="1" x14ac:dyDescent="0.3"/>
    <row r="32325" customFormat="1" x14ac:dyDescent="0.3"/>
    <row r="32326" customFormat="1" x14ac:dyDescent="0.3"/>
    <row r="32327" customFormat="1" x14ac:dyDescent="0.3"/>
    <row r="32328" customFormat="1" x14ac:dyDescent="0.3"/>
    <row r="32329" customFormat="1" x14ac:dyDescent="0.3"/>
    <row r="32330" customFormat="1" x14ac:dyDescent="0.3"/>
    <row r="32331" customFormat="1" x14ac:dyDescent="0.3"/>
    <row r="32332" customFormat="1" x14ac:dyDescent="0.3"/>
    <row r="32333" customFormat="1" x14ac:dyDescent="0.3"/>
    <row r="32334" customFormat="1" x14ac:dyDescent="0.3"/>
    <row r="32335" customFormat="1" x14ac:dyDescent="0.3"/>
    <row r="32336" customFormat="1" x14ac:dyDescent="0.3"/>
    <row r="32337" customFormat="1" x14ac:dyDescent="0.3"/>
    <row r="32338" customFormat="1" x14ac:dyDescent="0.3"/>
    <row r="32339" customFormat="1" x14ac:dyDescent="0.3"/>
    <row r="32340" customFormat="1" x14ac:dyDescent="0.3"/>
    <row r="32341" customFormat="1" x14ac:dyDescent="0.3"/>
    <row r="32342" customFormat="1" x14ac:dyDescent="0.3"/>
    <row r="32343" customFormat="1" x14ac:dyDescent="0.3"/>
    <row r="32344" customFormat="1" x14ac:dyDescent="0.3"/>
    <row r="32345" customFormat="1" x14ac:dyDescent="0.3"/>
    <row r="32346" customFormat="1" x14ac:dyDescent="0.3"/>
    <row r="32347" customFormat="1" x14ac:dyDescent="0.3"/>
    <row r="32348" customFormat="1" x14ac:dyDescent="0.3"/>
    <row r="32349" customFormat="1" x14ac:dyDescent="0.3"/>
    <row r="32350" customFormat="1" x14ac:dyDescent="0.3"/>
    <row r="32351" customFormat="1" x14ac:dyDescent="0.3"/>
    <row r="32352" customFormat="1" x14ac:dyDescent="0.3"/>
    <row r="32353" customFormat="1" x14ac:dyDescent="0.3"/>
    <row r="32354" customFormat="1" x14ac:dyDescent="0.3"/>
    <row r="32355" customFormat="1" x14ac:dyDescent="0.3"/>
    <row r="32356" customFormat="1" x14ac:dyDescent="0.3"/>
    <row r="32357" customFormat="1" x14ac:dyDescent="0.3"/>
    <row r="32358" customFormat="1" x14ac:dyDescent="0.3"/>
    <row r="32359" customFormat="1" x14ac:dyDescent="0.3"/>
    <row r="32360" customFormat="1" x14ac:dyDescent="0.3"/>
    <row r="32361" customFormat="1" x14ac:dyDescent="0.3"/>
    <row r="32362" customFormat="1" x14ac:dyDescent="0.3"/>
    <row r="32363" customFormat="1" x14ac:dyDescent="0.3"/>
    <row r="32364" customFormat="1" x14ac:dyDescent="0.3"/>
    <row r="32365" customFormat="1" x14ac:dyDescent="0.3"/>
    <row r="32366" customFormat="1" x14ac:dyDescent="0.3"/>
    <row r="32367" customFormat="1" x14ac:dyDescent="0.3"/>
    <row r="32368" customFormat="1" x14ac:dyDescent="0.3"/>
    <row r="32369" customFormat="1" x14ac:dyDescent="0.3"/>
    <row r="32370" customFormat="1" x14ac:dyDescent="0.3"/>
    <row r="32371" customFormat="1" x14ac:dyDescent="0.3"/>
    <row r="32372" customFormat="1" x14ac:dyDescent="0.3"/>
    <row r="32373" customFormat="1" x14ac:dyDescent="0.3"/>
    <row r="32374" customFormat="1" x14ac:dyDescent="0.3"/>
    <row r="32375" customFormat="1" x14ac:dyDescent="0.3"/>
    <row r="32376" customFormat="1" x14ac:dyDescent="0.3"/>
    <row r="32377" customFormat="1" x14ac:dyDescent="0.3"/>
    <row r="32378" customFormat="1" x14ac:dyDescent="0.3"/>
    <row r="32379" customFormat="1" x14ac:dyDescent="0.3"/>
    <row r="32380" customFormat="1" x14ac:dyDescent="0.3"/>
    <row r="32381" customFormat="1" x14ac:dyDescent="0.3"/>
    <row r="32382" customFormat="1" x14ac:dyDescent="0.3"/>
    <row r="32383" customFormat="1" x14ac:dyDescent="0.3"/>
    <row r="32384" customFormat="1" x14ac:dyDescent="0.3"/>
    <row r="32385" customFormat="1" x14ac:dyDescent="0.3"/>
    <row r="32386" customFormat="1" x14ac:dyDescent="0.3"/>
    <row r="32387" customFormat="1" x14ac:dyDescent="0.3"/>
    <row r="32388" customFormat="1" x14ac:dyDescent="0.3"/>
    <row r="32389" customFormat="1" x14ac:dyDescent="0.3"/>
    <row r="32390" customFormat="1" x14ac:dyDescent="0.3"/>
    <row r="32391" customFormat="1" x14ac:dyDescent="0.3"/>
    <row r="32392" customFormat="1" x14ac:dyDescent="0.3"/>
    <row r="32393" customFormat="1" x14ac:dyDescent="0.3"/>
    <row r="32394" customFormat="1" x14ac:dyDescent="0.3"/>
    <row r="32395" customFormat="1" x14ac:dyDescent="0.3"/>
    <row r="32396" customFormat="1" x14ac:dyDescent="0.3"/>
    <row r="32397" customFormat="1" x14ac:dyDescent="0.3"/>
    <row r="32398" customFormat="1" x14ac:dyDescent="0.3"/>
    <row r="32399" customFormat="1" x14ac:dyDescent="0.3"/>
    <row r="32400" customFormat="1" x14ac:dyDescent="0.3"/>
    <row r="32401" customFormat="1" x14ac:dyDescent="0.3"/>
    <row r="32402" customFormat="1" x14ac:dyDescent="0.3"/>
    <row r="32403" customFormat="1" x14ac:dyDescent="0.3"/>
    <row r="32404" customFormat="1" x14ac:dyDescent="0.3"/>
    <row r="32405" customFormat="1" x14ac:dyDescent="0.3"/>
    <row r="32406" customFormat="1" x14ac:dyDescent="0.3"/>
    <row r="32407" customFormat="1" x14ac:dyDescent="0.3"/>
    <row r="32408" customFormat="1" x14ac:dyDescent="0.3"/>
    <row r="32409" customFormat="1" x14ac:dyDescent="0.3"/>
    <row r="32410" customFormat="1" x14ac:dyDescent="0.3"/>
    <row r="32411" customFormat="1" x14ac:dyDescent="0.3"/>
    <row r="32412" customFormat="1" x14ac:dyDescent="0.3"/>
    <row r="32413" customFormat="1" x14ac:dyDescent="0.3"/>
    <row r="32414" customFormat="1" x14ac:dyDescent="0.3"/>
    <row r="32415" customFormat="1" x14ac:dyDescent="0.3"/>
    <row r="32416" customFormat="1" x14ac:dyDescent="0.3"/>
    <row r="32417" customFormat="1" x14ac:dyDescent="0.3"/>
    <row r="32418" customFormat="1" x14ac:dyDescent="0.3"/>
    <row r="32419" customFormat="1" x14ac:dyDescent="0.3"/>
    <row r="32420" customFormat="1" x14ac:dyDescent="0.3"/>
    <row r="32421" customFormat="1" x14ac:dyDescent="0.3"/>
    <row r="32422" customFormat="1" x14ac:dyDescent="0.3"/>
    <row r="32423" customFormat="1" x14ac:dyDescent="0.3"/>
    <row r="32424" customFormat="1" x14ac:dyDescent="0.3"/>
    <row r="32425" customFormat="1" x14ac:dyDescent="0.3"/>
    <row r="32426" customFormat="1" x14ac:dyDescent="0.3"/>
    <row r="32427" customFormat="1" x14ac:dyDescent="0.3"/>
    <row r="32428" customFormat="1" x14ac:dyDescent="0.3"/>
    <row r="32429" customFormat="1" x14ac:dyDescent="0.3"/>
    <row r="32430" customFormat="1" x14ac:dyDescent="0.3"/>
    <row r="32431" customFormat="1" x14ac:dyDescent="0.3"/>
    <row r="32432" customFormat="1" x14ac:dyDescent="0.3"/>
    <row r="32433" customFormat="1" x14ac:dyDescent="0.3"/>
    <row r="32434" customFormat="1" x14ac:dyDescent="0.3"/>
    <row r="32435" customFormat="1" x14ac:dyDescent="0.3"/>
    <row r="32436" customFormat="1" x14ac:dyDescent="0.3"/>
    <row r="32437" customFormat="1" x14ac:dyDescent="0.3"/>
    <row r="32438" customFormat="1" x14ac:dyDescent="0.3"/>
    <row r="32439" customFormat="1" x14ac:dyDescent="0.3"/>
    <row r="32440" customFormat="1" x14ac:dyDescent="0.3"/>
    <row r="32441" customFormat="1" x14ac:dyDescent="0.3"/>
    <row r="32442" customFormat="1" x14ac:dyDescent="0.3"/>
    <row r="32443" customFormat="1" x14ac:dyDescent="0.3"/>
    <row r="32444" customFormat="1" x14ac:dyDescent="0.3"/>
    <row r="32445" customFormat="1" x14ac:dyDescent="0.3"/>
    <row r="32446" customFormat="1" x14ac:dyDescent="0.3"/>
    <row r="32447" customFormat="1" x14ac:dyDescent="0.3"/>
    <row r="32448" customFormat="1" x14ac:dyDescent="0.3"/>
    <row r="32449" customFormat="1" x14ac:dyDescent="0.3"/>
    <row r="32450" customFormat="1" x14ac:dyDescent="0.3"/>
    <row r="32451" customFormat="1" x14ac:dyDescent="0.3"/>
    <row r="32452" customFormat="1" x14ac:dyDescent="0.3"/>
    <row r="32453" customFormat="1" x14ac:dyDescent="0.3"/>
    <row r="32454" customFormat="1" x14ac:dyDescent="0.3"/>
    <row r="32455" customFormat="1" x14ac:dyDescent="0.3"/>
    <row r="32456" customFormat="1" x14ac:dyDescent="0.3"/>
    <row r="32457" customFormat="1" x14ac:dyDescent="0.3"/>
    <row r="32458" customFormat="1" x14ac:dyDescent="0.3"/>
    <row r="32459" customFormat="1" x14ac:dyDescent="0.3"/>
    <row r="32460" customFormat="1" x14ac:dyDescent="0.3"/>
    <row r="32461" customFormat="1" x14ac:dyDescent="0.3"/>
    <row r="32462" customFormat="1" x14ac:dyDescent="0.3"/>
    <row r="32463" customFormat="1" x14ac:dyDescent="0.3"/>
    <row r="32464" customFormat="1" x14ac:dyDescent="0.3"/>
    <row r="32465" customFormat="1" x14ac:dyDescent="0.3"/>
    <row r="32466" customFormat="1" x14ac:dyDescent="0.3"/>
    <row r="32467" customFormat="1" x14ac:dyDescent="0.3"/>
    <row r="32468" customFormat="1" x14ac:dyDescent="0.3"/>
    <row r="32469" customFormat="1" x14ac:dyDescent="0.3"/>
    <row r="32470" customFormat="1" x14ac:dyDescent="0.3"/>
    <row r="32471" customFormat="1" x14ac:dyDescent="0.3"/>
    <row r="32472" customFormat="1" x14ac:dyDescent="0.3"/>
    <row r="32473" customFormat="1" x14ac:dyDescent="0.3"/>
    <row r="32474" customFormat="1" x14ac:dyDescent="0.3"/>
    <row r="32475" customFormat="1" x14ac:dyDescent="0.3"/>
    <row r="32476" customFormat="1" x14ac:dyDescent="0.3"/>
    <row r="32477" customFormat="1" x14ac:dyDescent="0.3"/>
    <row r="32478" customFormat="1" x14ac:dyDescent="0.3"/>
    <row r="32479" customFormat="1" x14ac:dyDescent="0.3"/>
    <row r="32480" customFormat="1" x14ac:dyDescent="0.3"/>
    <row r="32481" customFormat="1" x14ac:dyDescent="0.3"/>
    <row r="32482" customFormat="1" x14ac:dyDescent="0.3"/>
    <row r="32483" customFormat="1" x14ac:dyDescent="0.3"/>
    <row r="32484" customFormat="1" x14ac:dyDescent="0.3"/>
    <row r="32485" customFormat="1" x14ac:dyDescent="0.3"/>
    <row r="32486" customFormat="1" x14ac:dyDescent="0.3"/>
    <row r="32487" customFormat="1" x14ac:dyDescent="0.3"/>
    <row r="32488" customFormat="1" x14ac:dyDescent="0.3"/>
    <row r="32489" customFormat="1" x14ac:dyDescent="0.3"/>
    <row r="32490" customFormat="1" x14ac:dyDescent="0.3"/>
    <row r="32491" customFormat="1" x14ac:dyDescent="0.3"/>
    <row r="32492" customFormat="1" x14ac:dyDescent="0.3"/>
    <row r="32493" customFormat="1" x14ac:dyDescent="0.3"/>
    <row r="32494" customFormat="1" x14ac:dyDescent="0.3"/>
    <row r="32495" customFormat="1" x14ac:dyDescent="0.3"/>
    <row r="32496" customFormat="1" x14ac:dyDescent="0.3"/>
    <row r="32497" customFormat="1" x14ac:dyDescent="0.3"/>
    <row r="32498" customFormat="1" x14ac:dyDescent="0.3"/>
    <row r="32499" customFormat="1" x14ac:dyDescent="0.3"/>
    <row r="32500" customFormat="1" x14ac:dyDescent="0.3"/>
    <row r="32501" customFormat="1" x14ac:dyDescent="0.3"/>
    <row r="32502" customFormat="1" x14ac:dyDescent="0.3"/>
    <row r="32503" customFormat="1" x14ac:dyDescent="0.3"/>
    <row r="32504" customFormat="1" x14ac:dyDescent="0.3"/>
    <row r="32505" customFormat="1" x14ac:dyDescent="0.3"/>
    <row r="32506" customFormat="1" x14ac:dyDescent="0.3"/>
    <row r="32507" customFormat="1" x14ac:dyDescent="0.3"/>
    <row r="32508" customFormat="1" x14ac:dyDescent="0.3"/>
    <row r="32509" customFormat="1" x14ac:dyDescent="0.3"/>
    <row r="32510" customFormat="1" x14ac:dyDescent="0.3"/>
    <row r="32511" customFormat="1" x14ac:dyDescent="0.3"/>
    <row r="32512" customFormat="1" x14ac:dyDescent="0.3"/>
    <row r="32513" customFormat="1" x14ac:dyDescent="0.3"/>
    <row r="32514" customFormat="1" x14ac:dyDescent="0.3"/>
    <row r="32515" customFormat="1" x14ac:dyDescent="0.3"/>
    <row r="32516" customFormat="1" x14ac:dyDescent="0.3"/>
    <row r="32517" customFormat="1" x14ac:dyDescent="0.3"/>
    <row r="32518" customFormat="1" x14ac:dyDescent="0.3"/>
    <row r="32519" customFormat="1" x14ac:dyDescent="0.3"/>
    <row r="32520" customFormat="1" x14ac:dyDescent="0.3"/>
    <row r="32521" customFormat="1" x14ac:dyDescent="0.3"/>
    <row r="32522" customFormat="1" x14ac:dyDescent="0.3"/>
    <row r="32523" customFormat="1" x14ac:dyDescent="0.3"/>
    <row r="32524" customFormat="1" x14ac:dyDescent="0.3"/>
    <row r="32525" customFormat="1" x14ac:dyDescent="0.3"/>
    <row r="32526" customFormat="1" x14ac:dyDescent="0.3"/>
    <row r="32527" customFormat="1" x14ac:dyDescent="0.3"/>
    <row r="32528" customFormat="1" x14ac:dyDescent="0.3"/>
    <row r="32529" customFormat="1" x14ac:dyDescent="0.3"/>
    <row r="32530" customFormat="1" x14ac:dyDescent="0.3"/>
    <row r="32531" customFormat="1" x14ac:dyDescent="0.3"/>
    <row r="32532" customFormat="1" x14ac:dyDescent="0.3"/>
    <row r="32533" customFormat="1" x14ac:dyDescent="0.3"/>
    <row r="32534" customFormat="1" x14ac:dyDescent="0.3"/>
    <row r="32535" customFormat="1" x14ac:dyDescent="0.3"/>
    <row r="32536" customFormat="1" x14ac:dyDescent="0.3"/>
    <row r="32537" customFormat="1" x14ac:dyDescent="0.3"/>
    <row r="32538" customFormat="1" x14ac:dyDescent="0.3"/>
    <row r="32539" customFormat="1" x14ac:dyDescent="0.3"/>
    <row r="32540" customFormat="1" x14ac:dyDescent="0.3"/>
    <row r="32541" customFormat="1" x14ac:dyDescent="0.3"/>
    <row r="32542" customFormat="1" x14ac:dyDescent="0.3"/>
    <row r="32543" customFormat="1" x14ac:dyDescent="0.3"/>
    <row r="32544" customFormat="1" x14ac:dyDescent="0.3"/>
    <row r="32545" customFormat="1" x14ac:dyDescent="0.3"/>
    <row r="32546" customFormat="1" x14ac:dyDescent="0.3"/>
    <row r="32547" customFormat="1" x14ac:dyDescent="0.3"/>
    <row r="32548" customFormat="1" x14ac:dyDescent="0.3"/>
    <row r="32549" customFormat="1" x14ac:dyDescent="0.3"/>
    <row r="32550" customFormat="1" x14ac:dyDescent="0.3"/>
    <row r="32551" customFormat="1" x14ac:dyDescent="0.3"/>
    <row r="32552" customFormat="1" x14ac:dyDescent="0.3"/>
    <row r="32553" customFormat="1" x14ac:dyDescent="0.3"/>
    <row r="32554" customFormat="1" x14ac:dyDescent="0.3"/>
    <row r="32555" customFormat="1" x14ac:dyDescent="0.3"/>
    <row r="32556" customFormat="1" x14ac:dyDescent="0.3"/>
    <row r="32557" customFormat="1" x14ac:dyDescent="0.3"/>
    <row r="32558" customFormat="1" x14ac:dyDescent="0.3"/>
    <row r="32559" customFormat="1" x14ac:dyDescent="0.3"/>
    <row r="32560" customFormat="1" x14ac:dyDescent="0.3"/>
    <row r="32561" customFormat="1" x14ac:dyDescent="0.3"/>
    <row r="32562" customFormat="1" x14ac:dyDescent="0.3"/>
    <row r="32563" customFormat="1" x14ac:dyDescent="0.3"/>
    <row r="32564" customFormat="1" x14ac:dyDescent="0.3"/>
    <row r="32565" customFormat="1" x14ac:dyDescent="0.3"/>
    <row r="32566" customFormat="1" x14ac:dyDescent="0.3"/>
    <row r="32567" customFormat="1" x14ac:dyDescent="0.3"/>
    <row r="32568" customFormat="1" x14ac:dyDescent="0.3"/>
    <row r="32569" customFormat="1" x14ac:dyDescent="0.3"/>
    <row r="32570" customFormat="1" x14ac:dyDescent="0.3"/>
    <row r="32571" customFormat="1" x14ac:dyDescent="0.3"/>
    <row r="32572" customFormat="1" x14ac:dyDescent="0.3"/>
    <row r="32573" customFormat="1" x14ac:dyDescent="0.3"/>
    <row r="32574" customFormat="1" x14ac:dyDescent="0.3"/>
    <row r="32575" customFormat="1" x14ac:dyDescent="0.3"/>
    <row r="32576" customFormat="1" x14ac:dyDescent="0.3"/>
    <row r="32577" customFormat="1" x14ac:dyDescent="0.3"/>
    <row r="32578" customFormat="1" x14ac:dyDescent="0.3"/>
    <row r="32579" customFormat="1" x14ac:dyDescent="0.3"/>
    <row r="32580" customFormat="1" x14ac:dyDescent="0.3"/>
    <row r="32581" customFormat="1" x14ac:dyDescent="0.3"/>
    <row r="32582" customFormat="1" x14ac:dyDescent="0.3"/>
    <row r="32583" customFormat="1" x14ac:dyDescent="0.3"/>
    <row r="32584" customFormat="1" x14ac:dyDescent="0.3"/>
    <row r="32585" customFormat="1" x14ac:dyDescent="0.3"/>
    <row r="32586" customFormat="1" x14ac:dyDescent="0.3"/>
    <row r="32587" customFormat="1" x14ac:dyDescent="0.3"/>
    <row r="32588" customFormat="1" x14ac:dyDescent="0.3"/>
    <row r="32589" customFormat="1" x14ac:dyDescent="0.3"/>
    <row r="32590" customFormat="1" x14ac:dyDescent="0.3"/>
    <row r="32591" customFormat="1" x14ac:dyDescent="0.3"/>
    <row r="32592" customFormat="1" x14ac:dyDescent="0.3"/>
    <row r="32593" customFormat="1" x14ac:dyDescent="0.3"/>
    <row r="32594" customFormat="1" x14ac:dyDescent="0.3"/>
    <row r="32595" customFormat="1" x14ac:dyDescent="0.3"/>
    <row r="32596" customFormat="1" x14ac:dyDescent="0.3"/>
    <row r="32597" customFormat="1" x14ac:dyDescent="0.3"/>
    <row r="32598" customFormat="1" x14ac:dyDescent="0.3"/>
    <row r="32599" customFormat="1" x14ac:dyDescent="0.3"/>
    <row r="32600" customFormat="1" x14ac:dyDescent="0.3"/>
    <row r="32601" customFormat="1" x14ac:dyDescent="0.3"/>
    <row r="32602" customFormat="1" x14ac:dyDescent="0.3"/>
    <row r="32603" customFormat="1" x14ac:dyDescent="0.3"/>
    <row r="32604" customFormat="1" x14ac:dyDescent="0.3"/>
    <row r="32605" customFormat="1" x14ac:dyDescent="0.3"/>
    <row r="32606" customFormat="1" x14ac:dyDescent="0.3"/>
    <row r="32607" customFormat="1" x14ac:dyDescent="0.3"/>
    <row r="32608" customFormat="1" x14ac:dyDescent="0.3"/>
    <row r="32609" customFormat="1" x14ac:dyDescent="0.3"/>
    <row r="32610" customFormat="1" x14ac:dyDescent="0.3"/>
    <row r="32611" customFormat="1" x14ac:dyDescent="0.3"/>
    <row r="32612" customFormat="1" x14ac:dyDescent="0.3"/>
    <row r="32613" customFormat="1" x14ac:dyDescent="0.3"/>
    <row r="32614" customFormat="1" x14ac:dyDescent="0.3"/>
    <row r="32615" customFormat="1" x14ac:dyDescent="0.3"/>
    <row r="32616" customFormat="1" x14ac:dyDescent="0.3"/>
    <row r="32617" customFormat="1" x14ac:dyDescent="0.3"/>
    <row r="32618" customFormat="1" x14ac:dyDescent="0.3"/>
    <row r="32619" customFormat="1" x14ac:dyDescent="0.3"/>
    <row r="32620" customFormat="1" x14ac:dyDescent="0.3"/>
    <row r="32621" customFormat="1" x14ac:dyDescent="0.3"/>
    <row r="32622" customFormat="1" x14ac:dyDescent="0.3"/>
    <row r="32623" customFormat="1" x14ac:dyDescent="0.3"/>
    <row r="32624" customFormat="1" x14ac:dyDescent="0.3"/>
    <row r="32625" customFormat="1" x14ac:dyDescent="0.3"/>
    <row r="32626" customFormat="1" x14ac:dyDescent="0.3"/>
    <row r="32627" customFormat="1" x14ac:dyDescent="0.3"/>
    <row r="32628" customFormat="1" x14ac:dyDescent="0.3"/>
    <row r="32629" customFormat="1" x14ac:dyDescent="0.3"/>
    <row r="32630" customFormat="1" x14ac:dyDescent="0.3"/>
    <row r="32631" customFormat="1" x14ac:dyDescent="0.3"/>
    <row r="32632" customFormat="1" x14ac:dyDescent="0.3"/>
    <row r="32633" customFormat="1" x14ac:dyDescent="0.3"/>
    <row r="32634" customFormat="1" x14ac:dyDescent="0.3"/>
    <row r="32635" customFormat="1" x14ac:dyDescent="0.3"/>
    <row r="32636" customFormat="1" x14ac:dyDescent="0.3"/>
    <row r="32637" customFormat="1" x14ac:dyDescent="0.3"/>
    <row r="32638" customFormat="1" x14ac:dyDescent="0.3"/>
    <row r="32639" customFormat="1" x14ac:dyDescent="0.3"/>
    <row r="32640" customFormat="1" x14ac:dyDescent="0.3"/>
    <row r="32641" customFormat="1" x14ac:dyDescent="0.3"/>
    <row r="32642" customFormat="1" x14ac:dyDescent="0.3"/>
    <row r="32643" customFormat="1" x14ac:dyDescent="0.3"/>
    <row r="32644" customFormat="1" x14ac:dyDescent="0.3"/>
    <row r="32645" customFormat="1" x14ac:dyDescent="0.3"/>
    <row r="32646" customFormat="1" x14ac:dyDescent="0.3"/>
    <row r="32647" customFormat="1" x14ac:dyDescent="0.3"/>
    <row r="32648" customFormat="1" x14ac:dyDescent="0.3"/>
    <row r="32649" customFormat="1" x14ac:dyDescent="0.3"/>
    <row r="32650" customFormat="1" x14ac:dyDescent="0.3"/>
    <row r="32651" customFormat="1" x14ac:dyDescent="0.3"/>
    <row r="32652" customFormat="1" x14ac:dyDescent="0.3"/>
    <row r="32653" customFormat="1" x14ac:dyDescent="0.3"/>
    <row r="32654" customFormat="1" x14ac:dyDescent="0.3"/>
    <row r="32655" customFormat="1" x14ac:dyDescent="0.3"/>
    <row r="32656" customFormat="1" x14ac:dyDescent="0.3"/>
    <row r="32657" customFormat="1" x14ac:dyDescent="0.3"/>
    <row r="32658" customFormat="1" x14ac:dyDescent="0.3"/>
    <row r="32659" customFormat="1" x14ac:dyDescent="0.3"/>
    <row r="32660" customFormat="1" x14ac:dyDescent="0.3"/>
    <row r="32661" customFormat="1" x14ac:dyDescent="0.3"/>
    <row r="32662" customFormat="1" x14ac:dyDescent="0.3"/>
    <row r="32663" customFormat="1" x14ac:dyDescent="0.3"/>
    <row r="32664" customFormat="1" x14ac:dyDescent="0.3"/>
    <row r="32665" customFormat="1" x14ac:dyDescent="0.3"/>
    <row r="32666" customFormat="1" x14ac:dyDescent="0.3"/>
    <row r="32667" customFormat="1" x14ac:dyDescent="0.3"/>
    <row r="32668" customFormat="1" x14ac:dyDescent="0.3"/>
    <row r="32669" customFormat="1" x14ac:dyDescent="0.3"/>
    <row r="32670" customFormat="1" x14ac:dyDescent="0.3"/>
    <row r="32671" customFormat="1" x14ac:dyDescent="0.3"/>
    <row r="32672" customFormat="1" x14ac:dyDescent="0.3"/>
    <row r="32673" customFormat="1" x14ac:dyDescent="0.3"/>
    <row r="32674" customFormat="1" x14ac:dyDescent="0.3"/>
    <row r="32675" customFormat="1" x14ac:dyDescent="0.3"/>
    <row r="32676" customFormat="1" x14ac:dyDescent="0.3"/>
    <row r="32677" customFormat="1" x14ac:dyDescent="0.3"/>
    <row r="32678" customFormat="1" x14ac:dyDescent="0.3"/>
    <row r="32679" customFormat="1" x14ac:dyDescent="0.3"/>
    <row r="32680" customFormat="1" x14ac:dyDescent="0.3"/>
    <row r="32681" customFormat="1" x14ac:dyDescent="0.3"/>
    <row r="32682" customFormat="1" x14ac:dyDescent="0.3"/>
    <row r="32683" customFormat="1" x14ac:dyDescent="0.3"/>
    <row r="32684" customFormat="1" x14ac:dyDescent="0.3"/>
    <row r="32685" customFormat="1" x14ac:dyDescent="0.3"/>
    <row r="32686" customFormat="1" x14ac:dyDescent="0.3"/>
    <row r="32687" customFormat="1" x14ac:dyDescent="0.3"/>
    <row r="32688" customFormat="1" x14ac:dyDescent="0.3"/>
    <row r="32689" customFormat="1" x14ac:dyDescent="0.3"/>
    <row r="32690" customFormat="1" x14ac:dyDescent="0.3"/>
    <row r="32691" customFormat="1" x14ac:dyDescent="0.3"/>
    <row r="32692" customFormat="1" x14ac:dyDescent="0.3"/>
    <row r="32693" customFormat="1" x14ac:dyDescent="0.3"/>
    <row r="32694" customFormat="1" x14ac:dyDescent="0.3"/>
    <row r="32695" customFormat="1" x14ac:dyDescent="0.3"/>
    <row r="32696" customFormat="1" x14ac:dyDescent="0.3"/>
    <row r="32697" customFormat="1" x14ac:dyDescent="0.3"/>
    <row r="32698" customFormat="1" x14ac:dyDescent="0.3"/>
    <row r="32699" customFormat="1" x14ac:dyDescent="0.3"/>
    <row r="32700" customFormat="1" x14ac:dyDescent="0.3"/>
    <row r="32701" customFormat="1" x14ac:dyDescent="0.3"/>
    <row r="32702" customFormat="1" x14ac:dyDescent="0.3"/>
    <row r="32703" customFormat="1" x14ac:dyDescent="0.3"/>
    <row r="32704" customFormat="1" x14ac:dyDescent="0.3"/>
    <row r="32705" customFormat="1" x14ac:dyDescent="0.3"/>
    <row r="32706" customFormat="1" x14ac:dyDescent="0.3"/>
    <row r="32707" customFormat="1" x14ac:dyDescent="0.3"/>
    <row r="32708" customFormat="1" x14ac:dyDescent="0.3"/>
    <row r="32709" customFormat="1" x14ac:dyDescent="0.3"/>
    <row r="32710" customFormat="1" x14ac:dyDescent="0.3"/>
    <row r="32711" customFormat="1" x14ac:dyDescent="0.3"/>
    <row r="32712" customFormat="1" x14ac:dyDescent="0.3"/>
    <row r="32713" customFormat="1" x14ac:dyDescent="0.3"/>
    <row r="32714" customFormat="1" x14ac:dyDescent="0.3"/>
    <row r="32715" customFormat="1" x14ac:dyDescent="0.3"/>
    <row r="32716" customFormat="1" x14ac:dyDescent="0.3"/>
    <row r="32717" customFormat="1" x14ac:dyDescent="0.3"/>
    <row r="32718" customFormat="1" x14ac:dyDescent="0.3"/>
    <row r="32719" customFormat="1" x14ac:dyDescent="0.3"/>
    <row r="32720" customFormat="1" x14ac:dyDescent="0.3"/>
    <row r="32721" customFormat="1" x14ac:dyDescent="0.3"/>
    <row r="32722" customFormat="1" x14ac:dyDescent="0.3"/>
    <row r="32723" customFormat="1" x14ac:dyDescent="0.3"/>
    <row r="32724" customFormat="1" x14ac:dyDescent="0.3"/>
    <row r="32725" customFormat="1" x14ac:dyDescent="0.3"/>
    <row r="32726" customFormat="1" x14ac:dyDescent="0.3"/>
    <row r="32727" customFormat="1" x14ac:dyDescent="0.3"/>
    <row r="32728" customFormat="1" x14ac:dyDescent="0.3"/>
    <row r="32729" customFormat="1" x14ac:dyDescent="0.3"/>
    <row r="32730" customFormat="1" x14ac:dyDescent="0.3"/>
    <row r="32731" customFormat="1" x14ac:dyDescent="0.3"/>
    <row r="32732" customFormat="1" x14ac:dyDescent="0.3"/>
    <row r="32733" customFormat="1" x14ac:dyDescent="0.3"/>
    <row r="32734" customFormat="1" x14ac:dyDescent="0.3"/>
    <row r="32735" customFormat="1" x14ac:dyDescent="0.3"/>
    <row r="32736" customFormat="1" x14ac:dyDescent="0.3"/>
    <row r="32737" customFormat="1" x14ac:dyDescent="0.3"/>
    <row r="32738" customFormat="1" x14ac:dyDescent="0.3"/>
    <row r="32739" customFormat="1" x14ac:dyDescent="0.3"/>
    <row r="32740" customFormat="1" x14ac:dyDescent="0.3"/>
    <row r="32741" customFormat="1" x14ac:dyDescent="0.3"/>
    <row r="32742" customFormat="1" x14ac:dyDescent="0.3"/>
    <row r="32743" customFormat="1" x14ac:dyDescent="0.3"/>
    <row r="32744" customFormat="1" x14ac:dyDescent="0.3"/>
    <row r="32745" customFormat="1" x14ac:dyDescent="0.3"/>
    <row r="32746" customFormat="1" x14ac:dyDescent="0.3"/>
    <row r="32747" customFormat="1" x14ac:dyDescent="0.3"/>
    <row r="32748" customFormat="1" x14ac:dyDescent="0.3"/>
    <row r="32749" customFormat="1" x14ac:dyDescent="0.3"/>
    <row r="32750" customFormat="1" x14ac:dyDescent="0.3"/>
    <row r="32751" customFormat="1" x14ac:dyDescent="0.3"/>
    <row r="32752" customFormat="1" x14ac:dyDescent="0.3"/>
    <row r="32753" customFormat="1" x14ac:dyDescent="0.3"/>
    <row r="32754" customFormat="1" x14ac:dyDescent="0.3"/>
    <row r="32755" customFormat="1" x14ac:dyDescent="0.3"/>
    <row r="32756" customFormat="1" x14ac:dyDescent="0.3"/>
    <row r="32757" customFormat="1" x14ac:dyDescent="0.3"/>
    <row r="32758" customFormat="1" x14ac:dyDescent="0.3"/>
    <row r="32759" customFormat="1" x14ac:dyDescent="0.3"/>
    <row r="32760" customFormat="1" x14ac:dyDescent="0.3"/>
    <row r="32761" customFormat="1" x14ac:dyDescent="0.3"/>
    <row r="32762" customFormat="1" x14ac:dyDescent="0.3"/>
    <row r="32763" customFormat="1" x14ac:dyDescent="0.3"/>
    <row r="32764" customFormat="1" x14ac:dyDescent="0.3"/>
    <row r="32765" customFormat="1" x14ac:dyDescent="0.3"/>
    <row r="32766" customFormat="1" x14ac:dyDescent="0.3"/>
    <row r="32767" customFormat="1" x14ac:dyDescent="0.3"/>
    <row r="32768" customFormat="1" x14ac:dyDescent="0.3"/>
    <row r="32769" customFormat="1" x14ac:dyDescent="0.3"/>
    <row r="32770" customFormat="1" x14ac:dyDescent="0.3"/>
    <row r="32771" customFormat="1" x14ac:dyDescent="0.3"/>
    <row r="32772" customFormat="1" x14ac:dyDescent="0.3"/>
    <row r="32773" customFormat="1" x14ac:dyDescent="0.3"/>
    <row r="32774" customFormat="1" x14ac:dyDescent="0.3"/>
    <row r="32775" customFormat="1" x14ac:dyDescent="0.3"/>
    <row r="32776" customFormat="1" x14ac:dyDescent="0.3"/>
    <row r="32777" customFormat="1" x14ac:dyDescent="0.3"/>
    <row r="32778" customFormat="1" x14ac:dyDescent="0.3"/>
    <row r="32779" customFormat="1" x14ac:dyDescent="0.3"/>
    <row r="32780" customFormat="1" x14ac:dyDescent="0.3"/>
    <row r="32781" customFormat="1" x14ac:dyDescent="0.3"/>
    <row r="32782" customFormat="1" x14ac:dyDescent="0.3"/>
    <row r="32783" customFormat="1" x14ac:dyDescent="0.3"/>
    <row r="32784" customFormat="1" x14ac:dyDescent="0.3"/>
    <row r="32785" customFormat="1" x14ac:dyDescent="0.3"/>
    <row r="32786" customFormat="1" x14ac:dyDescent="0.3"/>
    <row r="32787" customFormat="1" x14ac:dyDescent="0.3"/>
    <row r="32788" customFormat="1" x14ac:dyDescent="0.3"/>
    <row r="32789" customFormat="1" x14ac:dyDescent="0.3"/>
    <row r="32790" customFormat="1" x14ac:dyDescent="0.3"/>
    <row r="32791" customFormat="1" x14ac:dyDescent="0.3"/>
    <row r="32792" customFormat="1" x14ac:dyDescent="0.3"/>
    <row r="32793" customFormat="1" x14ac:dyDescent="0.3"/>
    <row r="32794" customFormat="1" x14ac:dyDescent="0.3"/>
    <row r="32795" customFormat="1" x14ac:dyDescent="0.3"/>
    <row r="32796" customFormat="1" x14ac:dyDescent="0.3"/>
    <row r="32797" customFormat="1" x14ac:dyDescent="0.3"/>
    <row r="32798" customFormat="1" x14ac:dyDescent="0.3"/>
    <row r="32799" customFormat="1" x14ac:dyDescent="0.3"/>
    <row r="32800" customFormat="1" x14ac:dyDescent="0.3"/>
    <row r="32801" customFormat="1" x14ac:dyDescent="0.3"/>
    <row r="32802" customFormat="1" x14ac:dyDescent="0.3"/>
    <row r="32803" customFormat="1" x14ac:dyDescent="0.3"/>
    <row r="32804" customFormat="1" x14ac:dyDescent="0.3"/>
    <row r="32805" customFormat="1" x14ac:dyDescent="0.3"/>
    <row r="32806" customFormat="1" x14ac:dyDescent="0.3"/>
    <row r="32807" customFormat="1" x14ac:dyDescent="0.3"/>
    <row r="32808" customFormat="1" x14ac:dyDescent="0.3"/>
    <row r="32809" customFormat="1" x14ac:dyDescent="0.3"/>
    <row r="32810" customFormat="1" x14ac:dyDescent="0.3"/>
    <row r="32811" customFormat="1" x14ac:dyDescent="0.3"/>
    <row r="32812" customFormat="1" x14ac:dyDescent="0.3"/>
    <row r="32813" customFormat="1" x14ac:dyDescent="0.3"/>
    <row r="32814" customFormat="1" x14ac:dyDescent="0.3"/>
    <row r="32815" customFormat="1" x14ac:dyDescent="0.3"/>
    <row r="32816" customFormat="1" x14ac:dyDescent="0.3"/>
    <row r="32817" customFormat="1" x14ac:dyDescent="0.3"/>
    <row r="32818" customFormat="1" x14ac:dyDescent="0.3"/>
    <row r="32819" customFormat="1" x14ac:dyDescent="0.3"/>
    <row r="32820" customFormat="1" x14ac:dyDescent="0.3"/>
    <row r="32821" customFormat="1" x14ac:dyDescent="0.3"/>
    <row r="32822" customFormat="1" x14ac:dyDescent="0.3"/>
    <row r="32823" customFormat="1" x14ac:dyDescent="0.3"/>
    <row r="32824" customFormat="1" x14ac:dyDescent="0.3"/>
    <row r="32825" customFormat="1" x14ac:dyDescent="0.3"/>
    <row r="32826" customFormat="1" x14ac:dyDescent="0.3"/>
    <row r="32827" customFormat="1" x14ac:dyDescent="0.3"/>
    <row r="32828" customFormat="1" x14ac:dyDescent="0.3"/>
    <row r="32829" customFormat="1" x14ac:dyDescent="0.3"/>
    <row r="32830" customFormat="1" x14ac:dyDescent="0.3"/>
    <row r="32831" customFormat="1" x14ac:dyDescent="0.3"/>
    <row r="32832" customFormat="1" x14ac:dyDescent="0.3"/>
    <row r="32833" customFormat="1" x14ac:dyDescent="0.3"/>
    <row r="32834" customFormat="1" x14ac:dyDescent="0.3"/>
    <row r="32835" customFormat="1" x14ac:dyDescent="0.3"/>
    <row r="32836" customFormat="1" x14ac:dyDescent="0.3"/>
    <row r="32837" customFormat="1" x14ac:dyDescent="0.3"/>
    <row r="32838" customFormat="1" x14ac:dyDescent="0.3"/>
    <row r="32839" customFormat="1" x14ac:dyDescent="0.3"/>
    <row r="32840" customFormat="1" x14ac:dyDescent="0.3"/>
    <row r="32841" customFormat="1" x14ac:dyDescent="0.3"/>
    <row r="32842" customFormat="1" x14ac:dyDescent="0.3"/>
    <row r="32843" customFormat="1" x14ac:dyDescent="0.3"/>
    <row r="32844" customFormat="1" x14ac:dyDescent="0.3"/>
    <row r="32845" customFormat="1" x14ac:dyDescent="0.3"/>
    <row r="32846" customFormat="1" x14ac:dyDescent="0.3"/>
    <row r="32847" customFormat="1" x14ac:dyDescent="0.3"/>
    <row r="32848" customFormat="1" x14ac:dyDescent="0.3"/>
    <row r="32849" customFormat="1" x14ac:dyDescent="0.3"/>
    <row r="32850" customFormat="1" x14ac:dyDescent="0.3"/>
    <row r="32851" customFormat="1" x14ac:dyDescent="0.3"/>
    <row r="32852" customFormat="1" x14ac:dyDescent="0.3"/>
    <row r="32853" customFormat="1" x14ac:dyDescent="0.3"/>
    <row r="32854" customFormat="1" x14ac:dyDescent="0.3"/>
    <row r="32855" customFormat="1" x14ac:dyDescent="0.3"/>
    <row r="32856" customFormat="1" x14ac:dyDescent="0.3"/>
    <row r="32857" customFormat="1" x14ac:dyDescent="0.3"/>
    <row r="32858" customFormat="1" x14ac:dyDescent="0.3"/>
    <row r="32859" customFormat="1" x14ac:dyDescent="0.3"/>
    <row r="32860" customFormat="1" x14ac:dyDescent="0.3"/>
    <row r="32861" customFormat="1" x14ac:dyDescent="0.3"/>
    <row r="32862" customFormat="1" x14ac:dyDescent="0.3"/>
    <row r="32863" customFormat="1" x14ac:dyDescent="0.3"/>
    <row r="32864" customFormat="1" x14ac:dyDescent="0.3"/>
    <row r="32865" customFormat="1" x14ac:dyDescent="0.3"/>
    <row r="32866" customFormat="1" x14ac:dyDescent="0.3"/>
    <row r="32867" customFormat="1" x14ac:dyDescent="0.3"/>
    <row r="32868" customFormat="1" x14ac:dyDescent="0.3"/>
    <row r="32869" customFormat="1" x14ac:dyDescent="0.3"/>
    <row r="32870" customFormat="1" x14ac:dyDescent="0.3"/>
    <row r="32871" customFormat="1" x14ac:dyDescent="0.3"/>
    <row r="32872" customFormat="1" x14ac:dyDescent="0.3"/>
    <row r="32873" customFormat="1" x14ac:dyDescent="0.3"/>
    <row r="32874" customFormat="1" x14ac:dyDescent="0.3"/>
    <row r="32875" customFormat="1" x14ac:dyDescent="0.3"/>
    <row r="32876" customFormat="1" x14ac:dyDescent="0.3"/>
    <row r="32877" customFormat="1" x14ac:dyDescent="0.3"/>
    <row r="32878" customFormat="1" x14ac:dyDescent="0.3"/>
    <row r="32879" customFormat="1" x14ac:dyDescent="0.3"/>
    <row r="32880" customFormat="1" x14ac:dyDescent="0.3"/>
    <row r="32881" customFormat="1" x14ac:dyDescent="0.3"/>
    <row r="32882" customFormat="1" x14ac:dyDescent="0.3"/>
    <row r="32883" customFormat="1" x14ac:dyDescent="0.3"/>
    <row r="32884" customFormat="1" x14ac:dyDescent="0.3"/>
    <row r="32885" customFormat="1" x14ac:dyDescent="0.3"/>
    <row r="32886" customFormat="1" x14ac:dyDescent="0.3"/>
    <row r="32887" customFormat="1" x14ac:dyDescent="0.3"/>
    <row r="32888" customFormat="1" x14ac:dyDescent="0.3"/>
    <row r="32889" customFormat="1" x14ac:dyDescent="0.3"/>
    <row r="32890" customFormat="1" x14ac:dyDescent="0.3"/>
    <row r="32891" customFormat="1" x14ac:dyDescent="0.3"/>
    <row r="32892" customFormat="1" x14ac:dyDescent="0.3"/>
    <row r="32893" customFormat="1" x14ac:dyDescent="0.3"/>
    <row r="32894" customFormat="1" x14ac:dyDescent="0.3"/>
    <row r="32895" customFormat="1" x14ac:dyDescent="0.3"/>
    <row r="32896" customFormat="1" x14ac:dyDescent="0.3"/>
    <row r="32897" customFormat="1" x14ac:dyDescent="0.3"/>
    <row r="32898" customFormat="1" x14ac:dyDescent="0.3"/>
    <row r="32899" customFormat="1" x14ac:dyDescent="0.3"/>
    <row r="32900" customFormat="1" x14ac:dyDescent="0.3"/>
    <row r="32901" customFormat="1" x14ac:dyDescent="0.3"/>
    <row r="32902" customFormat="1" x14ac:dyDescent="0.3"/>
    <row r="32903" customFormat="1" x14ac:dyDescent="0.3"/>
    <row r="32904" customFormat="1" x14ac:dyDescent="0.3"/>
    <row r="32905" customFormat="1" x14ac:dyDescent="0.3"/>
    <row r="32906" customFormat="1" x14ac:dyDescent="0.3"/>
    <row r="32907" customFormat="1" x14ac:dyDescent="0.3"/>
    <row r="32908" customFormat="1" x14ac:dyDescent="0.3"/>
    <row r="32909" customFormat="1" x14ac:dyDescent="0.3"/>
    <row r="32910" customFormat="1" x14ac:dyDescent="0.3"/>
    <row r="32911" customFormat="1" x14ac:dyDescent="0.3"/>
    <row r="32912" customFormat="1" x14ac:dyDescent="0.3"/>
    <row r="32913" customFormat="1" x14ac:dyDescent="0.3"/>
    <row r="32914" customFormat="1" x14ac:dyDescent="0.3"/>
    <row r="32915" customFormat="1" x14ac:dyDescent="0.3"/>
    <row r="32916" customFormat="1" x14ac:dyDescent="0.3"/>
    <row r="32917" customFormat="1" x14ac:dyDescent="0.3"/>
    <row r="32918" customFormat="1" x14ac:dyDescent="0.3"/>
    <row r="32919" customFormat="1" x14ac:dyDescent="0.3"/>
    <row r="32920" customFormat="1" x14ac:dyDescent="0.3"/>
    <row r="32921" customFormat="1" x14ac:dyDescent="0.3"/>
    <row r="32922" customFormat="1" x14ac:dyDescent="0.3"/>
    <row r="32923" customFormat="1" x14ac:dyDescent="0.3"/>
    <row r="32924" customFormat="1" x14ac:dyDescent="0.3"/>
    <row r="32925" customFormat="1" x14ac:dyDescent="0.3"/>
    <row r="32926" customFormat="1" x14ac:dyDescent="0.3"/>
    <row r="32927" customFormat="1" x14ac:dyDescent="0.3"/>
    <row r="32928" customFormat="1" x14ac:dyDescent="0.3"/>
    <row r="32929" customFormat="1" x14ac:dyDescent="0.3"/>
    <row r="32930" customFormat="1" x14ac:dyDescent="0.3"/>
    <row r="32931" customFormat="1" x14ac:dyDescent="0.3"/>
    <row r="32932" customFormat="1" x14ac:dyDescent="0.3"/>
    <row r="32933" customFormat="1" x14ac:dyDescent="0.3"/>
    <row r="32934" customFormat="1" x14ac:dyDescent="0.3"/>
    <row r="32935" customFormat="1" x14ac:dyDescent="0.3"/>
    <row r="32936" customFormat="1" x14ac:dyDescent="0.3"/>
    <row r="32937" customFormat="1" x14ac:dyDescent="0.3"/>
    <row r="32938" customFormat="1" x14ac:dyDescent="0.3"/>
    <row r="32939" customFormat="1" x14ac:dyDescent="0.3"/>
    <row r="32940" customFormat="1" x14ac:dyDescent="0.3"/>
    <row r="32941" customFormat="1" x14ac:dyDescent="0.3"/>
    <row r="32942" customFormat="1" x14ac:dyDescent="0.3"/>
    <row r="32943" customFormat="1" x14ac:dyDescent="0.3"/>
    <row r="32944" customFormat="1" x14ac:dyDescent="0.3"/>
    <row r="32945" customFormat="1" x14ac:dyDescent="0.3"/>
    <row r="32946" customFormat="1" x14ac:dyDescent="0.3"/>
    <row r="32947" customFormat="1" x14ac:dyDescent="0.3"/>
    <row r="32948" customFormat="1" x14ac:dyDescent="0.3"/>
    <row r="32949" customFormat="1" x14ac:dyDescent="0.3"/>
    <row r="32950" customFormat="1" x14ac:dyDescent="0.3"/>
    <row r="32951" customFormat="1" x14ac:dyDescent="0.3"/>
    <row r="32952" customFormat="1" x14ac:dyDescent="0.3"/>
    <row r="32953" customFormat="1" x14ac:dyDescent="0.3"/>
    <row r="32954" customFormat="1" x14ac:dyDescent="0.3"/>
    <row r="32955" customFormat="1" x14ac:dyDescent="0.3"/>
    <row r="32956" customFormat="1" x14ac:dyDescent="0.3"/>
    <row r="32957" customFormat="1" x14ac:dyDescent="0.3"/>
    <row r="32958" customFormat="1" x14ac:dyDescent="0.3"/>
    <row r="32959" customFormat="1" x14ac:dyDescent="0.3"/>
    <row r="32960" customFormat="1" x14ac:dyDescent="0.3"/>
    <row r="32961" customFormat="1" x14ac:dyDescent="0.3"/>
    <row r="32962" customFormat="1" x14ac:dyDescent="0.3"/>
    <row r="32963" customFormat="1" x14ac:dyDescent="0.3"/>
    <row r="32964" customFormat="1" x14ac:dyDescent="0.3"/>
    <row r="32965" customFormat="1" x14ac:dyDescent="0.3"/>
    <row r="32966" customFormat="1" x14ac:dyDescent="0.3"/>
    <row r="32967" customFormat="1" x14ac:dyDescent="0.3"/>
    <row r="32968" customFormat="1" x14ac:dyDescent="0.3"/>
    <row r="32969" customFormat="1" x14ac:dyDescent="0.3"/>
    <row r="32970" customFormat="1" x14ac:dyDescent="0.3"/>
    <row r="32971" customFormat="1" x14ac:dyDescent="0.3"/>
    <row r="32972" customFormat="1" x14ac:dyDescent="0.3"/>
    <row r="32973" customFormat="1" x14ac:dyDescent="0.3"/>
    <row r="32974" customFormat="1" x14ac:dyDescent="0.3"/>
    <row r="32975" customFormat="1" x14ac:dyDescent="0.3"/>
    <row r="32976" customFormat="1" x14ac:dyDescent="0.3"/>
    <row r="32977" customFormat="1" x14ac:dyDescent="0.3"/>
    <row r="32978" customFormat="1" x14ac:dyDescent="0.3"/>
    <row r="32979" customFormat="1" x14ac:dyDescent="0.3"/>
    <row r="32980" customFormat="1" x14ac:dyDescent="0.3"/>
    <row r="32981" customFormat="1" x14ac:dyDescent="0.3"/>
    <row r="32982" customFormat="1" x14ac:dyDescent="0.3"/>
    <row r="32983" customFormat="1" x14ac:dyDescent="0.3"/>
    <row r="32984" customFormat="1" x14ac:dyDescent="0.3"/>
    <row r="32985" customFormat="1" x14ac:dyDescent="0.3"/>
    <row r="32986" customFormat="1" x14ac:dyDescent="0.3"/>
    <row r="32987" customFormat="1" x14ac:dyDescent="0.3"/>
    <row r="32988" customFormat="1" x14ac:dyDescent="0.3"/>
    <row r="32989" customFormat="1" x14ac:dyDescent="0.3"/>
    <row r="32990" customFormat="1" x14ac:dyDescent="0.3"/>
    <row r="32991" customFormat="1" x14ac:dyDescent="0.3"/>
    <row r="32992" customFormat="1" x14ac:dyDescent="0.3"/>
    <row r="32993" customFormat="1" x14ac:dyDescent="0.3"/>
    <row r="32994" customFormat="1" x14ac:dyDescent="0.3"/>
    <row r="32995" customFormat="1" x14ac:dyDescent="0.3"/>
    <row r="32996" customFormat="1" x14ac:dyDescent="0.3"/>
    <row r="32997" customFormat="1" x14ac:dyDescent="0.3"/>
    <row r="32998" customFormat="1" x14ac:dyDescent="0.3"/>
    <row r="32999" customFormat="1" x14ac:dyDescent="0.3"/>
    <row r="33000" customFormat="1" x14ac:dyDescent="0.3"/>
    <row r="33001" customFormat="1" x14ac:dyDescent="0.3"/>
    <row r="33002" customFormat="1" x14ac:dyDescent="0.3"/>
    <row r="33003" customFormat="1" x14ac:dyDescent="0.3"/>
    <row r="33004" customFormat="1" x14ac:dyDescent="0.3"/>
    <row r="33005" customFormat="1" x14ac:dyDescent="0.3"/>
    <row r="33006" customFormat="1" x14ac:dyDescent="0.3"/>
    <row r="33007" customFormat="1" x14ac:dyDescent="0.3"/>
    <row r="33008" customFormat="1" x14ac:dyDescent="0.3"/>
    <row r="33009" customFormat="1" x14ac:dyDescent="0.3"/>
    <row r="33010" customFormat="1" x14ac:dyDescent="0.3"/>
    <row r="33011" customFormat="1" x14ac:dyDescent="0.3"/>
    <row r="33012" customFormat="1" x14ac:dyDescent="0.3"/>
    <row r="33013" customFormat="1" x14ac:dyDescent="0.3"/>
    <row r="33014" customFormat="1" x14ac:dyDescent="0.3"/>
    <row r="33015" customFormat="1" x14ac:dyDescent="0.3"/>
    <row r="33016" customFormat="1" x14ac:dyDescent="0.3"/>
    <row r="33017" customFormat="1" x14ac:dyDescent="0.3"/>
    <row r="33018" customFormat="1" x14ac:dyDescent="0.3"/>
    <row r="33019" customFormat="1" x14ac:dyDescent="0.3"/>
    <row r="33020" customFormat="1" x14ac:dyDescent="0.3"/>
    <row r="33021" customFormat="1" x14ac:dyDescent="0.3"/>
    <row r="33022" customFormat="1" x14ac:dyDescent="0.3"/>
    <row r="33023" customFormat="1" x14ac:dyDescent="0.3"/>
    <row r="33024" customFormat="1" x14ac:dyDescent="0.3"/>
    <row r="33025" customFormat="1" x14ac:dyDescent="0.3"/>
    <row r="33026" customFormat="1" x14ac:dyDescent="0.3"/>
    <row r="33027" customFormat="1" x14ac:dyDescent="0.3"/>
    <row r="33028" customFormat="1" x14ac:dyDescent="0.3"/>
    <row r="33029" customFormat="1" x14ac:dyDescent="0.3"/>
    <row r="33030" customFormat="1" x14ac:dyDescent="0.3"/>
    <row r="33031" customFormat="1" x14ac:dyDescent="0.3"/>
    <row r="33032" customFormat="1" x14ac:dyDescent="0.3"/>
    <row r="33033" customFormat="1" x14ac:dyDescent="0.3"/>
    <row r="33034" customFormat="1" x14ac:dyDescent="0.3"/>
    <row r="33035" customFormat="1" x14ac:dyDescent="0.3"/>
    <row r="33036" customFormat="1" x14ac:dyDescent="0.3"/>
    <row r="33037" customFormat="1" x14ac:dyDescent="0.3"/>
    <row r="33038" customFormat="1" x14ac:dyDescent="0.3"/>
    <row r="33039" customFormat="1" x14ac:dyDescent="0.3"/>
    <row r="33040" customFormat="1" x14ac:dyDescent="0.3"/>
    <row r="33041" customFormat="1" x14ac:dyDescent="0.3"/>
    <row r="33042" customFormat="1" x14ac:dyDescent="0.3"/>
    <row r="33043" customFormat="1" x14ac:dyDescent="0.3"/>
    <row r="33044" customFormat="1" x14ac:dyDescent="0.3"/>
    <row r="33045" customFormat="1" x14ac:dyDescent="0.3"/>
    <row r="33046" customFormat="1" x14ac:dyDescent="0.3"/>
    <row r="33047" customFormat="1" x14ac:dyDescent="0.3"/>
    <row r="33048" customFormat="1" x14ac:dyDescent="0.3"/>
    <row r="33049" customFormat="1" x14ac:dyDescent="0.3"/>
    <row r="33050" customFormat="1" x14ac:dyDescent="0.3"/>
    <row r="33051" customFormat="1" x14ac:dyDescent="0.3"/>
    <row r="33052" customFormat="1" x14ac:dyDescent="0.3"/>
    <row r="33053" customFormat="1" x14ac:dyDescent="0.3"/>
    <row r="33054" customFormat="1" x14ac:dyDescent="0.3"/>
    <row r="33055" customFormat="1" x14ac:dyDescent="0.3"/>
    <row r="33056" customFormat="1" x14ac:dyDescent="0.3"/>
    <row r="33057" customFormat="1" x14ac:dyDescent="0.3"/>
    <row r="33058" customFormat="1" x14ac:dyDescent="0.3"/>
    <row r="33059" customFormat="1" x14ac:dyDescent="0.3"/>
    <row r="33060" customFormat="1" x14ac:dyDescent="0.3"/>
    <row r="33061" customFormat="1" x14ac:dyDescent="0.3"/>
    <row r="33062" customFormat="1" x14ac:dyDescent="0.3"/>
    <row r="33063" customFormat="1" x14ac:dyDescent="0.3"/>
    <row r="33064" customFormat="1" x14ac:dyDescent="0.3"/>
    <row r="33065" customFormat="1" x14ac:dyDescent="0.3"/>
    <row r="33066" customFormat="1" x14ac:dyDescent="0.3"/>
    <row r="33067" customFormat="1" x14ac:dyDescent="0.3"/>
    <row r="33068" customFormat="1" x14ac:dyDescent="0.3"/>
    <row r="33069" customFormat="1" x14ac:dyDescent="0.3"/>
    <row r="33070" customFormat="1" x14ac:dyDescent="0.3"/>
    <row r="33071" customFormat="1" x14ac:dyDescent="0.3"/>
    <row r="33072" customFormat="1" x14ac:dyDescent="0.3"/>
    <row r="33073" customFormat="1" x14ac:dyDescent="0.3"/>
    <row r="33074" customFormat="1" x14ac:dyDescent="0.3"/>
    <row r="33075" customFormat="1" x14ac:dyDescent="0.3"/>
    <row r="33076" customFormat="1" x14ac:dyDescent="0.3"/>
    <row r="33077" customFormat="1" x14ac:dyDescent="0.3"/>
    <row r="33078" customFormat="1" x14ac:dyDescent="0.3"/>
    <row r="33079" customFormat="1" x14ac:dyDescent="0.3"/>
    <row r="33080" customFormat="1" x14ac:dyDescent="0.3"/>
    <row r="33081" customFormat="1" x14ac:dyDescent="0.3"/>
    <row r="33082" customFormat="1" x14ac:dyDescent="0.3"/>
    <row r="33083" customFormat="1" x14ac:dyDescent="0.3"/>
    <row r="33084" customFormat="1" x14ac:dyDescent="0.3"/>
    <row r="33085" customFormat="1" x14ac:dyDescent="0.3"/>
    <row r="33086" customFormat="1" x14ac:dyDescent="0.3"/>
    <row r="33087" customFormat="1" x14ac:dyDescent="0.3"/>
    <row r="33088" customFormat="1" x14ac:dyDescent="0.3"/>
    <row r="33089" customFormat="1" x14ac:dyDescent="0.3"/>
    <row r="33090" customFormat="1" x14ac:dyDescent="0.3"/>
    <row r="33091" customFormat="1" x14ac:dyDescent="0.3"/>
    <row r="33092" customFormat="1" x14ac:dyDescent="0.3"/>
    <row r="33093" customFormat="1" x14ac:dyDescent="0.3"/>
    <row r="33094" customFormat="1" x14ac:dyDescent="0.3"/>
    <row r="33095" customFormat="1" x14ac:dyDescent="0.3"/>
    <row r="33096" customFormat="1" x14ac:dyDescent="0.3"/>
    <row r="33097" customFormat="1" x14ac:dyDescent="0.3"/>
    <row r="33098" customFormat="1" x14ac:dyDescent="0.3"/>
    <row r="33099" customFormat="1" x14ac:dyDescent="0.3"/>
    <row r="33100" customFormat="1" x14ac:dyDescent="0.3"/>
    <row r="33101" customFormat="1" x14ac:dyDescent="0.3"/>
    <row r="33102" customFormat="1" x14ac:dyDescent="0.3"/>
    <row r="33103" customFormat="1" x14ac:dyDescent="0.3"/>
    <row r="33104" customFormat="1" x14ac:dyDescent="0.3"/>
    <row r="33105" customFormat="1" x14ac:dyDescent="0.3"/>
    <row r="33106" customFormat="1" x14ac:dyDescent="0.3"/>
    <row r="33107" customFormat="1" x14ac:dyDescent="0.3"/>
    <row r="33108" customFormat="1" x14ac:dyDescent="0.3"/>
    <row r="33109" customFormat="1" x14ac:dyDescent="0.3"/>
    <row r="33110" customFormat="1" x14ac:dyDescent="0.3"/>
    <row r="33111" customFormat="1" x14ac:dyDescent="0.3"/>
    <row r="33112" customFormat="1" x14ac:dyDescent="0.3"/>
    <row r="33113" customFormat="1" x14ac:dyDescent="0.3"/>
    <row r="33114" customFormat="1" x14ac:dyDescent="0.3"/>
    <row r="33115" customFormat="1" x14ac:dyDescent="0.3"/>
    <row r="33116" customFormat="1" x14ac:dyDescent="0.3"/>
    <row r="33117" customFormat="1" x14ac:dyDescent="0.3"/>
    <row r="33118" customFormat="1" x14ac:dyDescent="0.3"/>
    <row r="33119" customFormat="1" x14ac:dyDescent="0.3"/>
    <row r="33120" customFormat="1" x14ac:dyDescent="0.3"/>
    <row r="33121" customFormat="1" x14ac:dyDescent="0.3"/>
    <row r="33122" customFormat="1" x14ac:dyDescent="0.3"/>
    <row r="33123" customFormat="1" x14ac:dyDescent="0.3"/>
    <row r="33124" customFormat="1" x14ac:dyDescent="0.3"/>
    <row r="33125" customFormat="1" x14ac:dyDescent="0.3"/>
    <row r="33126" customFormat="1" x14ac:dyDescent="0.3"/>
    <row r="33127" customFormat="1" x14ac:dyDescent="0.3"/>
    <row r="33128" customFormat="1" x14ac:dyDescent="0.3"/>
    <row r="33129" customFormat="1" x14ac:dyDescent="0.3"/>
    <row r="33130" customFormat="1" x14ac:dyDescent="0.3"/>
    <row r="33131" customFormat="1" x14ac:dyDescent="0.3"/>
    <row r="33132" customFormat="1" x14ac:dyDescent="0.3"/>
    <row r="33133" customFormat="1" x14ac:dyDescent="0.3"/>
    <row r="33134" customFormat="1" x14ac:dyDescent="0.3"/>
    <row r="33135" customFormat="1" x14ac:dyDescent="0.3"/>
    <row r="33136" customFormat="1" x14ac:dyDescent="0.3"/>
    <row r="33137" customFormat="1" x14ac:dyDescent="0.3"/>
    <row r="33138" customFormat="1" x14ac:dyDescent="0.3"/>
    <row r="33139" customFormat="1" x14ac:dyDescent="0.3"/>
    <row r="33140" customFormat="1" x14ac:dyDescent="0.3"/>
    <row r="33141" customFormat="1" x14ac:dyDescent="0.3"/>
    <row r="33142" customFormat="1" x14ac:dyDescent="0.3"/>
    <row r="33143" customFormat="1" x14ac:dyDescent="0.3"/>
    <row r="33144" customFormat="1" x14ac:dyDescent="0.3"/>
    <row r="33145" customFormat="1" x14ac:dyDescent="0.3"/>
    <row r="33146" customFormat="1" x14ac:dyDescent="0.3"/>
    <row r="33147" customFormat="1" x14ac:dyDescent="0.3"/>
    <row r="33148" customFormat="1" x14ac:dyDescent="0.3"/>
    <row r="33149" customFormat="1" x14ac:dyDescent="0.3"/>
    <row r="33150" customFormat="1" x14ac:dyDescent="0.3"/>
    <row r="33151" customFormat="1" x14ac:dyDescent="0.3"/>
    <row r="33152" customFormat="1" x14ac:dyDescent="0.3"/>
    <row r="33153" customFormat="1" x14ac:dyDescent="0.3"/>
    <row r="33154" customFormat="1" x14ac:dyDescent="0.3"/>
    <row r="33155" customFormat="1" x14ac:dyDescent="0.3"/>
    <row r="33156" customFormat="1" x14ac:dyDescent="0.3"/>
    <row r="33157" customFormat="1" x14ac:dyDescent="0.3"/>
    <row r="33158" customFormat="1" x14ac:dyDescent="0.3"/>
    <row r="33159" customFormat="1" x14ac:dyDescent="0.3"/>
    <row r="33160" customFormat="1" x14ac:dyDescent="0.3"/>
    <row r="33161" customFormat="1" x14ac:dyDescent="0.3"/>
    <row r="33162" customFormat="1" x14ac:dyDescent="0.3"/>
    <row r="33163" customFormat="1" x14ac:dyDescent="0.3"/>
    <row r="33164" customFormat="1" x14ac:dyDescent="0.3"/>
    <row r="33165" customFormat="1" x14ac:dyDescent="0.3"/>
    <row r="33166" customFormat="1" x14ac:dyDescent="0.3"/>
    <row r="33167" customFormat="1" x14ac:dyDescent="0.3"/>
    <row r="33168" customFormat="1" x14ac:dyDescent="0.3"/>
    <row r="33169" customFormat="1" x14ac:dyDescent="0.3"/>
    <row r="33170" customFormat="1" x14ac:dyDescent="0.3"/>
    <row r="33171" customFormat="1" x14ac:dyDescent="0.3"/>
    <row r="33172" customFormat="1" x14ac:dyDescent="0.3"/>
    <row r="33173" customFormat="1" x14ac:dyDescent="0.3"/>
    <row r="33174" customFormat="1" x14ac:dyDescent="0.3"/>
    <row r="33175" customFormat="1" x14ac:dyDescent="0.3"/>
    <row r="33176" customFormat="1" x14ac:dyDescent="0.3"/>
    <row r="33177" customFormat="1" x14ac:dyDescent="0.3"/>
    <row r="33178" customFormat="1" x14ac:dyDescent="0.3"/>
    <row r="33179" customFormat="1" x14ac:dyDescent="0.3"/>
    <row r="33180" customFormat="1" x14ac:dyDescent="0.3"/>
    <row r="33181" customFormat="1" x14ac:dyDescent="0.3"/>
    <row r="33182" customFormat="1" x14ac:dyDescent="0.3"/>
    <row r="33183" customFormat="1" x14ac:dyDescent="0.3"/>
    <row r="33184" customFormat="1" x14ac:dyDescent="0.3"/>
    <row r="33185" customFormat="1" x14ac:dyDescent="0.3"/>
    <row r="33186" customFormat="1" x14ac:dyDescent="0.3"/>
    <row r="33187" customFormat="1" x14ac:dyDescent="0.3"/>
    <row r="33188" customFormat="1" x14ac:dyDescent="0.3"/>
    <row r="33189" customFormat="1" x14ac:dyDescent="0.3"/>
    <row r="33190" customFormat="1" x14ac:dyDescent="0.3"/>
    <row r="33191" customFormat="1" x14ac:dyDescent="0.3"/>
    <row r="33192" customFormat="1" x14ac:dyDescent="0.3"/>
    <row r="33193" customFormat="1" x14ac:dyDescent="0.3"/>
    <row r="33194" customFormat="1" x14ac:dyDescent="0.3"/>
    <row r="33195" customFormat="1" x14ac:dyDescent="0.3"/>
    <row r="33196" customFormat="1" x14ac:dyDescent="0.3"/>
    <row r="33197" customFormat="1" x14ac:dyDescent="0.3"/>
    <row r="33198" customFormat="1" x14ac:dyDescent="0.3"/>
    <row r="33199" customFormat="1" x14ac:dyDescent="0.3"/>
    <row r="33200" customFormat="1" x14ac:dyDescent="0.3"/>
    <row r="33201" customFormat="1" x14ac:dyDescent="0.3"/>
    <row r="33202" customFormat="1" x14ac:dyDescent="0.3"/>
    <row r="33203" customFormat="1" x14ac:dyDescent="0.3"/>
    <row r="33204" customFormat="1" x14ac:dyDescent="0.3"/>
    <row r="33205" customFormat="1" x14ac:dyDescent="0.3"/>
    <row r="33206" customFormat="1" x14ac:dyDescent="0.3"/>
    <row r="33207" customFormat="1" x14ac:dyDescent="0.3"/>
    <row r="33208" customFormat="1" x14ac:dyDescent="0.3"/>
    <row r="33209" customFormat="1" x14ac:dyDescent="0.3"/>
    <row r="33210" customFormat="1" x14ac:dyDescent="0.3"/>
    <row r="33211" customFormat="1" x14ac:dyDescent="0.3"/>
    <row r="33212" customFormat="1" x14ac:dyDescent="0.3"/>
    <row r="33213" customFormat="1" x14ac:dyDescent="0.3"/>
    <row r="33214" customFormat="1" x14ac:dyDescent="0.3"/>
    <row r="33215" customFormat="1" x14ac:dyDescent="0.3"/>
    <row r="33216" customFormat="1" x14ac:dyDescent="0.3"/>
    <row r="33217" customFormat="1" x14ac:dyDescent="0.3"/>
    <row r="33218" customFormat="1" x14ac:dyDescent="0.3"/>
    <row r="33219" customFormat="1" x14ac:dyDescent="0.3"/>
    <row r="33220" customFormat="1" x14ac:dyDescent="0.3"/>
    <row r="33221" customFormat="1" x14ac:dyDescent="0.3"/>
    <row r="33222" customFormat="1" x14ac:dyDescent="0.3"/>
    <row r="33223" customFormat="1" x14ac:dyDescent="0.3"/>
    <row r="33224" customFormat="1" x14ac:dyDescent="0.3"/>
    <row r="33225" customFormat="1" x14ac:dyDescent="0.3"/>
    <row r="33226" customFormat="1" x14ac:dyDescent="0.3"/>
    <row r="33227" customFormat="1" x14ac:dyDescent="0.3"/>
    <row r="33228" customFormat="1" x14ac:dyDescent="0.3"/>
    <row r="33229" customFormat="1" x14ac:dyDescent="0.3"/>
    <row r="33230" customFormat="1" x14ac:dyDescent="0.3"/>
    <row r="33231" customFormat="1" x14ac:dyDescent="0.3"/>
    <row r="33232" customFormat="1" x14ac:dyDescent="0.3"/>
    <row r="33233" customFormat="1" x14ac:dyDescent="0.3"/>
    <row r="33234" customFormat="1" x14ac:dyDescent="0.3"/>
    <row r="33235" customFormat="1" x14ac:dyDescent="0.3"/>
    <row r="33236" customFormat="1" x14ac:dyDescent="0.3"/>
    <row r="33237" customFormat="1" x14ac:dyDescent="0.3"/>
    <row r="33238" customFormat="1" x14ac:dyDescent="0.3"/>
    <row r="33239" customFormat="1" x14ac:dyDescent="0.3"/>
    <row r="33240" customFormat="1" x14ac:dyDescent="0.3"/>
    <row r="33241" customFormat="1" x14ac:dyDescent="0.3"/>
    <row r="33242" customFormat="1" x14ac:dyDescent="0.3"/>
    <row r="33243" customFormat="1" x14ac:dyDescent="0.3"/>
    <row r="33244" customFormat="1" x14ac:dyDescent="0.3"/>
    <row r="33245" customFormat="1" x14ac:dyDescent="0.3"/>
    <row r="33246" customFormat="1" x14ac:dyDescent="0.3"/>
    <row r="33247" customFormat="1" x14ac:dyDescent="0.3"/>
    <row r="33248" customFormat="1" x14ac:dyDescent="0.3"/>
    <row r="33249" customFormat="1" x14ac:dyDescent="0.3"/>
    <row r="33250" customFormat="1" x14ac:dyDescent="0.3"/>
    <row r="33251" customFormat="1" x14ac:dyDescent="0.3"/>
    <row r="33252" customFormat="1" x14ac:dyDescent="0.3"/>
    <row r="33253" customFormat="1" x14ac:dyDescent="0.3"/>
    <row r="33254" customFormat="1" x14ac:dyDescent="0.3"/>
    <row r="33255" customFormat="1" x14ac:dyDescent="0.3"/>
    <row r="33256" customFormat="1" x14ac:dyDescent="0.3"/>
    <row r="33257" customFormat="1" x14ac:dyDescent="0.3"/>
    <row r="33258" customFormat="1" x14ac:dyDescent="0.3"/>
    <row r="33259" customFormat="1" x14ac:dyDescent="0.3"/>
    <row r="33260" customFormat="1" x14ac:dyDescent="0.3"/>
    <row r="33261" customFormat="1" x14ac:dyDescent="0.3"/>
    <row r="33262" customFormat="1" x14ac:dyDescent="0.3"/>
    <row r="33263" customFormat="1" x14ac:dyDescent="0.3"/>
    <row r="33264" customFormat="1" x14ac:dyDescent="0.3"/>
    <row r="33265" customFormat="1" x14ac:dyDescent="0.3"/>
    <row r="33266" customFormat="1" x14ac:dyDescent="0.3"/>
    <row r="33267" customFormat="1" x14ac:dyDescent="0.3"/>
    <row r="33268" customFormat="1" x14ac:dyDescent="0.3"/>
    <row r="33269" customFormat="1" x14ac:dyDescent="0.3"/>
    <row r="33270" customFormat="1" x14ac:dyDescent="0.3"/>
    <row r="33271" customFormat="1" x14ac:dyDescent="0.3"/>
    <row r="33272" customFormat="1" x14ac:dyDescent="0.3"/>
    <row r="33273" customFormat="1" x14ac:dyDescent="0.3"/>
    <row r="33274" customFormat="1" x14ac:dyDescent="0.3"/>
    <row r="33275" customFormat="1" x14ac:dyDescent="0.3"/>
    <row r="33276" customFormat="1" x14ac:dyDescent="0.3"/>
    <row r="33277" customFormat="1" x14ac:dyDescent="0.3"/>
    <row r="33278" customFormat="1" x14ac:dyDescent="0.3"/>
    <row r="33279" customFormat="1" x14ac:dyDescent="0.3"/>
    <row r="33280" customFormat="1" x14ac:dyDescent="0.3"/>
    <row r="33281" customFormat="1" x14ac:dyDescent="0.3"/>
    <row r="33282" customFormat="1" x14ac:dyDescent="0.3"/>
    <row r="33283" customFormat="1" x14ac:dyDescent="0.3"/>
    <row r="33284" customFormat="1" x14ac:dyDescent="0.3"/>
    <row r="33285" customFormat="1" x14ac:dyDescent="0.3"/>
    <row r="33286" customFormat="1" x14ac:dyDescent="0.3"/>
    <row r="33287" customFormat="1" x14ac:dyDescent="0.3"/>
    <row r="33288" customFormat="1" x14ac:dyDescent="0.3"/>
    <row r="33289" customFormat="1" x14ac:dyDescent="0.3"/>
    <row r="33290" customFormat="1" x14ac:dyDescent="0.3"/>
    <row r="33291" customFormat="1" x14ac:dyDescent="0.3"/>
    <row r="33292" customFormat="1" x14ac:dyDescent="0.3"/>
    <row r="33293" customFormat="1" x14ac:dyDescent="0.3"/>
    <row r="33294" customFormat="1" x14ac:dyDescent="0.3"/>
    <row r="33295" customFormat="1" x14ac:dyDescent="0.3"/>
    <row r="33296" customFormat="1" x14ac:dyDescent="0.3"/>
    <row r="33297" customFormat="1" x14ac:dyDescent="0.3"/>
    <row r="33298" customFormat="1" x14ac:dyDescent="0.3"/>
    <row r="33299" customFormat="1" x14ac:dyDescent="0.3"/>
    <row r="33300" customFormat="1" x14ac:dyDescent="0.3"/>
    <row r="33301" customFormat="1" x14ac:dyDescent="0.3"/>
    <row r="33302" customFormat="1" x14ac:dyDescent="0.3"/>
    <row r="33303" customFormat="1" x14ac:dyDescent="0.3"/>
    <row r="33304" customFormat="1" x14ac:dyDescent="0.3"/>
    <row r="33305" customFormat="1" x14ac:dyDescent="0.3"/>
    <row r="33306" customFormat="1" x14ac:dyDescent="0.3"/>
    <row r="33307" customFormat="1" x14ac:dyDescent="0.3"/>
    <row r="33308" customFormat="1" x14ac:dyDescent="0.3"/>
    <row r="33309" customFormat="1" x14ac:dyDescent="0.3"/>
    <row r="33310" customFormat="1" x14ac:dyDescent="0.3"/>
    <row r="33311" customFormat="1" x14ac:dyDescent="0.3"/>
    <row r="33312" customFormat="1" x14ac:dyDescent="0.3"/>
    <row r="33313" customFormat="1" x14ac:dyDescent="0.3"/>
    <row r="33314" customFormat="1" x14ac:dyDescent="0.3"/>
    <row r="33315" customFormat="1" x14ac:dyDescent="0.3"/>
    <row r="33316" customFormat="1" x14ac:dyDescent="0.3"/>
    <row r="33317" customFormat="1" x14ac:dyDescent="0.3"/>
    <row r="33318" customFormat="1" x14ac:dyDescent="0.3"/>
    <row r="33319" customFormat="1" x14ac:dyDescent="0.3"/>
    <row r="33320" customFormat="1" x14ac:dyDescent="0.3"/>
    <row r="33321" customFormat="1" x14ac:dyDescent="0.3"/>
    <row r="33322" customFormat="1" x14ac:dyDescent="0.3"/>
    <row r="33323" customFormat="1" x14ac:dyDescent="0.3"/>
    <row r="33324" customFormat="1" x14ac:dyDescent="0.3"/>
    <row r="33325" customFormat="1" x14ac:dyDescent="0.3"/>
    <row r="33326" customFormat="1" x14ac:dyDescent="0.3"/>
    <row r="33327" customFormat="1" x14ac:dyDescent="0.3"/>
    <row r="33328" customFormat="1" x14ac:dyDescent="0.3"/>
    <row r="33329" customFormat="1" x14ac:dyDescent="0.3"/>
    <row r="33330" customFormat="1" x14ac:dyDescent="0.3"/>
    <row r="33331" customFormat="1" x14ac:dyDescent="0.3"/>
    <row r="33332" customFormat="1" x14ac:dyDescent="0.3"/>
    <row r="33333" customFormat="1" x14ac:dyDescent="0.3"/>
    <row r="33334" customFormat="1" x14ac:dyDescent="0.3"/>
    <row r="33335" customFormat="1" x14ac:dyDescent="0.3"/>
    <row r="33336" customFormat="1" x14ac:dyDescent="0.3"/>
    <row r="33337" customFormat="1" x14ac:dyDescent="0.3"/>
    <row r="33338" customFormat="1" x14ac:dyDescent="0.3"/>
    <row r="33339" customFormat="1" x14ac:dyDescent="0.3"/>
    <row r="33340" customFormat="1" x14ac:dyDescent="0.3"/>
    <row r="33341" customFormat="1" x14ac:dyDescent="0.3"/>
    <row r="33342" customFormat="1" x14ac:dyDescent="0.3"/>
    <row r="33343" customFormat="1" x14ac:dyDescent="0.3"/>
    <row r="33344" customFormat="1" x14ac:dyDescent="0.3"/>
    <row r="33345" customFormat="1" x14ac:dyDescent="0.3"/>
    <row r="33346" customFormat="1" x14ac:dyDescent="0.3"/>
    <row r="33347" customFormat="1" x14ac:dyDescent="0.3"/>
    <row r="33348" customFormat="1" x14ac:dyDescent="0.3"/>
    <row r="33349" customFormat="1" x14ac:dyDescent="0.3"/>
    <row r="33350" customFormat="1" x14ac:dyDescent="0.3"/>
    <row r="33351" customFormat="1" x14ac:dyDescent="0.3"/>
    <row r="33352" customFormat="1" x14ac:dyDescent="0.3"/>
    <row r="33353" customFormat="1" x14ac:dyDescent="0.3"/>
    <row r="33354" customFormat="1" x14ac:dyDescent="0.3"/>
    <row r="33355" customFormat="1" x14ac:dyDescent="0.3"/>
    <row r="33356" customFormat="1" x14ac:dyDescent="0.3"/>
    <row r="33357" customFormat="1" x14ac:dyDescent="0.3"/>
    <row r="33358" customFormat="1" x14ac:dyDescent="0.3"/>
    <row r="33359" customFormat="1" x14ac:dyDescent="0.3"/>
    <row r="33360" customFormat="1" x14ac:dyDescent="0.3"/>
    <row r="33361" customFormat="1" x14ac:dyDescent="0.3"/>
    <row r="33362" customFormat="1" x14ac:dyDescent="0.3"/>
    <row r="33363" customFormat="1" x14ac:dyDescent="0.3"/>
    <row r="33364" customFormat="1" x14ac:dyDescent="0.3"/>
    <row r="33365" customFormat="1" x14ac:dyDescent="0.3"/>
    <row r="33366" customFormat="1" x14ac:dyDescent="0.3"/>
    <row r="33367" customFormat="1" x14ac:dyDescent="0.3"/>
    <row r="33368" customFormat="1" x14ac:dyDescent="0.3"/>
    <row r="33369" customFormat="1" x14ac:dyDescent="0.3"/>
    <row r="33370" customFormat="1" x14ac:dyDescent="0.3"/>
    <row r="33371" customFormat="1" x14ac:dyDescent="0.3"/>
    <row r="33372" customFormat="1" x14ac:dyDescent="0.3"/>
    <row r="33373" customFormat="1" x14ac:dyDescent="0.3"/>
    <row r="33374" customFormat="1" x14ac:dyDescent="0.3"/>
    <row r="33375" customFormat="1" x14ac:dyDescent="0.3"/>
    <row r="33376" customFormat="1" x14ac:dyDescent="0.3"/>
    <row r="33377" customFormat="1" x14ac:dyDescent="0.3"/>
    <row r="33378" customFormat="1" x14ac:dyDescent="0.3"/>
    <row r="33379" customFormat="1" x14ac:dyDescent="0.3"/>
    <row r="33380" customFormat="1" x14ac:dyDescent="0.3"/>
    <row r="33381" customFormat="1" x14ac:dyDescent="0.3"/>
    <row r="33382" customFormat="1" x14ac:dyDescent="0.3"/>
    <row r="33383" customFormat="1" x14ac:dyDescent="0.3"/>
    <row r="33384" customFormat="1" x14ac:dyDescent="0.3"/>
    <row r="33385" customFormat="1" x14ac:dyDescent="0.3"/>
    <row r="33386" customFormat="1" x14ac:dyDescent="0.3"/>
    <row r="33387" customFormat="1" x14ac:dyDescent="0.3"/>
    <row r="33388" customFormat="1" x14ac:dyDescent="0.3"/>
    <row r="33389" customFormat="1" x14ac:dyDescent="0.3"/>
    <row r="33390" customFormat="1" x14ac:dyDescent="0.3"/>
    <row r="33391" customFormat="1" x14ac:dyDescent="0.3"/>
    <row r="33392" customFormat="1" x14ac:dyDescent="0.3"/>
    <row r="33393" customFormat="1" x14ac:dyDescent="0.3"/>
    <row r="33394" customFormat="1" x14ac:dyDescent="0.3"/>
    <row r="33395" customFormat="1" x14ac:dyDescent="0.3"/>
    <row r="33396" customFormat="1" x14ac:dyDescent="0.3"/>
    <row r="33397" customFormat="1" x14ac:dyDescent="0.3"/>
    <row r="33398" customFormat="1" x14ac:dyDescent="0.3"/>
    <row r="33399" customFormat="1" x14ac:dyDescent="0.3"/>
    <row r="33400" customFormat="1" x14ac:dyDescent="0.3"/>
    <row r="33401" customFormat="1" x14ac:dyDescent="0.3"/>
    <row r="33402" customFormat="1" x14ac:dyDescent="0.3"/>
    <row r="33403" customFormat="1" x14ac:dyDescent="0.3"/>
    <row r="33404" customFormat="1" x14ac:dyDescent="0.3"/>
    <row r="33405" customFormat="1" x14ac:dyDescent="0.3"/>
    <row r="33406" customFormat="1" x14ac:dyDescent="0.3"/>
    <row r="33407" customFormat="1" x14ac:dyDescent="0.3"/>
    <row r="33408" customFormat="1" x14ac:dyDescent="0.3"/>
    <row r="33409" customFormat="1" x14ac:dyDescent="0.3"/>
    <row r="33410" customFormat="1" x14ac:dyDescent="0.3"/>
    <row r="33411" customFormat="1" x14ac:dyDescent="0.3"/>
    <row r="33412" customFormat="1" x14ac:dyDescent="0.3"/>
    <row r="33413" customFormat="1" x14ac:dyDescent="0.3"/>
    <row r="33414" customFormat="1" x14ac:dyDescent="0.3"/>
    <row r="33415" customFormat="1" x14ac:dyDescent="0.3"/>
    <row r="33416" customFormat="1" x14ac:dyDescent="0.3"/>
    <row r="33417" customFormat="1" x14ac:dyDescent="0.3"/>
    <row r="33418" customFormat="1" x14ac:dyDescent="0.3"/>
    <row r="33419" customFormat="1" x14ac:dyDescent="0.3"/>
    <row r="33420" customFormat="1" x14ac:dyDescent="0.3"/>
    <row r="33421" customFormat="1" x14ac:dyDescent="0.3"/>
    <row r="33422" customFormat="1" x14ac:dyDescent="0.3"/>
    <row r="33423" customFormat="1" x14ac:dyDescent="0.3"/>
    <row r="33424" customFormat="1" x14ac:dyDescent="0.3"/>
    <row r="33425" customFormat="1" x14ac:dyDescent="0.3"/>
    <row r="33426" customFormat="1" x14ac:dyDescent="0.3"/>
    <row r="33427" customFormat="1" x14ac:dyDescent="0.3"/>
    <row r="33428" customFormat="1" x14ac:dyDescent="0.3"/>
    <row r="33429" customFormat="1" x14ac:dyDescent="0.3"/>
    <row r="33430" customFormat="1" x14ac:dyDescent="0.3"/>
    <row r="33431" customFormat="1" x14ac:dyDescent="0.3"/>
    <row r="33432" customFormat="1" x14ac:dyDescent="0.3"/>
    <row r="33433" customFormat="1" x14ac:dyDescent="0.3"/>
    <row r="33434" customFormat="1" x14ac:dyDescent="0.3"/>
    <row r="33435" customFormat="1" x14ac:dyDescent="0.3"/>
    <row r="33436" customFormat="1" x14ac:dyDescent="0.3"/>
    <row r="33437" customFormat="1" x14ac:dyDescent="0.3"/>
    <row r="33438" customFormat="1" x14ac:dyDescent="0.3"/>
    <row r="33439" customFormat="1" x14ac:dyDescent="0.3"/>
    <row r="33440" customFormat="1" x14ac:dyDescent="0.3"/>
    <row r="33441" customFormat="1" x14ac:dyDescent="0.3"/>
    <row r="33442" customFormat="1" x14ac:dyDescent="0.3"/>
    <row r="33443" customFormat="1" x14ac:dyDescent="0.3"/>
    <row r="33444" customFormat="1" x14ac:dyDescent="0.3"/>
    <row r="33445" customFormat="1" x14ac:dyDescent="0.3"/>
    <row r="33446" customFormat="1" x14ac:dyDescent="0.3"/>
    <row r="33447" customFormat="1" x14ac:dyDescent="0.3"/>
    <row r="33448" customFormat="1" x14ac:dyDescent="0.3"/>
    <row r="33449" customFormat="1" x14ac:dyDescent="0.3"/>
    <row r="33450" customFormat="1" x14ac:dyDescent="0.3"/>
    <row r="33451" customFormat="1" x14ac:dyDescent="0.3"/>
    <row r="33452" customFormat="1" x14ac:dyDescent="0.3"/>
    <row r="33453" customFormat="1" x14ac:dyDescent="0.3"/>
    <row r="33454" customFormat="1" x14ac:dyDescent="0.3"/>
    <row r="33455" customFormat="1" x14ac:dyDescent="0.3"/>
    <row r="33456" customFormat="1" x14ac:dyDescent="0.3"/>
    <row r="33457" customFormat="1" x14ac:dyDescent="0.3"/>
    <row r="33458" customFormat="1" x14ac:dyDescent="0.3"/>
    <row r="33459" customFormat="1" x14ac:dyDescent="0.3"/>
    <row r="33460" customFormat="1" x14ac:dyDescent="0.3"/>
    <row r="33461" customFormat="1" x14ac:dyDescent="0.3"/>
    <row r="33462" customFormat="1" x14ac:dyDescent="0.3"/>
    <row r="33463" customFormat="1" x14ac:dyDescent="0.3"/>
    <row r="33464" customFormat="1" x14ac:dyDescent="0.3"/>
    <row r="33465" customFormat="1" x14ac:dyDescent="0.3"/>
    <row r="33466" customFormat="1" x14ac:dyDescent="0.3"/>
    <row r="33467" customFormat="1" x14ac:dyDescent="0.3"/>
    <row r="33468" customFormat="1" x14ac:dyDescent="0.3"/>
    <row r="33469" customFormat="1" x14ac:dyDescent="0.3"/>
    <row r="33470" customFormat="1" x14ac:dyDescent="0.3"/>
    <row r="33471" customFormat="1" x14ac:dyDescent="0.3"/>
    <row r="33472" customFormat="1" x14ac:dyDescent="0.3"/>
    <row r="33473" customFormat="1" x14ac:dyDescent="0.3"/>
    <row r="33474" customFormat="1" x14ac:dyDescent="0.3"/>
    <row r="33475" customFormat="1" x14ac:dyDescent="0.3"/>
    <row r="33476" customFormat="1" x14ac:dyDescent="0.3"/>
    <row r="33477" customFormat="1" x14ac:dyDescent="0.3"/>
    <row r="33478" customFormat="1" x14ac:dyDescent="0.3"/>
    <row r="33479" customFormat="1" x14ac:dyDescent="0.3"/>
    <row r="33480" customFormat="1" x14ac:dyDescent="0.3"/>
    <row r="33481" customFormat="1" x14ac:dyDescent="0.3"/>
    <row r="33482" customFormat="1" x14ac:dyDescent="0.3"/>
    <row r="33483" customFormat="1" x14ac:dyDescent="0.3"/>
    <row r="33484" customFormat="1" x14ac:dyDescent="0.3"/>
    <row r="33485" customFormat="1" x14ac:dyDescent="0.3"/>
    <row r="33486" customFormat="1" x14ac:dyDescent="0.3"/>
    <row r="33487" customFormat="1" x14ac:dyDescent="0.3"/>
    <row r="33488" customFormat="1" x14ac:dyDescent="0.3"/>
    <row r="33489" customFormat="1" x14ac:dyDescent="0.3"/>
    <row r="33490" customFormat="1" x14ac:dyDescent="0.3"/>
    <row r="33491" customFormat="1" x14ac:dyDescent="0.3"/>
    <row r="33492" customFormat="1" x14ac:dyDescent="0.3"/>
    <row r="33493" customFormat="1" x14ac:dyDescent="0.3"/>
    <row r="33494" customFormat="1" x14ac:dyDescent="0.3"/>
    <row r="33495" customFormat="1" x14ac:dyDescent="0.3"/>
    <row r="33496" customFormat="1" x14ac:dyDescent="0.3"/>
    <row r="33497" customFormat="1" x14ac:dyDescent="0.3"/>
    <row r="33498" customFormat="1" x14ac:dyDescent="0.3"/>
    <row r="33499" customFormat="1" x14ac:dyDescent="0.3"/>
    <row r="33500" customFormat="1" x14ac:dyDescent="0.3"/>
    <row r="33501" customFormat="1" x14ac:dyDescent="0.3"/>
    <row r="33502" customFormat="1" x14ac:dyDescent="0.3"/>
    <row r="33503" customFormat="1" x14ac:dyDescent="0.3"/>
    <row r="33504" customFormat="1" x14ac:dyDescent="0.3"/>
    <row r="33505" customFormat="1" x14ac:dyDescent="0.3"/>
    <row r="33506" customFormat="1" x14ac:dyDescent="0.3"/>
    <row r="33507" customFormat="1" x14ac:dyDescent="0.3"/>
    <row r="33508" customFormat="1" x14ac:dyDescent="0.3"/>
    <row r="33509" customFormat="1" x14ac:dyDescent="0.3"/>
    <row r="33510" customFormat="1" x14ac:dyDescent="0.3"/>
    <row r="33511" customFormat="1" x14ac:dyDescent="0.3"/>
    <row r="33512" customFormat="1" x14ac:dyDescent="0.3"/>
    <row r="33513" customFormat="1" x14ac:dyDescent="0.3"/>
    <row r="33514" customFormat="1" x14ac:dyDescent="0.3"/>
    <row r="33515" customFormat="1" x14ac:dyDescent="0.3"/>
    <row r="33516" customFormat="1" x14ac:dyDescent="0.3"/>
    <row r="33517" customFormat="1" x14ac:dyDescent="0.3"/>
    <row r="33518" customFormat="1" x14ac:dyDescent="0.3"/>
    <row r="33519" customFormat="1" x14ac:dyDescent="0.3"/>
    <row r="33520" customFormat="1" x14ac:dyDescent="0.3"/>
    <row r="33521" customFormat="1" x14ac:dyDescent="0.3"/>
    <row r="33522" customFormat="1" x14ac:dyDescent="0.3"/>
    <row r="33523" customFormat="1" x14ac:dyDescent="0.3"/>
    <row r="33524" customFormat="1" x14ac:dyDescent="0.3"/>
    <row r="33525" customFormat="1" x14ac:dyDescent="0.3"/>
    <row r="33526" customFormat="1" x14ac:dyDescent="0.3"/>
    <row r="33527" customFormat="1" x14ac:dyDescent="0.3"/>
    <row r="33528" customFormat="1" x14ac:dyDescent="0.3"/>
    <row r="33529" customFormat="1" x14ac:dyDescent="0.3"/>
    <row r="33530" customFormat="1" x14ac:dyDescent="0.3"/>
    <row r="33531" customFormat="1" x14ac:dyDescent="0.3"/>
    <row r="33532" customFormat="1" x14ac:dyDescent="0.3"/>
    <row r="33533" customFormat="1" x14ac:dyDescent="0.3"/>
    <row r="33534" customFormat="1" x14ac:dyDescent="0.3"/>
    <row r="33535" customFormat="1" x14ac:dyDescent="0.3"/>
    <row r="33536" customFormat="1" x14ac:dyDescent="0.3"/>
    <row r="33537" customFormat="1" x14ac:dyDescent="0.3"/>
    <row r="33538" customFormat="1" x14ac:dyDescent="0.3"/>
    <row r="33539" customFormat="1" x14ac:dyDescent="0.3"/>
    <row r="33540" customFormat="1" x14ac:dyDescent="0.3"/>
    <row r="33541" customFormat="1" x14ac:dyDescent="0.3"/>
    <row r="33542" customFormat="1" x14ac:dyDescent="0.3"/>
    <row r="33543" customFormat="1" x14ac:dyDescent="0.3"/>
    <row r="33544" customFormat="1" x14ac:dyDescent="0.3"/>
    <row r="33545" customFormat="1" x14ac:dyDescent="0.3"/>
    <row r="33546" customFormat="1" x14ac:dyDescent="0.3"/>
    <row r="33547" customFormat="1" x14ac:dyDescent="0.3"/>
    <row r="33548" customFormat="1" x14ac:dyDescent="0.3"/>
    <row r="33549" customFormat="1" x14ac:dyDescent="0.3"/>
    <row r="33550" customFormat="1" x14ac:dyDescent="0.3"/>
    <row r="33551" customFormat="1" x14ac:dyDescent="0.3"/>
    <row r="33552" customFormat="1" x14ac:dyDescent="0.3"/>
    <row r="33553" customFormat="1" x14ac:dyDescent="0.3"/>
    <row r="33554" customFormat="1" x14ac:dyDescent="0.3"/>
    <row r="33555" customFormat="1" x14ac:dyDescent="0.3"/>
    <row r="33556" customFormat="1" x14ac:dyDescent="0.3"/>
    <row r="33557" customFormat="1" x14ac:dyDescent="0.3"/>
    <row r="33558" customFormat="1" x14ac:dyDescent="0.3"/>
    <row r="33559" customFormat="1" x14ac:dyDescent="0.3"/>
    <row r="33560" customFormat="1" x14ac:dyDescent="0.3"/>
    <row r="33561" customFormat="1" x14ac:dyDescent="0.3"/>
    <row r="33562" customFormat="1" x14ac:dyDescent="0.3"/>
    <row r="33563" customFormat="1" x14ac:dyDescent="0.3"/>
    <row r="33564" customFormat="1" x14ac:dyDescent="0.3"/>
    <row r="33565" customFormat="1" x14ac:dyDescent="0.3"/>
    <row r="33566" customFormat="1" x14ac:dyDescent="0.3"/>
    <row r="33567" customFormat="1" x14ac:dyDescent="0.3"/>
    <row r="33568" customFormat="1" x14ac:dyDescent="0.3"/>
    <row r="33569" customFormat="1" x14ac:dyDescent="0.3"/>
    <row r="33570" customFormat="1" x14ac:dyDescent="0.3"/>
    <row r="33571" customFormat="1" x14ac:dyDescent="0.3"/>
    <row r="33572" customFormat="1" x14ac:dyDescent="0.3"/>
    <row r="33573" customFormat="1" x14ac:dyDescent="0.3"/>
    <row r="33574" customFormat="1" x14ac:dyDescent="0.3"/>
    <row r="33575" customFormat="1" x14ac:dyDescent="0.3"/>
    <row r="33576" customFormat="1" x14ac:dyDescent="0.3"/>
    <row r="33577" customFormat="1" x14ac:dyDescent="0.3"/>
    <row r="33578" customFormat="1" x14ac:dyDescent="0.3"/>
    <row r="33579" customFormat="1" x14ac:dyDescent="0.3"/>
    <row r="33580" customFormat="1" x14ac:dyDescent="0.3"/>
    <row r="33581" customFormat="1" x14ac:dyDescent="0.3"/>
    <row r="33582" customFormat="1" x14ac:dyDescent="0.3"/>
    <row r="33583" customFormat="1" x14ac:dyDescent="0.3"/>
    <row r="33584" customFormat="1" x14ac:dyDescent="0.3"/>
    <row r="33585" customFormat="1" x14ac:dyDescent="0.3"/>
    <row r="33586" customFormat="1" x14ac:dyDescent="0.3"/>
    <row r="33587" customFormat="1" x14ac:dyDescent="0.3"/>
    <row r="33588" customFormat="1" x14ac:dyDescent="0.3"/>
    <row r="33589" customFormat="1" x14ac:dyDescent="0.3"/>
    <row r="33590" customFormat="1" x14ac:dyDescent="0.3"/>
    <row r="33591" customFormat="1" x14ac:dyDescent="0.3"/>
    <row r="33592" customFormat="1" x14ac:dyDescent="0.3"/>
    <row r="33593" customFormat="1" x14ac:dyDescent="0.3"/>
    <row r="33594" customFormat="1" x14ac:dyDescent="0.3"/>
    <row r="33595" customFormat="1" x14ac:dyDescent="0.3"/>
    <row r="33596" customFormat="1" x14ac:dyDescent="0.3"/>
    <row r="33597" customFormat="1" x14ac:dyDescent="0.3"/>
    <row r="33598" customFormat="1" x14ac:dyDescent="0.3"/>
    <row r="33599" customFormat="1" x14ac:dyDescent="0.3"/>
    <row r="33600" customFormat="1" x14ac:dyDescent="0.3"/>
    <row r="33601" customFormat="1" x14ac:dyDescent="0.3"/>
    <row r="33602" customFormat="1" x14ac:dyDescent="0.3"/>
    <row r="33603" customFormat="1" x14ac:dyDescent="0.3"/>
    <row r="33604" customFormat="1" x14ac:dyDescent="0.3"/>
    <row r="33605" customFormat="1" x14ac:dyDescent="0.3"/>
    <row r="33606" customFormat="1" x14ac:dyDescent="0.3"/>
    <row r="33607" customFormat="1" x14ac:dyDescent="0.3"/>
    <row r="33608" customFormat="1" x14ac:dyDescent="0.3"/>
    <row r="33609" customFormat="1" x14ac:dyDescent="0.3"/>
    <row r="33610" customFormat="1" x14ac:dyDescent="0.3"/>
    <row r="33611" customFormat="1" x14ac:dyDescent="0.3"/>
    <row r="33612" customFormat="1" x14ac:dyDescent="0.3"/>
    <row r="33613" customFormat="1" x14ac:dyDescent="0.3"/>
    <row r="33614" customFormat="1" x14ac:dyDescent="0.3"/>
    <row r="33615" customFormat="1" x14ac:dyDescent="0.3"/>
    <row r="33616" customFormat="1" x14ac:dyDescent="0.3"/>
    <row r="33617" customFormat="1" x14ac:dyDescent="0.3"/>
    <row r="33618" customFormat="1" x14ac:dyDescent="0.3"/>
    <row r="33619" customFormat="1" x14ac:dyDescent="0.3"/>
    <row r="33620" customFormat="1" x14ac:dyDescent="0.3"/>
    <row r="33621" customFormat="1" x14ac:dyDescent="0.3"/>
    <row r="33622" customFormat="1" x14ac:dyDescent="0.3"/>
    <row r="33623" customFormat="1" x14ac:dyDescent="0.3"/>
    <row r="33624" customFormat="1" x14ac:dyDescent="0.3"/>
    <row r="33625" customFormat="1" x14ac:dyDescent="0.3"/>
    <row r="33626" customFormat="1" x14ac:dyDescent="0.3"/>
    <row r="33627" customFormat="1" x14ac:dyDescent="0.3"/>
    <row r="33628" customFormat="1" x14ac:dyDescent="0.3"/>
    <row r="33629" customFormat="1" x14ac:dyDescent="0.3"/>
    <row r="33630" customFormat="1" x14ac:dyDescent="0.3"/>
    <row r="33631" customFormat="1" x14ac:dyDescent="0.3"/>
    <row r="33632" customFormat="1" x14ac:dyDescent="0.3"/>
    <row r="33633" customFormat="1" x14ac:dyDescent="0.3"/>
    <row r="33634" customFormat="1" x14ac:dyDescent="0.3"/>
    <row r="33635" customFormat="1" x14ac:dyDescent="0.3"/>
    <row r="33636" customFormat="1" x14ac:dyDescent="0.3"/>
    <row r="33637" customFormat="1" x14ac:dyDescent="0.3"/>
    <row r="33638" customFormat="1" x14ac:dyDescent="0.3"/>
    <row r="33639" customFormat="1" x14ac:dyDescent="0.3"/>
    <row r="33640" customFormat="1" x14ac:dyDescent="0.3"/>
    <row r="33641" customFormat="1" x14ac:dyDescent="0.3"/>
    <row r="33642" customFormat="1" x14ac:dyDescent="0.3"/>
    <row r="33643" customFormat="1" x14ac:dyDescent="0.3"/>
    <row r="33644" customFormat="1" x14ac:dyDescent="0.3"/>
    <row r="33645" customFormat="1" x14ac:dyDescent="0.3"/>
    <row r="33646" customFormat="1" x14ac:dyDescent="0.3"/>
    <row r="33647" customFormat="1" x14ac:dyDescent="0.3"/>
    <row r="33648" customFormat="1" x14ac:dyDescent="0.3"/>
    <row r="33649" customFormat="1" x14ac:dyDescent="0.3"/>
    <row r="33650" customFormat="1" x14ac:dyDescent="0.3"/>
    <row r="33651" customFormat="1" x14ac:dyDescent="0.3"/>
    <row r="33652" customFormat="1" x14ac:dyDescent="0.3"/>
    <row r="33653" customFormat="1" x14ac:dyDescent="0.3"/>
    <row r="33654" customFormat="1" x14ac:dyDescent="0.3"/>
    <row r="33655" customFormat="1" x14ac:dyDescent="0.3"/>
    <row r="33656" customFormat="1" x14ac:dyDescent="0.3"/>
    <row r="33657" customFormat="1" x14ac:dyDescent="0.3"/>
    <row r="33658" customFormat="1" x14ac:dyDescent="0.3"/>
    <row r="33659" customFormat="1" x14ac:dyDescent="0.3"/>
    <row r="33660" customFormat="1" x14ac:dyDescent="0.3"/>
    <row r="33661" customFormat="1" x14ac:dyDescent="0.3"/>
    <row r="33662" customFormat="1" x14ac:dyDescent="0.3"/>
    <row r="33663" customFormat="1" x14ac:dyDescent="0.3"/>
    <row r="33664" customFormat="1" x14ac:dyDescent="0.3"/>
    <row r="33665" customFormat="1" x14ac:dyDescent="0.3"/>
    <row r="33666" customFormat="1" x14ac:dyDescent="0.3"/>
    <row r="33667" customFormat="1" x14ac:dyDescent="0.3"/>
    <row r="33668" customFormat="1" x14ac:dyDescent="0.3"/>
    <row r="33669" customFormat="1" x14ac:dyDescent="0.3"/>
    <row r="33670" customFormat="1" x14ac:dyDescent="0.3"/>
    <row r="33671" customFormat="1" x14ac:dyDescent="0.3"/>
    <row r="33672" customFormat="1" x14ac:dyDescent="0.3"/>
    <row r="33673" customFormat="1" x14ac:dyDescent="0.3"/>
    <row r="33674" customFormat="1" x14ac:dyDescent="0.3"/>
    <row r="33675" customFormat="1" x14ac:dyDescent="0.3"/>
    <row r="33676" customFormat="1" x14ac:dyDescent="0.3"/>
    <row r="33677" customFormat="1" x14ac:dyDescent="0.3"/>
    <row r="33678" customFormat="1" x14ac:dyDescent="0.3"/>
    <row r="33679" customFormat="1" x14ac:dyDescent="0.3"/>
    <row r="33680" customFormat="1" x14ac:dyDescent="0.3"/>
    <row r="33681" customFormat="1" x14ac:dyDescent="0.3"/>
    <row r="33682" customFormat="1" x14ac:dyDescent="0.3"/>
    <row r="33683" customFormat="1" x14ac:dyDescent="0.3"/>
    <row r="33684" customFormat="1" x14ac:dyDescent="0.3"/>
    <row r="33685" customFormat="1" x14ac:dyDescent="0.3"/>
    <row r="33686" customFormat="1" x14ac:dyDescent="0.3"/>
    <row r="33687" customFormat="1" x14ac:dyDescent="0.3"/>
    <row r="33688" customFormat="1" x14ac:dyDescent="0.3"/>
    <row r="33689" customFormat="1" x14ac:dyDescent="0.3"/>
    <row r="33690" customFormat="1" x14ac:dyDescent="0.3"/>
    <row r="33691" customFormat="1" x14ac:dyDescent="0.3"/>
    <row r="33692" customFormat="1" x14ac:dyDescent="0.3"/>
    <row r="33693" customFormat="1" x14ac:dyDescent="0.3"/>
    <row r="33694" customFormat="1" x14ac:dyDescent="0.3"/>
    <row r="33695" customFormat="1" x14ac:dyDescent="0.3"/>
    <row r="33696" customFormat="1" x14ac:dyDescent="0.3"/>
    <row r="33697" customFormat="1" x14ac:dyDescent="0.3"/>
    <row r="33698" customFormat="1" x14ac:dyDescent="0.3"/>
    <row r="33699" customFormat="1" x14ac:dyDescent="0.3"/>
    <row r="33700" customFormat="1" x14ac:dyDescent="0.3"/>
    <row r="33701" customFormat="1" x14ac:dyDescent="0.3"/>
    <row r="33702" customFormat="1" x14ac:dyDescent="0.3"/>
    <row r="33703" customFormat="1" x14ac:dyDescent="0.3"/>
    <row r="33704" customFormat="1" x14ac:dyDescent="0.3"/>
    <row r="33705" customFormat="1" x14ac:dyDescent="0.3"/>
    <row r="33706" customFormat="1" x14ac:dyDescent="0.3"/>
    <row r="33707" customFormat="1" x14ac:dyDescent="0.3"/>
    <row r="33708" customFormat="1" x14ac:dyDescent="0.3"/>
    <row r="33709" customFormat="1" x14ac:dyDescent="0.3"/>
    <row r="33710" customFormat="1" x14ac:dyDescent="0.3"/>
    <row r="33711" customFormat="1" x14ac:dyDescent="0.3"/>
    <row r="33712" customFormat="1" x14ac:dyDescent="0.3"/>
    <row r="33713" customFormat="1" x14ac:dyDescent="0.3"/>
    <row r="33714" customFormat="1" x14ac:dyDescent="0.3"/>
    <row r="33715" customFormat="1" x14ac:dyDescent="0.3"/>
    <row r="33716" customFormat="1" x14ac:dyDescent="0.3"/>
    <row r="33717" customFormat="1" x14ac:dyDescent="0.3"/>
    <row r="33718" customFormat="1" x14ac:dyDescent="0.3"/>
    <row r="33719" customFormat="1" x14ac:dyDescent="0.3"/>
    <row r="33720" customFormat="1" x14ac:dyDescent="0.3"/>
    <row r="33721" customFormat="1" x14ac:dyDescent="0.3"/>
    <row r="33722" customFormat="1" x14ac:dyDescent="0.3"/>
    <row r="33723" customFormat="1" x14ac:dyDescent="0.3"/>
    <row r="33724" customFormat="1" x14ac:dyDescent="0.3"/>
    <row r="33725" customFormat="1" x14ac:dyDescent="0.3"/>
    <row r="33726" customFormat="1" x14ac:dyDescent="0.3"/>
    <row r="33727" customFormat="1" x14ac:dyDescent="0.3"/>
    <row r="33728" customFormat="1" x14ac:dyDescent="0.3"/>
    <row r="33729" customFormat="1" x14ac:dyDescent="0.3"/>
    <row r="33730" customFormat="1" x14ac:dyDescent="0.3"/>
    <row r="33731" customFormat="1" x14ac:dyDescent="0.3"/>
    <row r="33732" customFormat="1" x14ac:dyDescent="0.3"/>
    <row r="33733" customFormat="1" x14ac:dyDescent="0.3"/>
    <row r="33734" customFormat="1" x14ac:dyDescent="0.3"/>
    <row r="33735" customFormat="1" x14ac:dyDescent="0.3"/>
    <row r="33736" customFormat="1" x14ac:dyDescent="0.3"/>
    <row r="33737" customFormat="1" x14ac:dyDescent="0.3"/>
    <row r="33738" customFormat="1" x14ac:dyDescent="0.3"/>
    <row r="33739" customFormat="1" x14ac:dyDescent="0.3"/>
    <row r="33740" customFormat="1" x14ac:dyDescent="0.3"/>
    <row r="33741" customFormat="1" x14ac:dyDescent="0.3"/>
    <row r="33742" customFormat="1" x14ac:dyDescent="0.3"/>
    <row r="33743" customFormat="1" x14ac:dyDescent="0.3"/>
    <row r="33744" customFormat="1" x14ac:dyDescent="0.3"/>
    <row r="33745" customFormat="1" x14ac:dyDescent="0.3"/>
    <row r="33746" customFormat="1" x14ac:dyDescent="0.3"/>
    <row r="33747" customFormat="1" x14ac:dyDescent="0.3"/>
    <row r="33748" customFormat="1" x14ac:dyDescent="0.3"/>
    <row r="33749" customFormat="1" x14ac:dyDescent="0.3"/>
    <row r="33750" customFormat="1" x14ac:dyDescent="0.3"/>
    <row r="33751" customFormat="1" x14ac:dyDescent="0.3"/>
    <row r="33752" customFormat="1" x14ac:dyDescent="0.3"/>
    <row r="33753" customFormat="1" x14ac:dyDescent="0.3"/>
    <row r="33754" customFormat="1" x14ac:dyDescent="0.3"/>
    <row r="33755" customFormat="1" x14ac:dyDescent="0.3"/>
    <row r="33756" customFormat="1" x14ac:dyDescent="0.3"/>
    <row r="33757" customFormat="1" x14ac:dyDescent="0.3"/>
    <row r="33758" customFormat="1" x14ac:dyDescent="0.3"/>
    <row r="33759" customFormat="1" x14ac:dyDescent="0.3"/>
    <row r="33760" customFormat="1" x14ac:dyDescent="0.3"/>
    <row r="33761" customFormat="1" x14ac:dyDescent="0.3"/>
    <row r="33762" customFormat="1" x14ac:dyDescent="0.3"/>
    <row r="33763" customFormat="1" x14ac:dyDescent="0.3"/>
    <row r="33764" customFormat="1" x14ac:dyDescent="0.3"/>
    <row r="33765" customFormat="1" x14ac:dyDescent="0.3"/>
    <row r="33766" customFormat="1" x14ac:dyDescent="0.3"/>
    <row r="33767" customFormat="1" x14ac:dyDescent="0.3"/>
    <row r="33768" customFormat="1" x14ac:dyDescent="0.3"/>
    <row r="33769" customFormat="1" x14ac:dyDescent="0.3"/>
    <row r="33770" customFormat="1" x14ac:dyDescent="0.3"/>
    <row r="33771" customFormat="1" x14ac:dyDescent="0.3"/>
    <row r="33772" customFormat="1" x14ac:dyDescent="0.3"/>
    <row r="33773" customFormat="1" x14ac:dyDescent="0.3"/>
    <row r="33774" customFormat="1" x14ac:dyDescent="0.3"/>
    <row r="33775" customFormat="1" x14ac:dyDescent="0.3"/>
    <row r="33776" customFormat="1" x14ac:dyDescent="0.3"/>
    <row r="33777" customFormat="1" x14ac:dyDescent="0.3"/>
    <row r="33778" customFormat="1" x14ac:dyDescent="0.3"/>
    <row r="33779" customFormat="1" x14ac:dyDescent="0.3"/>
    <row r="33780" customFormat="1" x14ac:dyDescent="0.3"/>
    <row r="33781" customFormat="1" x14ac:dyDescent="0.3"/>
    <row r="33782" customFormat="1" x14ac:dyDescent="0.3"/>
    <row r="33783" customFormat="1" x14ac:dyDescent="0.3"/>
    <row r="33784" customFormat="1" x14ac:dyDescent="0.3"/>
    <row r="33785" customFormat="1" x14ac:dyDescent="0.3"/>
    <row r="33786" customFormat="1" x14ac:dyDescent="0.3"/>
    <row r="33787" customFormat="1" x14ac:dyDescent="0.3"/>
    <row r="33788" customFormat="1" x14ac:dyDescent="0.3"/>
    <row r="33789" customFormat="1" x14ac:dyDescent="0.3"/>
    <row r="33790" customFormat="1" x14ac:dyDescent="0.3"/>
    <row r="33791" customFormat="1" x14ac:dyDescent="0.3"/>
    <row r="33792" customFormat="1" x14ac:dyDescent="0.3"/>
    <row r="33793" customFormat="1" x14ac:dyDescent="0.3"/>
    <row r="33794" customFormat="1" x14ac:dyDescent="0.3"/>
    <row r="33795" customFormat="1" x14ac:dyDescent="0.3"/>
    <row r="33796" customFormat="1" x14ac:dyDescent="0.3"/>
    <row r="33797" customFormat="1" x14ac:dyDescent="0.3"/>
    <row r="33798" customFormat="1" x14ac:dyDescent="0.3"/>
    <row r="33799" customFormat="1" x14ac:dyDescent="0.3"/>
    <row r="33800" customFormat="1" x14ac:dyDescent="0.3"/>
    <row r="33801" customFormat="1" x14ac:dyDescent="0.3"/>
    <row r="33802" customFormat="1" x14ac:dyDescent="0.3"/>
    <row r="33803" customFormat="1" x14ac:dyDescent="0.3"/>
    <row r="33804" customFormat="1" x14ac:dyDescent="0.3"/>
    <row r="33805" customFormat="1" x14ac:dyDescent="0.3"/>
    <row r="33806" customFormat="1" x14ac:dyDescent="0.3"/>
    <row r="33807" customFormat="1" x14ac:dyDescent="0.3"/>
    <row r="33808" customFormat="1" x14ac:dyDescent="0.3"/>
    <row r="33809" customFormat="1" x14ac:dyDescent="0.3"/>
    <row r="33810" customFormat="1" x14ac:dyDescent="0.3"/>
    <row r="33811" customFormat="1" x14ac:dyDescent="0.3"/>
    <row r="33812" customFormat="1" x14ac:dyDescent="0.3"/>
    <row r="33813" customFormat="1" x14ac:dyDescent="0.3"/>
    <row r="33814" customFormat="1" x14ac:dyDescent="0.3"/>
    <row r="33815" customFormat="1" x14ac:dyDescent="0.3"/>
    <row r="33816" customFormat="1" x14ac:dyDescent="0.3"/>
    <row r="33817" customFormat="1" x14ac:dyDescent="0.3"/>
    <row r="33818" customFormat="1" x14ac:dyDescent="0.3"/>
    <row r="33819" customFormat="1" x14ac:dyDescent="0.3"/>
    <row r="33820" customFormat="1" x14ac:dyDescent="0.3"/>
    <row r="33821" customFormat="1" x14ac:dyDescent="0.3"/>
    <row r="33822" customFormat="1" x14ac:dyDescent="0.3"/>
    <row r="33823" customFormat="1" x14ac:dyDescent="0.3"/>
    <row r="33824" customFormat="1" x14ac:dyDescent="0.3"/>
    <row r="33825" customFormat="1" x14ac:dyDescent="0.3"/>
    <row r="33826" customFormat="1" x14ac:dyDescent="0.3"/>
    <row r="33827" customFormat="1" x14ac:dyDescent="0.3"/>
    <row r="33828" customFormat="1" x14ac:dyDescent="0.3"/>
    <row r="33829" customFormat="1" x14ac:dyDescent="0.3"/>
    <row r="33830" customFormat="1" x14ac:dyDescent="0.3"/>
    <row r="33831" customFormat="1" x14ac:dyDescent="0.3"/>
    <row r="33832" customFormat="1" x14ac:dyDescent="0.3"/>
    <row r="33833" customFormat="1" x14ac:dyDescent="0.3"/>
    <row r="33834" customFormat="1" x14ac:dyDescent="0.3"/>
    <row r="33835" customFormat="1" x14ac:dyDescent="0.3"/>
    <row r="33836" customFormat="1" x14ac:dyDescent="0.3"/>
    <row r="33837" customFormat="1" x14ac:dyDescent="0.3"/>
    <row r="33838" customFormat="1" x14ac:dyDescent="0.3"/>
    <row r="33839" customFormat="1" x14ac:dyDescent="0.3"/>
    <row r="33840" customFormat="1" x14ac:dyDescent="0.3"/>
    <row r="33841" customFormat="1" x14ac:dyDescent="0.3"/>
    <row r="33842" customFormat="1" x14ac:dyDescent="0.3"/>
    <row r="33843" customFormat="1" x14ac:dyDescent="0.3"/>
    <row r="33844" customFormat="1" x14ac:dyDescent="0.3"/>
    <row r="33845" customFormat="1" x14ac:dyDescent="0.3"/>
    <row r="33846" customFormat="1" x14ac:dyDescent="0.3"/>
    <row r="33847" customFormat="1" x14ac:dyDescent="0.3"/>
    <row r="33848" customFormat="1" x14ac:dyDescent="0.3"/>
    <row r="33849" customFormat="1" x14ac:dyDescent="0.3"/>
    <row r="33850" customFormat="1" x14ac:dyDescent="0.3"/>
    <row r="33851" customFormat="1" x14ac:dyDescent="0.3"/>
    <row r="33852" customFormat="1" x14ac:dyDescent="0.3"/>
    <row r="33853" customFormat="1" x14ac:dyDescent="0.3"/>
    <row r="33854" customFormat="1" x14ac:dyDescent="0.3"/>
    <row r="33855" customFormat="1" x14ac:dyDescent="0.3"/>
    <row r="33856" customFormat="1" x14ac:dyDescent="0.3"/>
    <row r="33857" customFormat="1" x14ac:dyDescent="0.3"/>
    <row r="33858" customFormat="1" x14ac:dyDescent="0.3"/>
    <row r="33859" customFormat="1" x14ac:dyDescent="0.3"/>
    <row r="33860" customFormat="1" x14ac:dyDescent="0.3"/>
    <row r="33861" customFormat="1" x14ac:dyDescent="0.3"/>
    <row r="33862" customFormat="1" x14ac:dyDescent="0.3"/>
    <row r="33863" customFormat="1" x14ac:dyDescent="0.3"/>
    <row r="33864" customFormat="1" x14ac:dyDescent="0.3"/>
    <row r="33865" customFormat="1" x14ac:dyDescent="0.3"/>
    <row r="33866" customFormat="1" x14ac:dyDescent="0.3"/>
    <row r="33867" customFormat="1" x14ac:dyDescent="0.3"/>
    <row r="33868" customFormat="1" x14ac:dyDescent="0.3"/>
    <row r="33869" customFormat="1" x14ac:dyDescent="0.3"/>
    <row r="33870" customFormat="1" x14ac:dyDescent="0.3"/>
    <row r="33871" customFormat="1" x14ac:dyDescent="0.3"/>
    <row r="33872" customFormat="1" x14ac:dyDescent="0.3"/>
    <row r="33873" customFormat="1" x14ac:dyDescent="0.3"/>
    <row r="33874" customFormat="1" x14ac:dyDescent="0.3"/>
    <row r="33875" customFormat="1" x14ac:dyDescent="0.3"/>
    <row r="33876" customFormat="1" x14ac:dyDescent="0.3"/>
    <row r="33877" customFormat="1" x14ac:dyDescent="0.3"/>
    <row r="33878" customFormat="1" x14ac:dyDescent="0.3"/>
    <row r="33879" customFormat="1" x14ac:dyDescent="0.3"/>
    <row r="33880" customFormat="1" x14ac:dyDescent="0.3"/>
    <row r="33881" customFormat="1" x14ac:dyDescent="0.3"/>
    <row r="33882" customFormat="1" x14ac:dyDescent="0.3"/>
    <row r="33883" customFormat="1" x14ac:dyDescent="0.3"/>
    <row r="33884" customFormat="1" x14ac:dyDescent="0.3"/>
    <row r="33885" customFormat="1" x14ac:dyDescent="0.3"/>
    <row r="33886" customFormat="1" x14ac:dyDescent="0.3"/>
    <row r="33887" customFormat="1" x14ac:dyDescent="0.3"/>
    <row r="33888" customFormat="1" x14ac:dyDescent="0.3"/>
    <row r="33889" customFormat="1" x14ac:dyDescent="0.3"/>
    <row r="33890" customFormat="1" x14ac:dyDescent="0.3"/>
    <row r="33891" customFormat="1" x14ac:dyDescent="0.3"/>
    <row r="33892" customFormat="1" x14ac:dyDescent="0.3"/>
    <row r="33893" customFormat="1" x14ac:dyDescent="0.3"/>
    <row r="33894" customFormat="1" x14ac:dyDescent="0.3"/>
    <row r="33895" customFormat="1" x14ac:dyDescent="0.3"/>
    <row r="33896" customFormat="1" x14ac:dyDescent="0.3"/>
    <row r="33897" customFormat="1" x14ac:dyDescent="0.3"/>
    <row r="33898" customFormat="1" x14ac:dyDescent="0.3"/>
    <row r="33899" customFormat="1" x14ac:dyDescent="0.3"/>
    <row r="33900" customFormat="1" x14ac:dyDescent="0.3"/>
    <row r="33901" customFormat="1" x14ac:dyDescent="0.3"/>
    <row r="33902" customFormat="1" x14ac:dyDescent="0.3"/>
    <row r="33903" customFormat="1" x14ac:dyDescent="0.3"/>
    <row r="33904" customFormat="1" x14ac:dyDescent="0.3"/>
    <row r="33905" customFormat="1" x14ac:dyDescent="0.3"/>
    <row r="33906" customFormat="1" x14ac:dyDescent="0.3"/>
    <row r="33907" customFormat="1" x14ac:dyDescent="0.3"/>
    <row r="33908" customFormat="1" x14ac:dyDescent="0.3"/>
    <row r="33909" customFormat="1" x14ac:dyDescent="0.3"/>
    <row r="33910" customFormat="1" x14ac:dyDescent="0.3"/>
    <row r="33911" customFormat="1" x14ac:dyDescent="0.3"/>
    <row r="33912" customFormat="1" x14ac:dyDescent="0.3"/>
    <row r="33913" customFormat="1" x14ac:dyDescent="0.3"/>
    <row r="33914" customFormat="1" x14ac:dyDescent="0.3"/>
    <row r="33915" customFormat="1" x14ac:dyDescent="0.3"/>
    <row r="33916" customFormat="1" x14ac:dyDescent="0.3"/>
    <row r="33917" customFormat="1" x14ac:dyDescent="0.3"/>
    <row r="33918" customFormat="1" x14ac:dyDescent="0.3"/>
    <row r="33919" customFormat="1" x14ac:dyDescent="0.3"/>
    <row r="33920" customFormat="1" x14ac:dyDescent="0.3"/>
    <row r="33921" customFormat="1" x14ac:dyDescent="0.3"/>
    <row r="33922" customFormat="1" x14ac:dyDescent="0.3"/>
    <row r="33923" customFormat="1" x14ac:dyDescent="0.3"/>
    <row r="33924" customFormat="1" x14ac:dyDescent="0.3"/>
    <row r="33925" customFormat="1" x14ac:dyDescent="0.3"/>
    <row r="33926" customFormat="1" x14ac:dyDescent="0.3"/>
    <row r="33927" customFormat="1" x14ac:dyDescent="0.3"/>
    <row r="33928" customFormat="1" x14ac:dyDescent="0.3"/>
    <row r="33929" customFormat="1" x14ac:dyDescent="0.3"/>
    <row r="33930" customFormat="1" x14ac:dyDescent="0.3"/>
    <row r="33931" customFormat="1" x14ac:dyDescent="0.3"/>
    <row r="33932" customFormat="1" x14ac:dyDescent="0.3"/>
    <row r="33933" customFormat="1" x14ac:dyDescent="0.3"/>
    <row r="33934" customFormat="1" x14ac:dyDescent="0.3"/>
    <row r="33935" customFormat="1" x14ac:dyDescent="0.3"/>
    <row r="33936" customFormat="1" x14ac:dyDescent="0.3"/>
    <row r="33937" customFormat="1" x14ac:dyDescent="0.3"/>
    <row r="33938" customFormat="1" x14ac:dyDescent="0.3"/>
    <row r="33939" customFormat="1" x14ac:dyDescent="0.3"/>
    <row r="33940" customFormat="1" x14ac:dyDescent="0.3"/>
    <row r="33941" customFormat="1" x14ac:dyDescent="0.3"/>
    <row r="33942" customFormat="1" x14ac:dyDescent="0.3"/>
    <row r="33943" customFormat="1" x14ac:dyDescent="0.3"/>
    <row r="33944" customFormat="1" x14ac:dyDescent="0.3"/>
    <row r="33945" customFormat="1" x14ac:dyDescent="0.3"/>
    <row r="33946" customFormat="1" x14ac:dyDescent="0.3"/>
    <row r="33947" customFormat="1" x14ac:dyDescent="0.3"/>
    <row r="33948" customFormat="1" x14ac:dyDescent="0.3"/>
    <row r="33949" customFormat="1" x14ac:dyDescent="0.3"/>
    <row r="33950" customFormat="1" x14ac:dyDescent="0.3"/>
    <row r="33951" customFormat="1" x14ac:dyDescent="0.3"/>
    <row r="33952" customFormat="1" x14ac:dyDescent="0.3"/>
    <row r="33953" customFormat="1" x14ac:dyDescent="0.3"/>
    <row r="33954" customFormat="1" x14ac:dyDescent="0.3"/>
    <row r="33955" customFormat="1" x14ac:dyDescent="0.3"/>
    <row r="33956" customFormat="1" x14ac:dyDescent="0.3"/>
    <row r="33957" customFormat="1" x14ac:dyDescent="0.3"/>
    <row r="33958" customFormat="1" x14ac:dyDescent="0.3"/>
    <row r="33959" customFormat="1" x14ac:dyDescent="0.3"/>
    <row r="33960" customFormat="1" x14ac:dyDescent="0.3"/>
    <row r="33961" customFormat="1" x14ac:dyDescent="0.3"/>
    <row r="33962" customFormat="1" x14ac:dyDescent="0.3"/>
    <row r="33963" customFormat="1" x14ac:dyDescent="0.3"/>
    <row r="33964" customFormat="1" x14ac:dyDescent="0.3"/>
    <row r="33965" customFormat="1" x14ac:dyDescent="0.3"/>
    <row r="33966" customFormat="1" x14ac:dyDescent="0.3"/>
    <row r="33967" customFormat="1" x14ac:dyDescent="0.3"/>
    <row r="33968" customFormat="1" x14ac:dyDescent="0.3"/>
    <row r="33969" customFormat="1" x14ac:dyDescent="0.3"/>
    <row r="33970" customFormat="1" x14ac:dyDescent="0.3"/>
    <row r="33971" customFormat="1" x14ac:dyDescent="0.3"/>
    <row r="33972" customFormat="1" x14ac:dyDescent="0.3"/>
    <row r="33973" customFormat="1" x14ac:dyDescent="0.3"/>
    <row r="33974" customFormat="1" x14ac:dyDescent="0.3"/>
    <row r="33975" customFormat="1" x14ac:dyDescent="0.3"/>
    <row r="33976" customFormat="1" x14ac:dyDescent="0.3"/>
    <row r="33977" customFormat="1" x14ac:dyDescent="0.3"/>
    <row r="33978" customFormat="1" x14ac:dyDescent="0.3"/>
    <row r="33979" customFormat="1" x14ac:dyDescent="0.3"/>
    <row r="33980" customFormat="1" x14ac:dyDescent="0.3"/>
    <row r="33981" customFormat="1" x14ac:dyDescent="0.3"/>
    <row r="33982" customFormat="1" x14ac:dyDescent="0.3"/>
    <row r="33983" customFormat="1" x14ac:dyDescent="0.3"/>
    <row r="33984" customFormat="1" x14ac:dyDescent="0.3"/>
    <row r="33985" customFormat="1" x14ac:dyDescent="0.3"/>
    <row r="33986" customFormat="1" x14ac:dyDescent="0.3"/>
    <row r="33987" customFormat="1" x14ac:dyDescent="0.3"/>
    <row r="33988" customFormat="1" x14ac:dyDescent="0.3"/>
    <row r="33989" customFormat="1" x14ac:dyDescent="0.3"/>
    <row r="33990" customFormat="1" x14ac:dyDescent="0.3"/>
    <row r="33991" customFormat="1" x14ac:dyDescent="0.3"/>
    <row r="33992" customFormat="1" x14ac:dyDescent="0.3"/>
    <row r="33993" customFormat="1" x14ac:dyDescent="0.3"/>
    <row r="33994" customFormat="1" x14ac:dyDescent="0.3"/>
    <row r="33995" customFormat="1" x14ac:dyDescent="0.3"/>
    <row r="33996" customFormat="1" x14ac:dyDescent="0.3"/>
    <row r="33997" customFormat="1" x14ac:dyDescent="0.3"/>
    <row r="33998" customFormat="1" x14ac:dyDescent="0.3"/>
    <row r="33999" customFormat="1" x14ac:dyDescent="0.3"/>
    <row r="34000" customFormat="1" x14ac:dyDescent="0.3"/>
    <row r="34001" customFormat="1" x14ac:dyDescent="0.3"/>
    <row r="34002" customFormat="1" x14ac:dyDescent="0.3"/>
    <row r="34003" customFormat="1" x14ac:dyDescent="0.3"/>
    <row r="34004" customFormat="1" x14ac:dyDescent="0.3"/>
    <row r="34005" customFormat="1" x14ac:dyDescent="0.3"/>
    <row r="34006" customFormat="1" x14ac:dyDescent="0.3"/>
    <row r="34007" customFormat="1" x14ac:dyDescent="0.3"/>
    <row r="34008" customFormat="1" x14ac:dyDescent="0.3"/>
    <row r="34009" customFormat="1" x14ac:dyDescent="0.3"/>
    <row r="34010" customFormat="1" x14ac:dyDescent="0.3"/>
    <row r="34011" customFormat="1" x14ac:dyDescent="0.3"/>
    <row r="34012" customFormat="1" x14ac:dyDescent="0.3"/>
    <row r="34013" customFormat="1" x14ac:dyDescent="0.3"/>
    <row r="34014" customFormat="1" x14ac:dyDescent="0.3"/>
    <row r="34015" customFormat="1" x14ac:dyDescent="0.3"/>
    <row r="34016" customFormat="1" x14ac:dyDescent="0.3"/>
    <row r="34017" customFormat="1" x14ac:dyDescent="0.3"/>
    <row r="34018" customFormat="1" x14ac:dyDescent="0.3"/>
    <row r="34019" customFormat="1" x14ac:dyDescent="0.3"/>
    <row r="34020" customFormat="1" x14ac:dyDescent="0.3"/>
    <row r="34021" customFormat="1" x14ac:dyDescent="0.3"/>
    <row r="34022" customFormat="1" x14ac:dyDescent="0.3"/>
    <row r="34023" customFormat="1" x14ac:dyDescent="0.3"/>
    <row r="34024" customFormat="1" x14ac:dyDescent="0.3"/>
    <row r="34025" customFormat="1" x14ac:dyDescent="0.3"/>
    <row r="34026" customFormat="1" x14ac:dyDescent="0.3"/>
    <row r="34027" customFormat="1" x14ac:dyDescent="0.3"/>
    <row r="34028" customFormat="1" x14ac:dyDescent="0.3"/>
    <row r="34029" customFormat="1" x14ac:dyDescent="0.3"/>
    <row r="34030" customFormat="1" x14ac:dyDescent="0.3"/>
    <row r="34031" customFormat="1" x14ac:dyDescent="0.3"/>
    <row r="34032" customFormat="1" x14ac:dyDescent="0.3"/>
    <row r="34033" customFormat="1" x14ac:dyDescent="0.3"/>
    <row r="34034" customFormat="1" x14ac:dyDescent="0.3"/>
    <row r="34035" customFormat="1" x14ac:dyDescent="0.3"/>
    <row r="34036" customFormat="1" x14ac:dyDescent="0.3"/>
    <row r="34037" customFormat="1" x14ac:dyDescent="0.3"/>
    <row r="34038" customFormat="1" x14ac:dyDescent="0.3"/>
    <row r="34039" customFormat="1" x14ac:dyDescent="0.3"/>
    <row r="34040" customFormat="1" x14ac:dyDescent="0.3"/>
    <row r="34041" customFormat="1" x14ac:dyDescent="0.3"/>
    <row r="34042" customFormat="1" x14ac:dyDescent="0.3"/>
    <row r="34043" customFormat="1" x14ac:dyDescent="0.3"/>
    <row r="34044" customFormat="1" x14ac:dyDescent="0.3"/>
    <row r="34045" customFormat="1" x14ac:dyDescent="0.3"/>
    <row r="34046" customFormat="1" x14ac:dyDescent="0.3"/>
    <row r="34047" customFormat="1" x14ac:dyDescent="0.3"/>
    <row r="34048" customFormat="1" x14ac:dyDescent="0.3"/>
    <row r="34049" customFormat="1" x14ac:dyDescent="0.3"/>
    <row r="34050" customFormat="1" x14ac:dyDescent="0.3"/>
    <row r="34051" customFormat="1" x14ac:dyDescent="0.3"/>
    <row r="34052" customFormat="1" x14ac:dyDescent="0.3"/>
    <row r="34053" customFormat="1" x14ac:dyDescent="0.3"/>
    <row r="34054" customFormat="1" x14ac:dyDescent="0.3"/>
    <row r="34055" customFormat="1" x14ac:dyDescent="0.3"/>
    <row r="34056" customFormat="1" x14ac:dyDescent="0.3"/>
    <row r="34057" customFormat="1" x14ac:dyDescent="0.3"/>
    <row r="34058" customFormat="1" x14ac:dyDescent="0.3"/>
    <row r="34059" customFormat="1" x14ac:dyDescent="0.3"/>
    <row r="34060" customFormat="1" x14ac:dyDescent="0.3"/>
    <row r="34061" customFormat="1" x14ac:dyDescent="0.3"/>
    <row r="34062" customFormat="1" x14ac:dyDescent="0.3"/>
    <row r="34063" customFormat="1" x14ac:dyDescent="0.3"/>
    <row r="34064" customFormat="1" x14ac:dyDescent="0.3"/>
    <row r="34065" customFormat="1" x14ac:dyDescent="0.3"/>
    <row r="34066" customFormat="1" x14ac:dyDescent="0.3"/>
    <row r="34067" customFormat="1" x14ac:dyDescent="0.3"/>
    <row r="34068" customFormat="1" x14ac:dyDescent="0.3"/>
    <row r="34069" customFormat="1" x14ac:dyDescent="0.3"/>
    <row r="34070" customFormat="1" x14ac:dyDescent="0.3"/>
    <row r="34071" customFormat="1" x14ac:dyDescent="0.3"/>
    <row r="34072" customFormat="1" x14ac:dyDescent="0.3"/>
    <row r="34073" customFormat="1" x14ac:dyDescent="0.3"/>
    <row r="34074" customFormat="1" x14ac:dyDescent="0.3"/>
    <row r="34075" customFormat="1" x14ac:dyDescent="0.3"/>
    <row r="34076" customFormat="1" x14ac:dyDescent="0.3"/>
    <row r="34077" customFormat="1" x14ac:dyDescent="0.3"/>
    <row r="34078" customFormat="1" x14ac:dyDescent="0.3"/>
    <row r="34079" customFormat="1" x14ac:dyDescent="0.3"/>
    <row r="34080" customFormat="1" x14ac:dyDescent="0.3"/>
    <row r="34081" customFormat="1" x14ac:dyDescent="0.3"/>
    <row r="34082" customFormat="1" x14ac:dyDescent="0.3"/>
    <row r="34083" customFormat="1" x14ac:dyDescent="0.3"/>
    <row r="34084" customFormat="1" x14ac:dyDescent="0.3"/>
    <row r="34085" customFormat="1" x14ac:dyDescent="0.3"/>
    <row r="34086" customFormat="1" x14ac:dyDescent="0.3"/>
    <row r="34087" customFormat="1" x14ac:dyDescent="0.3"/>
    <row r="34088" customFormat="1" x14ac:dyDescent="0.3"/>
    <row r="34089" customFormat="1" x14ac:dyDescent="0.3"/>
    <row r="34090" customFormat="1" x14ac:dyDescent="0.3"/>
    <row r="34091" customFormat="1" x14ac:dyDescent="0.3"/>
    <row r="34092" customFormat="1" x14ac:dyDescent="0.3"/>
    <row r="34093" customFormat="1" x14ac:dyDescent="0.3"/>
    <row r="34094" customFormat="1" x14ac:dyDescent="0.3"/>
    <row r="34095" customFormat="1" x14ac:dyDescent="0.3"/>
    <row r="34096" customFormat="1" x14ac:dyDescent="0.3"/>
    <row r="34097" customFormat="1" x14ac:dyDescent="0.3"/>
    <row r="34098" customFormat="1" x14ac:dyDescent="0.3"/>
    <row r="34099" customFormat="1" x14ac:dyDescent="0.3"/>
    <row r="34100" customFormat="1" x14ac:dyDescent="0.3"/>
    <row r="34101" customFormat="1" x14ac:dyDescent="0.3"/>
    <row r="34102" customFormat="1" x14ac:dyDescent="0.3"/>
    <row r="34103" customFormat="1" x14ac:dyDescent="0.3"/>
    <row r="34104" customFormat="1" x14ac:dyDescent="0.3"/>
    <row r="34105" customFormat="1" x14ac:dyDescent="0.3"/>
    <row r="34106" customFormat="1" x14ac:dyDescent="0.3"/>
    <row r="34107" customFormat="1" x14ac:dyDescent="0.3"/>
    <row r="34108" customFormat="1" x14ac:dyDescent="0.3"/>
    <row r="34109" customFormat="1" x14ac:dyDescent="0.3"/>
    <row r="34110" customFormat="1" x14ac:dyDescent="0.3"/>
    <row r="34111" customFormat="1" x14ac:dyDescent="0.3"/>
    <row r="34112" customFormat="1" x14ac:dyDescent="0.3"/>
    <row r="34113" customFormat="1" x14ac:dyDescent="0.3"/>
    <row r="34114" customFormat="1" x14ac:dyDescent="0.3"/>
    <row r="34115" customFormat="1" x14ac:dyDescent="0.3"/>
    <row r="34116" customFormat="1" x14ac:dyDescent="0.3"/>
    <row r="34117" customFormat="1" x14ac:dyDescent="0.3"/>
    <row r="34118" customFormat="1" x14ac:dyDescent="0.3"/>
    <row r="34119" customFormat="1" x14ac:dyDescent="0.3"/>
    <row r="34120" customFormat="1" x14ac:dyDescent="0.3"/>
    <row r="34121" customFormat="1" x14ac:dyDescent="0.3"/>
    <row r="34122" customFormat="1" x14ac:dyDescent="0.3"/>
    <row r="34123" customFormat="1" x14ac:dyDescent="0.3"/>
    <row r="34124" customFormat="1" x14ac:dyDescent="0.3"/>
    <row r="34125" customFormat="1" x14ac:dyDescent="0.3"/>
    <row r="34126" customFormat="1" x14ac:dyDescent="0.3"/>
    <row r="34127" customFormat="1" x14ac:dyDescent="0.3"/>
    <row r="34128" customFormat="1" x14ac:dyDescent="0.3"/>
    <row r="34129" customFormat="1" x14ac:dyDescent="0.3"/>
    <row r="34130" customFormat="1" x14ac:dyDescent="0.3"/>
    <row r="34131" customFormat="1" x14ac:dyDescent="0.3"/>
    <row r="34132" customFormat="1" x14ac:dyDescent="0.3"/>
    <row r="34133" customFormat="1" x14ac:dyDescent="0.3"/>
    <row r="34134" customFormat="1" x14ac:dyDescent="0.3"/>
    <row r="34135" customFormat="1" x14ac:dyDescent="0.3"/>
    <row r="34136" customFormat="1" x14ac:dyDescent="0.3"/>
    <row r="34137" customFormat="1" x14ac:dyDescent="0.3"/>
    <row r="34138" customFormat="1" x14ac:dyDescent="0.3"/>
    <row r="34139" customFormat="1" x14ac:dyDescent="0.3"/>
    <row r="34140" customFormat="1" x14ac:dyDescent="0.3"/>
    <row r="34141" customFormat="1" x14ac:dyDescent="0.3"/>
    <row r="34142" customFormat="1" x14ac:dyDescent="0.3"/>
    <row r="34143" customFormat="1" x14ac:dyDescent="0.3"/>
    <row r="34144" customFormat="1" x14ac:dyDescent="0.3"/>
    <row r="34145" customFormat="1" x14ac:dyDescent="0.3"/>
    <row r="34146" customFormat="1" x14ac:dyDescent="0.3"/>
    <row r="34147" customFormat="1" x14ac:dyDescent="0.3"/>
    <row r="34148" customFormat="1" x14ac:dyDescent="0.3"/>
    <row r="34149" customFormat="1" x14ac:dyDescent="0.3"/>
    <row r="34150" customFormat="1" x14ac:dyDescent="0.3"/>
    <row r="34151" customFormat="1" x14ac:dyDescent="0.3"/>
    <row r="34152" customFormat="1" x14ac:dyDescent="0.3"/>
    <row r="34153" customFormat="1" x14ac:dyDescent="0.3"/>
    <row r="34154" customFormat="1" x14ac:dyDescent="0.3"/>
    <row r="34155" customFormat="1" x14ac:dyDescent="0.3"/>
    <row r="34156" customFormat="1" x14ac:dyDescent="0.3"/>
    <row r="34157" customFormat="1" x14ac:dyDescent="0.3"/>
    <row r="34158" customFormat="1" x14ac:dyDescent="0.3"/>
    <row r="34159" customFormat="1" x14ac:dyDescent="0.3"/>
    <row r="34160" customFormat="1" x14ac:dyDescent="0.3"/>
    <row r="34161" customFormat="1" x14ac:dyDescent="0.3"/>
    <row r="34162" customFormat="1" x14ac:dyDescent="0.3"/>
    <row r="34163" customFormat="1" x14ac:dyDescent="0.3"/>
    <row r="34164" customFormat="1" x14ac:dyDescent="0.3"/>
    <row r="34165" customFormat="1" x14ac:dyDescent="0.3"/>
    <row r="34166" customFormat="1" x14ac:dyDescent="0.3"/>
    <row r="34167" customFormat="1" x14ac:dyDescent="0.3"/>
    <row r="34168" customFormat="1" x14ac:dyDescent="0.3"/>
    <row r="34169" customFormat="1" x14ac:dyDescent="0.3"/>
    <row r="34170" customFormat="1" x14ac:dyDescent="0.3"/>
    <row r="34171" customFormat="1" x14ac:dyDescent="0.3"/>
    <row r="34172" customFormat="1" x14ac:dyDescent="0.3"/>
    <row r="34173" customFormat="1" x14ac:dyDescent="0.3"/>
    <row r="34174" customFormat="1" x14ac:dyDescent="0.3"/>
    <row r="34175" customFormat="1" x14ac:dyDescent="0.3"/>
    <row r="34176" customFormat="1" x14ac:dyDescent="0.3"/>
    <row r="34177" customFormat="1" x14ac:dyDescent="0.3"/>
    <row r="34178" customFormat="1" x14ac:dyDescent="0.3"/>
    <row r="34179" customFormat="1" x14ac:dyDescent="0.3"/>
    <row r="34180" customFormat="1" x14ac:dyDescent="0.3"/>
    <row r="34181" customFormat="1" x14ac:dyDescent="0.3"/>
    <row r="34182" customFormat="1" x14ac:dyDescent="0.3"/>
    <row r="34183" customFormat="1" x14ac:dyDescent="0.3"/>
    <row r="34184" customFormat="1" x14ac:dyDescent="0.3"/>
    <row r="34185" customFormat="1" x14ac:dyDescent="0.3"/>
    <row r="34186" customFormat="1" x14ac:dyDescent="0.3"/>
    <row r="34187" customFormat="1" x14ac:dyDescent="0.3"/>
    <row r="34188" customFormat="1" x14ac:dyDescent="0.3"/>
    <row r="34189" customFormat="1" x14ac:dyDescent="0.3"/>
    <row r="34190" customFormat="1" x14ac:dyDescent="0.3"/>
    <row r="34191" customFormat="1" x14ac:dyDescent="0.3"/>
    <row r="34192" customFormat="1" x14ac:dyDescent="0.3"/>
    <row r="34193" customFormat="1" x14ac:dyDescent="0.3"/>
    <row r="34194" customFormat="1" x14ac:dyDescent="0.3"/>
    <row r="34195" customFormat="1" x14ac:dyDescent="0.3"/>
    <row r="34196" customFormat="1" x14ac:dyDescent="0.3"/>
    <row r="34197" customFormat="1" x14ac:dyDescent="0.3"/>
    <row r="34198" customFormat="1" x14ac:dyDescent="0.3"/>
    <row r="34199" customFormat="1" x14ac:dyDescent="0.3"/>
    <row r="34200" customFormat="1" x14ac:dyDescent="0.3"/>
    <row r="34201" customFormat="1" x14ac:dyDescent="0.3"/>
    <row r="34202" customFormat="1" x14ac:dyDescent="0.3"/>
    <row r="34203" customFormat="1" x14ac:dyDescent="0.3"/>
    <row r="34204" customFormat="1" x14ac:dyDescent="0.3"/>
    <row r="34205" customFormat="1" x14ac:dyDescent="0.3"/>
    <row r="34206" customFormat="1" x14ac:dyDescent="0.3"/>
    <row r="34207" customFormat="1" x14ac:dyDescent="0.3"/>
    <row r="34208" customFormat="1" x14ac:dyDescent="0.3"/>
    <row r="34209" customFormat="1" x14ac:dyDescent="0.3"/>
    <row r="34210" customFormat="1" x14ac:dyDescent="0.3"/>
    <row r="34211" customFormat="1" x14ac:dyDescent="0.3"/>
    <row r="34212" customFormat="1" x14ac:dyDescent="0.3"/>
    <row r="34213" customFormat="1" x14ac:dyDescent="0.3"/>
    <row r="34214" customFormat="1" x14ac:dyDescent="0.3"/>
    <row r="34215" customFormat="1" x14ac:dyDescent="0.3"/>
    <row r="34216" customFormat="1" x14ac:dyDescent="0.3"/>
    <row r="34217" customFormat="1" x14ac:dyDescent="0.3"/>
    <row r="34218" customFormat="1" x14ac:dyDescent="0.3"/>
    <row r="34219" customFormat="1" x14ac:dyDescent="0.3"/>
    <row r="34220" customFormat="1" x14ac:dyDescent="0.3"/>
    <row r="34221" customFormat="1" x14ac:dyDescent="0.3"/>
    <row r="34222" customFormat="1" x14ac:dyDescent="0.3"/>
    <row r="34223" customFormat="1" x14ac:dyDescent="0.3"/>
    <row r="34224" customFormat="1" x14ac:dyDescent="0.3"/>
    <row r="34225" customFormat="1" x14ac:dyDescent="0.3"/>
    <row r="34226" customFormat="1" x14ac:dyDescent="0.3"/>
    <row r="34227" customFormat="1" x14ac:dyDescent="0.3"/>
    <row r="34228" customFormat="1" x14ac:dyDescent="0.3"/>
    <row r="34229" customFormat="1" x14ac:dyDescent="0.3"/>
    <row r="34230" customFormat="1" x14ac:dyDescent="0.3"/>
    <row r="34231" customFormat="1" x14ac:dyDescent="0.3"/>
    <row r="34232" customFormat="1" x14ac:dyDescent="0.3"/>
    <row r="34233" customFormat="1" x14ac:dyDescent="0.3"/>
    <row r="34234" customFormat="1" x14ac:dyDescent="0.3"/>
    <row r="34235" customFormat="1" x14ac:dyDescent="0.3"/>
    <row r="34236" customFormat="1" x14ac:dyDescent="0.3"/>
    <row r="34237" customFormat="1" x14ac:dyDescent="0.3"/>
    <row r="34238" customFormat="1" x14ac:dyDescent="0.3"/>
    <row r="34239" customFormat="1" x14ac:dyDescent="0.3"/>
    <row r="34240" customFormat="1" x14ac:dyDescent="0.3"/>
    <row r="34241" customFormat="1" x14ac:dyDescent="0.3"/>
    <row r="34242" customFormat="1" x14ac:dyDescent="0.3"/>
    <row r="34243" customFormat="1" x14ac:dyDescent="0.3"/>
    <row r="34244" customFormat="1" x14ac:dyDescent="0.3"/>
    <row r="34245" customFormat="1" x14ac:dyDescent="0.3"/>
    <row r="34246" customFormat="1" x14ac:dyDescent="0.3"/>
    <row r="34247" customFormat="1" x14ac:dyDescent="0.3"/>
    <row r="34248" customFormat="1" x14ac:dyDescent="0.3"/>
    <row r="34249" customFormat="1" x14ac:dyDescent="0.3"/>
    <row r="34250" customFormat="1" x14ac:dyDescent="0.3"/>
    <row r="34251" customFormat="1" x14ac:dyDescent="0.3"/>
    <row r="34252" customFormat="1" x14ac:dyDescent="0.3"/>
    <row r="34253" customFormat="1" x14ac:dyDescent="0.3"/>
    <row r="34254" customFormat="1" x14ac:dyDescent="0.3"/>
    <row r="34255" customFormat="1" x14ac:dyDescent="0.3"/>
    <row r="34256" customFormat="1" x14ac:dyDescent="0.3"/>
    <row r="34257" customFormat="1" x14ac:dyDescent="0.3"/>
    <row r="34258" customFormat="1" x14ac:dyDescent="0.3"/>
    <row r="34259" customFormat="1" x14ac:dyDescent="0.3"/>
    <row r="34260" customFormat="1" x14ac:dyDescent="0.3"/>
    <row r="34261" customFormat="1" x14ac:dyDescent="0.3"/>
    <row r="34262" customFormat="1" x14ac:dyDescent="0.3"/>
    <row r="34263" customFormat="1" x14ac:dyDescent="0.3"/>
    <row r="34264" customFormat="1" x14ac:dyDescent="0.3"/>
    <row r="34265" customFormat="1" x14ac:dyDescent="0.3"/>
    <row r="34266" customFormat="1" x14ac:dyDescent="0.3"/>
    <row r="34267" customFormat="1" x14ac:dyDescent="0.3"/>
    <row r="34268" customFormat="1" x14ac:dyDescent="0.3"/>
    <row r="34269" customFormat="1" x14ac:dyDescent="0.3"/>
    <row r="34270" customFormat="1" x14ac:dyDescent="0.3"/>
    <row r="34271" customFormat="1" x14ac:dyDescent="0.3"/>
    <row r="34272" customFormat="1" x14ac:dyDescent="0.3"/>
    <row r="34273" customFormat="1" x14ac:dyDescent="0.3"/>
    <row r="34274" customFormat="1" x14ac:dyDescent="0.3"/>
    <row r="34275" customFormat="1" x14ac:dyDescent="0.3"/>
    <row r="34276" customFormat="1" x14ac:dyDescent="0.3"/>
    <row r="34277" customFormat="1" x14ac:dyDescent="0.3"/>
    <row r="34278" customFormat="1" x14ac:dyDescent="0.3"/>
    <row r="34279" customFormat="1" x14ac:dyDescent="0.3"/>
    <row r="34280" customFormat="1" x14ac:dyDescent="0.3"/>
    <row r="34281" customFormat="1" x14ac:dyDescent="0.3"/>
    <row r="34282" customFormat="1" x14ac:dyDescent="0.3"/>
    <row r="34283" customFormat="1" x14ac:dyDescent="0.3"/>
    <row r="34284" customFormat="1" x14ac:dyDescent="0.3"/>
    <row r="34285" customFormat="1" x14ac:dyDescent="0.3"/>
    <row r="34286" customFormat="1" x14ac:dyDescent="0.3"/>
    <row r="34287" customFormat="1" x14ac:dyDescent="0.3"/>
    <row r="34288" customFormat="1" x14ac:dyDescent="0.3"/>
    <row r="34289" customFormat="1" x14ac:dyDescent="0.3"/>
    <row r="34290" customFormat="1" x14ac:dyDescent="0.3"/>
    <row r="34291" customFormat="1" x14ac:dyDescent="0.3"/>
    <row r="34292" customFormat="1" x14ac:dyDescent="0.3"/>
    <row r="34293" customFormat="1" x14ac:dyDescent="0.3"/>
    <row r="34294" customFormat="1" x14ac:dyDescent="0.3"/>
    <row r="34295" customFormat="1" x14ac:dyDescent="0.3"/>
    <row r="34296" customFormat="1" x14ac:dyDescent="0.3"/>
    <row r="34297" customFormat="1" x14ac:dyDescent="0.3"/>
    <row r="34298" customFormat="1" x14ac:dyDescent="0.3"/>
    <row r="34299" customFormat="1" x14ac:dyDescent="0.3"/>
    <row r="34300" customFormat="1" x14ac:dyDescent="0.3"/>
    <row r="34301" customFormat="1" x14ac:dyDescent="0.3"/>
    <row r="34302" customFormat="1" x14ac:dyDescent="0.3"/>
    <row r="34303" customFormat="1" x14ac:dyDescent="0.3"/>
    <row r="34304" customFormat="1" x14ac:dyDescent="0.3"/>
    <row r="34305" customFormat="1" x14ac:dyDescent="0.3"/>
    <row r="34306" customFormat="1" x14ac:dyDescent="0.3"/>
    <row r="34307" customFormat="1" x14ac:dyDescent="0.3"/>
    <row r="34308" customFormat="1" x14ac:dyDescent="0.3"/>
    <row r="34309" customFormat="1" x14ac:dyDescent="0.3"/>
    <row r="34310" customFormat="1" x14ac:dyDescent="0.3"/>
    <row r="34311" customFormat="1" x14ac:dyDescent="0.3"/>
    <row r="34312" customFormat="1" x14ac:dyDescent="0.3"/>
    <row r="34313" customFormat="1" x14ac:dyDescent="0.3"/>
    <row r="34314" customFormat="1" x14ac:dyDescent="0.3"/>
    <row r="34315" customFormat="1" x14ac:dyDescent="0.3"/>
    <row r="34316" customFormat="1" x14ac:dyDescent="0.3"/>
    <row r="34317" customFormat="1" x14ac:dyDescent="0.3"/>
    <row r="34318" customFormat="1" x14ac:dyDescent="0.3"/>
    <row r="34319" customFormat="1" x14ac:dyDescent="0.3"/>
    <row r="34320" customFormat="1" x14ac:dyDescent="0.3"/>
    <row r="34321" customFormat="1" x14ac:dyDescent="0.3"/>
    <row r="34322" customFormat="1" x14ac:dyDescent="0.3"/>
    <row r="34323" customFormat="1" x14ac:dyDescent="0.3"/>
    <row r="34324" customFormat="1" x14ac:dyDescent="0.3"/>
    <row r="34325" customFormat="1" x14ac:dyDescent="0.3"/>
    <row r="34326" customFormat="1" x14ac:dyDescent="0.3"/>
    <row r="34327" customFormat="1" x14ac:dyDescent="0.3"/>
    <row r="34328" customFormat="1" x14ac:dyDescent="0.3"/>
    <row r="34329" customFormat="1" x14ac:dyDescent="0.3"/>
    <row r="34330" customFormat="1" x14ac:dyDescent="0.3"/>
    <row r="34331" customFormat="1" x14ac:dyDescent="0.3"/>
    <row r="34332" customFormat="1" x14ac:dyDescent="0.3"/>
    <row r="34333" customFormat="1" x14ac:dyDescent="0.3"/>
    <row r="34334" customFormat="1" x14ac:dyDescent="0.3"/>
    <row r="34335" customFormat="1" x14ac:dyDescent="0.3"/>
    <row r="34336" customFormat="1" x14ac:dyDescent="0.3"/>
    <row r="34337" customFormat="1" x14ac:dyDescent="0.3"/>
    <row r="34338" customFormat="1" x14ac:dyDescent="0.3"/>
    <row r="34339" customFormat="1" x14ac:dyDescent="0.3"/>
    <row r="34340" customFormat="1" x14ac:dyDescent="0.3"/>
    <row r="34341" customFormat="1" x14ac:dyDescent="0.3"/>
    <row r="34342" customFormat="1" x14ac:dyDescent="0.3"/>
    <row r="34343" customFormat="1" x14ac:dyDescent="0.3"/>
    <row r="34344" customFormat="1" x14ac:dyDescent="0.3"/>
    <row r="34345" customFormat="1" x14ac:dyDescent="0.3"/>
    <row r="34346" customFormat="1" x14ac:dyDescent="0.3"/>
    <row r="34347" customFormat="1" x14ac:dyDescent="0.3"/>
    <row r="34348" customFormat="1" x14ac:dyDescent="0.3"/>
    <row r="34349" customFormat="1" x14ac:dyDescent="0.3"/>
    <row r="34350" customFormat="1" x14ac:dyDescent="0.3"/>
    <row r="34351" customFormat="1" x14ac:dyDescent="0.3"/>
    <row r="34352" customFormat="1" x14ac:dyDescent="0.3"/>
    <row r="34353" customFormat="1" x14ac:dyDescent="0.3"/>
    <row r="34354" customFormat="1" x14ac:dyDescent="0.3"/>
    <row r="34355" customFormat="1" x14ac:dyDescent="0.3"/>
    <row r="34356" customFormat="1" x14ac:dyDescent="0.3"/>
    <row r="34357" customFormat="1" x14ac:dyDescent="0.3"/>
    <row r="34358" customFormat="1" x14ac:dyDescent="0.3"/>
    <row r="34359" customFormat="1" x14ac:dyDescent="0.3"/>
    <row r="34360" customFormat="1" x14ac:dyDescent="0.3"/>
    <row r="34361" customFormat="1" x14ac:dyDescent="0.3"/>
    <row r="34362" customFormat="1" x14ac:dyDescent="0.3"/>
    <row r="34363" customFormat="1" x14ac:dyDescent="0.3"/>
    <row r="34364" customFormat="1" x14ac:dyDescent="0.3"/>
    <row r="34365" customFormat="1" x14ac:dyDescent="0.3"/>
    <row r="34366" customFormat="1" x14ac:dyDescent="0.3"/>
    <row r="34367" customFormat="1" x14ac:dyDescent="0.3"/>
    <row r="34368" customFormat="1" x14ac:dyDescent="0.3"/>
    <row r="34369" customFormat="1" x14ac:dyDescent="0.3"/>
    <row r="34370" customFormat="1" x14ac:dyDescent="0.3"/>
    <row r="34371" customFormat="1" x14ac:dyDescent="0.3"/>
    <row r="34372" customFormat="1" x14ac:dyDescent="0.3"/>
    <row r="34373" customFormat="1" x14ac:dyDescent="0.3"/>
    <row r="34374" customFormat="1" x14ac:dyDescent="0.3"/>
    <row r="34375" customFormat="1" x14ac:dyDescent="0.3"/>
    <row r="34376" customFormat="1" x14ac:dyDescent="0.3"/>
    <row r="34377" customFormat="1" x14ac:dyDescent="0.3"/>
    <row r="34378" customFormat="1" x14ac:dyDescent="0.3"/>
    <row r="34379" customFormat="1" x14ac:dyDescent="0.3"/>
    <row r="34380" customFormat="1" x14ac:dyDescent="0.3"/>
    <row r="34381" customFormat="1" x14ac:dyDescent="0.3"/>
    <row r="34382" customFormat="1" x14ac:dyDescent="0.3"/>
    <row r="34383" customFormat="1" x14ac:dyDescent="0.3"/>
    <row r="34384" customFormat="1" x14ac:dyDescent="0.3"/>
    <row r="34385" customFormat="1" x14ac:dyDescent="0.3"/>
    <row r="34386" customFormat="1" x14ac:dyDescent="0.3"/>
    <row r="34387" customFormat="1" x14ac:dyDescent="0.3"/>
    <row r="34388" customFormat="1" x14ac:dyDescent="0.3"/>
    <row r="34389" customFormat="1" x14ac:dyDescent="0.3"/>
    <row r="34390" customFormat="1" x14ac:dyDescent="0.3"/>
    <row r="34391" customFormat="1" x14ac:dyDescent="0.3"/>
    <row r="34392" customFormat="1" x14ac:dyDescent="0.3"/>
    <row r="34393" customFormat="1" x14ac:dyDescent="0.3"/>
    <row r="34394" customFormat="1" x14ac:dyDescent="0.3"/>
    <row r="34395" customFormat="1" x14ac:dyDescent="0.3"/>
    <row r="34396" customFormat="1" x14ac:dyDescent="0.3"/>
    <row r="34397" customFormat="1" x14ac:dyDescent="0.3"/>
    <row r="34398" customFormat="1" x14ac:dyDescent="0.3"/>
    <row r="34399" customFormat="1" x14ac:dyDescent="0.3"/>
    <row r="34400" customFormat="1" x14ac:dyDescent="0.3"/>
    <row r="34401" customFormat="1" x14ac:dyDescent="0.3"/>
    <row r="34402" customFormat="1" x14ac:dyDescent="0.3"/>
    <row r="34403" customFormat="1" x14ac:dyDescent="0.3"/>
    <row r="34404" customFormat="1" x14ac:dyDescent="0.3"/>
    <row r="34405" customFormat="1" x14ac:dyDescent="0.3"/>
    <row r="34406" customFormat="1" x14ac:dyDescent="0.3"/>
    <row r="34407" customFormat="1" x14ac:dyDescent="0.3"/>
    <row r="34408" customFormat="1" x14ac:dyDescent="0.3"/>
    <row r="34409" customFormat="1" x14ac:dyDescent="0.3"/>
    <row r="34410" customFormat="1" x14ac:dyDescent="0.3"/>
    <row r="34411" customFormat="1" x14ac:dyDescent="0.3"/>
    <row r="34412" customFormat="1" x14ac:dyDescent="0.3"/>
    <row r="34413" customFormat="1" x14ac:dyDescent="0.3"/>
    <row r="34414" customFormat="1" x14ac:dyDescent="0.3"/>
    <row r="34415" customFormat="1" x14ac:dyDescent="0.3"/>
    <row r="34416" customFormat="1" x14ac:dyDescent="0.3"/>
    <row r="34417" customFormat="1" x14ac:dyDescent="0.3"/>
    <row r="34418" customFormat="1" x14ac:dyDescent="0.3"/>
    <row r="34419" customFormat="1" x14ac:dyDescent="0.3"/>
    <row r="34420" customFormat="1" x14ac:dyDescent="0.3"/>
    <row r="34421" customFormat="1" x14ac:dyDescent="0.3"/>
    <row r="34422" customFormat="1" x14ac:dyDescent="0.3"/>
    <row r="34423" customFormat="1" x14ac:dyDescent="0.3"/>
    <row r="34424" customFormat="1" x14ac:dyDescent="0.3"/>
    <row r="34425" customFormat="1" x14ac:dyDescent="0.3"/>
    <row r="34426" customFormat="1" x14ac:dyDescent="0.3"/>
    <row r="34427" customFormat="1" x14ac:dyDescent="0.3"/>
    <row r="34428" customFormat="1" x14ac:dyDescent="0.3"/>
    <row r="34429" customFormat="1" x14ac:dyDescent="0.3"/>
    <row r="34430" customFormat="1" x14ac:dyDescent="0.3"/>
    <row r="34431" customFormat="1" x14ac:dyDescent="0.3"/>
    <row r="34432" customFormat="1" x14ac:dyDescent="0.3"/>
    <row r="34433" customFormat="1" x14ac:dyDescent="0.3"/>
    <row r="34434" customFormat="1" x14ac:dyDescent="0.3"/>
    <row r="34435" customFormat="1" x14ac:dyDescent="0.3"/>
    <row r="34436" customFormat="1" x14ac:dyDescent="0.3"/>
    <row r="34437" customFormat="1" x14ac:dyDescent="0.3"/>
    <row r="34438" customFormat="1" x14ac:dyDescent="0.3"/>
    <row r="34439" customFormat="1" x14ac:dyDescent="0.3"/>
    <row r="34440" customFormat="1" x14ac:dyDescent="0.3"/>
    <row r="34441" customFormat="1" x14ac:dyDescent="0.3"/>
    <row r="34442" customFormat="1" x14ac:dyDescent="0.3"/>
    <row r="34443" customFormat="1" x14ac:dyDescent="0.3"/>
    <row r="34444" customFormat="1" x14ac:dyDescent="0.3"/>
    <row r="34445" customFormat="1" x14ac:dyDescent="0.3"/>
    <row r="34446" customFormat="1" x14ac:dyDescent="0.3"/>
    <row r="34447" customFormat="1" x14ac:dyDescent="0.3"/>
    <row r="34448" customFormat="1" x14ac:dyDescent="0.3"/>
    <row r="34449" customFormat="1" x14ac:dyDescent="0.3"/>
    <row r="34450" customFormat="1" x14ac:dyDescent="0.3"/>
    <row r="34451" customFormat="1" x14ac:dyDescent="0.3"/>
    <row r="34452" customFormat="1" x14ac:dyDescent="0.3"/>
    <row r="34453" customFormat="1" x14ac:dyDescent="0.3"/>
    <row r="34454" customFormat="1" x14ac:dyDescent="0.3"/>
    <row r="34455" customFormat="1" x14ac:dyDescent="0.3"/>
    <row r="34456" customFormat="1" x14ac:dyDescent="0.3"/>
    <row r="34457" customFormat="1" x14ac:dyDescent="0.3"/>
    <row r="34458" customFormat="1" x14ac:dyDescent="0.3"/>
    <row r="34459" customFormat="1" x14ac:dyDescent="0.3"/>
    <row r="34460" customFormat="1" x14ac:dyDescent="0.3"/>
    <row r="34461" customFormat="1" x14ac:dyDescent="0.3"/>
    <row r="34462" customFormat="1" x14ac:dyDescent="0.3"/>
    <row r="34463" customFormat="1" x14ac:dyDescent="0.3"/>
    <row r="34464" customFormat="1" x14ac:dyDescent="0.3"/>
    <row r="34465" customFormat="1" x14ac:dyDescent="0.3"/>
    <row r="34466" customFormat="1" x14ac:dyDescent="0.3"/>
    <row r="34467" customFormat="1" x14ac:dyDescent="0.3"/>
    <row r="34468" customFormat="1" x14ac:dyDescent="0.3"/>
    <row r="34469" customFormat="1" x14ac:dyDescent="0.3"/>
    <row r="34470" customFormat="1" x14ac:dyDescent="0.3"/>
    <row r="34471" customFormat="1" x14ac:dyDescent="0.3"/>
    <row r="34472" customFormat="1" x14ac:dyDescent="0.3"/>
    <row r="34473" customFormat="1" x14ac:dyDescent="0.3"/>
    <row r="34474" customFormat="1" x14ac:dyDescent="0.3"/>
    <row r="34475" customFormat="1" x14ac:dyDescent="0.3"/>
    <row r="34476" customFormat="1" x14ac:dyDescent="0.3"/>
    <row r="34477" customFormat="1" x14ac:dyDescent="0.3"/>
    <row r="34478" customFormat="1" x14ac:dyDescent="0.3"/>
    <row r="34479" customFormat="1" x14ac:dyDescent="0.3"/>
    <row r="34480" customFormat="1" x14ac:dyDescent="0.3"/>
    <row r="34481" customFormat="1" x14ac:dyDescent="0.3"/>
    <row r="34482" customFormat="1" x14ac:dyDescent="0.3"/>
    <row r="34483" customFormat="1" x14ac:dyDescent="0.3"/>
    <row r="34484" customFormat="1" x14ac:dyDescent="0.3"/>
    <row r="34485" customFormat="1" x14ac:dyDescent="0.3"/>
    <row r="34486" customFormat="1" x14ac:dyDescent="0.3"/>
    <row r="34487" customFormat="1" x14ac:dyDescent="0.3"/>
    <row r="34488" customFormat="1" x14ac:dyDescent="0.3"/>
    <row r="34489" customFormat="1" x14ac:dyDescent="0.3"/>
    <row r="34490" customFormat="1" x14ac:dyDescent="0.3"/>
    <row r="34491" customFormat="1" x14ac:dyDescent="0.3"/>
    <row r="34492" customFormat="1" x14ac:dyDescent="0.3"/>
    <row r="34493" customFormat="1" x14ac:dyDescent="0.3"/>
    <row r="34494" customFormat="1" x14ac:dyDescent="0.3"/>
    <row r="34495" customFormat="1" x14ac:dyDescent="0.3"/>
    <row r="34496" customFormat="1" x14ac:dyDescent="0.3"/>
    <row r="34497" customFormat="1" x14ac:dyDescent="0.3"/>
    <row r="34498" customFormat="1" x14ac:dyDescent="0.3"/>
    <row r="34499" customFormat="1" x14ac:dyDescent="0.3"/>
    <row r="34500" customFormat="1" x14ac:dyDescent="0.3"/>
    <row r="34501" customFormat="1" x14ac:dyDescent="0.3"/>
    <row r="34502" customFormat="1" x14ac:dyDescent="0.3"/>
    <row r="34503" customFormat="1" x14ac:dyDescent="0.3"/>
    <row r="34504" customFormat="1" x14ac:dyDescent="0.3"/>
    <row r="34505" customFormat="1" x14ac:dyDescent="0.3"/>
    <row r="34506" customFormat="1" x14ac:dyDescent="0.3"/>
    <row r="34507" customFormat="1" x14ac:dyDescent="0.3"/>
    <row r="34508" customFormat="1" x14ac:dyDescent="0.3"/>
    <row r="34509" customFormat="1" x14ac:dyDescent="0.3"/>
    <row r="34510" customFormat="1" x14ac:dyDescent="0.3"/>
    <row r="34511" customFormat="1" x14ac:dyDescent="0.3"/>
    <row r="34512" customFormat="1" x14ac:dyDescent="0.3"/>
    <row r="34513" customFormat="1" x14ac:dyDescent="0.3"/>
    <row r="34514" customFormat="1" x14ac:dyDescent="0.3"/>
    <row r="34515" customFormat="1" x14ac:dyDescent="0.3"/>
    <row r="34516" customFormat="1" x14ac:dyDescent="0.3"/>
    <row r="34517" customFormat="1" x14ac:dyDescent="0.3"/>
    <row r="34518" customFormat="1" x14ac:dyDescent="0.3"/>
    <row r="34519" customFormat="1" x14ac:dyDescent="0.3"/>
    <row r="34520" customFormat="1" x14ac:dyDescent="0.3"/>
    <row r="34521" customFormat="1" x14ac:dyDescent="0.3"/>
    <row r="34522" customFormat="1" x14ac:dyDescent="0.3"/>
    <row r="34523" customFormat="1" x14ac:dyDescent="0.3"/>
    <row r="34524" customFormat="1" x14ac:dyDescent="0.3"/>
    <row r="34525" customFormat="1" x14ac:dyDescent="0.3"/>
    <row r="34526" customFormat="1" x14ac:dyDescent="0.3"/>
    <row r="34527" customFormat="1" x14ac:dyDescent="0.3"/>
    <row r="34528" customFormat="1" x14ac:dyDescent="0.3"/>
    <row r="34529" customFormat="1" x14ac:dyDescent="0.3"/>
    <row r="34530" customFormat="1" x14ac:dyDescent="0.3"/>
    <row r="34531" customFormat="1" x14ac:dyDescent="0.3"/>
    <row r="34532" customFormat="1" x14ac:dyDescent="0.3"/>
    <row r="34533" customFormat="1" x14ac:dyDescent="0.3"/>
    <row r="34534" customFormat="1" x14ac:dyDescent="0.3"/>
    <row r="34535" customFormat="1" x14ac:dyDescent="0.3"/>
    <row r="34536" customFormat="1" x14ac:dyDescent="0.3"/>
    <row r="34537" customFormat="1" x14ac:dyDescent="0.3"/>
    <row r="34538" customFormat="1" x14ac:dyDescent="0.3"/>
    <row r="34539" customFormat="1" x14ac:dyDescent="0.3"/>
    <row r="34540" customFormat="1" x14ac:dyDescent="0.3"/>
    <row r="34541" customFormat="1" x14ac:dyDescent="0.3"/>
    <row r="34542" customFormat="1" x14ac:dyDescent="0.3"/>
    <row r="34543" customFormat="1" x14ac:dyDescent="0.3"/>
    <row r="34544" customFormat="1" x14ac:dyDescent="0.3"/>
    <row r="34545" customFormat="1" x14ac:dyDescent="0.3"/>
    <row r="34546" customFormat="1" x14ac:dyDescent="0.3"/>
    <row r="34547" customFormat="1" x14ac:dyDescent="0.3"/>
    <row r="34548" customFormat="1" x14ac:dyDescent="0.3"/>
    <row r="34549" customFormat="1" x14ac:dyDescent="0.3"/>
    <row r="34550" customFormat="1" x14ac:dyDescent="0.3"/>
    <row r="34551" customFormat="1" x14ac:dyDescent="0.3"/>
    <row r="34552" customFormat="1" x14ac:dyDescent="0.3"/>
    <row r="34553" customFormat="1" x14ac:dyDescent="0.3"/>
    <row r="34554" customFormat="1" x14ac:dyDescent="0.3"/>
    <row r="34555" customFormat="1" x14ac:dyDescent="0.3"/>
    <row r="34556" customFormat="1" x14ac:dyDescent="0.3"/>
    <row r="34557" customFormat="1" x14ac:dyDescent="0.3"/>
    <row r="34558" customFormat="1" x14ac:dyDescent="0.3"/>
    <row r="34559" customFormat="1" x14ac:dyDescent="0.3"/>
    <row r="34560" customFormat="1" x14ac:dyDescent="0.3"/>
    <row r="34561" customFormat="1" x14ac:dyDescent="0.3"/>
    <row r="34562" customFormat="1" x14ac:dyDescent="0.3"/>
    <row r="34563" customFormat="1" x14ac:dyDescent="0.3"/>
    <row r="34564" customFormat="1" x14ac:dyDescent="0.3"/>
    <row r="34565" customFormat="1" x14ac:dyDescent="0.3"/>
    <row r="34566" customFormat="1" x14ac:dyDescent="0.3"/>
    <row r="34567" customFormat="1" x14ac:dyDescent="0.3"/>
    <row r="34568" customFormat="1" x14ac:dyDescent="0.3"/>
    <row r="34569" customFormat="1" x14ac:dyDescent="0.3"/>
    <row r="34570" customFormat="1" x14ac:dyDescent="0.3"/>
    <row r="34571" customFormat="1" x14ac:dyDescent="0.3"/>
    <row r="34572" customFormat="1" x14ac:dyDescent="0.3"/>
    <row r="34573" customFormat="1" x14ac:dyDescent="0.3"/>
    <row r="34574" customFormat="1" x14ac:dyDescent="0.3"/>
    <row r="34575" customFormat="1" x14ac:dyDescent="0.3"/>
    <row r="34576" customFormat="1" x14ac:dyDescent="0.3"/>
    <row r="34577" customFormat="1" x14ac:dyDescent="0.3"/>
    <row r="34578" customFormat="1" x14ac:dyDescent="0.3"/>
    <row r="34579" customFormat="1" x14ac:dyDescent="0.3"/>
    <row r="34580" customFormat="1" x14ac:dyDescent="0.3"/>
    <row r="34581" customFormat="1" x14ac:dyDescent="0.3"/>
    <row r="34582" customFormat="1" x14ac:dyDescent="0.3"/>
    <row r="34583" customFormat="1" x14ac:dyDescent="0.3"/>
    <row r="34584" customFormat="1" x14ac:dyDescent="0.3"/>
    <row r="34585" customFormat="1" x14ac:dyDescent="0.3"/>
    <row r="34586" customFormat="1" x14ac:dyDescent="0.3"/>
    <row r="34587" customFormat="1" x14ac:dyDescent="0.3"/>
    <row r="34588" customFormat="1" x14ac:dyDescent="0.3"/>
    <row r="34589" customFormat="1" x14ac:dyDescent="0.3"/>
    <row r="34590" customFormat="1" x14ac:dyDescent="0.3"/>
    <row r="34591" customFormat="1" x14ac:dyDescent="0.3"/>
    <row r="34592" customFormat="1" x14ac:dyDescent="0.3"/>
    <row r="34593" customFormat="1" x14ac:dyDescent="0.3"/>
    <row r="34594" customFormat="1" x14ac:dyDescent="0.3"/>
    <row r="34595" customFormat="1" x14ac:dyDescent="0.3"/>
    <row r="34596" customFormat="1" x14ac:dyDescent="0.3"/>
    <row r="34597" customFormat="1" x14ac:dyDescent="0.3"/>
    <row r="34598" customFormat="1" x14ac:dyDescent="0.3"/>
    <row r="34599" customFormat="1" x14ac:dyDescent="0.3"/>
    <row r="34600" customFormat="1" x14ac:dyDescent="0.3"/>
    <row r="34601" customFormat="1" x14ac:dyDescent="0.3"/>
    <row r="34602" customFormat="1" x14ac:dyDescent="0.3"/>
    <row r="34603" customFormat="1" x14ac:dyDescent="0.3"/>
    <row r="34604" customFormat="1" x14ac:dyDescent="0.3"/>
    <row r="34605" customFormat="1" x14ac:dyDescent="0.3"/>
    <row r="34606" customFormat="1" x14ac:dyDescent="0.3"/>
    <row r="34607" customFormat="1" x14ac:dyDescent="0.3"/>
    <row r="34608" customFormat="1" x14ac:dyDescent="0.3"/>
    <row r="34609" customFormat="1" x14ac:dyDescent="0.3"/>
    <row r="34610" customFormat="1" x14ac:dyDescent="0.3"/>
    <row r="34611" customFormat="1" x14ac:dyDescent="0.3"/>
    <row r="34612" customFormat="1" x14ac:dyDescent="0.3"/>
    <row r="34613" customFormat="1" x14ac:dyDescent="0.3"/>
    <row r="34614" customFormat="1" x14ac:dyDescent="0.3"/>
    <row r="34615" customFormat="1" x14ac:dyDescent="0.3"/>
    <row r="34616" customFormat="1" x14ac:dyDescent="0.3"/>
    <row r="34617" customFormat="1" x14ac:dyDescent="0.3"/>
    <row r="34618" customFormat="1" x14ac:dyDescent="0.3"/>
    <row r="34619" customFormat="1" x14ac:dyDescent="0.3"/>
    <row r="34620" customFormat="1" x14ac:dyDescent="0.3"/>
    <row r="34621" customFormat="1" x14ac:dyDescent="0.3"/>
    <row r="34622" customFormat="1" x14ac:dyDescent="0.3"/>
    <row r="34623" customFormat="1" x14ac:dyDescent="0.3"/>
    <row r="34624" customFormat="1" x14ac:dyDescent="0.3"/>
    <row r="34625" customFormat="1" x14ac:dyDescent="0.3"/>
    <row r="34626" customFormat="1" x14ac:dyDescent="0.3"/>
    <row r="34627" customFormat="1" x14ac:dyDescent="0.3"/>
    <row r="34628" customFormat="1" x14ac:dyDescent="0.3"/>
    <row r="34629" customFormat="1" x14ac:dyDescent="0.3"/>
    <row r="34630" customFormat="1" x14ac:dyDescent="0.3"/>
    <row r="34631" customFormat="1" x14ac:dyDescent="0.3"/>
    <row r="34632" customFormat="1" x14ac:dyDescent="0.3"/>
    <row r="34633" customFormat="1" x14ac:dyDescent="0.3"/>
    <row r="34634" customFormat="1" x14ac:dyDescent="0.3"/>
    <row r="34635" customFormat="1" x14ac:dyDescent="0.3"/>
    <row r="34636" customFormat="1" x14ac:dyDescent="0.3"/>
    <row r="34637" customFormat="1" x14ac:dyDescent="0.3"/>
    <row r="34638" customFormat="1" x14ac:dyDescent="0.3"/>
    <row r="34639" customFormat="1" x14ac:dyDescent="0.3"/>
    <row r="34640" customFormat="1" x14ac:dyDescent="0.3"/>
    <row r="34641" customFormat="1" x14ac:dyDescent="0.3"/>
    <row r="34642" customFormat="1" x14ac:dyDescent="0.3"/>
    <row r="34643" customFormat="1" x14ac:dyDescent="0.3"/>
    <row r="34644" customFormat="1" x14ac:dyDescent="0.3"/>
    <row r="34645" customFormat="1" x14ac:dyDescent="0.3"/>
    <row r="34646" customFormat="1" x14ac:dyDescent="0.3"/>
    <row r="34647" customFormat="1" x14ac:dyDescent="0.3"/>
    <row r="34648" customFormat="1" x14ac:dyDescent="0.3"/>
    <row r="34649" customFormat="1" x14ac:dyDescent="0.3"/>
    <row r="34650" customFormat="1" x14ac:dyDescent="0.3"/>
    <row r="34651" customFormat="1" x14ac:dyDescent="0.3"/>
    <row r="34652" customFormat="1" x14ac:dyDescent="0.3"/>
    <row r="34653" customFormat="1" x14ac:dyDescent="0.3"/>
    <row r="34654" customFormat="1" x14ac:dyDescent="0.3"/>
    <row r="34655" customFormat="1" x14ac:dyDescent="0.3"/>
    <row r="34656" customFormat="1" x14ac:dyDescent="0.3"/>
    <row r="34657" customFormat="1" x14ac:dyDescent="0.3"/>
    <row r="34658" customFormat="1" x14ac:dyDescent="0.3"/>
    <row r="34659" customFormat="1" x14ac:dyDescent="0.3"/>
    <row r="34660" customFormat="1" x14ac:dyDescent="0.3"/>
    <row r="34661" customFormat="1" x14ac:dyDescent="0.3"/>
    <row r="34662" customFormat="1" x14ac:dyDescent="0.3"/>
    <row r="34663" customFormat="1" x14ac:dyDescent="0.3"/>
    <row r="34664" customFormat="1" x14ac:dyDescent="0.3"/>
    <row r="34665" customFormat="1" x14ac:dyDescent="0.3"/>
    <row r="34666" customFormat="1" x14ac:dyDescent="0.3"/>
    <row r="34667" customFormat="1" x14ac:dyDescent="0.3"/>
    <row r="34668" customFormat="1" x14ac:dyDescent="0.3"/>
    <row r="34669" customFormat="1" x14ac:dyDescent="0.3"/>
    <row r="34670" customFormat="1" x14ac:dyDescent="0.3"/>
    <row r="34671" customFormat="1" x14ac:dyDescent="0.3"/>
    <row r="34672" customFormat="1" x14ac:dyDescent="0.3"/>
    <row r="34673" customFormat="1" x14ac:dyDescent="0.3"/>
    <row r="34674" customFormat="1" x14ac:dyDescent="0.3"/>
    <row r="34675" customFormat="1" x14ac:dyDescent="0.3"/>
    <row r="34676" customFormat="1" x14ac:dyDescent="0.3"/>
    <row r="34677" customFormat="1" x14ac:dyDescent="0.3"/>
    <row r="34678" customFormat="1" x14ac:dyDescent="0.3"/>
    <row r="34679" customFormat="1" x14ac:dyDescent="0.3"/>
    <row r="34680" customFormat="1" x14ac:dyDescent="0.3"/>
    <row r="34681" customFormat="1" x14ac:dyDescent="0.3"/>
    <row r="34682" customFormat="1" x14ac:dyDescent="0.3"/>
    <row r="34683" customFormat="1" x14ac:dyDescent="0.3"/>
    <row r="34684" customFormat="1" x14ac:dyDescent="0.3"/>
    <row r="34685" customFormat="1" x14ac:dyDescent="0.3"/>
    <row r="34686" customFormat="1" x14ac:dyDescent="0.3"/>
    <row r="34687" customFormat="1" x14ac:dyDescent="0.3"/>
    <row r="34688" customFormat="1" x14ac:dyDescent="0.3"/>
    <row r="34689" customFormat="1" x14ac:dyDescent="0.3"/>
    <row r="34690" customFormat="1" x14ac:dyDescent="0.3"/>
    <row r="34691" customFormat="1" x14ac:dyDescent="0.3"/>
    <row r="34692" customFormat="1" x14ac:dyDescent="0.3"/>
    <row r="34693" customFormat="1" x14ac:dyDescent="0.3"/>
    <row r="34694" customFormat="1" x14ac:dyDescent="0.3"/>
    <row r="34695" customFormat="1" x14ac:dyDescent="0.3"/>
    <row r="34696" customFormat="1" x14ac:dyDescent="0.3"/>
    <row r="34697" customFormat="1" x14ac:dyDescent="0.3"/>
    <row r="34698" customFormat="1" x14ac:dyDescent="0.3"/>
    <row r="34699" customFormat="1" x14ac:dyDescent="0.3"/>
    <row r="34700" customFormat="1" x14ac:dyDescent="0.3"/>
    <row r="34701" customFormat="1" x14ac:dyDescent="0.3"/>
    <row r="34702" customFormat="1" x14ac:dyDescent="0.3"/>
    <row r="34703" customFormat="1" x14ac:dyDescent="0.3"/>
    <row r="34704" customFormat="1" x14ac:dyDescent="0.3"/>
    <row r="34705" customFormat="1" x14ac:dyDescent="0.3"/>
    <row r="34706" customFormat="1" x14ac:dyDescent="0.3"/>
    <row r="34707" customFormat="1" x14ac:dyDescent="0.3"/>
    <row r="34708" customFormat="1" x14ac:dyDescent="0.3"/>
    <row r="34709" customFormat="1" x14ac:dyDescent="0.3"/>
    <row r="34710" customFormat="1" x14ac:dyDescent="0.3"/>
    <row r="34711" customFormat="1" x14ac:dyDescent="0.3"/>
    <row r="34712" customFormat="1" x14ac:dyDescent="0.3"/>
    <row r="34713" customFormat="1" x14ac:dyDescent="0.3"/>
    <row r="34714" customFormat="1" x14ac:dyDescent="0.3"/>
    <row r="34715" customFormat="1" x14ac:dyDescent="0.3"/>
    <row r="34716" customFormat="1" x14ac:dyDescent="0.3"/>
    <row r="34717" customFormat="1" x14ac:dyDescent="0.3"/>
    <row r="34718" customFormat="1" x14ac:dyDescent="0.3"/>
    <row r="34719" customFormat="1" x14ac:dyDescent="0.3"/>
    <row r="34720" customFormat="1" x14ac:dyDescent="0.3"/>
    <row r="34721" customFormat="1" x14ac:dyDescent="0.3"/>
    <row r="34722" customFormat="1" x14ac:dyDescent="0.3"/>
    <row r="34723" customFormat="1" x14ac:dyDescent="0.3"/>
    <row r="34724" customFormat="1" x14ac:dyDescent="0.3"/>
    <row r="34725" customFormat="1" x14ac:dyDescent="0.3"/>
    <row r="34726" customFormat="1" x14ac:dyDescent="0.3"/>
    <row r="34727" customFormat="1" x14ac:dyDescent="0.3"/>
    <row r="34728" customFormat="1" x14ac:dyDescent="0.3"/>
    <row r="34729" customFormat="1" x14ac:dyDescent="0.3"/>
    <row r="34730" customFormat="1" x14ac:dyDescent="0.3"/>
    <row r="34731" customFormat="1" x14ac:dyDescent="0.3"/>
    <row r="34732" customFormat="1" x14ac:dyDescent="0.3"/>
    <row r="34733" customFormat="1" x14ac:dyDescent="0.3"/>
    <row r="34734" customFormat="1" x14ac:dyDescent="0.3"/>
    <row r="34735" customFormat="1" x14ac:dyDescent="0.3"/>
    <row r="34736" customFormat="1" x14ac:dyDescent="0.3"/>
    <row r="34737" customFormat="1" x14ac:dyDescent="0.3"/>
    <row r="34738" customFormat="1" x14ac:dyDescent="0.3"/>
    <row r="34739" customFormat="1" x14ac:dyDescent="0.3"/>
    <row r="34740" customFormat="1" x14ac:dyDescent="0.3"/>
    <row r="34741" customFormat="1" x14ac:dyDescent="0.3"/>
    <row r="34742" customFormat="1" x14ac:dyDescent="0.3"/>
    <row r="34743" customFormat="1" x14ac:dyDescent="0.3"/>
    <row r="34744" customFormat="1" x14ac:dyDescent="0.3"/>
    <row r="34745" customFormat="1" x14ac:dyDescent="0.3"/>
    <row r="34746" customFormat="1" x14ac:dyDescent="0.3"/>
    <row r="34747" customFormat="1" x14ac:dyDescent="0.3"/>
    <row r="34748" customFormat="1" x14ac:dyDescent="0.3"/>
    <row r="34749" customFormat="1" x14ac:dyDescent="0.3"/>
    <row r="34750" customFormat="1" x14ac:dyDescent="0.3"/>
    <row r="34751" customFormat="1" x14ac:dyDescent="0.3"/>
    <row r="34752" customFormat="1" x14ac:dyDescent="0.3"/>
    <row r="34753" customFormat="1" x14ac:dyDescent="0.3"/>
    <row r="34754" customFormat="1" x14ac:dyDescent="0.3"/>
    <row r="34755" customFormat="1" x14ac:dyDescent="0.3"/>
    <row r="34756" customFormat="1" x14ac:dyDescent="0.3"/>
    <row r="34757" customFormat="1" x14ac:dyDescent="0.3"/>
    <row r="34758" customFormat="1" x14ac:dyDescent="0.3"/>
    <row r="34759" customFormat="1" x14ac:dyDescent="0.3"/>
    <row r="34760" customFormat="1" x14ac:dyDescent="0.3"/>
    <row r="34761" customFormat="1" x14ac:dyDescent="0.3"/>
    <row r="34762" customFormat="1" x14ac:dyDescent="0.3"/>
    <row r="34763" customFormat="1" x14ac:dyDescent="0.3"/>
    <row r="34764" customFormat="1" x14ac:dyDescent="0.3"/>
    <row r="34765" customFormat="1" x14ac:dyDescent="0.3"/>
    <row r="34766" customFormat="1" x14ac:dyDescent="0.3"/>
    <row r="34767" customFormat="1" x14ac:dyDescent="0.3"/>
    <row r="34768" customFormat="1" x14ac:dyDescent="0.3"/>
    <row r="34769" customFormat="1" x14ac:dyDescent="0.3"/>
    <row r="34770" customFormat="1" x14ac:dyDescent="0.3"/>
    <row r="34771" customFormat="1" x14ac:dyDescent="0.3"/>
    <row r="34772" customFormat="1" x14ac:dyDescent="0.3"/>
    <row r="34773" customFormat="1" x14ac:dyDescent="0.3"/>
    <row r="34774" customFormat="1" x14ac:dyDescent="0.3"/>
    <row r="34775" customFormat="1" x14ac:dyDescent="0.3"/>
    <row r="34776" customFormat="1" x14ac:dyDescent="0.3"/>
    <row r="34777" customFormat="1" x14ac:dyDescent="0.3"/>
    <row r="34778" customFormat="1" x14ac:dyDescent="0.3"/>
    <row r="34779" customFormat="1" x14ac:dyDescent="0.3"/>
    <row r="34780" customFormat="1" x14ac:dyDescent="0.3"/>
    <row r="34781" customFormat="1" x14ac:dyDescent="0.3"/>
    <row r="34782" customFormat="1" x14ac:dyDescent="0.3"/>
    <row r="34783" customFormat="1" x14ac:dyDescent="0.3"/>
    <row r="34784" customFormat="1" x14ac:dyDescent="0.3"/>
    <row r="34785" customFormat="1" x14ac:dyDescent="0.3"/>
    <row r="34786" customFormat="1" x14ac:dyDescent="0.3"/>
    <row r="34787" customFormat="1" x14ac:dyDescent="0.3"/>
    <row r="34788" customFormat="1" x14ac:dyDescent="0.3"/>
    <row r="34789" customFormat="1" x14ac:dyDescent="0.3"/>
    <row r="34790" customFormat="1" x14ac:dyDescent="0.3"/>
    <row r="34791" customFormat="1" x14ac:dyDescent="0.3"/>
    <row r="34792" customFormat="1" x14ac:dyDescent="0.3"/>
    <row r="34793" customFormat="1" x14ac:dyDescent="0.3"/>
    <row r="34794" customFormat="1" x14ac:dyDescent="0.3"/>
    <row r="34795" customFormat="1" x14ac:dyDescent="0.3"/>
    <row r="34796" customFormat="1" x14ac:dyDescent="0.3"/>
    <row r="34797" customFormat="1" x14ac:dyDescent="0.3"/>
    <row r="34798" customFormat="1" x14ac:dyDescent="0.3"/>
    <row r="34799" customFormat="1" x14ac:dyDescent="0.3"/>
    <row r="34800" customFormat="1" x14ac:dyDescent="0.3"/>
    <row r="34801" customFormat="1" x14ac:dyDescent="0.3"/>
    <row r="34802" customFormat="1" x14ac:dyDescent="0.3"/>
    <row r="34803" customFormat="1" x14ac:dyDescent="0.3"/>
    <row r="34804" customFormat="1" x14ac:dyDescent="0.3"/>
    <row r="34805" customFormat="1" x14ac:dyDescent="0.3"/>
    <row r="34806" customFormat="1" x14ac:dyDescent="0.3"/>
    <row r="34807" customFormat="1" x14ac:dyDescent="0.3"/>
    <row r="34808" customFormat="1" x14ac:dyDescent="0.3"/>
    <row r="34809" customFormat="1" x14ac:dyDescent="0.3"/>
    <row r="34810" customFormat="1" x14ac:dyDescent="0.3"/>
    <row r="34811" customFormat="1" x14ac:dyDescent="0.3"/>
    <row r="34812" customFormat="1" x14ac:dyDescent="0.3"/>
    <row r="34813" customFormat="1" x14ac:dyDescent="0.3"/>
    <row r="34814" customFormat="1" x14ac:dyDescent="0.3"/>
    <row r="34815" customFormat="1" x14ac:dyDescent="0.3"/>
    <row r="34816" customFormat="1" x14ac:dyDescent="0.3"/>
    <row r="34817" customFormat="1" x14ac:dyDescent="0.3"/>
    <row r="34818" customFormat="1" x14ac:dyDescent="0.3"/>
    <row r="34819" customFormat="1" x14ac:dyDescent="0.3"/>
    <row r="34820" customFormat="1" x14ac:dyDescent="0.3"/>
    <row r="34821" customFormat="1" x14ac:dyDescent="0.3"/>
    <row r="34822" customFormat="1" x14ac:dyDescent="0.3"/>
    <row r="34823" customFormat="1" x14ac:dyDescent="0.3"/>
    <row r="34824" customFormat="1" x14ac:dyDescent="0.3"/>
    <row r="34825" customFormat="1" x14ac:dyDescent="0.3"/>
    <row r="34826" customFormat="1" x14ac:dyDescent="0.3"/>
    <row r="34827" customFormat="1" x14ac:dyDescent="0.3"/>
    <row r="34828" customFormat="1" x14ac:dyDescent="0.3"/>
    <row r="34829" customFormat="1" x14ac:dyDescent="0.3"/>
    <row r="34830" customFormat="1" x14ac:dyDescent="0.3"/>
    <row r="34831" customFormat="1" x14ac:dyDescent="0.3"/>
    <row r="34832" customFormat="1" x14ac:dyDescent="0.3"/>
    <row r="34833" customFormat="1" x14ac:dyDescent="0.3"/>
    <row r="34834" customFormat="1" x14ac:dyDescent="0.3"/>
    <row r="34835" customFormat="1" x14ac:dyDescent="0.3"/>
    <row r="34836" customFormat="1" x14ac:dyDescent="0.3"/>
    <row r="34837" customFormat="1" x14ac:dyDescent="0.3"/>
    <row r="34838" customFormat="1" x14ac:dyDescent="0.3"/>
    <row r="34839" customFormat="1" x14ac:dyDescent="0.3"/>
    <row r="34840" customFormat="1" x14ac:dyDescent="0.3"/>
    <row r="34841" customFormat="1" x14ac:dyDescent="0.3"/>
    <row r="34842" customFormat="1" x14ac:dyDescent="0.3"/>
    <row r="34843" customFormat="1" x14ac:dyDescent="0.3"/>
    <row r="34844" customFormat="1" x14ac:dyDescent="0.3"/>
    <row r="34845" customFormat="1" x14ac:dyDescent="0.3"/>
    <row r="34846" customFormat="1" x14ac:dyDescent="0.3"/>
    <row r="34847" customFormat="1" x14ac:dyDescent="0.3"/>
    <row r="34848" customFormat="1" x14ac:dyDescent="0.3"/>
    <row r="34849" customFormat="1" x14ac:dyDescent="0.3"/>
    <row r="34850" customFormat="1" x14ac:dyDescent="0.3"/>
    <row r="34851" customFormat="1" x14ac:dyDescent="0.3"/>
    <row r="34852" customFormat="1" x14ac:dyDescent="0.3"/>
    <row r="34853" customFormat="1" x14ac:dyDescent="0.3"/>
    <row r="34854" customFormat="1" x14ac:dyDescent="0.3"/>
    <row r="34855" customFormat="1" x14ac:dyDescent="0.3"/>
    <row r="34856" customFormat="1" x14ac:dyDescent="0.3"/>
    <row r="34857" customFormat="1" x14ac:dyDescent="0.3"/>
    <row r="34858" customFormat="1" x14ac:dyDescent="0.3"/>
    <row r="34859" customFormat="1" x14ac:dyDescent="0.3"/>
    <row r="34860" customFormat="1" x14ac:dyDescent="0.3"/>
    <row r="34861" customFormat="1" x14ac:dyDescent="0.3"/>
    <row r="34862" customFormat="1" x14ac:dyDescent="0.3"/>
    <row r="34863" customFormat="1" x14ac:dyDescent="0.3"/>
    <row r="34864" customFormat="1" x14ac:dyDescent="0.3"/>
    <row r="34865" customFormat="1" x14ac:dyDescent="0.3"/>
    <row r="34866" customFormat="1" x14ac:dyDescent="0.3"/>
    <row r="34867" customFormat="1" x14ac:dyDescent="0.3"/>
    <row r="34868" customFormat="1" x14ac:dyDescent="0.3"/>
    <row r="34869" customFormat="1" x14ac:dyDescent="0.3"/>
    <row r="34870" customFormat="1" x14ac:dyDescent="0.3"/>
    <row r="34871" customFormat="1" x14ac:dyDescent="0.3"/>
    <row r="34872" customFormat="1" x14ac:dyDescent="0.3"/>
    <row r="34873" customFormat="1" x14ac:dyDescent="0.3"/>
    <row r="34874" customFormat="1" x14ac:dyDescent="0.3"/>
    <row r="34875" customFormat="1" x14ac:dyDescent="0.3"/>
    <row r="34876" customFormat="1" x14ac:dyDescent="0.3"/>
    <row r="34877" customFormat="1" x14ac:dyDescent="0.3"/>
    <row r="34878" customFormat="1" x14ac:dyDescent="0.3"/>
    <row r="34879" customFormat="1" x14ac:dyDescent="0.3"/>
    <row r="34880" customFormat="1" x14ac:dyDescent="0.3"/>
    <row r="34881" customFormat="1" x14ac:dyDescent="0.3"/>
    <row r="34882" customFormat="1" x14ac:dyDescent="0.3"/>
    <row r="34883" customFormat="1" x14ac:dyDescent="0.3"/>
    <row r="34884" customFormat="1" x14ac:dyDescent="0.3"/>
    <row r="34885" customFormat="1" x14ac:dyDescent="0.3"/>
    <row r="34886" customFormat="1" x14ac:dyDescent="0.3"/>
    <row r="34887" customFormat="1" x14ac:dyDescent="0.3"/>
    <row r="34888" customFormat="1" x14ac:dyDescent="0.3"/>
    <row r="34889" customFormat="1" x14ac:dyDescent="0.3"/>
    <row r="34890" customFormat="1" x14ac:dyDescent="0.3"/>
    <row r="34891" customFormat="1" x14ac:dyDescent="0.3"/>
    <row r="34892" customFormat="1" x14ac:dyDescent="0.3"/>
    <row r="34893" customFormat="1" x14ac:dyDescent="0.3"/>
    <row r="34894" customFormat="1" x14ac:dyDescent="0.3"/>
    <row r="34895" customFormat="1" x14ac:dyDescent="0.3"/>
    <row r="34896" customFormat="1" x14ac:dyDescent="0.3"/>
    <row r="34897" customFormat="1" x14ac:dyDescent="0.3"/>
    <row r="34898" customFormat="1" x14ac:dyDescent="0.3"/>
    <row r="34899" customFormat="1" x14ac:dyDescent="0.3"/>
    <row r="34900" customFormat="1" x14ac:dyDescent="0.3"/>
    <row r="34901" customFormat="1" x14ac:dyDescent="0.3"/>
    <row r="34902" customFormat="1" x14ac:dyDescent="0.3"/>
    <row r="34903" customFormat="1" x14ac:dyDescent="0.3"/>
    <row r="34904" customFormat="1" x14ac:dyDescent="0.3"/>
    <row r="34905" customFormat="1" x14ac:dyDescent="0.3"/>
    <row r="34906" customFormat="1" x14ac:dyDescent="0.3"/>
    <row r="34907" customFormat="1" x14ac:dyDescent="0.3"/>
    <row r="34908" customFormat="1" x14ac:dyDescent="0.3"/>
    <row r="34909" customFormat="1" x14ac:dyDescent="0.3"/>
    <row r="34910" customFormat="1" x14ac:dyDescent="0.3"/>
    <row r="34911" customFormat="1" x14ac:dyDescent="0.3"/>
    <row r="34912" customFormat="1" x14ac:dyDescent="0.3"/>
    <row r="34913" customFormat="1" x14ac:dyDescent="0.3"/>
    <row r="34914" customFormat="1" x14ac:dyDescent="0.3"/>
    <row r="34915" customFormat="1" x14ac:dyDescent="0.3"/>
    <row r="34916" customFormat="1" x14ac:dyDescent="0.3"/>
    <row r="34917" customFormat="1" x14ac:dyDescent="0.3"/>
    <row r="34918" customFormat="1" x14ac:dyDescent="0.3"/>
    <row r="34919" customFormat="1" x14ac:dyDescent="0.3"/>
    <row r="34920" customFormat="1" x14ac:dyDescent="0.3"/>
    <row r="34921" customFormat="1" x14ac:dyDescent="0.3"/>
    <row r="34922" customFormat="1" x14ac:dyDescent="0.3"/>
    <row r="34923" customFormat="1" x14ac:dyDescent="0.3"/>
    <row r="34924" customFormat="1" x14ac:dyDescent="0.3"/>
    <row r="34925" customFormat="1" x14ac:dyDescent="0.3"/>
    <row r="34926" customFormat="1" x14ac:dyDescent="0.3"/>
    <row r="34927" customFormat="1" x14ac:dyDescent="0.3"/>
    <row r="34928" customFormat="1" x14ac:dyDescent="0.3"/>
    <row r="34929" customFormat="1" x14ac:dyDescent="0.3"/>
    <row r="34930" customFormat="1" x14ac:dyDescent="0.3"/>
    <row r="34931" customFormat="1" x14ac:dyDescent="0.3"/>
    <row r="34932" customFormat="1" x14ac:dyDescent="0.3"/>
    <row r="34933" customFormat="1" x14ac:dyDescent="0.3"/>
    <row r="34934" customFormat="1" x14ac:dyDescent="0.3"/>
    <row r="34935" customFormat="1" x14ac:dyDescent="0.3"/>
    <row r="34936" customFormat="1" x14ac:dyDescent="0.3"/>
    <row r="34937" customFormat="1" x14ac:dyDescent="0.3"/>
    <row r="34938" customFormat="1" x14ac:dyDescent="0.3"/>
    <row r="34939" customFormat="1" x14ac:dyDescent="0.3"/>
    <row r="34940" customFormat="1" x14ac:dyDescent="0.3"/>
    <row r="34941" customFormat="1" x14ac:dyDescent="0.3"/>
    <row r="34942" customFormat="1" x14ac:dyDescent="0.3"/>
    <row r="34943" customFormat="1" x14ac:dyDescent="0.3"/>
    <row r="34944" customFormat="1" x14ac:dyDescent="0.3"/>
    <row r="34945" customFormat="1" x14ac:dyDescent="0.3"/>
    <row r="34946" customFormat="1" x14ac:dyDescent="0.3"/>
    <row r="34947" customFormat="1" x14ac:dyDescent="0.3"/>
    <row r="34948" customFormat="1" x14ac:dyDescent="0.3"/>
    <row r="34949" customFormat="1" x14ac:dyDescent="0.3"/>
    <row r="34950" customFormat="1" x14ac:dyDescent="0.3"/>
    <row r="34951" customFormat="1" x14ac:dyDescent="0.3"/>
    <row r="34952" customFormat="1" x14ac:dyDescent="0.3"/>
    <row r="34953" customFormat="1" x14ac:dyDescent="0.3"/>
    <row r="34954" customFormat="1" x14ac:dyDescent="0.3"/>
    <row r="34955" customFormat="1" x14ac:dyDescent="0.3"/>
    <row r="34956" customFormat="1" x14ac:dyDescent="0.3"/>
    <row r="34957" customFormat="1" x14ac:dyDescent="0.3"/>
    <row r="34958" customFormat="1" x14ac:dyDescent="0.3"/>
    <row r="34959" customFormat="1" x14ac:dyDescent="0.3"/>
    <row r="34960" customFormat="1" x14ac:dyDescent="0.3"/>
    <row r="34961" customFormat="1" x14ac:dyDescent="0.3"/>
    <row r="34962" customFormat="1" x14ac:dyDescent="0.3"/>
    <row r="34963" customFormat="1" x14ac:dyDescent="0.3"/>
    <row r="34964" customFormat="1" x14ac:dyDescent="0.3"/>
    <row r="34965" customFormat="1" x14ac:dyDescent="0.3"/>
    <row r="34966" customFormat="1" x14ac:dyDescent="0.3"/>
    <row r="34967" customFormat="1" x14ac:dyDescent="0.3"/>
    <row r="34968" customFormat="1" x14ac:dyDescent="0.3"/>
    <row r="34969" customFormat="1" x14ac:dyDescent="0.3"/>
    <row r="34970" customFormat="1" x14ac:dyDescent="0.3"/>
    <row r="34971" customFormat="1" x14ac:dyDescent="0.3"/>
    <row r="34972" customFormat="1" x14ac:dyDescent="0.3"/>
    <row r="34973" customFormat="1" x14ac:dyDescent="0.3"/>
    <row r="34974" customFormat="1" x14ac:dyDescent="0.3"/>
    <row r="34975" customFormat="1" x14ac:dyDescent="0.3"/>
    <row r="34976" customFormat="1" x14ac:dyDescent="0.3"/>
    <row r="34977" customFormat="1" x14ac:dyDescent="0.3"/>
    <row r="34978" customFormat="1" x14ac:dyDescent="0.3"/>
    <row r="34979" customFormat="1" x14ac:dyDescent="0.3"/>
    <row r="34980" customFormat="1" x14ac:dyDescent="0.3"/>
    <row r="34981" customFormat="1" x14ac:dyDescent="0.3"/>
    <row r="34982" customFormat="1" x14ac:dyDescent="0.3"/>
    <row r="34983" customFormat="1" x14ac:dyDescent="0.3"/>
    <row r="34984" customFormat="1" x14ac:dyDescent="0.3"/>
    <row r="34985" customFormat="1" x14ac:dyDescent="0.3"/>
    <row r="34986" customFormat="1" x14ac:dyDescent="0.3"/>
    <row r="34987" customFormat="1" x14ac:dyDescent="0.3"/>
    <row r="34988" customFormat="1" x14ac:dyDescent="0.3"/>
    <row r="34989" customFormat="1" x14ac:dyDescent="0.3"/>
    <row r="34990" customFormat="1" x14ac:dyDescent="0.3"/>
    <row r="34991" customFormat="1" x14ac:dyDescent="0.3"/>
    <row r="34992" customFormat="1" x14ac:dyDescent="0.3"/>
    <row r="34993" customFormat="1" x14ac:dyDescent="0.3"/>
    <row r="34994" customFormat="1" x14ac:dyDescent="0.3"/>
    <row r="34995" customFormat="1" x14ac:dyDescent="0.3"/>
    <row r="34996" customFormat="1" x14ac:dyDescent="0.3"/>
    <row r="34997" customFormat="1" x14ac:dyDescent="0.3"/>
    <row r="34998" customFormat="1" x14ac:dyDescent="0.3"/>
    <row r="34999" customFormat="1" x14ac:dyDescent="0.3"/>
    <row r="35000" customFormat="1" x14ac:dyDescent="0.3"/>
    <row r="35001" customFormat="1" x14ac:dyDescent="0.3"/>
    <row r="35002" customFormat="1" x14ac:dyDescent="0.3"/>
    <row r="35003" customFormat="1" x14ac:dyDescent="0.3"/>
    <row r="35004" customFormat="1" x14ac:dyDescent="0.3"/>
    <row r="35005" customFormat="1" x14ac:dyDescent="0.3"/>
    <row r="35006" customFormat="1" x14ac:dyDescent="0.3"/>
    <row r="35007" customFormat="1" x14ac:dyDescent="0.3"/>
    <row r="35008" customFormat="1" x14ac:dyDescent="0.3"/>
    <row r="35009" customFormat="1" x14ac:dyDescent="0.3"/>
    <row r="35010" customFormat="1" x14ac:dyDescent="0.3"/>
    <row r="35011" customFormat="1" x14ac:dyDescent="0.3"/>
    <row r="35012" customFormat="1" x14ac:dyDescent="0.3"/>
    <row r="35013" customFormat="1" x14ac:dyDescent="0.3"/>
    <row r="35014" customFormat="1" x14ac:dyDescent="0.3"/>
    <row r="35015" customFormat="1" x14ac:dyDescent="0.3"/>
    <row r="35016" customFormat="1" x14ac:dyDescent="0.3"/>
    <row r="35017" customFormat="1" x14ac:dyDescent="0.3"/>
    <row r="35018" customFormat="1" x14ac:dyDescent="0.3"/>
    <row r="35019" customFormat="1" x14ac:dyDescent="0.3"/>
    <row r="35020" customFormat="1" x14ac:dyDescent="0.3"/>
    <row r="35021" customFormat="1" x14ac:dyDescent="0.3"/>
    <row r="35022" customFormat="1" x14ac:dyDescent="0.3"/>
    <row r="35023" customFormat="1" x14ac:dyDescent="0.3"/>
    <row r="35024" customFormat="1" x14ac:dyDescent="0.3"/>
    <row r="35025" customFormat="1" x14ac:dyDescent="0.3"/>
    <row r="35026" customFormat="1" x14ac:dyDescent="0.3"/>
    <row r="35027" customFormat="1" x14ac:dyDescent="0.3"/>
    <row r="35028" customFormat="1" x14ac:dyDescent="0.3"/>
    <row r="35029" customFormat="1" x14ac:dyDescent="0.3"/>
    <row r="35030" customFormat="1" x14ac:dyDescent="0.3"/>
    <row r="35031" customFormat="1" x14ac:dyDescent="0.3"/>
    <row r="35032" customFormat="1" x14ac:dyDescent="0.3"/>
    <row r="35033" customFormat="1" x14ac:dyDescent="0.3"/>
    <row r="35034" customFormat="1" x14ac:dyDescent="0.3"/>
    <row r="35035" customFormat="1" x14ac:dyDescent="0.3"/>
    <row r="35036" customFormat="1" x14ac:dyDescent="0.3"/>
    <row r="35037" customFormat="1" x14ac:dyDescent="0.3"/>
    <row r="35038" customFormat="1" x14ac:dyDescent="0.3"/>
    <row r="35039" customFormat="1" x14ac:dyDescent="0.3"/>
    <row r="35040" customFormat="1" x14ac:dyDescent="0.3"/>
    <row r="35041" customFormat="1" x14ac:dyDescent="0.3"/>
    <row r="35042" customFormat="1" x14ac:dyDescent="0.3"/>
    <row r="35043" customFormat="1" x14ac:dyDescent="0.3"/>
    <row r="35044" customFormat="1" x14ac:dyDescent="0.3"/>
    <row r="35045" customFormat="1" x14ac:dyDescent="0.3"/>
    <row r="35046" customFormat="1" x14ac:dyDescent="0.3"/>
    <row r="35047" customFormat="1" x14ac:dyDescent="0.3"/>
    <row r="35048" customFormat="1" x14ac:dyDescent="0.3"/>
    <row r="35049" customFormat="1" x14ac:dyDescent="0.3"/>
    <row r="35050" customFormat="1" x14ac:dyDescent="0.3"/>
    <row r="35051" customFormat="1" x14ac:dyDescent="0.3"/>
    <row r="35052" customFormat="1" x14ac:dyDescent="0.3"/>
    <row r="35053" customFormat="1" x14ac:dyDescent="0.3"/>
    <row r="35054" customFormat="1" x14ac:dyDescent="0.3"/>
    <row r="35055" customFormat="1" x14ac:dyDescent="0.3"/>
    <row r="35056" customFormat="1" x14ac:dyDescent="0.3"/>
    <row r="35057" customFormat="1" x14ac:dyDescent="0.3"/>
    <row r="35058" customFormat="1" x14ac:dyDescent="0.3"/>
    <row r="35059" customFormat="1" x14ac:dyDescent="0.3"/>
    <row r="35060" customFormat="1" x14ac:dyDescent="0.3"/>
    <row r="35061" customFormat="1" x14ac:dyDescent="0.3"/>
    <row r="35062" customFormat="1" x14ac:dyDescent="0.3"/>
    <row r="35063" customFormat="1" x14ac:dyDescent="0.3"/>
    <row r="35064" customFormat="1" x14ac:dyDescent="0.3"/>
    <row r="35065" customFormat="1" x14ac:dyDescent="0.3"/>
    <row r="35066" customFormat="1" x14ac:dyDescent="0.3"/>
    <row r="35067" customFormat="1" x14ac:dyDescent="0.3"/>
    <row r="35068" customFormat="1" x14ac:dyDescent="0.3"/>
    <row r="35069" customFormat="1" x14ac:dyDescent="0.3"/>
    <row r="35070" customFormat="1" x14ac:dyDescent="0.3"/>
    <row r="35071" customFormat="1" x14ac:dyDescent="0.3"/>
    <row r="35072" customFormat="1" x14ac:dyDescent="0.3"/>
    <row r="35073" customFormat="1" x14ac:dyDescent="0.3"/>
    <row r="35074" customFormat="1" x14ac:dyDescent="0.3"/>
    <row r="35075" customFormat="1" x14ac:dyDescent="0.3"/>
    <row r="35076" customFormat="1" x14ac:dyDescent="0.3"/>
    <row r="35077" customFormat="1" x14ac:dyDescent="0.3"/>
    <row r="35078" customFormat="1" x14ac:dyDescent="0.3"/>
    <row r="35079" customFormat="1" x14ac:dyDescent="0.3"/>
    <row r="35080" customFormat="1" x14ac:dyDescent="0.3"/>
    <row r="35081" customFormat="1" x14ac:dyDescent="0.3"/>
    <row r="35082" customFormat="1" x14ac:dyDescent="0.3"/>
    <row r="35083" customFormat="1" x14ac:dyDescent="0.3"/>
    <row r="35084" customFormat="1" x14ac:dyDescent="0.3"/>
    <row r="35085" customFormat="1" x14ac:dyDescent="0.3"/>
    <row r="35086" customFormat="1" x14ac:dyDescent="0.3"/>
    <row r="35087" customFormat="1" x14ac:dyDescent="0.3"/>
    <row r="35088" customFormat="1" x14ac:dyDescent="0.3"/>
    <row r="35089" customFormat="1" x14ac:dyDescent="0.3"/>
    <row r="35090" customFormat="1" x14ac:dyDescent="0.3"/>
    <row r="35091" customFormat="1" x14ac:dyDescent="0.3"/>
    <row r="35092" customFormat="1" x14ac:dyDescent="0.3"/>
    <row r="35093" customFormat="1" x14ac:dyDescent="0.3"/>
    <row r="35094" customFormat="1" x14ac:dyDescent="0.3"/>
    <row r="35095" customFormat="1" x14ac:dyDescent="0.3"/>
    <row r="35096" customFormat="1" x14ac:dyDescent="0.3"/>
    <row r="35097" customFormat="1" x14ac:dyDescent="0.3"/>
    <row r="35098" customFormat="1" x14ac:dyDescent="0.3"/>
    <row r="35099" customFormat="1" x14ac:dyDescent="0.3"/>
    <row r="35100" customFormat="1" x14ac:dyDescent="0.3"/>
    <row r="35101" customFormat="1" x14ac:dyDescent="0.3"/>
    <row r="35102" customFormat="1" x14ac:dyDescent="0.3"/>
    <row r="35103" customFormat="1" x14ac:dyDescent="0.3"/>
    <row r="35104" customFormat="1" x14ac:dyDescent="0.3"/>
    <row r="35105" customFormat="1" x14ac:dyDescent="0.3"/>
    <row r="35106" customFormat="1" x14ac:dyDescent="0.3"/>
    <row r="35107" customFormat="1" x14ac:dyDescent="0.3"/>
    <row r="35108" customFormat="1" x14ac:dyDescent="0.3"/>
    <row r="35109" customFormat="1" x14ac:dyDescent="0.3"/>
    <row r="35110" customFormat="1" x14ac:dyDescent="0.3"/>
    <row r="35111" customFormat="1" x14ac:dyDescent="0.3"/>
    <row r="35112" customFormat="1" x14ac:dyDescent="0.3"/>
    <row r="35113" customFormat="1" x14ac:dyDescent="0.3"/>
    <row r="35114" customFormat="1" x14ac:dyDescent="0.3"/>
    <row r="35115" customFormat="1" x14ac:dyDescent="0.3"/>
    <row r="35116" customFormat="1" x14ac:dyDescent="0.3"/>
    <row r="35117" customFormat="1" x14ac:dyDescent="0.3"/>
    <row r="35118" customFormat="1" x14ac:dyDescent="0.3"/>
    <row r="35119" customFormat="1" x14ac:dyDescent="0.3"/>
    <row r="35120" customFormat="1" x14ac:dyDescent="0.3"/>
    <row r="35121" customFormat="1" x14ac:dyDescent="0.3"/>
    <row r="35122" customFormat="1" x14ac:dyDescent="0.3"/>
    <row r="35123" customFormat="1" x14ac:dyDescent="0.3"/>
    <row r="35124" customFormat="1" x14ac:dyDescent="0.3"/>
    <row r="35125" customFormat="1" x14ac:dyDescent="0.3"/>
    <row r="35126" customFormat="1" x14ac:dyDescent="0.3"/>
    <row r="35127" customFormat="1" x14ac:dyDescent="0.3"/>
    <row r="35128" customFormat="1" x14ac:dyDescent="0.3"/>
    <row r="35129" customFormat="1" x14ac:dyDescent="0.3"/>
    <row r="35130" customFormat="1" x14ac:dyDescent="0.3"/>
    <row r="35131" customFormat="1" x14ac:dyDescent="0.3"/>
    <row r="35132" customFormat="1" x14ac:dyDescent="0.3"/>
    <row r="35133" customFormat="1" x14ac:dyDescent="0.3"/>
    <row r="35134" customFormat="1" x14ac:dyDescent="0.3"/>
    <row r="35135" customFormat="1" x14ac:dyDescent="0.3"/>
    <row r="35136" customFormat="1" x14ac:dyDescent="0.3"/>
    <row r="35137" customFormat="1" x14ac:dyDescent="0.3"/>
    <row r="35138" customFormat="1" x14ac:dyDescent="0.3"/>
    <row r="35139" customFormat="1" x14ac:dyDescent="0.3"/>
    <row r="35140" customFormat="1" x14ac:dyDescent="0.3"/>
    <row r="35141" customFormat="1" x14ac:dyDescent="0.3"/>
    <row r="35142" customFormat="1" x14ac:dyDescent="0.3"/>
    <row r="35143" customFormat="1" x14ac:dyDescent="0.3"/>
    <row r="35144" customFormat="1" x14ac:dyDescent="0.3"/>
    <row r="35145" customFormat="1" x14ac:dyDescent="0.3"/>
    <row r="35146" customFormat="1" x14ac:dyDescent="0.3"/>
    <row r="35147" customFormat="1" x14ac:dyDescent="0.3"/>
    <row r="35148" customFormat="1" x14ac:dyDescent="0.3"/>
    <row r="35149" customFormat="1" x14ac:dyDescent="0.3"/>
    <row r="35150" customFormat="1" x14ac:dyDescent="0.3"/>
    <row r="35151" customFormat="1" x14ac:dyDescent="0.3"/>
    <row r="35152" customFormat="1" x14ac:dyDescent="0.3"/>
    <row r="35153" customFormat="1" x14ac:dyDescent="0.3"/>
    <row r="35154" customFormat="1" x14ac:dyDescent="0.3"/>
    <row r="35155" customFormat="1" x14ac:dyDescent="0.3"/>
    <row r="35156" customFormat="1" x14ac:dyDescent="0.3"/>
    <row r="35157" customFormat="1" x14ac:dyDescent="0.3"/>
    <row r="35158" customFormat="1" x14ac:dyDescent="0.3"/>
    <row r="35159" customFormat="1" x14ac:dyDescent="0.3"/>
    <row r="35160" customFormat="1" x14ac:dyDescent="0.3"/>
    <row r="35161" customFormat="1" x14ac:dyDescent="0.3"/>
    <row r="35162" customFormat="1" x14ac:dyDescent="0.3"/>
    <row r="35163" customFormat="1" x14ac:dyDescent="0.3"/>
    <row r="35164" customFormat="1" x14ac:dyDescent="0.3"/>
    <row r="35165" customFormat="1" x14ac:dyDescent="0.3"/>
    <row r="35166" customFormat="1" x14ac:dyDescent="0.3"/>
    <row r="35167" customFormat="1" x14ac:dyDescent="0.3"/>
    <row r="35168" customFormat="1" x14ac:dyDescent="0.3"/>
    <row r="35169" customFormat="1" x14ac:dyDescent="0.3"/>
    <row r="35170" customFormat="1" x14ac:dyDescent="0.3"/>
    <row r="35171" customFormat="1" x14ac:dyDescent="0.3"/>
    <row r="35172" customFormat="1" x14ac:dyDescent="0.3"/>
    <row r="35173" customFormat="1" x14ac:dyDescent="0.3"/>
    <row r="35174" customFormat="1" x14ac:dyDescent="0.3"/>
    <row r="35175" customFormat="1" x14ac:dyDescent="0.3"/>
    <row r="35176" customFormat="1" x14ac:dyDescent="0.3"/>
    <row r="35177" customFormat="1" x14ac:dyDescent="0.3"/>
    <row r="35178" customFormat="1" x14ac:dyDescent="0.3"/>
    <row r="35179" customFormat="1" x14ac:dyDescent="0.3"/>
    <row r="35180" customFormat="1" x14ac:dyDescent="0.3"/>
    <row r="35181" customFormat="1" x14ac:dyDescent="0.3"/>
    <row r="35182" customFormat="1" x14ac:dyDescent="0.3"/>
    <row r="35183" customFormat="1" x14ac:dyDescent="0.3"/>
    <row r="35184" customFormat="1" x14ac:dyDescent="0.3"/>
    <row r="35185" customFormat="1" x14ac:dyDescent="0.3"/>
    <row r="35186" customFormat="1" x14ac:dyDescent="0.3"/>
    <row r="35187" customFormat="1" x14ac:dyDescent="0.3"/>
    <row r="35188" customFormat="1" x14ac:dyDescent="0.3"/>
    <row r="35189" customFormat="1" x14ac:dyDescent="0.3"/>
    <row r="35190" customFormat="1" x14ac:dyDescent="0.3"/>
    <row r="35191" customFormat="1" x14ac:dyDescent="0.3"/>
    <row r="35192" customFormat="1" x14ac:dyDescent="0.3"/>
    <row r="35193" customFormat="1" x14ac:dyDescent="0.3"/>
    <row r="35194" customFormat="1" x14ac:dyDescent="0.3"/>
    <row r="35195" customFormat="1" x14ac:dyDescent="0.3"/>
    <row r="35196" customFormat="1" x14ac:dyDescent="0.3"/>
    <row r="35197" customFormat="1" x14ac:dyDescent="0.3"/>
    <row r="35198" customFormat="1" x14ac:dyDescent="0.3"/>
    <row r="35199" customFormat="1" x14ac:dyDescent="0.3"/>
    <row r="35200" customFormat="1" x14ac:dyDescent="0.3"/>
    <row r="35201" customFormat="1" x14ac:dyDescent="0.3"/>
    <row r="35202" customFormat="1" x14ac:dyDescent="0.3"/>
    <row r="35203" customFormat="1" x14ac:dyDescent="0.3"/>
    <row r="35204" customFormat="1" x14ac:dyDescent="0.3"/>
    <row r="35205" customFormat="1" x14ac:dyDescent="0.3"/>
    <row r="35206" customFormat="1" x14ac:dyDescent="0.3"/>
    <row r="35207" customFormat="1" x14ac:dyDescent="0.3"/>
    <row r="35208" customFormat="1" x14ac:dyDescent="0.3"/>
    <row r="35209" customFormat="1" x14ac:dyDescent="0.3"/>
    <row r="35210" customFormat="1" x14ac:dyDescent="0.3"/>
    <row r="35211" customFormat="1" x14ac:dyDescent="0.3"/>
    <row r="35212" customFormat="1" x14ac:dyDescent="0.3"/>
    <row r="35213" customFormat="1" x14ac:dyDescent="0.3"/>
    <row r="35214" customFormat="1" x14ac:dyDescent="0.3"/>
    <row r="35215" customFormat="1" x14ac:dyDescent="0.3"/>
    <row r="35216" customFormat="1" x14ac:dyDescent="0.3"/>
    <row r="35217" customFormat="1" x14ac:dyDescent="0.3"/>
    <row r="35218" customFormat="1" x14ac:dyDescent="0.3"/>
    <row r="35219" customFormat="1" x14ac:dyDescent="0.3"/>
    <row r="35220" customFormat="1" x14ac:dyDescent="0.3"/>
    <row r="35221" customFormat="1" x14ac:dyDescent="0.3"/>
    <row r="35222" customFormat="1" x14ac:dyDescent="0.3"/>
    <row r="35223" customFormat="1" x14ac:dyDescent="0.3"/>
    <row r="35224" customFormat="1" x14ac:dyDescent="0.3"/>
    <row r="35225" customFormat="1" x14ac:dyDescent="0.3"/>
    <row r="35226" customFormat="1" x14ac:dyDescent="0.3"/>
    <row r="35227" customFormat="1" x14ac:dyDescent="0.3"/>
    <row r="35228" customFormat="1" x14ac:dyDescent="0.3"/>
    <row r="35229" customFormat="1" x14ac:dyDescent="0.3"/>
    <row r="35230" customFormat="1" x14ac:dyDescent="0.3"/>
    <row r="35231" customFormat="1" x14ac:dyDescent="0.3"/>
    <row r="35232" customFormat="1" x14ac:dyDescent="0.3"/>
    <row r="35233" customFormat="1" x14ac:dyDescent="0.3"/>
    <row r="35234" customFormat="1" x14ac:dyDescent="0.3"/>
    <row r="35235" customFormat="1" x14ac:dyDescent="0.3"/>
    <row r="35236" customFormat="1" x14ac:dyDescent="0.3"/>
    <row r="35237" customFormat="1" x14ac:dyDescent="0.3"/>
    <row r="35238" customFormat="1" x14ac:dyDescent="0.3"/>
    <row r="35239" customFormat="1" x14ac:dyDescent="0.3"/>
    <row r="35240" customFormat="1" x14ac:dyDescent="0.3"/>
    <row r="35241" customFormat="1" x14ac:dyDescent="0.3"/>
    <row r="35242" customFormat="1" x14ac:dyDescent="0.3"/>
    <row r="35243" customFormat="1" x14ac:dyDescent="0.3"/>
    <row r="35244" customFormat="1" x14ac:dyDescent="0.3"/>
    <row r="35245" customFormat="1" x14ac:dyDescent="0.3"/>
    <row r="35246" customFormat="1" x14ac:dyDescent="0.3"/>
    <row r="35247" customFormat="1" x14ac:dyDescent="0.3"/>
    <row r="35248" customFormat="1" x14ac:dyDescent="0.3"/>
    <row r="35249" customFormat="1" x14ac:dyDescent="0.3"/>
    <row r="35250" customFormat="1" x14ac:dyDescent="0.3"/>
    <row r="35251" customFormat="1" x14ac:dyDescent="0.3"/>
    <row r="35252" customFormat="1" x14ac:dyDescent="0.3"/>
    <row r="35253" customFormat="1" x14ac:dyDescent="0.3"/>
    <row r="35254" customFormat="1" x14ac:dyDescent="0.3"/>
    <row r="35255" customFormat="1" x14ac:dyDescent="0.3"/>
    <row r="35256" customFormat="1" x14ac:dyDescent="0.3"/>
    <row r="35257" customFormat="1" x14ac:dyDescent="0.3"/>
    <row r="35258" customFormat="1" x14ac:dyDescent="0.3"/>
    <row r="35259" customFormat="1" x14ac:dyDescent="0.3"/>
    <row r="35260" customFormat="1" x14ac:dyDescent="0.3"/>
    <row r="35261" customFormat="1" x14ac:dyDescent="0.3"/>
    <row r="35262" customFormat="1" x14ac:dyDescent="0.3"/>
    <row r="35263" customFormat="1" x14ac:dyDescent="0.3"/>
    <row r="35264" customFormat="1" x14ac:dyDescent="0.3"/>
    <row r="35265" customFormat="1" x14ac:dyDescent="0.3"/>
    <row r="35266" customFormat="1" x14ac:dyDescent="0.3"/>
    <row r="35267" customFormat="1" x14ac:dyDescent="0.3"/>
    <row r="35268" customFormat="1" x14ac:dyDescent="0.3"/>
    <row r="35269" customFormat="1" x14ac:dyDescent="0.3"/>
    <row r="35270" customFormat="1" x14ac:dyDescent="0.3"/>
    <row r="35271" customFormat="1" x14ac:dyDescent="0.3"/>
    <row r="35272" customFormat="1" x14ac:dyDescent="0.3"/>
    <row r="35273" customFormat="1" x14ac:dyDescent="0.3"/>
    <row r="35274" customFormat="1" x14ac:dyDescent="0.3"/>
    <row r="35275" customFormat="1" x14ac:dyDescent="0.3"/>
    <row r="35276" customFormat="1" x14ac:dyDescent="0.3"/>
    <row r="35277" customFormat="1" x14ac:dyDescent="0.3"/>
    <row r="35278" customFormat="1" x14ac:dyDescent="0.3"/>
    <row r="35279" customFormat="1" x14ac:dyDescent="0.3"/>
    <row r="35280" customFormat="1" x14ac:dyDescent="0.3"/>
    <row r="35281" customFormat="1" x14ac:dyDescent="0.3"/>
    <row r="35282" customFormat="1" x14ac:dyDescent="0.3"/>
    <row r="35283" customFormat="1" x14ac:dyDescent="0.3"/>
    <row r="35284" customFormat="1" x14ac:dyDescent="0.3"/>
    <row r="35285" customFormat="1" x14ac:dyDescent="0.3"/>
    <row r="35286" customFormat="1" x14ac:dyDescent="0.3"/>
    <row r="35287" customFormat="1" x14ac:dyDescent="0.3"/>
    <row r="35288" customFormat="1" x14ac:dyDescent="0.3"/>
    <row r="35289" customFormat="1" x14ac:dyDescent="0.3"/>
    <row r="35290" customFormat="1" x14ac:dyDescent="0.3"/>
    <row r="35291" customFormat="1" x14ac:dyDescent="0.3"/>
    <row r="35292" customFormat="1" x14ac:dyDescent="0.3"/>
    <row r="35293" customFormat="1" x14ac:dyDescent="0.3"/>
    <row r="35294" customFormat="1" x14ac:dyDescent="0.3"/>
    <row r="35295" customFormat="1" x14ac:dyDescent="0.3"/>
    <row r="35296" customFormat="1" x14ac:dyDescent="0.3"/>
    <row r="35297" customFormat="1" x14ac:dyDescent="0.3"/>
    <row r="35298" customFormat="1" x14ac:dyDescent="0.3"/>
    <row r="35299" customFormat="1" x14ac:dyDescent="0.3"/>
    <row r="35300" customFormat="1" x14ac:dyDescent="0.3"/>
    <row r="35301" customFormat="1" x14ac:dyDescent="0.3"/>
    <row r="35302" customFormat="1" x14ac:dyDescent="0.3"/>
    <row r="35303" customFormat="1" x14ac:dyDescent="0.3"/>
    <row r="35304" customFormat="1" x14ac:dyDescent="0.3"/>
    <row r="35305" customFormat="1" x14ac:dyDescent="0.3"/>
    <row r="35306" customFormat="1" x14ac:dyDescent="0.3"/>
    <row r="35307" customFormat="1" x14ac:dyDescent="0.3"/>
    <row r="35308" customFormat="1" x14ac:dyDescent="0.3"/>
    <row r="35309" customFormat="1" x14ac:dyDescent="0.3"/>
    <row r="35310" customFormat="1" x14ac:dyDescent="0.3"/>
    <row r="35311" customFormat="1" x14ac:dyDescent="0.3"/>
    <row r="35312" customFormat="1" x14ac:dyDescent="0.3"/>
    <row r="35313" customFormat="1" x14ac:dyDescent="0.3"/>
    <row r="35314" customFormat="1" x14ac:dyDescent="0.3"/>
    <row r="35315" customFormat="1" x14ac:dyDescent="0.3"/>
    <row r="35316" customFormat="1" x14ac:dyDescent="0.3"/>
    <row r="35317" customFormat="1" x14ac:dyDescent="0.3"/>
    <row r="35318" customFormat="1" x14ac:dyDescent="0.3"/>
    <row r="35319" customFormat="1" x14ac:dyDescent="0.3"/>
    <row r="35320" customFormat="1" x14ac:dyDescent="0.3"/>
    <row r="35321" customFormat="1" x14ac:dyDescent="0.3"/>
    <row r="35322" customFormat="1" x14ac:dyDescent="0.3"/>
    <row r="35323" customFormat="1" x14ac:dyDescent="0.3"/>
    <row r="35324" customFormat="1" x14ac:dyDescent="0.3"/>
    <row r="35325" customFormat="1" x14ac:dyDescent="0.3"/>
    <row r="35326" customFormat="1" x14ac:dyDescent="0.3"/>
    <row r="35327" customFormat="1" x14ac:dyDescent="0.3"/>
    <row r="35328" customFormat="1" x14ac:dyDescent="0.3"/>
    <row r="35329" customFormat="1" x14ac:dyDescent="0.3"/>
    <row r="35330" customFormat="1" x14ac:dyDescent="0.3"/>
    <row r="35331" customFormat="1" x14ac:dyDescent="0.3"/>
    <row r="35332" customFormat="1" x14ac:dyDescent="0.3"/>
    <row r="35333" customFormat="1" x14ac:dyDescent="0.3"/>
    <row r="35334" customFormat="1" x14ac:dyDescent="0.3"/>
    <row r="35335" customFormat="1" x14ac:dyDescent="0.3"/>
    <row r="35336" customFormat="1" x14ac:dyDescent="0.3"/>
    <row r="35337" customFormat="1" x14ac:dyDescent="0.3"/>
    <row r="35338" customFormat="1" x14ac:dyDescent="0.3"/>
    <row r="35339" customFormat="1" x14ac:dyDescent="0.3"/>
    <row r="35340" customFormat="1" x14ac:dyDescent="0.3"/>
    <row r="35341" customFormat="1" x14ac:dyDescent="0.3"/>
    <row r="35342" customFormat="1" x14ac:dyDescent="0.3"/>
    <row r="35343" customFormat="1" x14ac:dyDescent="0.3"/>
    <row r="35344" customFormat="1" x14ac:dyDescent="0.3"/>
    <row r="35345" customFormat="1" x14ac:dyDescent="0.3"/>
    <row r="35346" customFormat="1" x14ac:dyDescent="0.3"/>
    <row r="35347" customFormat="1" x14ac:dyDescent="0.3"/>
    <row r="35348" customFormat="1" x14ac:dyDescent="0.3"/>
    <row r="35349" customFormat="1" x14ac:dyDescent="0.3"/>
    <row r="35350" customFormat="1" x14ac:dyDescent="0.3"/>
    <row r="35351" customFormat="1" x14ac:dyDescent="0.3"/>
    <row r="35352" customFormat="1" x14ac:dyDescent="0.3"/>
    <row r="35353" customFormat="1" x14ac:dyDescent="0.3"/>
    <row r="35354" customFormat="1" x14ac:dyDescent="0.3"/>
    <row r="35355" customFormat="1" x14ac:dyDescent="0.3"/>
    <row r="35356" customFormat="1" x14ac:dyDescent="0.3"/>
    <row r="35357" customFormat="1" x14ac:dyDescent="0.3"/>
    <row r="35358" customFormat="1" x14ac:dyDescent="0.3"/>
    <row r="35359" customFormat="1" x14ac:dyDescent="0.3"/>
    <row r="35360" customFormat="1" x14ac:dyDescent="0.3"/>
    <row r="35361" customFormat="1" x14ac:dyDescent="0.3"/>
    <row r="35362" customFormat="1" x14ac:dyDescent="0.3"/>
    <row r="35363" customFormat="1" x14ac:dyDescent="0.3"/>
    <row r="35364" customFormat="1" x14ac:dyDescent="0.3"/>
    <row r="35365" customFormat="1" x14ac:dyDescent="0.3"/>
    <row r="35366" customFormat="1" x14ac:dyDescent="0.3"/>
    <row r="35367" customFormat="1" x14ac:dyDescent="0.3"/>
    <row r="35368" customFormat="1" x14ac:dyDescent="0.3"/>
    <row r="35369" customFormat="1" x14ac:dyDescent="0.3"/>
    <row r="35370" customFormat="1" x14ac:dyDescent="0.3"/>
    <row r="35371" customFormat="1" x14ac:dyDescent="0.3"/>
    <row r="35372" customFormat="1" x14ac:dyDescent="0.3"/>
    <row r="35373" customFormat="1" x14ac:dyDescent="0.3"/>
    <row r="35374" customFormat="1" x14ac:dyDescent="0.3"/>
    <row r="35375" customFormat="1" x14ac:dyDescent="0.3"/>
    <row r="35376" customFormat="1" x14ac:dyDescent="0.3"/>
    <row r="35377" customFormat="1" x14ac:dyDescent="0.3"/>
    <row r="35378" customFormat="1" x14ac:dyDescent="0.3"/>
    <row r="35379" customFormat="1" x14ac:dyDescent="0.3"/>
    <row r="35380" customFormat="1" x14ac:dyDescent="0.3"/>
    <row r="35381" customFormat="1" x14ac:dyDescent="0.3"/>
    <row r="35382" customFormat="1" x14ac:dyDescent="0.3"/>
    <row r="35383" customFormat="1" x14ac:dyDescent="0.3"/>
    <row r="35384" customFormat="1" x14ac:dyDescent="0.3"/>
    <row r="35385" customFormat="1" x14ac:dyDescent="0.3"/>
    <row r="35386" customFormat="1" x14ac:dyDescent="0.3"/>
    <row r="35387" customFormat="1" x14ac:dyDescent="0.3"/>
    <row r="35388" customFormat="1" x14ac:dyDescent="0.3"/>
    <row r="35389" customFormat="1" x14ac:dyDescent="0.3"/>
    <row r="35390" customFormat="1" x14ac:dyDescent="0.3"/>
    <row r="35391" customFormat="1" x14ac:dyDescent="0.3"/>
    <row r="35392" customFormat="1" x14ac:dyDescent="0.3"/>
    <row r="35393" customFormat="1" x14ac:dyDescent="0.3"/>
    <row r="35394" customFormat="1" x14ac:dyDescent="0.3"/>
    <row r="35395" customFormat="1" x14ac:dyDescent="0.3"/>
    <row r="35396" customFormat="1" x14ac:dyDescent="0.3"/>
    <row r="35397" customFormat="1" x14ac:dyDescent="0.3"/>
    <row r="35398" customFormat="1" x14ac:dyDescent="0.3"/>
    <row r="35399" customFormat="1" x14ac:dyDescent="0.3"/>
    <row r="35400" customFormat="1" x14ac:dyDescent="0.3"/>
    <row r="35401" customFormat="1" x14ac:dyDescent="0.3"/>
    <row r="35402" customFormat="1" x14ac:dyDescent="0.3"/>
    <row r="35403" customFormat="1" x14ac:dyDescent="0.3"/>
    <row r="35404" customFormat="1" x14ac:dyDescent="0.3"/>
    <row r="35405" customFormat="1" x14ac:dyDescent="0.3"/>
    <row r="35406" customFormat="1" x14ac:dyDescent="0.3"/>
    <row r="35407" customFormat="1" x14ac:dyDescent="0.3"/>
    <row r="35408" customFormat="1" x14ac:dyDescent="0.3"/>
    <row r="35409" customFormat="1" x14ac:dyDescent="0.3"/>
    <row r="35410" customFormat="1" x14ac:dyDescent="0.3"/>
    <row r="35411" customFormat="1" x14ac:dyDescent="0.3"/>
    <row r="35412" customFormat="1" x14ac:dyDescent="0.3"/>
    <row r="35413" customFormat="1" x14ac:dyDescent="0.3"/>
    <row r="35414" customFormat="1" x14ac:dyDescent="0.3"/>
    <row r="35415" customFormat="1" x14ac:dyDescent="0.3"/>
    <row r="35416" customFormat="1" x14ac:dyDescent="0.3"/>
    <row r="35417" customFormat="1" x14ac:dyDescent="0.3"/>
    <row r="35418" customFormat="1" x14ac:dyDescent="0.3"/>
    <row r="35419" customFormat="1" x14ac:dyDescent="0.3"/>
    <row r="35420" customFormat="1" x14ac:dyDescent="0.3"/>
    <row r="35421" customFormat="1" x14ac:dyDescent="0.3"/>
    <row r="35422" customFormat="1" x14ac:dyDescent="0.3"/>
    <row r="35423" customFormat="1" x14ac:dyDescent="0.3"/>
    <row r="35424" customFormat="1" x14ac:dyDescent="0.3"/>
    <row r="35425" customFormat="1" x14ac:dyDescent="0.3"/>
    <row r="35426" customFormat="1" x14ac:dyDescent="0.3"/>
    <row r="35427" customFormat="1" x14ac:dyDescent="0.3"/>
    <row r="35428" customFormat="1" x14ac:dyDescent="0.3"/>
    <row r="35429" customFormat="1" x14ac:dyDescent="0.3"/>
    <row r="35430" customFormat="1" x14ac:dyDescent="0.3"/>
    <row r="35431" customFormat="1" x14ac:dyDescent="0.3"/>
    <row r="35432" customFormat="1" x14ac:dyDescent="0.3"/>
    <row r="35433" customFormat="1" x14ac:dyDescent="0.3"/>
    <row r="35434" customFormat="1" x14ac:dyDescent="0.3"/>
    <row r="35435" customFormat="1" x14ac:dyDescent="0.3"/>
    <row r="35436" customFormat="1" x14ac:dyDescent="0.3"/>
    <row r="35437" customFormat="1" x14ac:dyDescent="0.3"/>
    <row r="35438" customFormat="1" x14ac:dyDescent="0.3"/>
    <row r="35439" customFormat="1" x14ac:dyDescent="0.3"/>
    <row r="35440" customFormat="1" x14ac:dyDescent="0.3"/>
    <row r="35441" customFormat="1" x14ac:dyDescent="0.3"/>
    <row r="35442" customFormat="1" x14ac:dyDescent="0.3"/>
    <row r="35443" customFormat="1" x14ac:dyDescent="0.3"/>
    <row r="35444" customFormat="1" x14ac:dyDescent="0.3"/>
    <row r="35445" customFormat="1" x14ac:dyDescent="0.3"/>
    <row r="35446" customFormat="1" x14ac:dyDescent="0.3"/>
    <row r="35447" customFormat="1" x14ac:dyDescent="0.3"/>
    <row r="35448" customFormat="1" x14ac:dyDescent="0.3"/>
    <row r="35449" customFormat="1" x14ac:dyDescent="0.3"/>
    <row r="35450" customFormat="1" x14ac:dyDescent="0.3"/>
    <row r="35451" customFormat="1" x14ac:dyDescent="0.3"/>
    <row r="35452" customFormat="1" x14ac:dyDescent="0.3"/>
    <row r="35453" customFormat="1" x14ac:dyDescent="0.3"/>
    <row r="35454" customFormat="1" x14ac:dyDescent="0.3"/>
    <row r="35455" customFormat="1" x14ac:dyDescent="0.3"/>
    <row r="35456" customFormat="1" x14ac:dyDescent="0.3"/>
    <row r="35457" customFormat="1" x14ac:dyDescent="0.3"/>
    <row r="35458" customFormat="1" x14ac:dyDescent="0.3"/>
    <row r="35459" customFormat="1" x14ac:dyDescent="0.3"/>
    <row r="35460" customFormat="1" x14ac:dyDescent="0.3"/>
    <row r="35461" customFormat="1" x14ac:dyDescent="0.3"/>
    <row r="35462" customFormat="1" x14ac:dyDescent="0.3"/>
    <row r="35463" customFormat="1" x14ac:dyDescent="0.3"/>
    <row r="35464" customFormat="1" x14ac:dyDescent="0.3"/>
    <row r="35465" customFormat="1" x14ac:dyDescent="0.3"/>
    <row r="35466" customFormat="1" x14ac:dyDescent="0.3"/>
    <row r="35467" customFormat="1" x14ac:dyDescent="0.3"/>
    <row r="35468" customFormat="1" x14ac:dyDescent="0.3"/>
    <row r="35469" customFormat="1" x14ac:dyDescent="0.3"/>
    <row r="35470" customFormat="1" x14ac:dyDescent="0.3"/>
    <row r="35471" customFormat="1" x14ac:dyDescent="0.3"/>
    <row r="35472" customFormat="1" x14ac:dyDescent="0.3"/>
    <row r="35473" customFormat="1" x14ac:dyDescent="0.3"/>
    <row r="35474" customFormat="1" x14ac:dyDescent="0.3"/>
    <row r="35475" customFormat="1" x14ac:dyDescent="0.3"/>
    <row r="35476" customFormat="1" x14ac:dyDescent="0.3"/>
    <row r="35477" customFormat="1" x14ac:dyDescent="0.3"/>
    <row r="35478" customFormat="1" x14ac:dyDescent="0.3"/>
    <row r="35479" customFormat="1" x14ac:dyDescent="0.3"/>
    <row r="35480" customFormat="1" x14ac:dyDescent="0.3"/>
    <row r="35481" customFormat="1" x14ac:dyDescent="0.3"/>
    <row r="35482" customFormat="1" x14ac:dyDescent="0.3"/>
    <row r="35483" customFormat="1" x14ac:dyDescent="0.3"/>
    <row r="35484" customFormat="1" x14ac:dyDescent="0.3"/>
    <row r="35485" customFormat="1" x14ac:dyDescent="0.3"/>
    <row r="35486" customFormat="1" x14ac:dyDescent="0.3"/>
    <row r="35487" customFormat="1" x14ac:dyDescent="0.3"/>
    <row r="35488" customFormat="1" x14ac:dyDescent="0.3"/>
    <row r="35489" customFormat="1" x14ac:dyDescent="0.3"/>
    <row r="35490" customFormat="1" x14ac:dyDescent="0.3"/>
    <row r="35491" customFormat="1" x14ac:dyDescent="0.3"/>
    <row r="35492" customFormat="1" x14ac:dyDescent="0.3"/>
    <row r="35493" customFormat="1" x14ac:dyDescent="0.3"/>
    <row r="35494" customFormat="1" x14ac:dyDescent="0.3"/>
    <row r="35495" customFormat="1" x14ac:dyDescent="0.3"/>
    <row r="35496" customFormat="1" x14ac:dyDescent="0.3"/>
    <row r="35497" customFormat="1" x14ac:dyDescent="0.3"/>
    <row r="35498" customFormat="1" x14ac:dyDescent="0.3"/>
    <row r="35499" customFormat="1" x14ac:dyDescent="0.3"/>
    <row r="35500" customFormat="1" x14ac:dyDescent="0.3"/>
    <row r="35501" customFormat="1" x14ac:dyDescent="0.3"/>
    <row r="35502" customFormat="1" x14ac:dyDescent="0.3"/>
    <row r="35503" customFormat="1" x14ac:dyDescent="0.3"/>
    <row r="35504" customFormat="1" x14ac:dyDescent="0.3"/>
    <row r="35505" customFormat="1" x14ac:dyDescent="0.3"/>
    <row r="35506" customFormat="1" x14ac:dyDescent="0.3"/>
    <row r="35507" customFormat="1" x14ac:dyDescent="0.3"/>
    <row r="35508" customFormat="1" x14ac:dyDescent="0.3"/>
    <row r="35509" customFormat="1" x14ac:dyDescent="0.3"/>
    <row r="35510" customFormat="1" x14ac:dyDescent="0.3"/>
    <row r="35511" customFormat="1" x14ac:dyDescent="0.3"/>
    <row r="35512" customFormat="1" x14ac:dyDescent="0.3"/>
    <row r="35513" customFormat="1" x14ac:dyDescent="0.3"/>
    <row r="35514" customFormat="1" x14ac:dyDescent="0.3"/>
    <row r="35515" customFormat="1" x14ac:dyDescent="0.3"/>
    <row r="35516" customFormat="1" x14ac:dyDescent="0.3"/>
    <row r="35517" customFormat="1" x14ac:dyDescent="0.3"/>
    <row r="35518" customFormat="1" x14ac:dyDescent="0.3"/>
    <row r="35519" customFormat="1" x14ac:dyDescent="0.3"/>
    <row r="35520" customFormat="1" x14ac:dyDescent="0.3"/>
    <row r="35521" customFormat="1" x14ac:dyDescent="0.3"/>
    <row r="35522" customFormat="1" x14ac:dyDescent="0.3"/>
    <row r="35523" customFormat="1" x14ac:dyDescent="0.3"/>
    <row r="35524" customFormat="1" x14ac:dyDescent="0.3"/>
    <row r="35525" customFormat="1" x14ac:dyDescent="0.3"/>
    <row r="35526" customFormat="1" x14ac:dyDescent="0.3"/>
    <row r="35527" customFormat="1" x14ac:dyDescent="0.3"/>
    <row r="35528" customFormat="1" x14ac:dyDescent="0.3"/>
    <row r="35529" customFormat="1" x14ac:dyDescent="0.3"/>
    <row r="35530" customFormat="1" x14ac:dyDescent="0.3"/>
    <row r="35531" customFormat="1" x14ac:dyDescent="0.3"/>
    <row r="35532" customFormat="1" x14ac:dyDescent="0.3"/>
    <row r="35533" customFormat="1" x14ac:dyDescent="0.3"/>
    <row r="35534" customFormat="1" x14ac:dyDescent="0.3"/>
    <row r="35535" customFormat="1" x14ac:dyDescent="0.3"/>
    <row r="35536" customFormat="1" x14ac:dyDescent="0.3"/>
    <row r="35537" customFormat="1" x14ac:dyDescent="0.3"/>
    <row r="35538" customFormat="1" x14ac:dyDescent="0.3"/>
    <row r="35539" customFormat="1" x14ac:dyDescent="0.3"/>
    <row r="35540" customFormat="1" x14ac:dyDescent="0.3"/>
    <row r="35541" customFormat="1" x14ac:dyDescent="0.3"/>
    <row r="35542" customFormat="1" x14ac:dyDescent="0.3"/>
    <row r="35543" customFormat="1" x14ac:dyDescent="0.3"/>
    <row r="35544" customFormat="1" x14ac:dyDescent="0.3"/>
    <row r="35545" customFormat="1" x14ac:dyDescent="0.3"/>
    <row r="35546" customFormat="1" x14ac:dyDescent="0.3"/>
    <row r="35547" customFormat="1" x14ac:dyDescent="0.3"/>
    <row r="35548" customFormat="1" x14ac:dyDescent="0.3"/>
    <row r="35549" customFormat="1" x14ac:dyDescent="0.3"/>
    <row r="35550" customFormat="1" x14ac:dyDescent="0.3"/>
    <row r="35551" customFormat="1" x14ac:dyDescent="0.3"/>
    <row r="35552" customFormat="1" x14ac:dyDescent="0.3"/>
    <row r="35553" customFormat="1" x14ac:dyDescent="0.3"/>
    <row r="35554" customFormat="1" x14ac:dyDescent="0.3"/>
    <row r="35555" customFormat="1" x14ac:dyDescent="0.3"/>
    <row r="35556" customFormat="1" x14ac:dyDescent="0.3"/>
    <row r="35557" customFormat="1" x14ac:dyDescent="0.3"/>
    <row r="35558" customFormat="1" x14ac:dyDescent="0.3"/>
    <row r="35559" customFormat="1" x14ac:dyDescent="0.3"/>
    <row r="35560" customFormat="1" x14ac:dyDescent="0.3"/>
    <row r="35561" customFormat="1" x14ac:dyDescent="0.3"/>
    <row r="35562" customFormat="1" x14ac:dyDescent="0.3"/>
    <row r="35563" customFormat="1" x14ac:dyDescent="0.3"/>
    <row r="35564" customFormat="1" x14ac:dyDescent="0.3"/>
    <row r="35565" customFormat="1" x14ac:dyDescent="0.3"/>
    <row r="35566" customFormat="1" x14ac:dyDescent="0.3"/>
    <row r="35567" customFormat="1" x14ac:dyDescent="0.3"/>
    <row r="35568" customFormat="1" x14ac:dyDescent="0.3"/>
    <row r="35569" customFormat="1" x14ac:dyDescent="0.3"/>
    <row r="35570" customFormat="1" x14ac:dyDescent="0.3"/>
    <row r="35571" customFormat="1" x14ac:dyDescent="0.3"/>
    <row r="35572" customFormat="1" x14ac:dyDescent="0.3"/>
    <row r="35573" customFormat="1" x14ac:dyDescent="0.3"/>
    <row r="35574" customFormat="1" x14ac:dyDescent="0.3"/>
    <row r="35575" customFormat="1" x14ac:dyDescent="0.3"/>
    <row r="35576" customFormat="1" x14ac:dyDescent="0.3"/>
    <row r="35577" customFormat="1" x14ac:dyDescent="0.3"/>
    <row r="35578" customFormat="1" x14ac:dyDescent="0.3"/>
    <row r="35579" customFormat="1" x14ac:dyDescent="0.3"/>
    <row r="35580" customFormat="1" x14ac:dyDescent="0.3"/>
    <row r="35581" customFormat="1" x14ac:dyDescent="0.3"/>
    <row r="35582" customFormat="1" x14ac:dyDescent="0.3"/>
    <row r="35583" customFormat="1" x14ac:dyDescent="0.3"/>
    <row r="35584" customFormat="1" x14ac:dyDescent="0.3"/>
    <row r="35585" customFormat="1" x14ac:dyDescent="0.3"/>
    <row r="35586" customFormat="1" x14ac:dyDescent="0.3"/>
    <row r="35587" customFormat="1" x14ac:dyDescent="0.3"/>
    <row r="35588" customFormat="1" x14ac:dyDescent="0.3"/>
    <row r="35589" customFormat="1" x14ac:dyDescent="0.3"/>
    <row r="35590" customFormat="1" x14ac:dyDescent="0.3"/>
    <row r="35591" customFormat="1" x14ac:dyDescent="0.3"/>
    <row r="35592" customFormat="1" x14ac:dyDescent="0.3"/>
    <row r="35593" customFormat="1" x14ac:dyDescent="0.3"/>
    <row r="35594" customFormat="1" x14ac:dyDescent="0.3"/>
    <row r="35595" customFormat="1" x14ac:dyDescent="0.3"/>
    <row r="35596" customFormat="1" x14ac:dyDescent="0.3"/>
    <row r="35597" customFormat="1" x14ac:dyDescent="0.3"/>
    <row r="35598" customFormat="1" x14ac:dyDescent="0.3"/>
    <row r="35599" customFormat="1" x14ac:dyDescent="0.3"/>
    <row r="35600" customFormat="1" x14ac:dyDescent="0.3"/>
    <row r="35601" customFormat="1" x14ac:dyDescent="0.3"/>
    <row r="35602" customFormat="1" x14ac:dyDescent="0.3"/>
    <row r="35603" customFormat="1" x14ac:dyDescent="0.3"/>
    <row r="35604" customFormat="1" x14ac:dyDescent="0.3"/>
    <row r="35605" customFormat="1" x14ac:dyDescent="0.3"/>
    <row r="35606" customFormat="1" x14ac:dyDescent="0.3"/>
    <row r="35607" customFormat="1" x14ac:dyDescent="0.3"/>
    <row r="35608" customFormat="1" x14ac:dyDescent="0.3"/>
    <row r="35609" customFormat="1" x14ac:dyDescent="0.3"/>
    <row r="35610" customFormat="1" x14ac:dyDescent="0.3"/>
    <row r="35611" customFormat="1" x14ac:dyDescent="0.3"/>
    <row r="35612" customFormat="1" x14ac:dyDescent="0.3"/>
    <row r="35613" customFormat="1" x14ac:dyDescent="0.3"/>
    <row r="35614" customFormat="1" x14ac:dyDescent="0.3"/>
    <row r="35615" customFormat="1" x14ac:dyDescent="0.3"/>
    <row r="35616" customFormat="1" x14ac:dyDescent="0.3"/>
    <row r="35617" customFormat="1" x14ac:dyDescent="0.3"/>
    <row r="35618" customFormat="1" x14ac:dyDescent="0.3"/>
    <row r="35619" customFormat="1" x14ac:dyDescent="0.3"/>
    <row r="35620" customFormat="1" x14ac:dyDescent="0.3"/>
    <row r="35621" customFormat="1" x14ac:dyDescent="0.3"/>
    <row r="35622" customFormat="1" x14ac:dyDescent="0.3"/>
    <row r="35623" customFormat="1" x14ac:dyDescent="0.3"/>
    <row r="35624" customFormat="1" x14ac:dyDescent="0.3"/>
    <row r="35625" customFormat="1" x14ac:dyDescent="0.3"/>
    <row r="35626" customFormat="1" x14ac:dyDescent="0.3"/>
    <row r="35627" customFormat="1" x14ac:dyDescent="0.3"/>
    <row r="35628" customFormat="1" x14ac:dyDescent="0.3"/>
    <row r="35629" customFormat="1" x14ac:dyDescent="0.3"/>
    <row r="35630" customFormat="1" x14ac:dyDescent="0.3"/>
    <row r="35631" customFormat="1" x14ac:dyDescent="0.3"/>
    <row r="35632" customFormat="1" x14ac:dyDescent="0.3"/>
    <row r="35633" customFormat="1" x14ac:dyDescent="0.3"/>
    <row r="35634" customFormat="1" x14ac:dyDescent="0.3"/>
    <row r="35635" customFormat="1" x14ac:dyDescent="0.3"/>
    <row r="35636" customFormat="1" x14ac:dyDescent="0.3"/>
    <row r="35637" customFormat="1" x14ac:dyDescent="0.3"/>
    <row r="35638" customFormat="1" x14ac:dyDescent="0.3"/>
    <row r="35639" customFormat="1" x14ac:dyDescent="0.3"/>
    <row r="35640" customFormat="1" x14ac:dyDescent="0.3"/>
    <row r="35641" customFormat="1" x14ac:dyDescent="0.3"/>
    <row r="35642" customFormat="1" x14ac:dyDescent="0.3"/>
    <row r="35643" customFormat="1" x14ac:dyDescent="0.3"/>
    <row r="35644" customFormat="1" x14ac:dyDescent="0.3"/>
    <row r="35645" customFormat="1" x14ac:dyDescent="0.3"/>
    <row r="35646" customFormat="1" x14ac:dyDescent="0.3"/>
    <row r="35647" customFormat="1" x14ac:dyDescent="0.3"/>
    <row r="35648" customFormat="1" x14ac:dyDescent="0.3"/>
    <row r="35649" customFormat="1" x14ac:dyDescent="0.3"/>
    <row r="35650" customFormat="1" x14ac:dyDescent="0.3"/>
    <row r="35651" customFormat="1" x14ac:dyDescent="0.3"/>
    <row r="35652" customFormat="1" x14ac:dyDescent="0.3"/>
    <row r="35653" customFormat="1" x14ac:dyDescent="0.3"/>
    <row r="35654" customFormat="1" x14ac:dyDescent="0.3"/>
    <row r="35655" customFormat="1" x14ac:dyDescent="0.3"/>
    <row r="35656" customFormat="1" x14ac:dyDescent="0.3"/>
    <row r="35657" customFormat="1" x14ac:dyDescent="0.3"/>
    <row r="35658" customFormat="1" x14ac:dyDescent="0.3"/>
    <row r="35659" customFormat="1" x14ac:dyDescent="0.3"/>
    <row r="35660" customFormat="1" x14ac:dyDescent="0.3"/>
    <row r="35661" customFormat="1" x14ac:dyDescent="0.3"/>
    <row r="35662" customFormat="1" x14ac:dyDescent="0.3"/>
    <row r="35663" customFormat="1" x14ac:dyDescent="0.3"/>
    <row r="35664" customFormat="1" x14ac:dyDescent="0.3"/>
    <row r="35665" customFormat="1" x14ac:dyDescent="0.3"/>
    <row r="35666" customFormat="1" x14ac:dyDescent="0.3"/>
    <row r="35667" customFormat="1" x14ac:dyDescent="0.3"/>
    <row r="35668" customFormat="1" x14ac:dyDescent="0.3"/>
    <row r="35669" customFormat="1" x14ac:dyDescent="0.3"/>
    <row r="35670" customFormat="1" x14ac:dyDescent="0.3"/>
    <row r="35671" customFormat="1" x14ac:dyDescent="0.3"/>
    <row r="35672" customFormat="1" x14ac:dyDescent="0.3"/>
    <row r="35673" customFormat="1" x14ac:dyDescent="0.3"/>
    <row r="35674" customFormat="1" x14ac:dyDescent="0.3"/>
    <row r="35675" customFormat="1" x14ac:dyDescent="0.3"/>
    <row r="35676" customFormat="1" x14ac:dyDescent="0.3"/>
    <row r="35677" customFormat="1" x14ac:dyDescent="0.3"/>
    <row r="35678" customFormat="1" x14ac:dyDescent="0.3"/>
    <row r="35679" customFormat="1" x14ac:dyDescent="0.3"/>
    <row r="35680" customFormat="1" x14ac:dyDescent="0.3"/>
    <row r="35681" customFormat="1" x14ac:dyDescent="0.3"/>
    <row r="35682" customFormat="1" x14ac:dyDescent="0.3"/>
    <row r="35683" customFormat="1" x14ac:dyDescent="0.3"/>
    <row r="35684" customFormat="1" x14ac:dyDescent="0.3"/>
    <row r="35685" customFormat="1" x14ac:dyDescent="0.3"/>
    <row r="35686" customFormat="1" x14ac:dyDescent="0.3"/>
    <row r="35687" customFormat="1" x14ac:dyDescent="0.3"/>
    <row r="35688" customFormat="1" x14ac:dyDescent="0.3"/>
    <row r="35689" customFormat="1" x14ac:dyDescent="0.3"/>
    <row r="35690" customFormat="1" x14ac:dyDescent="0.3"/>
    <row r="35691" customFormat="1" x14ac:dyDescent="0.3"/>
    <row r="35692" customFormat="1" x14ac:dyDescent="0.3"/>
    <row r="35693" customFormat="1" x14ac:dyDescent="0.3"/>
    <row r="35694" customFormat="1" x14ac:dyDescent="0.3"/>
    <row r="35695" customFormat="1" x14ac:dyDescent="0.3"/>
    <row r="35696" customFormat="1" x14ac:dyDescent="0.3"/>
    <row r="35697" customFormat="1" x14ac:dyDescent="0.3"/>
    <row r="35698" customFormat="1" x14ac:dyDescent="0.3"/>
    <row r="35699" customFormat="1" x14ac:dyDescent="0.3"/>
    <row r="35700" customFormat="1" x14ac:dyDescent="0.3"/>
    <row r="35701" customFormat="1" x14ac:dyDescent="0.3"/>
    <row r="35702" customFormat="1" x14ac:dyDescent="0.3"/>
    <row r="35703" customFormat="1" x14ac:dyDescent="0.3"/>
    <row r="35704" customFormat="1" x14ac:dyDescent="0.3"/>
    <row r="35705" customFormat="1" x14ac:dyDescent="0.3"/>
    <row r="35706" customFormat="1" x14ac:dyDescent="0.3"/>
    <row r="35707" customFormat="1" x14ac:dyDescent="0.3"/>
    <row r="35708" customFormat="1" x14ac:dyDescent="0.3"/>
    <row r="35709" customFormat="1" x14ac:dyDescent="0.3"/>
    <row r="35710" customFormat="1" x14ac:dyDescent="0.3"/>
    <row r="35711" customFormat="1" x14ac:dyDescent="0.3"/>
    <row r="35712" customFormat="1" x14ac:dyDescent="0.3"/>
    <row r="35713" customFormat="1" x14ac:dyDescent="0.3"/>
    <row r="35714" customFormat="1" x14ac:dyDescent="0.3"/>
    <row r="35715" customFormat="1" x14ac:dyDescent="0.3"/>
    <row r="35716" customFormat="1" x14ac:dyDescent="0.3"/>
    <row r="35717" customFormat="1" x14ac:dyDescent="0.3"/>
    <row r="35718" customFormat="1" x14ac:dyDescent="0.3"/>
    <row r="35719" customFormat="1" x14ac:dyDescent="0.3"/>
    <row r="35720" customFormat="1" x14ac:dyDescent="0.3"/>
    <row r="35721" customFormat="1" x14ac:dyDescent="0.3"/>
    <row r="35722" customFormat="1" x14ac:dyDescent="0.3"/>
    <row r="35723" customFormat="1" x14ac:dyDescent="0.3"/>
    <row r="35724" customFormat="1" x14ac:dyDescent="0.3"/>
    <row r="35725" customFormat="1" x14ac:dyDescent="0.3"/>
    <row r="35726" customFormat="1" x14ac:dyDescent="0.3"/>
    <row r="35727" customFormat="1" x14ac:dyDescent="0.3"/>
    <row r="35728" customFormat="1" x14ac:dyDescent="0.3"/>
    <row r="35729" customFormat="1" x14ac:dyDescent="0.3"/>
    <row r="35730" customFormat="1" x14ac:dyDescent="0.3"/>
    <row r="35731" customFormat="1" x14ac:dyDescent="0.3"/>
    <row r="35732" customFormat="1" x14ac:dyDescent="0.3"/>
    <row r="35733" customFormat="1" x14ac:dyDescent="0.3"/>
    <row r="35734" customFormat="1" x14ac:dyDescent="0.3"/>
    <row r="35735" customFormat="1" x14ac:dyDescent="0.3"/>
    <row r="35736" customFormat="1" x14ac:dyDescent="0.3"/>
    <row r="35737" customFormat="1" x14ac:dyDescent="0.3"/>
    <row r="35738" customFormat="1" x14ac:dyDescent="0.3"/>
    <row r="35739" customFormat="1" x14ac:dyDescent="0.3"/>
    <row r="35740" customFormat="1" x14ac:dyDescent="0.3"/>
    <row r="35741" customFormat="1" x14ac:dyDescent="0.3"/>
    <row r="35742" customFormat="1" x14ac:dyDescent="0.3"/>
    <row r="35743" customFormat="1" x14ac:dyDescent="0.3"/>
    <row r="35744" customFormat="1" x14ac:dyDescent="0.3"/>
    <row r="35745" customFormat="1" x14ac:dyDescent="0.3"/>
    <row r="35746" customFormat="1" x14ac:dyDescent="0.3"/>
    <row r="35747" customFormat="1" x14ac:dyDescent="0.3"/>
    <row r="35748" customFormat="1" x14ac:dyDescent="0.3"/>
    <row r="35749" customFormat="1" x14ac:dyDescent="0.3"/>
    <row r="35750" customFormat="1" x14ac:dyDescent="0.3"/>
    <row r="35751" customFormat="1" x14ac:dyDescent="0.3"/>
    <row r="35752" customFormat="1" x14ac:dyDescent="0.3"/>
    <row r="35753" customFormat="1" x14ac:dyDescent="0.3"/>
    <row r="35754" customFormat="1" x14ac:dyDescent="0.3"/>
    <row r="35755" customFormat="1" x14ac:dyDescent="0.3"/>
    <row r="35756" customFormat="1" x14ac:dyDescent="0.3"/>
    <row r="35757" customFormat="1" x14ac:dyDescent="0.3"/>
    <row r="35758" customFormat="1" x14ac:dyDescent="0.3"/>
    <row r="35759" customFormat="1" x14ac:dyDescent="0.3"/>
    <row r="35760" customFormat="1" x14ac:dyDescent="0.3"/>
    <row r="35761" customFormat="1" x14ac:dyDescent="0.3"/>
    <row r="35762" customFormat="1" x14ac:dyDescent="0.3"/>
    <row r="35763" customFormat="1" x14ac:dyDescent="0.3"/>
    <row r="35764" customFormat="1" x14ac:dyDescent="0.3"/>
    <row r="35765" customFormat="1" x14ac:dyDescent="0.3"/>
    <row r="35766" customFormat="1" x14ac:dyDescent="0.3"/>
    <row r="35767" customFormat="1" x14ac:dyDescent="0.3"/>
    <row r="35768" customFormat="1" x14ac:dyDescent="0.3"/>
    <row r="35769" customFormat="1" x14ac:dyDescent="0.3"/>
    <row r="35770" customFormat="1" x14ac:dyDescent="0.3"/>
    <row r="35771" customFormat="1" x14ac:dyDescent="0.3"/>
    <row r="35772" customFormat="1" x14ac:dyDescent="0.3"/>
    <row r="35773" customFormat="1" x14ac:dyDescent="0.3"/>
    <row r="35774" customFormat="1" x14ac:dyDescent="0.3"/>
    <row r="35775" customFormat="1" x14ac:dyDescent="0.3"/>
    <row r="35776" customFormat="1" x14ac:dyDescent="0.3"/>
    <row r="35777" customFormat="1" x14ac:dyDescent="0.3"/>
    <row r="35778" customFormat="1" x14ac:dyDescent="0.3"/>
    <row r="35779" customFormat="1" x14ac:dyDescent="0.3"/>
    <row r="35780" customFormat="1" x14ac:dyDescent="0.3"/>
    <row r="35781" customFormat="1" x14ac:dyDescent="0.3"/>
    <row r="35782" customFormat="1" x14ac:dyDescent="0.3"/>
    <row r="35783" customFormat="1" x14ac:dyDescent="0.3"/>
    <row r="35784" customFormat="1" x14ac:dyDescent="0.3"/>
    <row r="35785" customFormat="1" x14ac:dyDescent="0.3"/>
    <row r="35786" customFormat="1" x14ac:dyDescent="0.3"/>
    <row r="35787" customFormat="1" x14ac:dyDescent="0.3"/>
    <row r="35788" customFormat="1" x14ac:dyDescent="0.3"/>
    <row r="35789" customFormat="1" x14ac:dyDescent="0.3"/>
    <row r="35790" customFormat="1" x14ac:dyDescent="0.3"/>
    <row r="35791" customFormat="1" x14ac:dyDescent="0.3"/>
    <row r="35792" customFormat="1" x14ac:dyDescent="0.3"/>
    <row r="35793" customFormat="1" x14ac:dyDescent="0.3"/>
    <row r="35794" customFormat="1" x14ac:dyDescent="0.3"/>
    <row r="35795" customFormat="1" x14ac:dyDescent="0.3"/>
    <row r="35796" customFormat="1" x14ac:dyDescent="0.3"/>
    <row r="35797" customFormat="1" x14ac:dyDescent="0.3"/>
    <row r="35798" customFormat="1" x14ac:dyDescent="0.3"/>
    <row r="35799" customFormat="1" x14ac:dyDescent="0.3"/>
    <row r="35800" customFormat="1" x14ac:dyDescent="0.3"/>
    <row r="35801" customFormat="1" x14ac:dyDescent="0.3"/>
    <row r="35802" customFormat="1" x14ac:dyDescent="0.3"/>
    <row r="35803" customFormat="1" x14ac:dyDescent="0.3"/>
    <row r="35804" customFormat="1" x14ac:dyDescent="0.3"/>
    <row r="35805" customFormat="1" x14ac:dyDescent="0.3"/>
    <row r="35806" customFormat="1" x14ac:dyDescent="0.3"/>
    <row r="35807" customFormat="1" x14ac:dyDescent="0.3"/>
    <row r="35808" customFormat="1" x14ac:dyDescent="0.3"/>
    <row r="35809" customFormat="1" x14ac:dyDescent="0.3"/>
    <row r="35810" customFormat="1" x14ac:dyDescent="0.3"/>
    <row r="35811" customFormat="1" x14ac:dyDescent="0.3"/>
    <row r="35812" customFormat="1" x14ac:dyDescent="0.3"/>
    <row r="35813" customFormat="1" x14ac:dyDescent="0.3"/>
    <row r="35814" customFormat="1" x14ac:dyDescent="0.3"/>
    <row r="35815" customFormat="1" x14ac:dyDescent="0.3"/>
    <row r="35816" customFormat="1" x14ac:dyDescent="0.3"/>
    <row r="35817" customFormat="1" x14ac:dyDescent="0.3"/>
    <row r="35818" customFormat="1" x14ac:dyDescent="0.3"/>
    <row r="35819" customFormat="1" x14ac:dyDescent="0.3"/>
    <row r="35820" customFormat="1" x14ac:dyDescent="0.3"/>
    <row r="35821" customFormat="1" x14ac:dyDescent="0.3"/>
    <row r="35822" customFormat="1" x14ac:dyDescent="0.3"/>
    <row r="35823" customFormat="1" x14ac:dyDescent="0.3"/>
    <row r="35824" customFormat="1" x14ac:dyDescent="0.3"/>
    <row r="35825" customFormat="1" x14ac:dyDescent="0.3"/>
    <row r="35826" customFormat="1" x14ac:dyDescent="0.3"/>
    <row r="35827" customFormat="1" x14ac:dyDescent="0.3"/>
    <row r="35828" customFormat="1" x14ac:dyDescent="0.3"/>
    <row r="35829" customFormat="1" x14ac:dyDescent="0.3"/>
    <row r="35830" customFormat="1" x14ac:dyDescent="0.3"/>
    <row r="35831" customFormat="1" x14ac:dyDescent="0.3"/>
    <row r="35832" customFormat="1" x14ac:dyDescent="0.3"/>
    <row r="35833" customFormat="1" x14ac:dyDescent="0.3"/>
    <row r="35834" customFormat="1" x14ac:dyDescent="0.3"/>
    <row r="35835" customFormat="1" x14ac:dyDescent="0.3"/>
    <row r="35836" customFormat="1" x14ac:dyDescent="0.3"/>
    <row r="35837" customFormat="1" x14ac:dyDescent="0.3"/>
    <row r="35838" customFormat="1" x14ac:dyDescent="0.3"/>
    <row r="35839" customFormat="1" x14ac:dyDescent="0.3"/>
    <row r="35840" customFormat="1" x14ac:dyDescent="0.3"/>
    <row r="35841" customFormat="1" x14ac:dyDescent="0.3"/>
    <row r="35842" customFormat="1" x14ac:dyDescent="0.3"/>
    <row r="35843" customFormat="1" x14ac:dyDescent="0.3"/>
    <row r="35844" customFormat="1" x14ac:dyDescent="0.3"/>
    <row r="35845" customFormat="1" x14ac:dyDescent="0.3"/>
    <row r="35846" customFormat="1" x14ac:dyDescent="0.3"/>
    <row r="35847" customFormat="1" x14ac:dyDescent="0.3"/>
    <row r="35848" customFormat="1" x14ac:dyDescent="0.3"/>
    <row r="35849" customFormat="1" x14ac:dyDescent="0.3"/>
    <row r="35850" customFormat="1" x14ac:dyDescent="0.3"/>
    <row r="35851" customFormat="1" x14ac:dyDescent="0.3"/>
    <row r="35852" customFormat="1" x14ac:dyDescent="0.3"/>
    <row r="35853" customFormat="1" x14ac:dyDescent="0.3"/>
    <row r="35854" customFormat="1" x14ac:dyDescent="0.3"/>
    <row r="35855" customFormat="1" x14ac:dyDescent="0.3"/>
    <row r="35856" customFormat="1" x14ac:dyDescent="0.3"/>
    <row r="35857" customFormat="1" x14ac:dyDescent="0.3"/>
    <row r="35858" customFormat="1" x14ac:dyDescent="0.3"/>
    <row r="35859" customFormat="1" x14ac:dyDescent="0.3"/>
    <row r="35860" customFormat="1" x14ac:dyDescent="0.3"/>
    <row r="35861" customFormat="1" x14ac:dyDescent="0.3"/>
    <row r="35862" customFormat="1" x14ac:dyDescent="0.3"/>
    <row r="35863" customFormat="1" x14ac:dyDescent="0.3"/>
    <row r="35864" customFormat="1" x14ac:dyDescent="0.3"/>
    <row r="35865" customFormat="1" x14ac:dyDescent="0.3"/>
    <row r="35866" customFormat="1" x14ac:dyDescent="0.3"/>
    <row r="35867" customFormat="1" x14ac:dyDescent="0.3"/>
    <row r="35868" customFormat="1" x14ac:dyDescent="0.3"/>
    <row r="35869" customFormat="1" x14ac:dyDescent="0.3"/>
    <row r="35870" customFormat="1" x14ac:dyDescent="0.3"/>
    <row r="35871" customFormat="1" x14ac:dyDescent="0.3"/>
    <row r="35872" customFormat="1" x14ac:dyDescent="0.3"/>
    <row r="35873" customFormat="1" x14ac:dyDescent="0.3"/>
    <row r="35874" customFormat="1" x14ac:dyDescent="0.3"/>
    <row r="35875" customFormat="1" x14ac:dyDescent="0.3"/>
    <row r="35876" customFormat="1" x14ac:dyDescent="0.3"/>
    <row r="35877" customFormat="1" x14ac:dyDescent="0.3"/>
    <row r="35878" customFormat="1" x14ac:dyDescent="0.3"/>
    <row r="35879" customFormat="1" x14ac:dyDescent="0.3"/>
    <row r="35880" customFormat="1" x14ac:dyDescent="0.3"/>
    <row r="35881" customFormat="1" x14ac:dyDescent="0.3"/>
    <row r="35882" customFormat="1" x14ac:dyDescent="0.3"/>
    <row r="35883" customFormat="1" x14ac:dyDescent="0.3"/>
    <row r="35884" customFormat="1" x14ac:dyDescent="0.3"/>
    <row r="35885" customFormat="1" x14ac:dyDescent="0.3"/>
    <row r="35886" customFormat="1" x14ac:dyDescent="0.3"/>
    <row r="35887" customFormat="1" x14ac:dyDescent="0.3"/>
    <row r="35888" customFormat="1" x14ac:dyDescent="0.3"/>
    <row r="35889" customFormat="1" x14ac:dyDescent="0.3"/>
    <row r="35890" customFormat="1" x14ac:dyDescent="0.3"/>
    <row r="35891" customFormat="1" x14ac:dyDescent="0.3"/>
    <row r="35892" customFormat="1" x14ac:dyDescent="0.3"/>
    <row r="35893" customFormat="1" x14ac:dyDescent="0.3"/>
    <row r="35894" customFormat="1" x14ac:dyDescent="0.3"/>
    <row r="35895" customFormat="1" x14ac:dyDescent="0.3"/>
    <row r="35896" customFormat="1" x14ac:dyDescent="0.3"/>
    <row r="35897" customFormat="1" x14ac:dyDescent="0.3"/>
    <row r="35898" customFormat="1" x14ac:dyDescent="0.3"/>
    <row r="35899" customFormat="1" x14ac:dyDescent="0.3"/>
    <row r="35900" customFormat="1" x14ac:dyDescent="0.3"/>
    <row r="35901" customFormat="1" x14ac:dyDescent="0.3"/>
    <row r="35902" customFormat="1" x14ac:dyDescent="0.3"/>
    <row r="35903" customFormat="1" x14ac:dyDescent="0.3"/>
    <row r="35904" customFormat="1" x14ac:dyDescent="0.3"/>
    <row r="35905" customFormat="1" x14ac:dyDescent="0.3"/>
    <row r="35906" customFormat="1" x14ac:dyDescent="0.3"/>
    <row r="35907" customFormat="1" x14ac:dyDescent="0.3"/>
    <row r="35908" customFormat="1" x14ac:dyDescent="0.3"/>
    <row r="35909" customFormat="1" x14ac:dyDescent="0.3"/>
    <row r="35910" customFormat="1" x14ac:dyDescent="0.3"/>
    <row r="35911" customFormat="1" x14ac:dyDescent="0.3"/>
    <row r="35912" customFormat="1" x14ac:dyDescent="0.3"/>
    <row r="35913" customFormat="1" x14ac:dyDescent="0.3"/>
    <row r="35914" customFormat="1" x14ac:dyDescent="0.3"/>
    <row r="35915" customFormat="1" x14ac:dyDescent="0.3"/>
    <row r="35916" customFormat="1" x14ac:dyDescent="0.3"/>
    <row r="35917" customFormat="1" x14ac:dyDescent="0.3"/>
    <row r="35918" customFormat="1" x14ac:dyDescent="0.3"/>
    <row r="35919" customFormat="1" x14ac:dyDescent="0.3"/>
    <row r="35920" customFormat="1" x14ac:dyDescent="0.3"/>
    <row r="35921" customFormat="1" x14ac:dyDescent="0.3"/>
    <row r="35922" customFormat="1" x14ac:dyDescent="0.3"/>
    <row r="35923" customFormat="1" x14ac:dyDescent="0.3"/>
    <row r="35924" customFormat="1" x14ac:dyDescent="0.3"/>
    <row r="35925" customFormat="1" x14ac:dyDescent="0.3"/>
    <row r="35926" customFormat="1" x14ac:dyDescent="0.3"/>
    <row r="35927" customFormat="1" x14ac:dyDescent="0.3"/>
    <row r="35928" customFormat="1" x14ac:dyDescent="0.3"/>
    <row r="35929" customFormat="1" x14ac:dyDescent="0.3"/>
    <row r="35930" customFormat="1" x14ac:dyDescent="0.3"/>
    <row r="35931" customFormat="1" x14ac:dyDescent="0.3"/>
    <row r="35932" customFormat="1" x14ac:dyDescent="0.3"/>
    <row r="35933" customFormat="1" x14ac:dyDescent="0.3"/>
    <row r="35934" customFormat="1" x14ac:dyDescent="0.3"/>
    <row r="35935" customFormat="1" x14ac:dyDescent="0.3"/>
    <row r="35936" customFormat="1" x14ac:dyDescent="0.3"/>
    <row r="35937" customFormat="1" x14ac:dyDescent="0.3"/>
    <row r="35938" customFormat="1" x14ac:dyDescent="0.3"/>
    <row r="35939" customFormat="1" x14ac:dyDescent="0.3"/>
    <row r="35940" customFormat="1" x14ac:dyDescent="0.3"/>
    <row r="35941" customFormat="1" x14ac:dyDescent="0.3"/>
    <row r="35942" customFormat="1" x14ac:dyDescent="0.3"/>
    <row r="35943" customFormat="1" x14ac:dyDescent="0.3"/>
    <row r="35944" customFormat="1" x14ac:dyDescent="0.3"/>
    <row r="35945" customFormat="1" x14ac:dyDescent="0.3"/>
    <row r="35946" customFormat="1" x14ac:dyDescent="0.3"/>
    <row r="35947" customFormat="1" x14ac:dyDescent="0.3"/>
    <row r="35948" customFormat="1" x14ac:dyDescent="0.3"/>
    <row r="35949" customFormat="1" x14ac:dyDescent="0.3"/>
    <row r="35950" customFormat="1" x14ac:dyDescent="0.3"/>
    <row r="35951" customFormat="1" x14ac:dyDescent="0.3"/>
    <row r="35952" customFormat="1" x14ac:dyDescent="0.3"/>
    <row r="35953" customFormat="1" x14ac:dyDescent="0.3"/>
    <row r="35954" customFormat="1" x14ac:dyDescent="0.3"/>
    <row r="35955" customFormat="1" x14ac:dyDescent="0.3"/>
    <row r="35956" customFormat="1" x14ac:dyDescent="0.3"/>
    <row r="35957" customFormat="1" x14ac:dyDescent="0.3"/>
    <row r="35958" customFormat="1" x14ac:dyDescent="0.3"/>
    <row r="35959" customFormat="1" x14ac:dyDescent="0.3"/>
    <row r="35960" customFormat="1" x14ac:dyDescent="0.3"/>
    <row r="35961" customFormat="1" x14ac:dyDescent="0.3"/>
    <row r="35962" customFormat="1" x14ac:dyDescent="0.3"/>
    <row r="35963" customFormat="1" x14ac:dyDescent="0.3"/>
    <row r="35964" customFormat="1" x14ac:dyDescent="0.3"/>
    <row r="35965" customFormat="1" x14ac:dyDescent="0.3"/>
    <row r="35966" customFormat="1" x14ac:dyDescent="0.3"/>
    <row r="35967" customFormat="1" x14ac:dyDescent="0.3"/>
    <row r="35968" customFormat="1" x14ac:dyDescent="0.3"/>
    <row r="35969" customFormat="1" x14ac:dyDescent="0.3"/>
    <row r="35970" customFormat="1" x14ac:dyDescent="0.3"/>
    <row r="35971" customFormat="1" x14ac:dyDescent="0.3"/>
    <row r="35972" customFormat="1" x14ac:dyDescent="0.3"/>
    <row r="35973" customFormat="1" x14ac:dyDescent="0.3"/>
    <row r="35974" customFormat="1" x14ac:dyDescent="0.3"/>
    <row r="35975" customFormat="1" x14ac:dyDescent="0.3"/>
    <row r="35976" customFormat="1" x14ac:dyDescent="0.3"/>
    <row r="35977" customFormat="1" x14ac:dyDescent="0.3"/>
    <row r="35978" customFormat="1" x14ac:dyDescent="0.3"/>
    <row r="35979" customFormat="1" x14ac:dyDescent="0.3"/>
    <row r="35980" customFormat="1" x14ac:dyDescent="0.3"/>
    <row r="35981" customFormat="1" x14ac:dyDescent="0.3"/>
    <row r="35982" customFormat="1" x14ac:dyDescent="0.3"/>
    <row r="35983" customFormat="1" x14ac:dyDescent="0.3"/>
    <row r="35984" customFormat="1" x14ac:dyDescent="0.3"/>
    <row r="35985" customFormat="1" x14ac:dyDescent="0.3"/>
    <row r="35986" customFormat="1" x14ac:dyDescent="0.3"/>
    <row r="35987" customFormat="1" x14ac:dyDescent="0.3"/>
    <row r="35988" customFormat="1" x14ac:dyDescent="0.3"/>
    <row r="35989" customFormat="1" x14ac:dyDescent="0.3"/>
    <row r="35990" customFormat="1" x14ac:dyDescent="0.3"/>
    <row r="35991" customFormat="1" x14ac:dyDescent="0.3"/>
    <row r="35992" customFormat="1" x14ac:dyDescent="0.3"/>
    <row r="35993" customFormat="1" x14ac:dyDescent="0.3"/>
    <row r="35994" customFormat="1" x14ac:dyDescent="0.3"/>
    <row r="35995" customFormat="1" x14ac:dyDescent="0.3"/>
    <row r="35996" customFormat="1" x14ac:dyDescent="0.3"/>
    <row r="35997" customFormat="1" x14ac:dyDescent="0.3"/>
    <row r="35998" customFormat="1" x14ac:dyDescent="0.3"/>
    <row r="35999" customFormat="1" x14ac:dyDescent="0.3"/>
    <row r="36000" customFormat="1" x14ac:dyDescent="0.3"/>
    <row r="36001" customFormat="1" x14ac:dyDescent="0.3"/>
    <row r="36002" customFormat="1" x14ac:dyDescent="0.3"/>
    <row r="36003" customFormat="1" x14ac:dyDescent="0.3"/>
    <row r="36004" customFormat="1" x14ac:dyDescent="0.3"/>
    <row r="36005" customFormat="1" x14ac:dyDescent="0.3"/>
    <row r="36006" customFormat="1" x14ac:dyDescent="0.3"/>
    <row r="36007" customFormat="1" x14ac:dyDescent="0.3"/>
    <row r="36008" customFormat="1" x14ac:dyDescent="0.3"/>
    <row r="36009" customFormat="1" x14ac:dyDescent="0.3"/>
    <row r="36010" customFormat="1" x14ac:dyDescent="0.3"/>
    <row r="36011" customFormat="1" x14ac:dyDescent="0.3"/>
    <row r="36012" customFormat="1" x14ac:dyDescent="0.3"/>
    <row r="36013" customFormat="1" x14ac:dyDescent="0.3"/>
    <row r="36014" customFormat="1" x14ac:dyDescent="0.3"/>
    <row r="36015" customFormat="1" x14ac:dyDescent="0.3"/>
    <row r="36016" customFormat="1" x14ac:dyDescent="0.3"/>
    <row r="36017" customFormat="1" x14ac:dyDescent="0.3"/>
    <row r="36018" customFormat="1" x14ac:dyDescent="0.3"/>
    <row r="36019" customFormat="1" x14ac:dyDescent="0.3"/>
    <row r="36020" customFormat="1" x14ac:dyDescent="0.3"/>
    <row r="36021" customFormat="1" x14ac:dyDescent="0.3"/>
    <row r="36022" customFormat="1" x14ac:dyDescent="0.3"/>
    <row r="36023" customFormat="1" x14ac:dyDescent="0.3"/>
    <row r="36024" customFormat="1" x14ac:dyDescent="0.3"/>
    <row r="36025" customFormat="1" x14ac:dyDescent="0.3"/>
    <row r="36026" customFormat="1" x14ac:dyDescent="0.3"/>
    <row r="36027" customFormat="1" x14ac:dyDescent="0.3"/>
    <row r="36028" customFormat="1" x14ac:dyDescent="0.3"/>
    <row r="36029" customFormat="1" x14ac:dyDescent="0.3"/>
    <row r="36030" customFormat="1" x14ac:dyDescent="0.3"/>
    <row r="36031" customFormat="1" x14ac:dyDescent="0.3"/>
    <row r="36032" customFormat="1" x14ac:dyDescent="0.3"/>
    <row r="36033" customFormat="1" x14ac:dyDescent="0.3"/>
    <row r="36034" customFormat="1" x14ac:dyDescent="0.3"/>
    <row r="36035" customFormat="1" x14ac:dyDescent="0.3"/>
    <row r="36036" customFormat="1" x14ac:dyDescent="0.3"/>
    <row r="36037" customFormat="1" x14ac:dyDescent="0.3"/>
    <row r="36038" customFormat="1" x14ac:dyDescent="0.3"/>
    <row r="36039" customFormat="1" x14ac:dyDescent="0.3"/>
    <row r="36040" customFormat="1" x14ac:dyDescent="0.3"/>
    <row r="36041" customFormat="1" x14ac:dyDescent="0.3"/>
    <row r="36042" customFormat="1" x14ac:dyDescent="0.3"/>
    <row r="36043" customFormat="1" x14ac:dyDescent="0.3"/>
    <row r="36044" customFormat="1" x14ac:dyDescent="0.3"/>
    <row r="36045" customFormat="1" x14ac:dyDescent="0.3"/>
    <row r="36046" customFormat="1" x14ac:dyDescent="0.3"/>
    <row r="36047" customFormat="1" x14ac:dyDescent="0.3"/>
    <row r="36048" customFormat="1" x14ac:dyDescent="0.3"/>
    <row r="36049" customFormat="1" x14ac:dyDescent="0.3"/>
    <row r="36050" customFormat="1" x14ac:dyDescent="0.3"/>
    <row r="36051" customFormat="1" x14ac:dyDescent="0.3"/>
    <row r="36052" customFormat="1" x14ac:dyDescent="0.3"/>
    <row r="36053" customFormat="1" x14ac:dyDescent="0.3"/>
    <row r="36054" customFormat="1" x14ac:dyDescent="0.3"/>
    <row r="36055" customFormat="1" x14ac:dyDescent="0.3"/>
    <row r="36056" customFormat="1" x14ac:dyDescent="0.3"/>
    <row r="36057" customFormat="1" x14ac:dyDescent="0.3"/>
    <row r="36058" customFormat="1" x14ac:dyDescent="0.3"/>
    <row r="36059" customFormat="1" x14ac:dyDescent="0.3"/>
    <row r="36060" customFormat="1" x14ac:dyDescent="0.3"/>
    <row r="36061" customFormat="1" x14ac:dyDescent="0.3"/>
    <row r="36062" customFormat="1" x14ac:dyDescent="0.3"/>
    <row r="36063" customFormat="1" x14ac:dyDescent="0.3"/>
    <row r="36064" customFormat="1" x14ac:dyDescent="0.3"/>
    <row r="36065" customFormat="1" x14ac:dyDescent="0.3"/>
    <row r="36066" customFormat="1" x14ac:dyDescent="0.3"/>
    <row r="36067" customFormat="1" x14ac:dyDescent="0.3"/>
    <row r="36068" customFormat="1" x14ac:dyDescent="0.3"/>
    <row r="36069" customFormat="1" x14ac:dyDescent="0.3"/>
    <row r="36070" customFormat="1" x14ac:dyDescent="0.3"/>
    <row r="36071" customFormat="1" x14ac:dyDescent="0.3"/>
    <row r="36072" customFormat="1" x14ac:dyDescent="0.3"/>
    <row r="36073" customFormat="1" x14ac:dyDescent="0.3"/>
    <row r="36074" customFormat="1" x14ac:dyDescent="0.3"/>
    <row r="36075" customFormat="1" x14ac:dyDescent="0.3"/>
    <row r="36076" customFormat="1" x14ac:dyDescent="0.3"/>
    <row r="36077" customFormat="1" x14ac:dyDescent="0.3"/>
    <row r="36078" customFormat="1" x14ac:dyDescent="0.3"/>
    <row r="36079" customFormat="1" x14ac:dyDescent="0.3"/>
    <row r="36080" customFormat="1" x14ac:dyDescent="0.3"/>
    <row r="36081" customFormat="1" x14ac:dyDescent="0.3"/>
    <row r="36082" customFormat="1" x14ac:dyDescent="0.3"/>
    <row r="36083" customFormat="1" x14ac:dyDescent="0.3"/>
    <row r="36084" customFormat="1" x14ac:dyDescent="0.3"/>
    <row r="36085" customFormat="1" x14ac:dyDescent="0.3"/>
    <row r="36086" customFormat="1" x14ac:dyDescent="0.3"/>
    <row r="36087" customFormat="1" x14ac:dyDescent="0.3"/>
    <row r="36088" customFormat="1" x14ac:dyDescent="0.3"/>
    <row r="36089" customFormat="1" x14ac:dyDescent="0.3"/>
    <row r="36090" customFormat="1" x14ac:dyDescent="0.3"/>
    <row r="36091" customFormat="1" x14ac:dyDescent="0.3"/>
    <row r="36092" customFormat="1" x14ac:dyDescent="0.3"/>
    <row r="36093" customFormat="1" x14ac:dyDescent="0.3"/>
    <row r="36094" customFormat="1" x14ac:dyDescent="0.3"/>
    <row r="36095" customFormat="1" x14ac:dyDescent="0.3"/>
    <row r="36096" customFormat="1" x14ac:dyDescent="0.3"/>
    <row r="36097" customFormat="1" x14ac:dyDescent="0.3"/>
    <row r="36098" customFormat="1" x14ac:dyDescent="0.3"/>
    <row r="36099" customFormat="1" x14ac:dyDescent="0.3"/>
    <row r="36100" customFormat="1" x14ac:dyDescent="0.3"/>
    <row r="36101" customFormat="1" x14ac:dyDescent="0.3"/>
    <row r="36102" customFormat="1" x14ac:dyDescent="0.3"/>
    <row r="36103" customFormat="1" x14ac:dyDescent="0.3"/>
    <row r="36104" customFormat="1" x14ac:dyDescent="0.3"/>
    <row r="36105" customFormat="1" x14ac:dyDescent="0.3"/>
    <row r="36106" customFormat="1" x14ac:dyDescent="0.3"/>
    <row r="36107" customFormat="1" x14ac:dyDescent="0.3"/>
    <row r="36108" customFormat="1" x14ac:dyDescent="0.3"/>
    <row r="36109" customFormat="1" x14ac:dyDescent="0.3"/>
    <row r="36110" customFormat="1" x14ac:dyDescent="0.3"/>
    <row r="36111" customFormat="1" x14ac:dyDescent="0.3"/>
    <row r="36112" customFormat="1" x14ac:dyDescent="0.3"/>
    <row r="36113" customFormat="1" x14ac:dyDescent="0.3"/>
    <row r="36114" customFormat="1" x14ac:dyDescent="0.3"/>
    <row r="36115" customFormat="1" x14ac:dyDescent="0.3"/>
    <row r="36116" customFormat="1" x14ac:dyDescent="0.3"/>
    <row r="36117" customFormat="1" x14ac:dyDescent="0.3"/>
    <row r="36118" customFormat="1" x14ac:dyDescent="0.3"/>
    <row r="36119" customFormat="1" x14ac:dyDescent="0.3"/>
    <row r="36120" customFormat="1" x14ac:dyDescent="0.3"/>
    <row r="36121" customFormat="1" x14ac:dyDescent="0.3"/>
    <row r="36122" customFormat="1" x14ac:dyDescent="0.3"/>
    <row r="36123" customFormat="1" x14ac:dyDescent="0.3"/>
    <row r="36124" customFormat="1" x14ac:dyDescent="0.3"/>
    <row r="36125" customFormat="1" x14ac:dyDescent="0.3"/>
    <row r="36126" customFormat="1" x14ac:dyDescent="0.3"/>
    <row r="36127" customFormat="1" x14ac:dyDescent="0.3"/>
    <row r="36128" customFormat="1" x14ac:dyDescent="0.3"/>
    <row r="36129" customFormat="1" x14ac:dyDescent="0.3"/>
    <row r="36130" customFormat="1" x14ac:dyDescent="0.3"/>
    <row r="36131" customFormat="1" x14ac:dyDescent="0.3"/>
    <row r="36132" customFormat="1" x14ac:dyDescent="0.3"/>
    <row r="36133" customFormat="1" x14ac:dyDescent="0.3"/>
    <row r="36134" customFormat="1" x14ac:dyDescent="0.3"/>
    <row r="36135" customFormat="1" x14ac:dyDescent="0.3"/>
    <row r="36136" customFormat="1" x14ac:dyDescent="0.3"/>
    <row r="36137" customFormat="1" x14ac:dyDescent="0.3"/>
    <row r="36138" customFormat="1" x14ac:dyDescent="0.3"/>
    <row r="36139" customFormat="1" x14ac:dyDescent="0.3"/>
    <row r="36140" customFormat="1" x14ac:dyDescent="0.3"/>
    <row r="36141" customFormat="1" x14ac:dyDescent="0.3"/>
    <row r="36142" customFormat="1" x14ac:dyDescent="0.3"/>
    <row r="36143" customFormat="1" x14ac:dyDescent="0.3"/>
    <row r="36144" customFormat="1" x14ac:dyDescent="0.3"/>
    <row r="36145" customFormat="1" x14ac:dyDescent="0.3"/>
    <row r="36146" customFormat="1" x14ac:dyDescent="0.3"/>
    <row r="36147" customFormat="1" x14ac:dyDescent="0.3"/>
    <row r="36148" customFormat="1" x14ac:dyDescent="0.3"/>
    <row r="36149" customFormat="1" x14ac:dyDescent="0.3"/>
    <row r="36150" customFormat="1" x14ac:dyDescent="0.3"/>
    <row r="36151" customFormat="1" x14ac:dyDescent="0.3"/>
    <row r="36152" customFormat="1" x14ac:dyDescent="0.3"/>
    <row r="36153" customFormat="1" x14ac:dyDescent="0.3"/>
    <row r="36154" customFormat="1" x14ac:dyDescent="0.3"/>
    <row r="36155" customFormat="1" x14ac:dyDescent="0.3"/>
    <row r="36156" customFormat="1" x14ac:dyDescent="0.3"/>
    <row r="36157" customFormat="1" x14ac:dyDescent="0.3"/>
    <row r="36158" customFormat="1" x14ac:dyDescent="0.3"/>
    <row r="36159" customFormat="1" x14ac:dyDescent="0.3"/>
    <row r="36160" customFormat="1" x14ac:dyDescent="0.3"/>
    <row r="36161" customFormat="1" x14ac:dyDescent="0.3"/>
    <row r="36162" customFormat="1" x14ac:dyDescent="0.3"/>
    <row r="36163" customFormat="1" x14ac:dyDescent="0.3"/>
    <row r="36164" customFormat="1" x14ac:dyDescent="0.3"/>
    <row r="36165" customFormat="1" x14ac:dyDescent="0.3"/>
    <row r="36166" customFormat="1" x14ac:dyDescent="0.3"/>
    <row r="36167" customFormat="1" x14ac:dyDescent="0.3"/>
    <row r="36168" customFormat="1" x14ac:dyDescent="0.3"/>
    <row r="36169" customFormat="1" x14ac:dyDescent="0.3"/>
    <row r="36170" customFormat="1" x14ac:dyDescent="0.3"/>
    <row r="36171" customFormat="1" x14ac:dyDescent="0.3"/>
    <row r="36172" customFormat="1" x14ac:dyDescent="0.3"/>
    <row r="36173" customFormat="1" x14ac:dyDescent="0.3"/>
    <row r="36174" customFormat="1" x14ac:dyDescent="0.3"/>
    <row r="36175" customFormat="1" x14ac:dyDescent="0.3"/>
    <row r="36176" customFormat="1" x14ac:dyDescent="0.3"/>
    <row r="36177" customFormat="1" x14ac:dyDescent="0.3"/>
    <row r="36178" customFormat="1" x14ac:dyDescent="0.3"/>
    <row r="36179" customFormat="1" x14ac:dyDescent="0.3"/>
    <row r="36180" customFormat="1" x14ac:dyDescent="0.3"/>
    <row r="36181" customFormat="1" x14ac:dyDescent="0.3"/>
    <row r="36182" customFormat="1" x14ac:dyDescent="0.3"/>
    <row r="36183" customFormat="1" x14ac:dyDescent="0.3"/>
    <row r="36184" customFormat="1" x14ac:dyDescent="0.3"/>
    <row r="36185" customFormat="1" x14ac:dyDescent="0.3"/>
    <row r="36186" customFormat="1" x14ac:dyDescent="0.3"/>
    <row r="36187" customFormat="1" x14ac:dyDescent="0.3"/>
    <row r="36188" customFormat="1" x14ac:dyDescent="0.3"/>
    <row r="36189" customFormat="1" x14ac:dyDescent="0.3"/>
    <row r="36190" customFormat="1" x14ac:dyDescent="0.3"/>
    <row r="36191" customFormat="1" x14ac:dyDescent="0.3"/>
    <row r="36192" customFormat="1" x14ac:dyDescent="0.3"/>
    <row r="36193" customFormat="1" x14ac:dyDescent="0.3"/>
    <row r="36194" customFormat="1" x14ac:dyDescent="0.3"/>
    <row r="36195" customFormat="1" x14ac:dyDescent="0.3"/>
    <row r="36196" customFormat="1" x14ac:dyDescent="0.3"/>
    <row r="36197" customFormat="1" x14ac:dyDescent="0.3"/>
    <row r="36198" customFormat="1" x14ac:dyDescent="0.3"/>
    <row r="36199" customFormat="1" x14ac:dyDescent="0.3"/>
    <row r="36200" customFormat="1" x14ac:dyDescent="0.3"/>
    <row r="36201" customFormat="1" x14ac:dyDescent="0.3"/>
    <row r="36202" customFormat="1" x14ac:dyDescent="0.3"/>
    <row r="36203" customFormat="1" x14ac:dyDescent="0.3"/>
    <row r="36204" customFormat="1" x14ac:dyDescent="0.3"/>
    <row r="36205" customFormat="1" x14ac:dyDescent="0.3"/>
    <row r="36206" customFormat="1" x14ac:dyDescent="0.3"/>
    <row r="36207" customFormat="1" x14ac:dyDescent="0.3"/>
    <row r="36208" customFormat="1" x14ac:dyDescent="0.3"/>
    <row r="36209" customFormat="1" x14ac:dyDescent="0.3"/>
    <row r="36210" customFormat="1" x14ac:dyDescent="0.3"/>
    <row r="36211" customFormat="1" x14ac:dyDescent="0.3"/>
    <row r="36212" customFormat="1" x14ac:dyDescent="0.3"/>
    <row r="36213" customFormat="1" x14ac:dyDescent="0.3"/>
    <row r="36214" customFormat="1" x14ac:dyDescent="0.3"/>
    <row r="36215" customFormat="1" x14ac:dyDescent="0.3"/>
    <row r="36216" customFormat="1" x14ac:dyDescent="0.3"/>
    <row r="36217" customFormat="1" x14ac:dyDescent="0.3"/>
    <row r="36218" customFormat="1" x14ac:dyDescent="0.3"/>
    <row r="36219" customFormat="1" x14ac:dyDescent="0.3"/>
    <row r="36220" customFormat="1" x14ac:dyDescent="0.3"/>
    <row r="36221" customFormat="1" x14ac:dyDescent="0.3"/>
    <row r="36222" customFormat="1" x14ac:dyDescent="0.3"/>
    <row r="36223" customFormat="1" x14ac:dyDescent="0.3"/>
    <row r="36224" customFormat="1" x14ac:dyDescent="0.3"/>
    <row r="36225" customFormat="1" x14ac:dyDescent="0.3"/>
    <row r="36226" customFormat="1" x14ac:dyDescent="0.3"/>
    <row r="36227" customFormat="1" x14ac:dyDescent="0.3"/>
    <row r="36228" customFormat="1" x14ac:dyDescent="0.3"/>
    <row r="36229" customFormat="1" x14ac:dyDescent="0.3"/>
    <row r="36230" customFormat="1" x14ac:dyDescent="0.3"/>
    <row r="36231" customFormat="1" x14ac:dyDescent="0.3"/>
    <row r="36232" customFormat="1" x14ac:dyDescent="0.3"/>
    <row r="36233" customFormat="1" x14ac:dyDescent="0.3"/>
    <row r="36234" customFormat="1" x14ac:dyDescent="0.3"/>
    <row r="36235" customFormat="1" x14ac:dyDescent="0.3"/>
    <row r="36236" customFormat="1" x14ac:dyDescent="0.3"/>
    <row r="36237" customFormat="1" x14ac:dyDescent="0.3"/>
    <row r="36238" customFormat="1" x14ac:dyDescent="0.3"/>
    <row r="36239" customFormat="1" x14ac:dyDescent="0.3"/>
    <row r="36240" customFormat="1" x14ac:dyDescent="0.3"/>
    <row r="36241" customFormat="1" x14ac:dyDescent="0.3"/>
    <row r="36242" customFormat="1" x14ac:dyDescent="0.3"/>
    <row r="36243" customFormat="1" x14ac:dyDescent="0.3"/>
    <row r="36244" customFormat="1" x14ac:dyDescent="0.3"/>
    <row r="36245" customFormat="1" x14ac:dyDescent="0.3"/>
    <row r="36246" customFormat="1" x14ac:dyDescent="0.3"/>
    <row r="36247" customFormat="1" x14ac:dyDescent="0.3"/>
    <row r="36248" customFormat="1" x14ac:dyDescent="0.3"/>
    <row r="36249" customFormat="1" x14ac:dyDescent="0.3"/>
    <row r="36250" customFormat="1" x14ac:dyDescent="0.3"/>
    <row r="36251" customFormat="1" x14ac:dyDescent="0.3"/>
    <row r="36252" customFormat="1" x14ac:dyDescent="0.3"/>
    <row r="36253" customFormat="1" x14ac:dyDescent="0.3"/>
    <row r="36254" customFormat="1" x14ac:dyDescent="0.3"/>
    <row r="36255" customFormat="1" x14ac:dyDescent="0.3"/>
    <row r="36256" customFormat="1" x14ac:dyDescent="0.3"/>
    <row r="36257" customFormat="1" x14ac:dyDescent="0.3"/>
    <row r="36258" customFormat="1" x14ac:dyDescent="0.3"/>
    <row r="36259" customFormat="1" x14ac:dyDescent="0.3"/>
    <row r="36260" customFormat="1" x14ac:dyDescent="0.3"/>
    <row r="36261" customFormat="1" x14ac:dyDescent="0.3"/>
    <row r="36262" customFormat="1" x14ac:dyDescent="0.3"/>
    <row r="36263" customFormat="1" x14ac:dyDescent="0.3"/>
    <row r="36264" customFormat="1" x14ac:dyDescent="0.3"/>
    <row r="36265" customFormat="1" x14ac:dyDescent="0.3"/>
    <row r="36266" customFormat="1" x14ac:dyDescent="0.3"/>
    <row r="36267" customFormat="1" x14ac:dyDescent="0.3"/>
    <row r="36268" customFormat="1" x14ac:dyDescent="0.3"/>
    <row r="36269" customFormat="1" x14ac:dyDescent="0.3"/>
    <row r="36270" customFormat="1" x14ac:dyDescent="0.3"/>
    <row r="36271" customFormat="1" x14ac:dyDescent="0.3"/>
    <row r="36272" customFormat="1" x14ac:dyDescent="0.3"/>
    <row r="36273" customFormat="1" x14ac:dyDescent="0.3"/>
    <row r="36274" customFormat="1" x14ac:dyDescent="0.3"/>
    <row r="36275" customFormat="1" x14ac:dyDescent="0.3"/>
    <row r="36276" customFormat="1" x14ac:dyDescent="0.3"/>
    <row r="36277" customFormat="1" x14ac:dyDescent="0.3"/>
    <row r="36278" customFormat="1" x14ac:dyDescent="0.3"/>
    <row r="36279" customFormat="1" x14ac:dyDescent="0.3"/>
    <row r="36280" customFormat="1" x14ac:dyDescent="0.3"/>
    <row r="36281" customFormat="1" x14ac:dyDescent="0.3"/>
    <row r="36282" customFormat="1" x14ac:dyDescent="0.3"/>
    <row r="36283" customFormat="1" x14ac:dyDescent="0.3"/>
    <row r="36284" customFormat="1" x14ac:dyDescent="0.3"/>
    <row r="36285" customFormat="1" x14ac:dyDescent="0.3"/>
    <row r="36286" customFormat="1" x14ac:dyDescent="0.3"/>
    <row r="36287" customFormat="1" x14ac:dyDescent="0.3"/>
    <row r="36288" customFormat="1" x14ac:dyDescent="0.3"/>
    <row r="36289" customFormat="1" x14ac:dyDescent="0.3"/>
    <row r="36290" customFormat="1" x14ac:dyDescent="0.3"/>
    <row r="36291" customFormat="1" x14ac:dyDescent="0.3"/>
    <row r="36292" customFormat="1" x14ac:dyDescent="0.3"/>
    <row r="36293" customFormat="1" x14ac:dyDescent="0.3"/>
    <row r="36294" customFormat="1" x14ac:dyDescent="0.3"/>
    <row r="36295" customFormat="1" x14ac:dyDescent="0.3"/>
    <row r="36296" customFormat="1" x14ac:dyDescent="0.3"/>
    <row r="36297" customFormat="1" x14ac:dyDescent="0.3"/>
    <row r="36298" customFormat="1" x14ac:dyDescent="0.3"/>
    <row r="36299" customFormat="1" x14ac:dyDescent="0.3"/>
    <row r="36300" customFormat="1" x14ac:dyDescent="0.3"/>
    <row r="36301" customFormat="1" x14ac:dyDescent="0.3"/>
    <row r="36302" customFormat="1" x14ac:dyDescent="0.3"/>
    <row r="36303" customFormat="1" x14ac:dyDescent="0.3"/>
    <row r="36304" customFormat="1" x14ac:dyDescent="0.3"/>
    <row r="36305" customFormat="1" x14ac:dyDescent="0.3"/>
    <row r="36306" customFormat="1" x14ac:dyDescent="0.3"/>
    <row r="36307" customFormat="1" x14ac:dyDescent="0.3"/>
    <row r="36308" customFormat="1" x14ac:dyDescent="0.3"/>
    <row r="36309" customFormat="1" x14ac:dyDescent="0.3"/>
    <row r="36310" customFormat="1" x14ac:dyDescent="0.3"/>
    <row r="36311" customFormat="1" x14ac:dyDescent="0.3"/>
    <row r="36312" customFormat="1" x14ac:dyDescent="0.3"/>
    <row r="36313" customFormat="1" x14ac:dyDescent="0.3"/>
    <row r="36314" customFormat="1" x14ac:dyDescent="0.3"/>
    <row r="36315" customFormat="1" x14ac:dyDescent="0.3"/>
    <row r="36316" customFormat="1" x14ac:dyDescent="0.3"/>
    <row r="36317" customFormat="1" x14ac:dyDescent="0.3"/>
    <row r="36318" customFormat="1" x14ac:dyDescent="0.3"/>
    <row r="36319" customFormat="1" x14ac:dyDescent="0.3"/>
    <row r="36320" customFormat="1" x14ac:dyDescent="0.3"/>
    <row r="36321" customFormat="1" x14ac:dyDescent="0.3"/>
    <row r="36322" customFormat="1" x14ac:dyDescent="0.3"/>
    <row r="36323" customFormat="1" x14ac:dyDescent="0.3"/>
    <row r="36324" customFormat="1" x14ac:dyDescent="0.3"/>
    <row r="36325" customFormat="1" x14ac:dyDescent="0.3"/>
    <row r="36326" customFormat="1" x14ac:dyDescent="0.3"/>
    <row r="36327" customFormat="1" x14ac:dyDescent="0.3"/>
    <row r="36328" customFormat="1" x14ac:dyDescent="0.3"/>
    <row r="36329" customFormat="1" x14ac:dyDescent="0.3"/>
    <row r="36330" customFormat="1" x14ac:dyDescent="0.3"/>
    <row r="36331" customFormat="1" x14ac:dyDescent="0.3"/>
    <row r="36332" customFormat="1" x14ac:dyDescent="0.3"/>
    <row r="36333" customFormat="1" x14ac:dyDescent="0.3"/>
    <row r="36334" customFormat="1" x14ac:dyDescent="0.3"/>
    <row r="36335" customFormat="1" x14ac:dyDescent="0.3"/>
    <row r="36336" customFormat="1" x14ac:dyDescent="0.3"/>
    <row r="36337" customFormat="1" x14ac:dyDescent="0.3"/>
    <row r="36338" customFormat="1" x14ac:dyDescent="0.3"/>
    <row r="36339" customFormat="1" x14ac:dyDescent="0.3"/>
    <row r="36340" customFormat="1" x14ac:dyDescent="0.3"/>
    <row r="36341" customFormat="1" x14ac:dyDescent="0.3"/>
    <row r="36342" customFormat="1" x14ac:dyDescent="0.3"/>
    <row r="36343" customFormat="1" x14ac:dyDescent="0.3"/>
    <row r="36344" customFormat="1" x14ac:dyDescent="0.3"/>
    <row r="36345" customFormat="1" x14ac:dyDescent="0.3"/>
    <row r="36346" customFormat="1" x14ac:dyDescent="0.3"/>
    <row r="36347" customFormat="1" x14ac:dyDescent="0.3"/>
    <row r="36348" customFormat="1" x14ac:dyDescent="0.3"/>
    <row r="36349" customFormat="1" x14ac:dyDescent="0.3"/>
    <row r="36350" customFormat="1" x14ac:dyDescent="0.3"/>
    <row r="36351" customFormat="1" x14ac:dyDescent="0.3"/>
    <row r="36352" customFormat="1" x14ac:dyDescent="0.3"/>
    <row r="36353" customFormat="1" x14ac:dyDescent="0.3"/>
    <row r="36354" customFormat="1" x14ac:dyDescent="0.3"/>
    <row r="36355" customFormat="1" x14ac:dyDescent="0.3"/>
    <row r="36356" customFormat="1" x14ac:dyDescent="0.3"/>
    <row r="36357" customFormat="1" x14ac:dyDescent="0.3"/>
    <row r="36358" customFormat="1" x14ac:dyDescent="0.3"/>
    <row r="36359" customFormat="1" x14ac:dyDescent="0.3"/>
    <row r="36360" customFormat="1" x14ac:dyDescent="0.3"/>
    <row r="36361" customFormat="1" x14ac:dyDescent="0.3"/>
    <row r="36362" customFormat="1" x14ac:dyDescent="0.3"/>
    <row r="36363" customFormat="1" x14ac:dyDescent="0.3"/>
    <row r="36364" customFormat="1" x14ac:dyDescent="0.3"/>
    <row r="36365" customFormat="1" x14ac:dyDescent="0.3"/>
    <row r="36366" customFormat="1" x14ac:dyDescent="0.3"/>
    <row r="36367" customFormat="1" x14ac:dyDescent="0.3"/>
    <row r="36368" customFormat="1" x14ac:dyDescent="0.3"/>
    <row r="36369" customFormat="1" x14ac:dyDescent="0.3"/>
    <row r="36370" customFormat="1" x14ac:dyDescent="0.3"/>
    <row r="36371" customFormat="1" x14ac:dyDescent="0.3"/>
    <row r="36372" customFormat="1" x14ac:dyDescent="0.3"/>
    <row r="36373" customFormat="1" x14ac:dyDescent="0.3"/>
    <row r="36374" customFormat="1" x14ac:dyDescent="0.3"/>
    <row r="36375" customFormat="1" x14ac:dyDescent="0.3"/>
    <row r="36376" customFormat="1" x14ac:dyDescent="0.3"/>
    <row r="36377" customFormat="1" x14ac:dyDescent="0.3"/>
    <row r="36378" customFormat="1" x14ac:dyDescent="0.3"/>
    <row r="36379" customFormat="1" x14ac:dyDescent="0.3"/>
    <row r="36380" customFormat="1" x14ac:dyDescent="0.3"/>
    <row r="36381" customFormat="1" x14ac:dyDescent="0.3"/>
    <row r="36382" customFormat="1" x14ac:dyDescent="0.3"/>
    <row r="36383" customFormat="1" x14ac:dyDescent="0.3"/>
    <row r="36384" customFormat="1" x14ac:dyDescent="0.3"/>
    <row r="36385" customFormat="1" x14ac:dyDescent="0.3"/>
    <row r="36386" customFormat="1" x14ac:dyDescent="0.3"/>
    <row r="36387" customFormat="1" x14ac:dyDescent="0.3"/>
    <row r="36388" customFormat="1" x14ac:dyDescent="0.3"/>
    <row r="36389" customFormat="1" x14ac:dyDescent="0.3"/>
    <row r="36390" customFormat="1" x14ac:dyDescent="0.3"/>
    <row r="36391" customFormat="1" x14ac:dyDescent="0.3"/>
    <row r="36392" customFormat="1" x14ac:dyDescent="0.3"/>
    <row r="36393" customFormat="1" x14ac:dyDescent="0.3"/>
    <row r="36394" customFormat="1" x14ac:dyDescent="0.3"/>
    <row r="36395" customFormat="1" x14ac:dyDescent="0.3"/>
    <row r="36396" customFormat="1" x14ac:dyDescent="0.3"/>
    <row r="36397" customFormat="1" x14ac:dyDescent="0.3"/>
    <row r="36398" customFormat="1" x14ac:dyDescent="0.3"/>
    <row r="36399" customFormat="1" x14ac:dyDescent="0.3"/>
    <row r="36400" customFormat="1" x14ac:dyDescent="0.3"/>
    <row r="36401" customFormat="1" x14ac:dyDescent="0.3"/>
    <row r="36402" customFormat="1" x14ac:dyDescent="0.3"/>
    <row r="36403" customFormat="1" x14ac:dyDescent="0.3"/>
    <row r="36404" customFormat="1" x14ac:dyDescent="0.3"/>
    <row r="36405" customFormat="1" x14ac:dyDescent="0.3"/>
    <row r="36406" customFormat="1" x14ac:dyDescent="0.3"/>
    <row r="36407" customFormat="1" x14ac:dyDescent="0.3"/>
    <row r="36408" customFormat="1" x14ac:dyDescent="0.3"/>
    <row r="36409" customFormat="1" x14ac:dyDescent="0.3"/>
    <row r="36410" customFormat="1" x14ac:dyDescent="0.3"/>
    <row r="36411" customFormat="1" x14ac:dyDescent="0.3"/>
    <row r="36412" customFormat="1" x14ac:dyDescent="0.3"/>
    <row r="36413" customFormat="1" x14ac:dyDescent="0.3"/>
    <row r="36414" customFormat="1" x14ac:dyDescent="0.3"/>
    <row r="36415" customFormat="1" x14ac:dyDescent="0.3"/>
    <row r="36416" customFormat="1" x14ac:dyDescent="0.3"/>
    <row r="36417" customFormat="1" x14ac:dyDescent="0.3"/>
    <row r="36418" customFormat="1" x14ac:dyDescent="0.3"/>
    <row r="36419" customFormat="1" x14ac:dyDescent="0.3"/>
    <row r="36420" customFormat="1" x14ac:dyDescent="0.3"/>
    <row r="36421" customFormat="1" x14ac:dyDescent="0.3"/>
    <row r="36422" customFormat="1" x14ac:dyDescent="0.3"/>
    <row r="36423" customFormat="1" x14ac:dyDescent="0.3"/>
    <row r="36424" customFormat="1" x14ac:dyDescent="0.3"/>
    <row r="36425" customFormat="1" x14ac:dyDescent="0.3"/>
    <row r="36426" customFormat="1" x14ac:dyDescent="0.3"/>
    <row r="36427" customFormat="1" x14ac:dyDescent="0.3"/>
    <row r="36428" customFormat="1" x14ac:dyDescent="0.3"/>
    <row r="36429" customFormat="1" x14ac:dyDescent="0.3"/>
    <row r="36430" customFormat="1" x14ac:dyDescent="0.3"/>
    <row r="36431" customFormat="1" x14ac:dyDescent="0.3"/>
    <row r="36432" customFormat="1" x14ac:dyDescent="0.3"/>
    <row r="36433" customFormat="1" x14ac:dyDescent="0.3"/>
    <row r="36434" customFormat="1" x14ac:dyDescent="0.3"/>
    <row r="36435" customFormat="1" x14ac:dyDescent="0.3"/>
    <row r="36436" customFormat="1" x14ac:dyDescent="0.3"/>
    <row r="36437" customFormat="1" x14ac:dyDescent="0.3"/>
    <row r="36438" customFormat="1" x14ac:dyDescent="0.3"/>
    <row r="36439" customFormat="1" x14ac:dyDescent="0.3"/>
    <row r="36440" customFormat="1" x14ac:dyDescent="0.3"/>
    <row r="36441" customFormat="1" x14ac:dyDescent="0.3"/>
    <row r="36442" customFormat="1" x14ac:dyDescent="0.3"/>
    <row r="36443" customFormat="1" x14ac:dyDescent="0.3"/>
    <row r="36444" customFormat="1" x14ac:dyDescent="0.3"/>
    <row r="36445" customFormat="1" x14ac:dyDescent="0.3"/>
    <row r="36446" customFormat="1" x14ac:dyDescent="0.3"/>
    <row r="36447" customFormat="1" x14ac:dyDescent="0.3"/>
    <row r="36448" customFormat="1" x14ac:dyDescent="0.3"/>
    <row r="36449" customFormat="1" x14ac:dyDescent="0.3"/>
    <row r="36450" customFormat="1" x14ac:dyDescent="0.3"/>
    <row r="36451" customFormat="1" x14ac:dyDescent="0.3"/>
    <row r="36452" customFormat="1" x14ac:dyDescent="0.3"/>
    <row r="36453" customFormat="1" x14ac:dyDescent="0.3"/>
    <row r="36454" customFormat="1" x14ac:dyDescent="0.3"/>
    <row r="36455" customFormat="1" x14ac:dyDescent="0.3"/>
    <row r="36456" customFormat="1" x14ac:dyDescent="0.3"/>
    <row r="36457" customFormat="1" x14ac:dyDescent="0.3"/>
    <row r="36458" customFormat="1" x14ac:dyDescent="0.3"/>
    <row r="36459" customFormat="1" x14ac:dyDescent="0.3"/>
    <row r="36460" customFormat="1" x14ac:dyDescent="0.3"/>
    <row r="36461" customFormat="1" x14ac:dyDescent="0.3"/>
    <row r="36462" customFormat="1" x14ac:dyDescent="0.3"/>
    <row r="36463" customFormat="1" x14ac:dyDescent="0.3"/>
    <row r="36464" customFormat="1" x14ac:dyDescent="0.3"/>
    <row r="36465" customFormat="1" x14ac:dyDescent="0.3"/>
    <row r="36466" customFormat="1" x14ac:dyDescent="0.3"/>
    <row r="36467" customFormat="1" x14ac:dyDescent="0.3"/>
    <row r="36468" customFormat="1" x14ac:dyDescent="0.3"/>
    <row r="36469" customFormat="1" x14ac:dyDescent="0.3"/>
    <row r="36470" customFormat="1" x14ac:dyDescent="0.3"/>
    <row r="36471" customFormat="1" x14ac:dyDescent="0.3"/>
    <row r="36472" customFormat="1" x14ac:dyDescent="0.3"/>
    <row r="36473" customFormat="1" x14ac:dyDescent="0.3"/>
    <row r="36474" customFormat="1" x14ac:dyDescent="0.3"/>
    <row r="36475" customFormat="1" x14ac:dyDescent="0.3"/>
    <row r="36476" customFormat="1" x14ac:dyDescent="0.3"/>
    <row r="36477" customFormat="1" x14ac:dyDescent="0.3"/>
    <row r="36478" customFormat="1" x14ac:dyDescent="0.3"/>
    <row r="36479" customFormat="1" x14ac:dyDescent="0.3"/>
    <row r="36480" customFormat="1" x14ac:dyDescent="0.3"/>
    <row r="36481" customFormat="1" x14ac:dyDescent="0.3"/>
    <row r="36482" customFormat="1" x14ac:dyDescent="0.3"/>
    <row r="36483" customFormat="1" x14ac:dyDescent="0.3"/>
    <row r="36484" customFormat="1" x14ac:dyDescent="0.3"/>
    <row r="36485" customFormat="1" x14ac:dyDescent="0.3"/>
    <row r="36486" customFormat="1" x14ac:dyDescent="0.3"/>
    <row r="36487" customFormat="1" x14ac:dyDescent="0.3"/>
    <row r="36488" customFormat="1" x14ac:dyDescent="0.3"/>
    <row r="36489" customFormat="1" x14ac:dyDescent="0.3"/>
    <row r="36490" customFormat="1" x14ac:dyDescent="0.3"/>
    <row r="36491" customFormat="1" x14ac:dyDescent="0.3"/>
    <row r="36492" customFormat="1" x14ac:dyDescent="0.3"/>
    <row r="36493" customFormat="1" x14ac:dyDescent="0.3"/>
    <row r="36494" customFormat="1" x14ac:dyDescent="0.3"/>
    <row r="36495" customFormat="1" x14ac:dyDescent="0.3"/>
    <row r="36496" customFormat="1" x14ac:dyDescent="0.3"/>
    <row r="36497" customFormat="1" x14ac:dyDescent="0.3"/>
    <row r="36498" customFormat="1" x14ac:dyDescent="0.3"/>
    <row r="36499" customFormat="1" x14ac:dyDescent="0.3"/>
    <row r="36500" customFormat="1" x14ac:dyDescent="0.3"/>
    <row r="36501" customFormat="1" x14ac:dyDescent="0.3"/>
    <row r="36502" customFormat="1" x14ac:dyDescent="0.3"/>
    <row r="36503" customFormat="1" x14ac:dyDescent="0.3"/>
    <row r="36504" customFormat="1" x14ac:dyDescent="0.3"/>
    <row r="36505" customFormat="1" x14ac:dyDescent="0.3"/>
    <row r="36506" customFormat="1" x14ac:dyDescent="0.3"/>
    <row r="36507" customFormat="1" x14ac:dyDescent="0.3"/>
    <row r="36508" customFormat="1" x14ac:dyDescent="0.3"/>
    <row r="36509" customFormat="1" x14ac:dyDescent="0.3"/>
    <row r="36510" customFormat="1" x14ac:dyDescent="0.3"/>
    <row r="36511" customFormat="1" x14ac:dyDescent="0.3"/>
    <row r="36512" customFormat="1" x14ac:dyDescent="0.3"/>
    <row r="36513" customFormat="1" x14ac:dyDescent="0.3"/>
    <row r="36514" customFormat="1" x14ac:dyDescent="0.3"/>
    <row r="36515" customFormat="1" x14ac:dyDescent="0.3"/>
    <row r="36516" customFormat="1" x14ac:dyDescent="0.3"/>
    <row r="36517" customFormat="1" x14ac:dyDescent="0.3"/>
    <row r="36518" customFormat="1" x14ac:dyDescent="0.3"/>
    <row r="36519" customFormat="1" x14ac:dyDescent="0.3"/>
    <row r="36520" customFormat="1" x14ac:dyDescent="0.3"/>
    <row r="36521" customFormat="1" x14ac:dyDescent="0.3"/>
    <row r="36522" customFormat="1" x14ac:dyDescent="0.3"/>
    <row r="36523" customFormat="1" x14ac:dyDescent="0.3"/>
    <row r="36524" customFormat="1" x14ac:dyDescent="0.3"/>
    <row r="36525" customFormat="1" x14ac:dyDescent="0.3"/>
    <row r="36526" customFormat="1" x14ac:dyDescent="0.3"/>
    <row r="36527" customFormat="1" x14ac:dyDescent="0.3"/>
    <row r="36528" customFormat="1" x14ac:dyDescent="0.3"/>
    <row r="36529" customFormat="1" x14ac:dyDescent="0.3"/>
    <row r="36530" customFormat="1" x14ac:dyDescent="0.3"/>
    <row r="36531" customFormat="1" x14ac:dyDescent="0.3"/>
    <row r="36532" customFormat="1" x14ac:dyDescent="0.3"/>
    <row r="36533" customFormat="1" x14ac:dyDescent="0.3"/>
    <row r="36534" customFormat="1" x14ac:dyDescent="0.3"/>
    <row r="36535" customFormat="1" x14ac:dyDescent="0.3"/>
    <row r="36536" customFormat="1" x14ac:dyDescent="0.3"/>
    <row r="36537" customFormat="1" x14ac:dyDescent="0.3"/>
    <row r="36538" customFormat="1" x14ac:dyDescent="0.3"/>
    <row r="36539" customFormat="1" x14ac:dyDescent="0.3"/>
    <row r="36540" customFormat="1" x14ac:dyDescent="0.3"/>
    <row r="36541" customFormat="1" x14ac:dyDescent="0.3"/>
    <row r="36542" customFormat="1" x14ac:dyDescent="0.3"/>
    <row r="36543" customFormat="1" x14ac:dyDescent="0.3"/>
    <row r="36544" customFormat="1" x14ac:dyDescent="0.3"/>
    <row r="36545" customFormat="1" x14ac:dyDescent="0.3"/>
    <row r="36546" customFormat="1" x14ac:dyDescent="0.3"/>
    <row r="36547" customFormat="1" x14ac:dyDescent="0.3"/>
    <row r="36548" customFormat="1" x14ac:dyDescent="0.3"/>
    <row r="36549" customFormat="1" x14ac:dyDescent="0.3"/>
    <row r="36550" customFormat="1" x14ac:dyDescent="0.3"/>
    <row r="36551" customFormat="1" x14ac:dyDescent="0.3"/>
    <row r="36552" customFormat="1" x14ac:dyDescent="0.3"/>
    <row r="36553" customFormat="1" x14ac:dyDescent="0.3"/>
    <row r="36554" customFormat="1" x14ac:dyDescent="0.3"/>
    <row r="36555" customFormat="1" x14ac:dyDescent="0.3"/>
    <row r="36556" customFormat="1" x14ac:dyDescent="0.3"/>
    <row r="36557" customFormat="1" x14ac:dyDescent="0.3"/>
    <row r="36558" customFormat="1" x14ac:dyDescent="0.3"/>
    <row r="36559" customFormat="1" x14ac:dyDescent="0.3"/>
    <row r="36560" customFormat="1" x14ac:dyDescent="0.3"/>
    <row r="36561" customFormat="1" x14ac:dyDescent="0.3"/>
    <row r="36562" customFormat="1" x14ac:dyDescent="0.3"/>
    <row r="36563" customFormat="1" x14ac:dyDescent="0.3"/>
    <row r="36564" customFormat="1" x14ac:dyDescent="0.3"/>
    <row r="36565" customFormat="1" x14ac:dyDescent="0.3"/>
    <row r="36566" customFormat="1" x14ac:dyDescent="0.3"/>
    <row r="36567" customFormat="1" x14ac:dyDescent="0.3"/>
    <row r="36568" customFormat="1" x14ac:dyDescent="0.3"/>
    <row r="36569" customFormat="1" x14ac:dyDescent="0.3"/>
    <row r="36570" customFormat="1" x14ac:dyDescent="0.3"/>
    <row r="36571" customFormat="1" x14ac:dyDescent="0.3"/>
    <row r="36572" customFormat="1" x14ac:dyDescent="0.3"/>
    <row r="36573" customFormat="1" x14ac:dyDescent="0.3"/>
    <row r="36574" customFormat="1" x14ac:dyDescent="0.3"/>
    <row r="36575" customFormat="1" x14ac:dyDescent="0.3"/>
    <row r="36576" customFormat="1" x14ac:dyDescent="0.3"/>
    <row r="36577" customFormat="1" x14ac:dyDescent="0.3"/>
    <row r="36578" customFormat="1" x14ac:dyDescent="0.3"/>
    <row r="36579" customFormat="1" x14ac:dyDescent="0.3"/>
    <row r="36580" customFormat="1" x14ac:dyDescent="0.3"/>
    <row r="36581" customFormat="1" x14ac:dyDescent="0.3"/>
    <row r="36582" customFormat="1" x14ac:dyDescent="0.3"/>
    <row r="36583" customFormat="1" x14ac:dyDescent="0.3"/>
    <row r="36584" customFormat="1" x14ac:dyDescent="0.3"/>
    <row r="36585" customFormat="1" x14ac:dyDescent="0.3"/>
    <row r="36586" customFormat="1" x14ac:dyDescent="0.3"/>
    <row r="36587" customFormat="1" x14ac:dyDescent="0.3"/>
    <row r="36588" customFormat="1" x14ac:dyDescent="0.3"/>
    <row r="36589" customFormat="1" x14ac:dyDescent="0.3"/>
    <row r="36590" customFormat="1" x14ac:dyDescent="0.3"/>
    <row r="36591" customFormat="1" x14ac:dyDescent="0.3"/>
    <row r="36592" customFormat="1" x14ac:dyDescent="0.3"/>
    <row r="36593" customFormat="1" x14ac:dyDescent="0.3"/>
    <row r="36594" customFormat="1" x14ac:dyDescent="0.3"/>
    <row r="36595" customFormat="1" x14ac:dyDescent="0.3"/>
    <row r="36596" customFormat="1" x14ac:dyDescent="0.3"/>
    <row r="36597" customFormat="1" x14ac:dyDescent="0.3"/>
    <row r="36598" customFormat="1" x14ac:dyDescent="0.3"/>
    <row r="36599" customFormat="1" x14ac:dyDescent="0.3"/>
    <row r="36600" customFormat="1" x14ac:dyDescent="0.3"/>
    <row r="36601" customFormat="1" x14ac:dyDescent="0.3"/>
    <row r="36602" customFormat="1" x14ac:dyDescent="0.3"/>
    <row r="36603" customFormat="1" x14ac:dyDescent="0.3"/>
    <row r="36604" customFormat="1" x14ac:dyDescent="0.3"/>
    <row r="36605" customFormat="1" x14ac:dyDescent="0.3"/>
    <row r="36606" customFormat="1" x14ac:dyDescent="0.3"/>
    <row r="36607" customFormat="1" x14ac:dyDescent="0.3"/>
    <row r="36608" customFormat="1" x14ac:dyDescent="0.3"/>
    <row r="36609" customFormat="1" x14ac:dyDescent="0.3"/>
    <row r="36610" customFormat="1" x14ac:dyDescent="0.3"/>
    <row r="36611" customFormat="1" x14ac:dyDescent="0.3"/>
    <row r="36612" customFormat="1" x14ac:dyDescent="0.3"/>
    <row r="36613" customFormat="1" x14ac:dyDescent="0.3"/>
    <row r="36614" customFormat="1" x14ac:dyDescent="0.3"/>
    <row r="36615" customFormat="1" x14ac:dyDescent="0.3"/>
    <row r="36616" customFormat="1" x14ac:dyDescent="0.3"/>
    <row r="36617" customFormat="1" x14ac:dyDescent="0.3"/>
    <row r="36618" customFormat="1" x14ac:dyDescent="0.3"/>
    <row r="36619" customFormat="1" x14ac:dyDescent="0.3"/>
    <row r="36620" customFormat="1" x14ac:dyDescent="0.3"/>
    <row r="36621" customFormat="1" x14ac:dyDescent="0.3"/>
    <row r="36622" customFormat="1" x14ac:dyDescent="0.3"/>
    <row r="36623" customFormat="1" x14ac:dyDescent="0.3"/>
    <row r="36624" customFormat="1" x14ac:dyDescent="0.3"/>
    <row r="36625" customFormat="1" x14ac:dyDescent="0.3"/>
    <row r="36626" customFormat="1" x14ac:dyDescent="0.3"/>
    <row r="36627" customFormat="1" x14ac:dyDescent="0.3"/>
    <row r="36628" customFormat="1" x14ac:dyDescent="0.3"/>
    <row r="36629" customFormat="1" x14ac:dyDescent="0.3"/>
    <row r="36630" customFormat="1" x14ac:dyDescent="0.3"/>
    <row r="36631" customFormat="1" x14ac:dyDescent="0.3"/>
    <row r="36632" customFormat="1" x14ac:dyDescent="0.3"/>
    <row r="36633" customFormat="1" x14ac:dyDescent="0.3"/>
    <row r="36634" customFormat="1" x14ac:dyDescent="0.3"/>
    <row r="36635" customFormat="1" x14ac:dyDescent="0.3"/>
    <row r="36636" customFormat="1" x14ac:dyDescent="0.3"/>
    <row r="36637" customFormat="1" x14ac:dyDescent="0.3"/>
    <row r="36638" customFormat="1" x14ac:dyDescent="0.3"/>
    <row r="36639" customFormat="1" x14ac:dyDescent="0.3"/>
    <row r="36640" customFormat="1" x14ac:dyDescent="0.3"/>
    <row r="36641" customFormat="1" x14ac:dyDescent="0.3"/>
    <row r="36642" customFormat="1" x14ac:dyDescent="0.3"/>
    <row r="36643" customFormat="1" x14ac:dyDescent="0.3"/>
    <row r="36644" customFormat="1" x14ac:dyDescent="0.3"/>
    <row r="36645" customFormat="1" x14ac:dyDescent="0.3"/>
    <row r="36646" customFormat="1" x14ac:dyDescent="0.3"/>
    <row r="36647" customFormat="1" x14ac:dyDescent="0.3"/>
    <row r="36648" customFormat="1" x14ac:dyDescent="0.3"/>
    <row r="36649" customFormat="1" x14ac:dyDescent="0.3"/>
    <row r="36650" customFormat="1" x14ac:dyDescent="0.3"/>
    <row r="36651" customFormat="1" x14ac:dyDescent="0.3"/>
    <row r="36652" customFormat="1" x14ac:dyDescent="0.3"/>
    <row r="36653" customFormat="1" x14ac:dyDescent="0.3"/>
    <row r="36654" customFormat="1" x14ac:dyDescent="0.3"/>
    <row r="36655" customFormat="1" x14ac:dyDescent="0.3"/>
    <row r="36656" customFormat="1" x14ac:dyDescent="0.3"/>
    <row r="36657" customFormat="1" x14ac:dyDescent="0.3"/>
    <row r="36658" customFormat="1" x14ac:dyDescent="0.3"/>
    <row r="36659" customFormat="1" x14ac:dyDescent="0.3"/>
    <row r="36660" customFormat="1" x14ac:dyDescent="0.3"/>
    <row r="36661" customFormat="1" x14ac:dyDescent="0.3"/>
    <row r="36662" customFormat="1" x14ac:dyDescent="0.3"/>
    <row r="36663" customFormat="1" x14ac:dyDescent="0.3"/>
    <row r="36664" customFormat="1" x14ac:dyDescent="0.3"/>
    <row r="36665" customFormat="1" x14ac:dyDescent="0.3"/>
    <row r="36666" customFormat="1" x14ac:dyDescent="0.3"/>
    <row r="36667" customFormat="1" x14ac:dyDescent="0.3"/>
    <row r="36668" customFormat="1" x14ac:dyDescent="0.3"/>
    <row r="36669" customFormat="1" x14ac:dyDescent="0.3"/>
    <row r="36670" customFormat="1" x14ac:dyDescent="0.3"/>
    <row r="36671" customFormat="1" x14ac:dyDescent="0.3"/>
    <row r="36672" customFormat="1" x14ac:dyDescent="0.3"/>
    <row r="36673" customFormat="1" x14ac:dyDescent="0.3"/>
    <row r="36674" customFormat="1" x14ac:dyDescent="0.3"/>
    <row r="36675" customFormat="1" x14ac:dyDescent="0.3"/>
    <row r="36676" customFormat="1" x14ac:dyDescent="0.3"/>
    <row r="36677" customFormat="1" x14ac:dyDescent="0.3"/>
    <row r="36678" customFormat="1" x14ac:dyDescent="0.3"/>
    <row r="36679" customFormat="1" x14ac:dyDescent="0.3"/>
    <row r="36680" customFormat="1" x14ac:dyDescent="0.3"/>
    <row r="36681" customFormat="1" x14ac:dyDescent="0.3"/>
    <row r="36682" customFormat="1" x14ac:dyDescent="0.3"/>
    <row r="36683" customFormat="1" x14ac:dyDescent="0.3"/>
    <row r="36684" customFormat="1" x14ac:dyDescent="0.3"/>
    <row r="36685" customFormat="1" x14ac:dyDescent="0.3"/>
    <row r="36686" customFormat="1" x14ac:dyDescent="0.3"/>
    <row r="36687" customFormat="1" x14ac:dyDescent="0.3"/>
    <row r="36688" customFormat="1" x14ac:dyDescent="0.3"/>
    <row r="36689" customFormat="1" x14ac:dyDescent="0.3"/>
    <row r="36690" customFormat="1" x14ac:dyDescent="0.3"/>
    <row r="36691" customFormat="1" x14ac:dyDescent="0.3"/>
    <row r="36692" customFormat="1" x14ac:dyDescent="0.3"/>
    <row r="36693" customFormat="1" x14ac:dyDescent="0.3"/>
    <row r="36694" customFormat="1" x14ac:dyDescent="0.3"/>
    <row r="36695" customFormat="1" x14ac:dyDescent="0.3"/>
    <row r="36696" customFormat="1" x14ac:dyDescent="0.3"/>
    <row r="36697" customFormat="1" x14ac:dyDescent="0.3"/>
    <row r="36698" customFormat="1" x14ac:dyDescent="0.3"/>
    <row r="36699" customFormat="1" x14ac:dyDescent="0.3"/>
    <row r="36700" customFormat="1" x14ac:dyDescent="0.3"/>
    <row r="36701" customFormat="1" x14ac:dyDescent="0.3"/>
    <row r="36702" customFormat="1" x14ac:dyDescent="0.3"/>
    <row r="36703" customFormat="1" x14ac:dyDescent="0.3"/>
    <row r="36704" customFormat="1" x14ac:dyDescent="0.3"/>
    <row r="36705" customFormat="1" x14ac:dyDescent="0.3"/>
    <row r="36706" customFormat="1" x14ac:dyDescent="0.3"/>
    <row r="36707" customFormat="1" x14ac:dyDescent="0.3"/>
    <row r="36708" customFormat="1" x14ac:dyDescent="0.3"/>
    <row r="36709" customFormat="1" x14ac:dyDescent="0.3"/>
    <row r="36710" customFormat="1" x14ac:dyDescent="0.3"/>
    <row r="36711" customFormat="1" x14ac:dyDescent="0.3"/>
    <row r="36712" customFormat="1" x14ac:dyDescent="0.3"/>
    <row r="36713" customFormat="1" x14ac:dyDescent="0.3"/>
    <row r="36714" customFormat="1" x14ac:dyDescent="0.3"/>
    <row r="36715" customFormat="1" x14ac:dyDescent="0.3"/>
    <row r="36716" customFormat="1" x14ac:dyDescent="0.3"/>
    <row r="36717" customFormat="1" x14ac:dyDescent="0.3"/>
    <row r="36718" customFormat="1" x14ac:dyDescent="0.3"/>
    <row r="36719" customFormat="1" x14ac:dyDescent="0.3"/>
    <row r="36720" customFormat="1" x14ac:dyDescent="0.3"/>
    <row r="36721" customFormat="1" x14ac:dyDescent="0.3"/>
    <row r="36722" customFormat="1" x14ac:dyDescent="0.3"/>
    <row r="36723" customFormat="1" x14ac:dyDescent="0.3"/>
    <row r="36724" customFormat="1" x14ac:dyDescent="0.3"/>
    <row r="36725" customFormat="1" x14ac:dyDescent="0.3"/>
    <row r="36726" customFormat="1" x14ac:dyDescent="0.3"/>
    <row r="36727" customFormat="1" x14ac:dyDescent="0.3"/>
    <row r="36728" customFormat="1" x14ac:dyDescent="0.3"/>
    <row r="36729" customFormat="1" x14ac:dyDescent="0.3"/>
    <row r="36730" customFormat="1" x14ac:dyDescent="0.3"/>
    <row r="36731" customFormat="1" x14ac:dyDescent="0.3"/>
    <row r="36732" customFormat="1" x14ac:dyDescent="0.3"/>
    <row r="36733" customFormat="1" x14ac:dyDescent="0.3"/>
    <row r="36734" customFormat="1" x14ac:dyDescent="0.3"/>
    <row r="36735" customFormat="1" x14ac:dyDescent="0.3"/>
    <row r="36736" customFormat="1" x14ac:dyDescent="0.3"/>
    <row r="36737" customFormat="1" x14ac:dyDescent="0.3"/>
    <row r="36738" customFormat="1" x14ac:dyDescent="0.3"/>
    <row r="36739" customFormat="1" x14ac:dyDescent="0.3"/>
    <row r="36740" customFormat="1" x14ac:dyDescent="0.3"/>
    <row r="36741" customFormat="1" x14ac:dyDescent="0.3"/>
    <row r="36742" customFormat="1" x14ac:dyDescent="0.3"/>
    <row r="36743" customFormat="1" x14ac:dyDescent="0.3"/>
    <row r="36744" customFormat="1" x14ac:dyDescent="0.3"/>
    <row r="36745" customFormat="1" x14ac:dyDescent="0.3"/>
    <row r="36746" customFormat="1" x14ac:dyDescent="0.3"/>
    <row r="36747" customFormat="1" x14ac:dyDescent="0.3"/>
    <row r="36748" customFormat="1" x14ac:dyDescent="0.3"/>
    <row r="36749" customFormat="1" x14ac:dyDescent="0.3"/>
    <row r="36750" customFormat="1" x14ac:dyDescent="0.3"/>
    <row r="36751" customFormat="1" x14ac:dyDescent="0.3"/>
    <row r="36752" customFormat="1" x14ac:dyDescent="0.3"/>
    <row r="36753" customFormat="1" x14ac:dyDescent="0.3"/>
    <row r="36754" customFormat="1" x14ac:dyDescent="0.3"/>
    <row r="36755" customFormat="1" x14ac:dyDescent="0.3"/>
    <row r="36756" customFormat="1" x14ac:dyDescent="0.3"/>
    <row r="36757" customFormat="1" x14ac:dyDescent="0.3"/>
    <row r="36758" customFormat="1" x14ac:dyDescent="0.3"/>
    <row r="36759" customFormat="1" x14ac:dyDescent="0.3"/>
    <row r="36760" customFormat="1" x14ac:dyDescent="0.3"/>
    <row r="36761" customFormat="1" x14ac:dyDescent="0.3"/>
    <row r="36762" customFormat="1" x14ac:dyDescent="0.3"/>
    <row r="36763" customFormat="1" x14ac:dyDescent="0.3"/>
    <row r="36764" customFormat="1" x14ac:dyDescent="0.3"/>
    <row r="36765" customFormat="1" x14ac:dyDescent="0.3"/>
    <row r="36766" customFormat="1" x14ac:dyDescent="0.3"/>
    <row r="36767" customFormat="1" x14ac:dyDescent="0.3"/>
    <row r="36768" customFormat="1" x14ac:dyDescent="0.3"/>
    <row r="36769" customFormat="1" x14ac:dyDescent="0.3"/>
    <row r="36770" customFormat="1" x14ac:dyDescent="0.3"/>
    <row r="36771" customFormat="1" x14ac:dyDescent="0.3"/>
    <row r="36772" customFormat="1" x14ac:dyDescent="0.3"/>
    <row r="36773" customFormat="1" x14ac:dyDescent="0.3"/>
    <row r="36774" customFormat="1" x14ac:dyDescent="0.3"/>
    <row r="36775" customFormat="1" x14ac:dyDescent="0.3"/>
    <row r="36776" customFormat="1" x14ac:dyDescent="0.3"/>
    <row r="36777" customFormat="1" x14ac:dyDescent="0.3"/>
    <row r="36778" customFormat="1" x14ac:dyDescent="0.3"/>
    <row r="36779" customFormat="1" x14ac:dyDescent="0.3"/>
    <row r="36780" customFormat="1" x14ac:dyDescent="0.3"/>
    <row r="36781" customFormat="1" x14ac:dyDescent="0.3"/>
    <row r="36782" customFormat="1" x14ac:dyDescent="0.3"/>
    <row r="36783" customFormat="1" x14ac:dyDescent="0.3"/>
    <row r="36784" customFormat="1" x14ac:dyDescent="0.3"/>
    <row r="36785" customFormat="1" x14ac:dyDescent="0.3"/>
    <row r="36786" customFormat="1" x14ac:dyDescent="0.3"/>
    <row r="36787" customFormat="1" x14ac:dyDescent="0.3"/>
    <row r="36788" customFormat="1" x14ac:dyDescent="0.3"/>
    <row r="36789" customFormat="1" x14ac:dyDescent="0.3"/>
    <row r="36790" customFormat="1" x14ac:dyDescent="0.3"/>
    <row r="36791" customFormat="1" x14ac:dyDescent="0.3"/>
    <row r="36792" customFormat="1" x14ac:dyDescent="0.3"/>
    <row r="36793" customFormat="1" x14ac:dyDescent="0.3"/>
    <row r="36794" customFormat="1" x14ac:dyDescent="0.3"/>
    <row r="36795" customFormat="1" x14ac:dyDescent="0.3"/>
    <row r="36796" customFormat="1" x14ac:dyDescent="0.3"/>
    <row r="36797" customFormat="1" x14ac:dyDescent="0.3"/>
    <row r="36798" customFormat="1" x14ac:dyDescent="0.3"/>
    <row r="36799" customFormat="1" x14ac:dyDescent="0.3"/>
    <row r="36800" customFormat="1" x14ac:dyDescent="0.3"/>
    <row r="36801" customFormat="1" x14ac:dyDescent="0.3"/>
    <row r="36802" customFormat="1" x14ac:dyDescent="0.3"/>
    <row r="36803" customFormat="1" x14ac:dyDescent="0.3"/>
    <row r="36804" customFormat="1" x14ac:dyDescent="0.3"/>
    <row r="36805" customFormat="1" x14ac:dyDescent="0.3"/>
    <row r="36806" customFormat="1" x14ac:dyDescent="0.3"/>
    <row r="36807" customFormat="1" x14ac:dyDescent="0.3"/>
    <row r="36808" customFormat="1" x14ac:dyDescent="0.3"/>
    <row r="36809" customFormat="1" x14ac:dyDescent="0.3"/>
    <row r="36810" customFormat="1" x14ac:dyDescent="0.3"/>
    <row r="36811" customFormat="1" x14ac:dyDescent="0.3"/>
    <row r="36812" customFormat="1" x14ac:dyDescent="0.3"/>
    <row r="36813" customFormat="1" x14ac:dyDescent="0.3"/>
    <row r="36814" customFormat="1" x14ac:dyDescent="0.3"/>
    <row r="36815" customFormat="1" x14ac:dyDescent="0.3"/>
    <row r="36816" customFormat="1" x14ac:dyDescent="0.3"/>
    <row r="36817" customFormat="1" x14ac:dyDescent="0.3"/>
    <row r="36818" customFormat="1" x14ac:dyDescent="0.3"/>
    <row r="36819" customFormat="1" x14ac:dyDescent="0.3"/>
    <row r="36820" customFormat="1" x14ac:dyDescent="0.3"/>
    <row r="36821" customFormat="1" x14ac:dyDescent="0.3"/>
    <row r="36822" customFormat="1" x14ac:dyDescent="0.3"/>
    <row r="36823" customFormat="1" x14ac:dyDescent="0.3"/>
    <row r="36824" customFormat="1" x14ac:dyDescent="0.3"/>
    <row r="36825" customFormat="1" x14ac:dyDescent="0.3"/>
    <row r="36826" customFormat="1" x14ac:dyDescent="0.3"/>
    <row r="36827" customFormat="1" x14ac:dyDescent="0.3"/>
    <row r="36828" customFormat="1" x14ac:dyDescent="0.3"/>
    <row r="36829" customFormat="1" x14ac:dyDescent="0.3"/>
    <row r="36830" customFormat="1" x14ac:dyDescent="0.3"/>
    <row r="36831" customFormat="1" x14ac:dyDescent="0.3"/>
    <row r="36832" customFormat="1" x14ac:dyDescent="0.3"/>
    <row r="36833" customFormat="1" x14ac:dyDescent="0.3"/>
    <row r="36834" customFormat="1" x14ac:dyDescent="0.3"/>
    <row r="36835" customFormat="1" x14ac:dyDescent="0.3"/>
    <row r="36836" customFormat="1" x14ac:dyDescent="0.3"/>
    <row r="36837" customFormat="1" x14ac:dyDescent="0.3"/>
    <row r="36838" customFormat="1" x14ac:dyDescent="0.3"/>
    <row r="36839" customFormat="1" x14ac:dyDescent="0.3"/>
    <row r="36840" customFormat="1" x14ac:dyDescent="0.3"/>
    <row r="36841" customFormat="1" x14ac:dyDescent="0.3"/>
    <row r="36842" customFormat="1" x14ac:dyDescent="0.3"/>
    <row r="36843" customFormat="1" x14ac:dyDescent="0.3"/>
    <row r="36844" customFormat="1" x14ac:dyDescent="0.3"/>
    <row r="36845" customFormat="1" x14ac:dyDescent="0.3"/>
    <row r="36846" customFormat="1" x14ac:dyDescent="0.3"/>
    <row r="36847" customFormat="1" x14ac:dyDescent="0.3"/>
    <row r="36848" customFormat="1" x14ac:dyDescent="0.3"/>
    <row r="36849" customFormat="1" x14ac:dyDescent="0.3"/>
    <row r="36850" customFormat="1" x14ac:dyDescent="0.3"/>
    <row r="36851" customFormat="1" x14ac:dyDescent="0.3"/>
    <row r="36852" customFormat="1" x14ac:dyDescent="0.3"/>
    <row r="36853" customFormat="1" x14ac:dyDescent="0.3"/>
    <row r="36854" customFormat="1" x14ac:dyDescent="0.3"/>
    <row r="36855" customFormat="1" x14ac:dyDescent="0.3"/>
    <row r="36856" customFormat="1" x14ac:dyDescent="0.3"/>
    <row r="36857" customFormat="1" x14ac:dyDescent="0.3"/>
    <row r="36858" customFormat="1" x14ac:dyDescent="0.3"/>
    <row r="36859" customFormat="1" x14ac:dyDescent="0.3"/>
    <row r="36860" customFormat="1" x14ac:dyDescent="0.3"/>
    <row r="36861" customFormat="1" x14ac:dyDescent="0.3"/>
    <row r="36862" customFormat="1" x14ac:dyDescent="0.3"/>
    <row r="36863" customFormat="1" x14ac:dyDescent="0.3"/>
    <row r="36864" customFormat="1" x14ac:dyDescent="0.3"/>
    <row r="36865" customFormat="1" x14ac:dyDescent="0.3"/>
    <row r="36866" customFormat="1" x14ac:dyDescent="0.3"/>
    <row r="36867" customFormat="1" x14ac:dyDescent="0.3"/>
    <row r="36868" customFormat="1" x14ac:dyDescent="0.3"/>
    <row r="36869" customFormat="1" x14ac:dyDescent="0.3"/>
    <row r="36870" customFormat="1" x14ac:dyDescent="0.3"/>
    <row r="36871" customFormat="1" x14ac:dyDescent="0.3"/>
    <row r="36872" customFormat="1" x14ac:dyDescent="0.3"/>
    <row r="36873" customFormat="1" x14ac:dyDescent="0.3"/>
    <row r="36874" customFormat="1" x14ac:dyDescent="0.3"/>
    <row r="36875" customFormat="1" x14ac:dyDescent="0.3"/>
    <row r="36876" customFormat="1" x14ac:dyDescent="0.3"/>
    <row r="36877" customFormat="1" x14ac:dyDescent="0.3"/>
    <row r="36878" customFormat="1" x14ac:dyDescent="0.3"/>
    <row r="36879" customFormat="1" x14ac:dyDescent="0.3"/>
    <row r="36880" customFormat="1" x14ac:dyDescent="0.3"/>
    <row r="36881" customFormat="1" x14ac:dyDescent="0.3"/>
    <row r="36882" customFormat="1" x14ac:dyDescent="0.3"/>
    <row r="36883" customFormat="1" x14ac:dyDescent="0.3"/>
    <row r="36884" customFormat="1" x14ac:dyDescent="0.3"/>
    <row r="36885" customFormat="1" x14ac:dyDescent="0.3"/>
    <row r="36886" customFormat="1" x14ac:dyDescent="0.3"/>
    <row r="36887" customFormat="1" x14ac:dyDescent="0.3"/>
    <row r="36888" customFormat="1" x14ac:dyDescent="0.3"/>
    <row r="36889" customFormat="1" x14ac:dyDescent="0.3"/>
    <row r="36890" customFormat="1" x14ac:dyDescent="0.3"/>
    <row r="36891" customFormat="1" x14ac:dyDescent="0.3"/>
    <row r="36892" customFormat="1" x14ac:dyDescent="0.3"/>
    <row r="36893" customFormat="1" x14ac:dyDescent="0.3"/>
    <row r="36894" customFormat="1" x14ac:dyDescent="0.3"/>
    <row r="36895" customFormat="1" x14ac:dyDescent="0.3"/>
    <row r="36896" customFormat="1" x14ac:dyDescent="0.3"/>
    <row r="36897" customFormat="1" x14ac:dyDescent="0.3"/>
    <row r="36898" customFormat="1" x14ac:dyDescent="0.3"/>
    <row r="36899" customFormat="1" x14ac:dyDescent="0.3"/>
    <row r="36900" customFormat="1" x14ac:dyDescent="0.3"/>
    <row r="36901" customFormat="1" x14ac:dyDescent="0.3"/>
    <row r="36902" customFormat="1" x14ac:dyDescent="0.3"/>
    <row r="36903" customFormat="1" x14ac:dyDescent="0.3"/>
    <row r="36904" customFormat="1" x14ac:dyDescent="0.3"/>
    <row r="36905" customFormat="1" x14ac:dyDescent="0.3"/>
    <row r="36906" customFormat="1" x14ac:dyDescent="0.3"/>
    <row r="36907" customFormat="1" x14ac:dyDescent="0.3"/>
    <row r="36908" customFormat="1" x14ac:dyDescent="0.3"/>
    <row r="36909" customFormat="1" x14ac:dyDescent="0.3"/>
    <row r="36910" customFormat="1" x14ac:dyDescent="0.3"/>
    <row r="36911" customFormat="1" x14ac:dyDescent="0.3"/>
    <row r="36912" customFormat="1" x14ac:dyDescent="0.3"/>
    <row r="36913" customFormat="1" x14ac:dyDescent="0.3"/>
    <row r="36914" customFormat="1" x14ac:dyDescent="0.3"/>
    <row r="36915" customFormat="1" x14ac:dyDescent="0.3"/>
    <row r="36916" customFormat="1" x14ac:dyDescent="0.3"/>
    <row r="36917" customFormat="1" x14ac:dyDescent="0.3"/>
    <row r="36918" customFormat="1" x14ac:dyDescent="0.3"/>
    <row r="36919" customFormat="1" x14ac:dyDescent="0.3"/>
    <row r="36920" customFormat="1" x14ac:dyDescent="0.3"/>
    <row r="36921" customFormat="1" x14ac:dyDescent="0.3"/>
    <row r="36922" customFormat="1" x14ac:dyDescent="0.3"/>
    <row r="36923" customFormat="1" x14ac:dyDescent="0.3"/>
    <row r="36924" customFormat="1" x14ac:dyDescent="0.3"/>
    <row r="36925" customFormat="1" x14ac:dyDescent="0.3"/>
    <row r="36926" customFormat="1" x14ac:dyDescent="0.3"/>
    <row r="36927" customFormat="1" x14ac:dyDescent="0.3"/>
    <row r="36928" customFormat="1" x14ac:dyDescent="0.3"/>
    <row r="36929" customFormat="1" x14ac:dyDescent="0.3"/>
    <row r="36930" customFormat="1" x14ac:dyDescent="0.3"/>
    <row r="36931" customFormat="1" x14ac:dyDescent="0.3"/>
    <row r="36932" customFormat="1" x14ac:dyDescent="0.3"/>
    <row r="36933" customFormat="1" x14ac:dyDescent="0.3"/>
    <row r="36934" customFormat="1" x14ac:dyDescent="0.3"/>
    <row r="36935" customFormat="1" x14ac:dyDescent="0.3"/>
    <row r="36936" customFormat="1" x14ac:dyDescent="0.3"/>
    <row r="36937" customFormat="1" x14ac:dyDescent="0.3"/>
    <row r="36938" customFormat="1" x14ac:dyDescent="0.3"/>
    <row r="36939" customFormat="1" x14ac:dyDescent="0.3"/>
    <row r="36940" customFormat="1" x14ac:dyDescent="0.3"/>
    <row r="36941" customFormat="1" x14ac:dyDescent="0.3"/>
    <row r="36942" customFormat="1" x14ac:dyDescent="0.3"/>
    <row r="36943" customFormat="1" x14ac:dyDescent="0.3"/>
    <row r="36944" customFormat="1" x14ac:dyDescent="0.3"/>
    <row r="36945" customFormat="1" x14ac:dyDescent="0.3"/>
    <row r="36946" customFormat="1" x14ac:dyDescent="0.3"/>
    <row r="36947" customFormat="1" x14ac:dyDescent="0.3"/>
    <row r="36948" customFormat="1" x14ac:dyDescent="0.3"/>
    <row r="36949" customFormat="1" x14ac:dyDescent="0.3"/>
    <row r="36950" customFormat="1" x14ac:dyDescent="0.3"/>
    <row r="36951" customFormat="1" x14ac:dyDescent="0.3"/>
    <row r="36952" customFormat="1" x14ac:dyDescent="0.3"/>
    <row r="36953" customFormat="1" x14ac:dyDescent="0.3"/>
    <row r="36954" customFormat="1" x14ac:dyDescent="0.3"/>
    <row r="36955" customFormat="1" x14ac:dyDescent="0.3"/>
    <row r="36956" customFormat="1" x14ac:dyDescent="0.3"/>
    <row r="36957" customFormat="1" x14ac:dyDescent="0.3"/>
    <row r="36958" customFormat="1" x14ac:dyDescent="0.3"/>
    <row r="36959" customFormat="1" x14ac:dyDescent="0.3"/>
    <row r="36960" customFormat="1" x14ac:dyDescent="0.3"/>
    <row r="36961" customFormat="1" x14ac:dyDescent="0.3"/>
    <row r="36962" customFormat="1" x14ac:dyDescent="0.3"/>
    <row r="36963" customFormat="1" x14ac:dyDescent="0.3"/>
    <row r="36964" customFormat="1" x14ac:dyDescent="0.3"/>
    <row r="36965" customFormat="1" x14ac:dyDescent="0.3"/>
    <row r="36966" customFormat="1" x14ac:dyDescent="0.3"/>
    <row r="36967" customFormat="1" x14ac:dyDescent="0.3"/>
    <row r="36968" customFormat="1" x14ac:dyDescent="0.3"/>
    <row r="36969" customFormat="1" x14ac:dyDescent="0.3"/>
    <row r="36970" customFormat="1" x14ac:dyDescent="0.3"/>
    <row r="36971" customFormat="1" x14ac:dyDescent="0.3"/>
    <row r="36972" customFormat="1" x14ac:dyDescent="0.3"/>
    <row r="36973" customFormat="1" x14ac:dyDescent="0.3"/>
    <row r="36974" customFormat="1" x14ac:dyDescent="0.3"/>
    <row r="36975" customFormat="1" x14ac:dyDescent="0.3"/>
    <row r="36976" customFormat="1" x14ac:dyDescent="0.3"/>
    <row r="36977" customFormat="1" x14ac:dyDescent="0.3"/>
    <row r="36978" customFormat="1" x14ac:dyDescent="0.3"/>
    <row r="36979" customFormat="1" x14ac:dyDescent="0.3"/>
    <row r="36980" customFormat="1" x14ac:dyDescent="0.3"/>
    <row r="36981" customFormat="1" x14ac:dyDescent="0.3"/>
    <row r="36982" customFormat="1" x14ac:dyDescent="0.3"/>
    <row r="36983" customFormat="1" x14ac:dyDescent="0.3"/>
    <row r="36984" customFormat="1" x14ac:dyDescent="0.3"/>
    <row r="36985" customFormat="1" x14ac:dyDescent="0.3"/>
    <row r="36986" customFormat="1" x14ac:dyDescent="0.3"/>
    <row r="36987" customFormat="1" x14ac:dyDescent="0.3"/>
    <row r="36988" customFormat="1" x14ac:dyDescent="0.3"/>
    <row r="36989" customFormat="1" x14ac:dyDescent="0.3"/>
    <row r="36990" customFormat="1" x14ac:dyDescent="0.3"/>
    <row r="36991" customFormat="1" x14ac:dyDescent="0.3"/>
    <row r="36992" customFormat="1" x14ac:dyDescent="0.3"/>
    <row r="36993" customFormat="1" x14ac:dyDescent="0.3"/>
    <row r="36994" customFormat="1" x14ac:dyDescent="0.3"/>
    <row r="36995" customFormat="1" x14ac:dyDescent="0.3"/>
    <row r="36996" customFormat="1" x14ac:dyDescent="0.3"/>
    <row r="36997" customFormat="1" x14ac:dyDescent="0.3"/>
    <row r="36998" customFormat="1" x14ac:dyDescent="0.3"/>
    <row r="36999" customFormat="1" x14ac:dyDescent="0.3"/>
    <row r="37000" customFormat="1" x14ac:dyDescent="0.3"/>
    <row r="37001" customFormat="1" x14ac:dyDescent="0.3"/>
    <row r="37002" customFormat="1" x14ac:dyDescent="0.3"/>
    <row r="37003" customFormat="1" x14ac:dyDescent="0.3"/>
    <row r="37004" customFormat="1" x14ac:dyDescent="0.3"/>
    <row r="37005" customFormat="1" x14ac:dyDescent="0.3"/>
    <row r="37006" customFormat="1" x14ac:dyDescent="0.3"/>
    <row r="37007" customFormat="1" x14ac:dyDescent="0.3"/>
    <row r="37008" customFormat="1" x14ac:dyDescent="0.3"/>
    <row r="37009" customFormat="1" x14ac:dyDescent="0.3"/>
    <row r="37010" customFormat="1" x14ac:dyDescent="0.3"/>
    <row r="37011" customFormat="1" x14ac:dyDescent="0.3"/>
    <row r="37012" customFormat="1" x14ac:dyDescent="0.3"/>
    <row r="37013" customFormat="1" x14ac:dyDescent="0.3"/>
    <row r="37014" customFormat="1" x14ac:dyDescent="0.3"/>
    <row r="37015" customFormat="1" x14ac:dyDescent="0.3"/>
    <row r="37016" customFormat="1" x14ac:dyDescent="0.3"/>
    <row r="37017" customFormat="1" x14ac:dyDescent="0.3"/>
    <row r="37018" customFormat="1" x14ac:dyDescent="0.3"/>
    <row r="37019" customFormat="1" x14ac:dyDescent="0.3"/>
    <row r="37020" customFormat="1" x14ac:dyDescent="0.3"/>
    <row r="37021" customFormat="1" x14ac:dyDescent="0.3"/>
    <row r="37022" customFormat="1" x14ac:dyDescent="0.3"/>
    <row r="37023" customFormat="1" x14ac:dyDescent="0.3"/>
    <row r="37024" customFormat="1" x14ac:dyDescent="0.3"/>
    <row r="37025" customFormat="1" x14ac:dyDescent="0.3"/>
    <row r="37026" customFormat="1" x14ac:dyDescent="0.3"/>
    <row r="37027" customFormat="1" x14ac:dyDescent="0.3"/>
    <row r="37028" customFormat="1" x14ac:dyDescent="0.3"/>
    <row r="37029" customFormat="1" x14ac:dyDescent="0.3"/>
    <row r="37030" customFormat="1" x14ac:dyDescent="0.3"/>
    <row r="37031" customFormat="1" x14ac:dyDescent="0.3"/>
    <row r="37032" customFormat="1" x14ac:dyDescent="0.3"/>
    <row r="37033" customFormat="1" x14ac:dyDescent="0.3"/>
    <row r="37034" customFormat="1" x14ac:dyDescent="0.3"/>
    <row r="37035" customFormat="1" x14ac:dyDescent="0.3"/>
    <row r="37036" customFormat="1" x14ac:dyDescent="0.3"/>
    <row r="37037" customFormat="1" x14ac:dyDescent="0.3"/>
    <row r="37038" customFormat="1" x14ac:dyDescent="0.3"/>
    <row r="37039" customFormat="1" x14ac:dyDescent="0.3"/>
    <row r="37040" customFormat="1" x14ac:dyDescent="0.3"/>
    <row r="37041" customFormat="1" x14ac:dyDescent="0.3"/>
    <row r="37042" customFormat="1" x14ac:dyDescent="0.3"/>
    <row r="37043" customFormat="1" x14ac:dyDescent="0.3"/>
    <row r="37044" customFormat="1" x14ac:dyDescent="0.3"/>
    <row r="37045" customFormat="1" x14ac:dyDescent="0.3"/>
    <row r="37046" customFormat="1" x14ac:dyDescent="0.3"/>
    <row r="37047" customFormat="1" x14ac:dyDescent="0.3"/>
    <row r="37048" customFormat="1" x14ac:dyDescent="0.3"/>
    <row r="37049" customFormat="1" x14ac:dyDescent="0.3"/>
    <row r="37050" customFormat="1" x14ac:dyDescent="0.3"/>
    <row r="37051" customFormat="1" x14ac:dyDescent="0.3"/>
    <row r="37052" customFormat="1" x14ac:dyDescent="0.3"/>
    <row r="37053" customFormat="1" x14ac:dyDescent="0.3"/>
    <row r="37054" customFormat="1" x14ac:dyDescent="0.3"/>
    <row r="37055" customFormat="1" x14ac:dyDescent="0.3"/>
    <row r="37056" customFormat="1" x14ac:dyDescent="0.3"/>
    <row r="37057" customFormat="1" x14ac:dyDescent="0.3"/>
    <row r="37058" customFormat="1" x14ac:dyDescent="0.3"/>
    <row r="37059" customFormat="1" x14ac:dyDescent="0.3"/>
    <row r="37060" customFormat="1" x14ac:dyDescent="0.3"/>
    <row r="37061" customFormat="1" x14ac:dyDescent="0.3"/>
    <row r="37062" customFormat="1" x14ac:dyDescent="0.3"/>
    <row r="37063" customFormat="1" x14ac:dyDescent="0.3"/>
    <row r="37064" customFormat="1" x14ac:dyDescent="0.3"/>
    <row r="37065" customFormat="1" x14ac:dyDescent="0.3"/>
    <row r="37066" customFormat="1" x14ac:dyDescent="0.3"/>
    <row r="37067" customFormat="1" x14ac:dyDescent="0.3"/>
    <row r="37068" customFormat="1" x14ac:dyDescent="0.3"/>
    <row r="37069" customFormat="1" x14ac:dyDescent="0.3"/>
    <row r="37070" customFormat="1" x14ac:dyDescent="0.3"/>
    <row r="37071" customFormat="1" x14ac:dyDescent="0.3"/>
    <row r="37072" customFormat="1" x14ac:dyDescent="0.3"/>
    <row r="37073" customFormat="1" x14ac:dyDescent="0.3"/>
    <row r="37074" customFormat="1" x14ac:dyDescent="0.3"/>
    <row r="37075" customFormat="1" x14ac:dyDescent="0.3"/>
    <row r="37076" customFormat="1" x14ac:dyDescent="0.3"/>
    <row r="37077" customFormat="1" x14ac:dyDescent="0.3"/>
    <row r="37078" customFormat="1" x14ac:dyDescent="0.3"/>
    <row r="37079" customFormat="1" x14ac:dyDescent="0.3"/>
    <row r="37080" customFormat="1" x14ac:dyDescent="0.3"/>
    <row r="37081" customFormat="1" x14ac:dyDescent="0.3"/>
    <row r="37082" customFormat="1" x14ac:dyDescent="0.3"/>
    <row r="37083" customFormat="1" x14ac:dyDescent="0.3"/>
    <row r="37084" customFormat="1" x14ac:dyDescent="0.3"/>
    <row r="37085" customFormat="1" x14ac:dyDescent="0.3"/>
    <row r="37086" customFormat="1" x14ac:dyDescent="0.3"/>
    <row r="37087" customFormat="1" x14ac:dyDescent="0.3"/>
    <row r="37088" customFormat="1" x14ac:dyDescent="0.3"/>
    <row r="37089" customFormat="1" x14ac:dyDescent="0.3"/>
    <row r="37090" customFormat="1" x14ac:dyDescent="0.3"/>
    <row r="37091" customFormat="1" x14ac:dyDescent="0.3"/>
    <row r="37092" customFormat="1" x14ac:dyDescent="0.3"/>
    <row r="37093" customFormat="1" x14ac:dyDescent="0.3"/>
    <row r="37094" customFormat="1" x14ac:dyDescent="0.3"/>
    <row r="37095" customFormat="1" x14ac:dyDescent="0.3"/>
    <row r="37096" customFormat="1" x14ac:dyDescent="0.3"/>
    <row r="37097" customFormat="1" x14ac:dyDescent="0.3"/>
    <row r="37098" customFormat="1" x14ac:dyDescent="0.3"/>
    <row r="37099" customFormat="1" x14ac:dyDescent="0.3"/>
    <row r="37100" customFormat="1" x14ac:dyDescent="0.3"/>
    <row r="37101" customFormat="1" x14ac:dyDescent="0.3"/>
    <row r="37102" customFormat="1" x14ac:dyDescent="0.3"/>
    <row r="37103" customFormat="1" x14ac:dyDescent="0.3"/>
    <row r="37104" customFormat="1" x14ac:dyDescent="0.3"/>
    <row r="37105" customFormat="1" x14ac:dyDescent="0.3"/>
    <row r="37106" customFormat="1" x14ac:dyDescent="0.3"/>
    <row r="37107" customFormat="1" x14ac:dyDescent="0.3"/>
    <row r="37108" customFormat="1" x14ac:dyDescent="0.3"/>
    <row r="37109" customFormat="1" x14ac:dyDescent="0.3"/>
    <row r="37110" customFormat="1" x14ac:dyDescent="0.3"/>
    <row r="37111" customFormat="1" x14ac:dyDescent="0.3"/>
    <row r="37112" customFormat="1" x14ac:dyDescent="0.3"/>
    <row r="37113" customFormat="1" x14ac:dyDescent="0.3"/>
    <row r="37114" customFormat="1" x14ac:dyDescent="0.3"/>
    <row r="37115" customFormat="1" x14ac:dyDescent="0.3"/>
    <row r="37116" customFormat="1" x14ac:dyDescent="0.3"/>
    <row r="37117" customFormat="1" x14ac:dyDescent="0.3"/>
    <row r="37118" customFormat="1" x14ac:dyDescent="0.3"/>
    <row r="37119" customFormat="1" x14ac:dyDescent="0.3"/>
    <row r="37120" customFormat="1" x14ac:dyDescent="0.3"/>
    <row r="37121" customFormat="1" x14ac:dyDescent="0.3"/>
    <row r="37122" customFormat="1" x14ac:dyDescent="0.3"/>
    <row r="37123" customFormat="1" x14ac:dyDescent="0.3"/>
    <row r="37124" customFormat="1" x14ac:dyDescent="0.3"/>
    <row r="37125" customFormat="1" x14ac:dyDescent="0.3"/>
    <row r="37126" customFormat="1" x14ac:dyDescent="0.3"/>
    <row r="37127" customFormat="1" x14ac:dyDescent="0.3"/>
    <row r="37128" customFormat="1" x14ac:dyDescent="0.3"/>
    <row r="37129" customFormat="1" x14ac:dyDescent="0.3"/>
    <row r="37130" customFormat="1" x14ac:dyDescent="0.3"/>
    <row r="37131" customFormat="1" x14ac:dyDescent="0.3"/>
    <row r="37132" customFormat="1" x14ac:dyDescent="0.3"/>
    <row r="37133" customFormat="1" x14ac:dyDescent="0.3"/>
    <row r="37134" customFormat="1" x14ac:dyDescent="0.3"/>
    <row r="37135" customFormat="1" x14ac:dyDescent="0.3"/>
    <row r="37136" customFormat="1" x14ac:dyDescent="0.3"/>
    <row r="37137" customFormat="1" x14ac:dyDescent="0.3"/>
    <row r="37138" customFormat="1" x14ac:dyDescent="0.3"/>
    <row r="37139" customFormat="1" x14ac:dyDescent="0.3"/>
    <row r="37140" customFormat="1" x14ac:dyDescent="0.3"/>
    <row r="37141" customFormat="1" x14ac:dyDescent="0.3"/>
    <row r="37142" customFormat="1" x14ac:dyDescent="0.3"/>
    <row r="37143" customFormat="1" x14ac:dyDescent="0.3"/>
    <row r="37144" customFormat="1" x14ac:dyDescent="0.3"/>
    <row r="37145" customFormat="1" x14ac:dyDescent="0.3"/>
    <row r="37146" customFormat="1" x14ac:dyDescent="0.3"/>
    <row r="37147" customFormat="1" x14ac:dyDescent="0.3"/>
    <row r="37148" customFormat="1" x14ac:dyDescent="0.3"/>
    <row r="37149" customFormat="1" x14ac:dyDescent="0.3"/>
    <row r="37150" customFormat="1" x14ac:dyDescent="0.3"/>
    <row r="37151" customFormat="1" x14ac:dyDescent="0.3"/>
    <row r="37152" customFormat="1" x14ac:dyDescent="0.3"/>
    <row r="37153" customFormat="1" x14ac:dyDescent="0.3"/>
    <row r="37154" customFormat="1" x14ac:dyDescent="0.3"/>
    <row r="37155" customFormat="1" x14ac:dyDescent="0.3"/>
    <row r="37156" customFormat="1" x14ac:dyDescent="0.3"/>
    <row r="37157" customFormat="1" x14ac:dyDescent="0.3"/>
    <row r="37158" customFormat="1" x14ac:dyDescent="0.3"/>
    <row r="37159" customFormat="1" x14ac:dyDescent="0.3"/>
    <row r="37160" customFormat="1" x14ac:dyDescent="0.3"/>
    <row r="37161" customFormat="1" x14ac:dyDescent="0.3"/>
    <row r="37162" customFormat="1" x14ac:dyDescent="0.3"/>
    <row r="37163" customFormat="1" x14ac:dyDescent="0.3"/>
    <row r="37164" customFormat="1" x14ac:dyDescent="0.3"/>
    <row r="37165" customFormat="1" x14ac:dyDescent="0.3"/>
    <row r="37166" customFormat="1" x14ac:dyDescent="0.3"/>
    <row r="37167" customFormat="1" x14ac:dyDescent="0.3"/>
    <row r="37168" customFormat="1" x14ac:dyDescent="0.3"/>
    <row r="37169" customFormat="1" x14ac:dyDescent="0.3"/>
    <row r="37170" customFormat="1" x14ac:dyDescent="0.3"/>
    <row r="37171" customFormat="1" x14ac:dyDescent="0.3"/>
    <row r="37172" customFormat="1" x14ac:dyDescent="0.3"/>
    <row r="37173" customFormat="1" x14ac:dyDescent="0.3"/>
    <row r="37174" customFormat="1" x14ac:dyDescent="0.3"/>
    <row r="37175" customFormat="1" x14ac:dyDescent="0.3"/>
    <row r="37176" customFormat="1" x14ac:dyDescent="0.3"/>
    <row r="37177" customFormat="1" x14ac:dyDescent="0.3"/>
    <row r="37178" customFormat="1" x14ac:dyDescent="0.3"/>
    <row r="37179" customFormat="1" x14ac:dyDescent="0.3"/>
    <row r="37180" customFormat="1" x14ac:dyDescent="0.3"/>
    <row r="37181" customFormat="1" x14ac:dyDescent="0.3"/>
    <row r="37182" customFormat="1" x14ac:dyDescent="0.3"/>
    <row r="37183" customFormat="1" x14ac:dyDescent="0.3"/>
    <row r="37184" customFormat="1" x14ac:dyDescent="0.3"/>
    <row r="37185" customFormat="1" x14ac:dyDescent="0.3"/>
    <row r="37186" customFormat="1" x14ac:dyDescent="0.3"/>
    <row r="37187" customFormat="1" x14ac:dyDescent="0.3"/>
    <row r="37188" customFormat="1" x14ac:dyDescent="0.3"/>
    <row r="37189" customFormat="1" x14ac:dyDescent="0.3"/>
    <row r="37190" customFormat="1" x14ac:dyDescent="0.3"/>
    <row r="37191" customFormat="1" x14ac:dyDescent="0.3"/>
    <row r="37192" customFormat="1" x14ac:dyDescent="0.3"/>
    <row r="37193" customFormat="1" x14ac:dyDescent="0.3"/>
    <row r="37194" customFormat="1" x14ac:dyDescent="0.3"/>
    <row r="37195" customFormat="1" x14ac:dyDescent="0.3"/>
    <row r="37196" customFormat="1" x14ac:dyDescent="0.3"/>
    <row r="37197" customFormat="1" x14ac:dyDescent="0.3"/>
    <row r="37198" customFormat="1" x14ac:dyDescent="0.3"/>
    <row r="37199" customFormat="1" x14ac:dyDescent="0.3"/>
    <row r="37200" customFormat="1" x14ac:dyDescent="0.3"/>
    <row r="37201" customFormat="1" x14ac:dyDescent="0.3"/>
    <row r="37202" customFormat="1" x14ac:dyDescent="0.3"/>
    <row r="37203" customFormat="1" x14ac:dyDescent="0.3"/>
    <row r="37204" customFormat="1" x14ac:dyDescent="0.3"/>
    <row r="37205" customFormat="1" x14ac:dyDescent="0.3"/>
    <row r="37206" customFormat="1" x14ac:dyDescent="0.3"/>
    <row r="37207" customFormat="1" x14ac:dyDescent="0.3"/>
    <row r="37208" customFormat="1" x14ac:dyDescent="0.3"/>
    <row r="37209" customFormat="1" x14ac:dyDescent="0.3"/>
    <row r="37210" customFormat="1" x14ac:dyDescent="0.3"/>
    <row r="37211" customFormat="1" x14ac:dyDescent="0.3"/>
    <row r="37212" customFormat="1" x14ac:dyDescent="0.3"/>
    <row r="37213" customFormat="1" x14ac:dyDescent="0.3"/>
    <row r="37214" customFormat="1" x14ac:dyDescent="0.3"/>
    <row r="37215" customFormat="1" x14ac:dyDescent="0.3"/>
    <row r="37216" customFormat="1" x14ac:dyDescent="0.3"/>
    <row r="37217" customFormat="1" x14ac:dyDescent="0.3"/>
    <row r="37218" customFormat="1" x14ac:dyDescent="0.3"/>
    <row r="37219" customFormat="1" x14ac:dyDescent="0.3"/>
    <row r="37220" customFormat="1" x14ac:dyDescent="0.3"/>
    <row r="37221" customFormat="1" x14ac:dyDescent="0.3"/>
    <row r="37222" customFormat="1" x14ac:dyDescent="0.3"/>
    <row r="37223" customFormat="1" x14ac:dyDescent="0.3"/>
    <row r="37224" customFormat="1" x14ac:dyDescent="0.3"/>
    <row r="37225" customFormat="1" x14ac:dyDescent="0.3"/>
    <row r="37226" customFormat="1" x14ac:dyDescent="0.3"/>
    <row r="37227" customFormat="1" x14ac:dyDescent="0.3"/>
    <row r="37228" customFormat="1" x14ac:dyDescent="0.3"/>
    <row r="37229" customFormat="1" x14ac:dyDescent="0.3"/>
    <row r="37230" customFormat="1" x14ac:dyDescent="0.3"/>
    <row r="37231" customFormat="1" x14ac:dyDescent="0.3"/>
    <row r="37232" customFormat="1" x14ac:dyDescent="0.3"/>
    <row r="37233" customFormat="1" x14ac:dyDescent="0.3"/>
    <row r="37234" customFormat="1" x14ac:dyDescent="0.3"/>
    <row r="37235" customFormat="1" x14ac:dyDescent="0.3"/>
    <row r="37236" customFormat="1" x14ac:dyDescent="0.3"/>
    <row r="37237" customFormat="1" x14ac:dyDescent="0.3"/>
    <row r="37238" customFormat="1" x14ac:dyDescent="0.3"/>
    <row r="37239" customFormat="1" x14ac:dyDescent="0.3"/>
    <row r="37240" customFormat="1" x14ac:dyDescent="0.3"/>
    <row r="37241" customFormat="1" x14ac:dyDescent="0.3"/>
    <row r="37242" customFormat="1" x14ac:dyDescent="0.3"/>
    <row r="37243" customFormat="1" x14ac:dyDescent="0.3"/>
    <row r="37244" customFormat="1" x14ac:dyDescent="0.3"/>
    <row r="37245" customFormat="1" x14ac:dyDescent="0.3"/>
    <row r="37246" customFormat="1" x14ac:dyDescent="0.3"/>
    <row r="37247" customFormat="1" x14ac:dyDescent="0.3"/>
    <row r="37248" customFormat="1" x14ac:dyDescent="0.3"/>
    <row r="37249" customFormat="1" x14ac:dyDescent="0.3"/>
    <row r="37250" customFormat="1" x14ac:dyDescent="0.3"/>
    <row r="37251" customFormat="1" x14ac:dyDescent="0.3"/>
    <row r="37252" customFormat="1" x14ac:dyDescent="0.3"/>
    <row r="37253" customFormat="1" x14ac:dyDescent="0.3"/>
    <row r="37254" customFormat="1" x14ac:dyDescent="0.3"/>
    <row r="37255" customFormat="1" x14ac:dyDescent="0.3"/>
    <row r="37256" customFormat="1" x14ac:dyDescent="0.3"/>
    <row r="37257" customFormat="1" x14ac:dyDescent="0.3"/>
    <row r="37258" customFormat="1" x14ac:dyDescent="0.3"/>
    <row r="37259" customFormat="1" x14ac:dyDescent="0.3"/>
    <row r="37260" customFormat="1" x14ac:dyDescent="0.3"/>
    <row r="37261" customFormat="1" x14ac:dyDescent="0.3"/>
    <row r="37262" customFormat="1" x14ac:dyDescent="0.3"/>
    <row r="37263" customFormat="1" x14ac:dyDescent="0.3"/>
    <row r="37264" customFormat="1" x14ac:dyDescent="0.3"/>
    <row r="37265" customFormat="1" x14ac:dyDescent="0.3"/>
    <row r="37266" customFormat="1" x14ac:dyDescent="0.3"/>
    <row r="37267" customFormat="1" x14ac:dyDescent="0.3"/>
    <row r="37268" customFormat="1" x14ac:dyDescent="0.3"/>
    <row r="37269" customFormat="1" x14ac:dyDescent="0.3"/>
    <row r="37270" customFormat="1" x14ac:dyDescent="0.3"/>
    <row r="37271" customFormat="1" x14ac:dyDescent="0.3"/>
    <row r="37272" customFormat="1" x14ac:dyDescent="0.3"/>
    <row r="37273" customFormat="1" x14ac:dyDescent="0.3"/>
    <row r="37274" customFormat="1" x14ac:dyDescent="0.3"/>
    <row r="37275" customFormat="1" x14ac:dyDescent="0.3"/>
    <row r="37276" customFormat="1" x14ac:dyDescent="0.3"/>
    <row r="37277" customFormat="1" x14ac:dyDescent="0.3"/>
    <row r="37278" customFormat="1" x14ac:dyDescent="0.3"/>
    <row r="37279" customFormat="1" x14ac:dyDescent="0.3"/>
    <row r="37280" customFormat="1" x14ac:dyDescent="0.3"/>
    <row r="37281" customFormat="1" x14ac:dyDescent="0.3"/>
    <row r="37282" customFormat="1" x14ac:dyDescent="0.3"/>
    <row r="37283" customFormat="1" x14ac:dyDescent="0.3"/>
    <row r="37284" customFormat="1" x14ac:dyDescent="0.3"/>
    <row r="37285" customFormat="1" x14ac:dyDescent="0.3"/>
    <row r="37286" customFormat="1" x14ac:dyDescent="0.3"/>
    <row r="37287" customFormat="1" x14ac:dyDescent="0.3"/>
    <row r="37288" customFormat="1" x14ac:dyDescent="0.3"/>
    <row r="37289" customFormat="1" x14ac:dyDescent="0.3"/>
    <row r="37290" customFormat="1" x14ac:dyDescent="0.3"/>
    <row r="37291" customFormat="1" x14ac:dyDescent="0.3"/>
    <row r="37292" customFormat="1" x14ac:dyDescent="0.3"/>
    <row r="37293" customFormat="1" x14ac:dyDescent="0.3"/>
    <row r="37294" customFormat="1" x14ac:dyDescent="0.3"/>
    <row r="37295" customFormat="1" x14ac:dyDescent="0.3"/>
    <row r="37296" customFormat="1" x14ac:dyDescent="0.3"/>
    <row r="37297" customFormat="1" x14ac:dyDescent="0.3"/>
    <row r="37298" customFormat="1" x14ac:dyDescent="0.3"/>
    <row r="37299" customFormat="1" x14ac:dyDescent="0.3"/>
    <row r="37300" customFormat="1" x14ac:dyDescent="0.3"/>
    <row r="37301" customFormat="1" x14ac:dyDescent="0.3"/>
    <row r="37302" customFormat="1" x14ac:dyDescent="0.3"/>
    <row r="37303" customFormat="1" x14ac:dyDescent="0.3"/>
    <row r="37304" customFormat="1" x14ac:dyDescent="0.3"/>
    <row r="37305" customFormat="1" x14ac:dyDescent="0.3"/>
    <row r="37306" customFormat="1" x14ac:dyDescent="0.3"/>
    <row r="37307" customFormat="1" x14ac:dyDescent="0.3"/>
    <row r="37308" customFormat="1" x14ac:dyDescent="0.3"/>
    <row r="37309" customFormat="1" x14ac:dyDescent="0.3"/>
    <row r="37310" customFormat="1" x14ac:dyDescent="0.3"/>
    <row r="37311" customFormat="1" x14ac:dyDescent="0.3"/>
    <row r="37312" customFormat="1" x14ac:dyDescent="0.3"/>
    <row r="37313" customFormat="1" x14ac:dyDescent="0.3"/>
    <row r="37314" customFormat="1" x14ac:dyDescent="0.3"/>
    <row r="37315" customFormat="1" x14ac:dyDescent="0.3"/>
    <row r="37316" customFormat="1" x14ac:dyDescent="0.3"/>
    <row r="37317" customFormat="1" x14ac:dyDescent="0.3"/>
    <row r="37318" customFormat="1" x14ac:dyDescent="0.3"/>
    <row r="37319" customFormat="1" x14ac:dyDescent="0.3"/>
    <row r="37320" customFormat="1" x14ac:dyDescent="0.3"/>
    <row r="37321" customFormat="1" x14ac:dyDescent="0.3"/>
    <row r="37322" customFormat="1" x14ac:dyDescent="0.3"/>
    <row r="37323" customFormat="1" x14ac:dyDescent="0.3"/>
    <row r="37324" customFormat="1" x14ac:dyDescent="0.3"/>
    <row r="37325" customFormat="1" x14ac:dyDescent="0.3"/>
    <row r="37326" customFormat="1" x14ac:dyDescent="0.3"/>
    <row r="37327" customFormat="1" x14ac:dyDescent="0.3"/>
    <row r="37328" customFormat="1" x14ac:dyDescent="0.3"/>
    <row r="37329" customFormat="1" x14ac:dyDescent="0.3"/>
    <row r="37330" customFormat="1" x14ac:dyDescent="0.3"/>
    <row r="37331" customFormat="1" x14ac:dyDescent="0.3"/>
    <row r="37332" customFormat="1" x14ac:dyDescent="0.3"/>
    <row r="37333" customFormat="1" x14ac:dyDescent="0.3"/>
    <row r="37334" customFormat="1" x14ac:dyDescent="0.3"/>
    <row r="37335" customFormat="1" x14ac:dyDescent="0.3"/>
    <row r="37336" customFormat="1" x14ac:dyDescent="0.3"/>
    <row r="37337" customFormat="1" x14ac:dyDescent="0.3"/>
    <row r="37338" customFormat="1" x14ac:dyDescent="0.3"/>
    <row r="37339" customFormat="1" x14ac:dyDescent="0.3"/>
    <row r="37340" customFormat="1" x14ac:dyDescent="0.3"/>
    <row r="37341" customFormat="1" x14ac:dyDescent="0.3"/>
    <row r="37342" customFormat="1" x14ac:dyDescent="0.3"/>
    <row r="37343" customFormat="1" x14ac:dyDescent="0.3"/>
    <row r="37344" customFormat="1" x14ac:dyDescent="0.3"/>
    <row r="37345" customFormat="1" x14ac:dyDescent="0.3"/>
    <row r="37346" customFormat="1" x14ac:dyDescent="0.3"/>
    <row r="37347" customFormat="1" x14ac:dyDescent="0.3"/>
    <row r="37348" customFormat="1" x14ac:dyDescent="0.3"/>
    <row r="37349" customFormat="1" x14ac:dyDescent="0.3"/>
    <row r="37350" customFormat="1" x14ac:dyDescent="0.3"/>
    <row r="37351" customFormat="1" x14ac:dyDescent="0.3"/>
    <row r="37352" customFormat="1" x14ac:dyDescent="0.3"/>
    <row r="37353" customFormat="1" x14ac:dyDescent="0.3"/>
    <row r="37354" customFormat="1" x14ac:dyDescent="0.3"/>
    <row r="37355" customFormat="1" x14ac:dyDescent="0.3"/>
    <row r="37356" customFormat="1" x14ac:dyDescent="0.3"/>
    <row r="37357" customFormat="1" x14ac:dyDescent="0.3"/>
    <row r="37358" customFormat="1" x14ac:dyDescent="0.3"/>
    <row r="37359" customFormat="1" x14ac:dyDescent="0.3"/>
    <row r="37360" customFormat="1" x14ac:dyDescent="0.3"/>
    <row r="37361" customFormat="1" x14ac:dyDescent="0.3"/>
    <row r="37362" customFormat="1" x14ac:dyDescent="0.3"/>
    <row r="37363" customFormat="1" x14ac:dyDescent="0.3"/>
    <row r="37364" customFormat="1" x14ac:dyDescent="0.3"/>
    <row r="37365" customFormat="1" x14ac:dyDescent="0.3"/>
    <row r="37366" customFormat="1" x14ac:dyDescent="0.3"/>
    <row r="37367" customFormat="1" x14ac:dyDescent="0.3"/>
    <row r="37368" customFormat="1" x14ac:dyDescent="0.3"/>
    <row r="37369" customFormat="1" x14ac:dyDescent="0.3"/>
    <row r="37370" customFormat="1" x14ac:dyDescent="0.3"/>
    <row r="37371" customFormat="1" x14ac:dyDescent="0.3"/>
    <row r="37372" customFormat="1" x14ac:dyDescent="0.3"/>
    <row r="37373" customFormat="1" x14ac:dyDescent="0.3"/>
    <row r="37374" customFormat="1" x14ac:dyDescent="0.3"/>
    <row r="37375" customFormat="1" x14ac:dyDescent="0.3"/>
    <row r="37376" customFormat="1" x14ac:dyDescent="0.3"/>
    <row r="37377" customFormat="1" x14ac:dyDescent="0.3"/>
    <row r="37378" customFormat="1" x14ac:dyDescent="0.3"/>
    <row r="37379" customFormat="1" x14ac:dyDescent="0.3"/>
    <row r="37380" customFormat="1" x14ac:dyDescent="0.3"/>
    <row r="37381" customFormat="1" x14ac:dyDescent="0.3"/>
    <row r="37382" customFormat="1" x14ac:dyDescent="0.3"/>
    <row r="37383" customFormat="1" x14ac:dyDescent="0.3"/>
    <row r="37384" customFormat="1" x14ac:dyDescent="0.3"/>
    <row r="37385" customFormat="1" x14ac:dyDescent="0.3"/>
    <row r="37386" customFormat="1" x14ac:dyDescent="0.3"/>
    <row r="37387" customFormat="1" x14ac:dyDescent="0.3"/>
    <row r="37388" customFormat="1" x14ac:dyDescent="0.3"/>
    <row r="37389" customFormat="1" x14ac:dyDescent="0.3"/>
    <row r="37390" customFormat="1" x14ac:dyDescent="0.3"/>
    <row r="37391" customFormat="1" x14ac:dyDescent="0.3"/>
    <row r="37392" customFormat="1" x14ac:dyDescent="0.3"/>
    <row r="37393" customFormat="1" x14ac:dyDescent="0.3"/>
    <row r="37394" customFormat="1" x14ac:dyDescent="0.3"/>
    <row r="37395" customFormat="1" x14ac:dyDescent="0.3"/>
    <row r="37396" customFormat="1" x14ac:dyDescent="0.3"/>
    <row r="37397" customFormat="1" x14ac:dyDescent="0.3"/>
    <row r="37398" customFormat="1" x14ac:dyDescent="0.3"/>
    <row r="37399" customFormat="1" x14ac:dyDescent="0.3"/>
    <row r="37400" customFormat="1" x14ac:dyDescent="0.3"/>
    <row r="37401" customFormat="1" x14ac:dyDescent="0.3"/>
    <row r="37402" customFormat="1" x14ac:dyDescent="0.3"/>
    <row r="37403" customFormat="1" x14ac:dyDescent="0.3"/>
    <row r="37404" customFormat="1" x14ac:dyDescent="0.3"/>
    <row r="37405" customFormat="1" x14ac:dyDescent="0.3"/>
    <row r="37406" customFormat="1" x14ac:dyDescent="0.3"/>
    <row r="37407" customFormat="1" x14ac:dyDescent="0.3"/>
    <row r="37408" customFormat="1" x14ac:dyDescent="0.3"/>
    <row r="37409" customFormat="1" x14ac:dyDescent="0.3"/>
    <row r="37410" customFormat="1" x14ac:dyDescent="0.3"/>
    <row r="37411" customFormat="1" x14ac:dyDescent="0.3"/>
    <row r="37412" customFormat="1" x14ac:dyDescent="0.3"/>
    <row r="37413" customFormat="1" x14ac:dyDescent="0.3"/>
    <row r="37414" customFormat="1" x14ac:dyDescent="0.3"/>
    <row r="37415" customFormat="1" x14ac:dyDescent="0.3"/>
    <row r="37416" customFormat="1" x14ac:dyDescent="0.3"/>
    <row r="37417" customFormat="1" x14ac:dyDescent="0.3"/>
    <row r="37418" customFormat="1" x14ac:dyDescent="0.3"/>
    <row r="37419" customFormat="1" x14ac:dyDescent="0.3"/>
    <row r="37420" customFormat="1" x14ac:dyDescent="0.3"/>
    <row r="37421" customFormat="1" x14ac:dyDescent="0.3"/>
    <row r="37422" customFormat="1" x14ac:dyDescent="0.3"/>
    <row r="37423" customFormat="1" x14ac:dyDescent="0.3"/>
    <row r="37424" customFormat="1" x14ac:dyDescent="0.3"/>
    <row r="37425" customFormat="1" x14ac:dyDescent="0.3"/>
    <row r="37426" customFormat="1" x14ac:dyDescent="0.3"/>
    <row r="37427" customFormat="1" x14ac:dyDescent="0.3"/>
    <row r="37428" customFormat="1" x14ac:dyDescent="0.3"/>
    <row r="37429" customFormat="1" x14ac:dyDescent="0.3"/>
    <row r="37430" customFormat="1" x14ac:dyDescent="0.3"/>
    <row r="37431" customFormat="1" x14ac:dyDescent="0.3"/>
    <row r="37432" customFormat="1" x14ac:dyDescent="0.3"/>
    <row r="37433" customFormat="1" x14ac:dyDescent="0.3"/>
    <row r="37434" customFormat="1" x14ac:dyDescent="0.3"/>
    <row r="37435" customFormat="1" x14ac:dyDescent="0.3"/>
    <row r="37436" customFormat="1" x14ac:dyDescent="0.3"/>
    <row r="37437" customFormat="1" x14ac:dyDescent="0.3"/>
    <row r="37438" customFormat="1" x14ac:dyDescent="0.3"/>
    <row r="37439" customFormat="1" x14ac:dyDescent="0.3"/>
    <row r="37440" customFormat="1" x14ac:dyDescent="0.3"/>
    <row r="37441" customFormat="1" x14ac:dyDescent="0.3"/>
    <row r="37442" customFormat="1" x14ac:dyDescent="0.3"/>
    <row r="37443" customFormat="1" x14ac:dyDescent="0.3"/>
    <row r="37444" customFormat="1" x14ac:dyDescent="0.3"/>
    <row r="37445" customFormat="1" x14ac:dyDescent="0.3"/>
    <row r="37446" customFormat="1" x14ac:dyDescent="0.3"/>
    <row r="37447" customFormat="1" x14ac:dyDescent="0.3"/>
    <row r="37448" customFormat="1" x14ac:dyDescent="0.3"/>
    <row r="37449" customFormat="1" x14ac:dyDescent="0.3"/>
    <row r="37450" customFormat="1" x14ac:dyDescent="0.3"/>
    <row r="37451" customFormat="1" x14ac:dyDescent="0.3"/>
    <row r="37452" customFormat="1" x14ac:dyDescent="0.3"/>
    <row r="37453" customFormat="1" x14ac:dyDescent="0.3"/>
    <row r="37454" customFormat="1" x14ac:dyDescent="0.3"/>
    <row r="37455" customFormat="1" x14ac:dyDescent="0.3"/>
    <row r="37456" customFormat="1" x14ac:dyDescent="0.3"/>
    <row r="37457" customFormat="1" x14ac:dyDescent="0.3"/>
    <row r="37458" customFormat="1" x14ac:dyDescent="0.3"/>
    <row r="37459" customFormat="1" x14ac:dyDescent="0.3"/>
    <row r="37460" customFormat="1" x14ac:dyDescent="0.3"/>
    <row r="37461" customFormat="1" x14ac:dyDescent="0.3"/>
    <row r="37462" customFormat="1" x14ac:dyDescent="0.3"/>
    <row r="37463" customFormat="1" x14ac:dyDescent="0.3"/>
    <row r="37464" customFormat="1" x14ac:dyDescent="0.3"/>
    <row r="37465" customFormat="1" x14ac:dyDescent="0.3"/>
    <row r="37466" customFormat="1" x14ac:dyDescent="0.3"/>
    <row r="37467" customFormat="1" x14ac:dyDescent="0.3"/>
    <row r="37468" customFormat="1" x14ac:dyDescent="0.3"/>
    <row r="37469" customFormat="1" x14ac:dyDescent="0.3"/>
    <row r="37470" customFormat="1" x14ac:dyDescent="0.3"/>
    <row r="37471" customFormat="1" x14ac:dyDescent="0.3"/>
    <row r="37472" customFormat="1" x14ac:dyDescent="0.3"/>
    <row r="37473" customFormat="1" x14ac:dyDescent="0.3"/>
    <row r="37474" customFormat="1" x14ac:dyDescent="0.3"/>
    <row r="37475" customFormat="1" x14ac:dyDescent="0.3"/>
    <row r="37476" customFormat="1" x14ac:dyDescent="0.3"/>
    <row r="37477" customFormat="1" x14ac:dyDescent="0.3"/>
    <row r="37478" customFormat="1" x14ac:dyDescent="0.3"/>
    <row r="37479" customFormat="1" x14ac:dyDescent="0.3"/>
    <row r="37480" customFormat="1" x14ac:dyDescent="0.3"/>
    <row r="37481" customFormat="1" x14ac:dyDescent="0.3"/>
    <row r="37482" customFormat="1" x14ac:dyDescent="0.3"/>
    <row r="37483" customFormat="1" x14ac:dyDescent="0.3"/>
    <row r="37484" customFormat="1" x14ac:dyDescent="0.3"/>
    <row r="37485" customFormat="1" x14ac:dyDescent="0.3"/>
    <row r="37486" customFormat="1" x14ac:dyDescent="0.3"/>
    <row r="37487" customFormat="1" x14ac:dyDescent="0.3"/>
    <row r="37488" customFormat="1" x14ac:dyDescent="0.3"/>
    <row r="37489" customFormat="1" x14ac:dyDescent="0.3"/>
    <row r="37490" customFormat="1" x14ac:dyDescent="0.3"/>
    <row r="37491" customFormat="1" x14ac:dyDescent="0.3"/>
    <row r="37492" customFormat="1" x14ac:dyDescent="0.3"/>
    <row r="37493" customFormat="1" x14ac:dyDescent="0.3"/>
    <row r="37494" customFormat="1" x14ac:dyDescent="0.3"/>
    <row r="37495" customFormat="1" x14ac:dyDescent="0.3"/>
    <row r="37496" customFormat="1" x14ac:dyDescent="0.3"/>
    <row r="37497" customFormat="1" x14ac:dyDescent="0.3"/>
    <row r="37498" customFormat="1" x14ac:dyDescent="0.3"/>
    <row r="37499" customFormat="1" x14ac:dyDescent="0.3"/>
    <row r="37500" customFormat="1" x14ac:dyDescent="0.3"/>
    <row r="37501" customFormat="1" x14ac:dyDescent="0.3"/>
    <row r="37502" customFormat="1" x14ac:dyDescent="0.3"/>
    <row r="37503" customFormat="1" x14ac:dyDescent="0.3"/>
    <row r="37504" customFormat="1" x14ac:dyDescent="0.3"/>
    <row r="37505" customFormat="1" x14ac:dyDescent="0.3"/>
    <row r="37506" customFormat="1" x14ac:dyDescent="0.3"/>
    <row r="37507" customFormat="1" x14ac:dyDescent="0.3"/>
    <row r="37508" customFormat="1" x14ac:dyDescent="0.3"/>
    <row r="37509" customFormat="1" x14ac:dyDescent="0.3"/>
    <row r="37510" customFormat="1" x14ac:dyDescent="0.3"/>
    <row r="37511" customFormat="1" x14ac:dyDescent="0.3"/>
    <row r="37512" customFormat="1" x14ac:dyDescent="0.3"/>
    <row r="37513" customFormat="1" x14ac:dyDescent="0.3"/>
    <row r="37514" customFormat="1" x14ac:dyDescent="0.3"/>
    <row r="37515" customFormat="1" x14ac:dyDescent="0.3"/>
    <row r="37516" customFormat="1" x14ac:dyDescent="0.3"/>
    <row r="37517" customFormat="1" x14ac:dyDescent="0.3"/>
    <row r="37518" customFormat="1" x14ac:dyDescent="0.3"/>
    <row r="37519" customFormat="1" x14ac:dyDescent="0.3"/>
    <row r="37520" customFormat="1" x14ac:dyDescent="0.3"/>
    <row r="37521" customFormat="1" x14ac:dyDescent="0.3"/>
    <row r="37522" customFormat="1" x14ac:dyDescent="0.3"/>
    <row r="37523" customFormat="1" x14ac:dyDescent="0.3"/>
    <row r="37524" customFormat="1" x14ac:dyDescent="0.3"/>
    <row r="37525" customFormat="1" x14ac:dyDescent="0.3"/>
    <row r="37526" customFormat="1" x14ac:dyDescent="0.3"/>
    <row r="37527" customFormat="1" x14ac:dyDescent="0.3"/>
    <row r="37528" customFormat="1" x14ac:dyDescent="0.3"/>
    <row r="37529" customFormat="1" x14ac:dyDescent="0.3"/>
    <row r="37530" customFormat="1" x14ac:dyDescent="0.3"/>
    <row r="37531" customFormat="1" x14ac:dyDescent="0.3"/>
    <row r="37532" customFormat="1" x14ac:dyDescent="0.3"/>
    <row r="37533" customFormat="1" x14ac:dyDescent="0.3"/>
    <row r="37534" customFormat="1" x14ac:dyDescent="0.3"/>
    <row r="37535" customFormat="1" x14ac:dyDescent="0.3"/>
    <row r="37536" customFormat="1" x14ac:dyDescent="0.3"/>
    <row r="37537" customFormat="1" x14ac:dyDescent="0.3"/>
    <row r="37538" customFormat="1" x14ac:dyDescent="0.3"/>
    <row r="37539" customFormat="1" x14ac:dyDescent="0.3"/>
    <row r="37540" customFormat="1" x14ac:dyDescent="0.3"/>
    <row r="37541" customFormat="1" x14ac:dyDescent="0.3"/>
    <row r="37542" customFormat="1" x14ac:dyDescent="0.3"/>
    <row r="37543" customFormat="1" x14ac:dyDescent="0.3"/>
    <row r="37544" customFormat="1" x14ac:dyDescent="0.3"/>
    <row r="37545" customFormat="1" x14ac:dyDescent="0.3"/>
    <row r="37546" customFormat="1" x14ac:dyDescent="0.3"/>
    <row r="37547" customFormat="1" x14ac:dyDescent="0.3"/>
    <row r="37548" customFormat="1" x14ac:dyDescent="0.3"/>
    <row r="37549" customFormat="1" x14ac:dyDescent="0.3"/>
    <row r="37550" customFormat="1" x14ac:dyDescent="0.3"/>
    <row r="37551" customFormat="1" x14ac:dyDescent="0.3"/>
    <row r="37552" customFormat="1" x14ac:dyDescent="0.3"/>
    <row r="37553" customFormat="1" x14ac:dyDescent="0.3"/>
    <row r="37554" customFormat="1" x14ac:dyDescent="0.3"/>
    <row r="37555" customFormat="1" x14ac:dyDescent="0.3"/>
    <row r="37556" customFormat="1" x14ac:dyDescent="0.3"/>
    <row r="37557" customFormat="1" x14ac:dyDescent="0.3"/>
    <row r="37558" customFormat="1" x14ac:dyDescent="0.3"/>
    <row r="37559" customFormat="1" x14ac:dyDescent="0.3"/>
    <row r="37560" customFormat="1" x14ac:dyDescent="0.3"/>
    <row r="37561" customFormat="1" x14ac:dyDescent="0.3"/>
    <row r="37562" customFormat="1" x14ac:dyDescent="0.3"/>
    <row r="37563" customFormat="1" x14ac:dyDescent="0.3"/>
    <row r="37564" customFormat="1" x14ac:dyDescent="0.3"/>
    <row r="37565" customFormat="1" x14ac:dyDescent="0.3"/>
    <row r="37566" customFormat="1" x14ac:dyDescent="0.3"/>
    <row r="37567" customFormat="1" x14ac:dyDescent="0.3"/>
    <row r="37568" customFormat="1" x14ac:dyDescent="0.3"/>
    <row r="37569" customFormat="1" x14ac:dyDescent="0.3"/>
    <row r="37570" customFormat="1" x14ac:dyDescent="0.3"/>
    <row r="37571" customFormat="1" x14ac:dyDescent="0.3"/>
    <row r="37572" customFormat="1" x14ac:dyDescent="0.3"/>
    <row r="37573" customFormat="1" x14ac:dyDescent="0.3"/>
    <row r="37574" customFormat="1" x14ac:dyDescent="0.3"/>
    <row r="37575" customFormat="1" x14ac:dyDescent="0.3"/>
    <row r="37576" customFormat="1" x14ac:dyDescent="0.3"/>
    <row r="37577" customFormat="1" x14ac:dyDescent="0.3"/>
    <row r="37578" customFormat="1" x14ac:dyDescent="0.3"/>
    <row r="37579" customFormat="1" x14ac:dyDescent="0.3"/>
    <row r="37580" customFormat="1" x14ac:dyDescent="0.3"/>
    <row r="37581" customFormat="1" x14ac:dyDescent="0.3"/>
    <row r="37582" customFormat="1" x14ac:dyDescent="0.3"/>
    <row r="37583" customFormat="1" x14ac:dyDescent="0.3"/>
    <row r="37584" customFormat="1" x14ac:dyDescent="0.3"/>
    <row r="37585" customFormat="1" x14ac:dyDescent="0.3"/>
    <row r="37586" customFormat="1" x14ac:dyDescent="0.3"/>
    <row r="37587" customFormat="1" x14ac:dyDescent="0.3"/>
    <row r="37588" customFormat="1" x14ac:dyDescent="0.3"/>
    <row r="37589" customFormat="1" x14ac:dyDescent="0.3"/>
    <row r="37590" customFormat="1" x14ac:dyDescent="0.3"/>
    <row r="37591" customFormat="1" x14ac:dyDescent="0.3"/>
    <row r="37592" customFormat="1" x14ac:dyDescent="0.3"/>
    <row r="37593" customFormat="1" x14ac:dyDescent="0.3"/>
    <row r="37594" customFormat="1" x14ac:dyDescent="0.3"/>
    <row r="37595" customFormat="1" x14ac:dyDescent="0.3"/>
    <row r="37596" customFormat="1" x14ac:dyDescent="0.3"/>
    <row r="37597" customFormat="1" x14ac:dyDescent="0.3"/>
    <row r="37598" customFormat="1" x14ac:dyDescent="0.3"/>
    <row r="37599" customFormat="1" x14ac:dyDescent="0.3"/>
    <row r="37600" customFormat="1" x14ac:dyDescent="0.3"/>
    <row r="37601" customFormat="1" x14ac:dyDescent="0.3"/>
    <row r="37602" customFormat="1" x14ac:dyDescent="0.3"/>
    <row r="37603" customFormat="1" x14ac:dyDescent="0.3"/>
    <row r="37604" customFormat="1" x14ac:dyDescent="0.3"/>
    <row r="37605" customFormat="1" x14ac:dyDescent="0.3"/>
    <row r="37606" customFormat="1" x14ac:dyDescent="0.3"/>
    <row r="37607" customFormat="1" x14ac:dyDescent="0.3"/>
    <row r="37608" customFormat="1" x14ac:dyDescent="0.3"/>
    <row r="37609" customFormat="1" x14ac:dyDescent="0.3"/>
    <row r="37610" customFormat="1" x14ac:dyDescent="0.3"/>
    <row r="37611" customFormat="1" x14ac:dyDescent="0.3"/>
    <row r="37612" customFormat="1" x14ac:dyDescent="0.3"/>
    <row r="37613" customFormat="1" x14ac:dyDescent="0.3"/>
    <row r="37614" customFormat="1" x14ac:dyDescent="0.3"/>
    <row r="37615" customFormat="1" x14ac:dyDescent="0.3"/>
    <row r="37616" customFormat="1" x14ac:dyDescent="0.3"/>
    <row r="37617" customFormat="1" x14ac:dyDescent="0.3"/>
    <row r="37618" customFormat="1" x14ac:dyDescent="0.3"/>
    <row r="37619" customFormat="1" x14ac:dyDescent="0.3"/>
    <row r="37620" customFormat="1" x14ac:dyDescent="0.3"/>
    <row r="37621" customFormat="1" x14ac:dyDescent="0.3"/>
    <row r="37622" customFormat="1" x14ac:dyDescent="0.3"/>
    <row r="37623" customFormat="1" x14ac:dyDescent="0.3"/>
    <row r="37624" customFormat="1" x14ac:dyDescent="0.3"/>
    <row r="37625" customFormat="1" x14ac:dyDescent="0.3"/>
    <row r="37626" customFormat="1" x14ac:dyDescent="0.3"/>
    <row r="37627" customFormat="1" x14ac:dyDescent="0.3"/>
    <row r="37628" customFormat="1" x14ac:dyDescent="0.3"/>
    <row r="37629" customFormat="1" x14ac:dyDescent="0.3"/>
    <row r="37630" customFormat="1" x14ac:dyDescent="0.3"/>
    <row r="37631" customFormat="1" x14ac:dyDescent="0.3"/>
    <row r="37632" customFormat="1" x14ac:dyDescent="0.3"/>
    <row r="37633" customFormat="1" x14ac:dyDescent="0.3"/>
    <row r="37634" customFormat="1" x14ac:dyDescent="0.3"/>
    <row r="37635" customFormat="1" x14ac:dyDescent="0.3"/>
    <row r="37636" customFormat="1" x14ac:dyDescent="0.3"/>
    <row r="37637" customFormat="1" x14ac:dyDescent="0.3"/>
    <row r="37638" customFormat="1" x14ac:dyDescent="0.3"/>
    <row r="37639" customFormat="1" x14ac:dyDescent="0.3"/>
    <row r="37640" customFormat="1" x14ac:dyDescent="0.3"/>
    <row r="37641" customFormat="1" x14ac:dyDescent="0.3"/>
    <row r="37642" customFormat="1" x14ac:dyDescent="0.3"/>
    <row r="37643" customFormat="1" x14ac:dyDescent="0.3"/>
    <row r="37644" customFormat="1" x14ac:dyDescent="0.3"/>
    <row r="37645" customFormat="1" x14ac:dyDescent="0.3"/>
    <row r="37646" customFormat="1" x14ac:dyDescent="0.3"/>
    <row r="37647" customFormat="1" x14ac:dyDescent="0.3"/>
    <row r="37648" customFormat="1" x14ac:dyDescent="0.3"/>
    <row r="37649" customFormat="1" x14ac:dyDescent="0.3"/>
    <row r="37650" customFormat="1" x14ac:dyDescent="0.3"/>
    <row r="37651" customFormat="1" x14ac:dyDescent="0.3"/>
    <row r="37652" customFormat="1" x14ac:dyDescent="0.3"/>
    <row r="37653" customFormat="1" x14ac:dyDescent="0.3"/>
    <row r="37654" customFormat="1" x14ac:dyDescent="0.3"/>
    <row r="37655" customFormat="1" x14ac:dyDescent="0.3"/>
    <row r="37656" customFormat="1" x14ac:dyDescent="0.3"/>
    <row r="37657" customFormat="1" x14ac:dyDescent="0.3"/>
    <row r="37658" customFormat="1" x14ac:dyDescent="0.3"/>
    <row r="37659" customFormat="1" x14ac:dyDescent="0.3"/>
    <row r="37660" customFormat="1" x14ac:dyDescent="0.3"/>
    <row r="37661" customFormat="1" x14ac:dyDescent="0.3"/>
    <row r="37662" customFormat="1" x14ac:dyDescent="0.3"/>
    <row r="37663" customFormat="1" x14ac:dyDescent="0.3"/>
    <row r="37664" customFormat="1" x14ac:dyDescent="0.3"/>
    <row r="37665" customFormat="1" x14ac:dyDescent="0.3"/>
    <row r="37666" customFormat="1" x14ac:dyDescent="0.3"/>
    <row r="37667" customFormat="1" x14ac:dyDescent="0.3"/>
    <row r="37668" customFormat="1" x14ac:dyDescent="0.3"/>
    <row r="37669" customFormat="1" x14ac:dyDescent="0.3"/>
    <row r="37670" customFormat="1" x14ac:dyDescent="0.3"/>
    <row r="37671" customFormat="1" x14ac:dyDescent="0.3"/>
    <row r="37672" customFormat="1" x14ac:dyDescent="0.3"/>
    <row r="37673" customFormat="1" x14ac:dyDescent="0.3"/>
    <row r="37674" customFormat="1" x14ac:dyDescent="0.3"/>
    <row r="37675" customFormat="1" x14ac:dyDescent="0.3"/>
    <row r="37676" customFormat="1" x14ac:dyDescent="0.3"/>
    <row r="37677" customFormat="1" x14ac:dyDescent="0.3"/>
    <row r="37678" customFormat="1" x14ac:dyDescent="0.3"/>
    <row r="37679" customFormat="1" x14ac:dyDescent="0.3"/>
    <row r="37680" customFormat="1" x14ac:dyDescent="0.3"/>
    <row r="37681" customFormat="1" x14ac:dyDescent="0.3"/>
    <row r="37682" customFormat="1" x14ac:dyDescent="0.3"/>
    <row r="37683" customFormat="1" x14ac:dyDescent="0.3"/>
    <row r="37684" customFormat="1" x14ac:dyDescent="0.3"/>
    <row r="37685" customFormat="1" x14ac:dyDescent="0.3"/>
    <row r="37686" customFormat="1" x14ac:dyDescent="0.3"/>
    <row r="37687" customFormat="1" x14ac:dyDescent="0.3"/>
    <row r="37688" customFormat="1" x14ac:dyDescent="0.3"/>
    <row r="37689" customFormat="1" x14ac:dyDescent="0.3"/>
    <row r="37690" customFormat="1" x14ac:dyDescent="0.3"/>
    <row r="37691" customFormat="1" x14ac:dyDescent="0.3"/>
    <row r="37692" customFormat="1" x14ac:dyDescent="0.3"/>
    <row r="37693" customFormat="1" x14ac:dyDescent="0.3"/>
    <row r="37694" customFormat="1" x14ac:dyDescent="0.3"/>
    <row r="37695" customFormat="1" x14ac:dyDescent="0.3"/>
    <row r="37696" customFormat="1" x14ac:dyDescent="0.3"/>
    <row r="37697" customFormat="1" x14ac:dyDescent="0.3"/>
    <row r="37698" customFormat="1" x14ac:dyDescent="0.3"/>
    <row r="37699" customFormat="1" x14ac:dyDescent="0.3"/>
    <row r="37700" customFormat="1" x14ac:dyDescent="0.3"/>
    <row r="37701" customFormat="1" x14ac:dyDescent="0.3"/>
    <row r="37702" customFormat="1" x14ac:dyDescent="0.3"/>
    <row r="37703" customFormat="1" x14ac:dyDescent="0.3"/>
    <row r="37704" customFormat="1" x14ac:dyDescent="0.3"/>
    <row r="37705" customFormat="1" x14ac:dyDescent="0.3"/>
    <row r="37706" customFormat="1" x14ac:dyDescent="0.3"/>
    <row r="37707" customFormat="1" x14ac:dyDescent="0.3"/>
    <row r="37708" customFormat="1" x14ac:dyDescent="0.3"/>
    <row r="37709" customFormat="1" x14ac:dyDescent="0.3"/>
    <row r="37710" customFormat="1" x14ac:dyDescent="0.3"/>
    <row r="37711" customFormat="1" x14ac:dyDescent="0.3"/>
    <row r="37712" customFormat="1" x14ac:dyDescent="0.3"/>
    <row r="37713" customFormat="1" x14ac:dyDescent="0.3"/>
    <row r="37714" customFormat="1" x14ac:dyDescent="0.3"/>
    <row r="37715" customFormat="1" x14ac:dyDescent="0.3"/>
    <row r="37716" customFormat="1" x14ac:dyDescent="0.3"/>
    <row r="37717" customFormat="1" x14ac:dyDescent="0.3"/>
    <row r="37718" customFormat="1" x14ac:dyDescent="0.3"/>
    <row r="37719" customFormat="1" x14ac:dyDescent="0.3"/>
    <row r="37720" customFormat="1" x14ac:dyDescent="0.3"/>
    <row r="37721" customFormat="1" x14ac:dyDescent="0.3"/>
    <row r="37722" customFormat="1" x14ac:dyDescent="0.3"/>
    <row r="37723" customFormat="1" x14ac:dyDescent="0.3"/>
    <row r="37724" customFormat="1" x14ac:dyDescent="0.3"/>
    <row r="37725" customFormat="1" x14ac:dyDescent="0.3"/>
    <row r="37726" customFormat="1" x14ac:dyDescent="0.3"/>
    <row r="37727" customFormat="1" x14ac:dyDescent="0.3"/>
    <row r="37728" customFormat="1" x14ac:dyDescent="0.3"/>
    <row r="37729" customFormat="1" x14ac:dyDescent="0.3"/>
    <row r="37730" customFormat="1" x14ac:dyDescent="0.3"/>
    <row r="37731" customFormat="1" x14ac:dyDescent="0.3"/>
    <row r="37732" customFormat="1" x14ac:dyDescent="0.3"/>
    <row r="37733" customFormat="1" x14ac:dyDescent="0.3"/>
    <row r="37734" customFormat="1" x14ac:dyDescent="0.3"/>
    <row r="37735" customFormat="1" x14ac:dyDescent="0.3"/>
    <row r="37736" customFormat="1" x14ac:dyDescent="0.3"/>
    <row r="37737" customFormat="1" x14ac:dyDescent="0.3"/>
    <row r="37738" customFormat="1" x14ac:dyDescent="0.3"/>
    <row r="37739" customFormat="1" x14ac:dyDescent="0.3"/>
    <row r="37740" customFormat="1" x14ac:dyDescent="0.3"/>
    <row r="37741" customFormat="1" x14ac:dyDescent="0.3"/>
    <row r="37742" customFormat="1" x14ac:dyDescent="0.3"/>
    <row r="37743" customFormat="1" x14ac:dyDescent="0.3"/>
    <row r="37744" customFormat="1" x14ac:dyDescent="0.3"/>
    <row r="37745" customFormat="1" x14ac:dyDescent="0.3"/>
    <row r="37746" customFormat="1" x14ac:dyDescent="0.3"/>
    <row r="37747" customFormat="1" x14ac:dyDescent="0.3"/>
    <row r="37748" customFormat="1" x14ac:dyDescent="0.3"/>
    <row r="37749" customFormat="1" x14ac:dyDescent="0.3"/>
    <row r="37750" customFormat="1" x14ac:dyDescent="0.3"/>
    <row r="37751" customFormat="1" x14ac:dyDescent="0.3"/>
    <row r="37752" customFormat="1" x14ac:dyDescent="0.3"/>
    <row r="37753" customFormat="1" x14ac:dyDescent="0.3"/>
    <row r="37754" customFormat="1" x14ac:dyDescent="0.3"/>
    <row r="37755" customFormat="1" x14ac:dyDescent="0.3"/>
    <row r="37756" customFormat="1" x14ac:dyDescent="0.3"/>
    <row r="37757" customFormat="1" x14ac:dyDescent="0.3"/>
    <row r="37758" customFormat="1" x14ac:dyDescent="0.3"/>
    <row r="37759" customFormat="1" x14ac:dyDescent="0.3"/>
    <row r="37760" customFormat="1" x14ac:dyDescent="0.3"/>
    <row r="37761" customFormat="1" x14ac:dyDescent="0.3"/>
    <row r="37762" customFormat="1" x14ac:dyDescent="0.3"/>
    <row r="37763" customFormat="1" x14ac:dyDescent="0.3"/>
    <row r="37764" customFormat="1" x14ac:dyDescent="0.3"/>
    <row r="37765" customFormat="1" x14ac:dyDescent="0.3"/>
    <row r="37766" customFormat="1" x14ac:dyDescent="0.3"/>
    <row r="37767" customFormat="1" x14ac:dyDescent="0.3"/>
    <row r="37768" customFormat="1" x14ac:dyDescent="0.3"/>
    <row r="37769" customFormat="1" x14ac:dyDescent="0.3"/>
    <row r="37770" customFormat="1" x14ac:dyDescent="0.3"/>
    <row r="37771" customFormat="1" x14ac:dyDescent="0.3"/>
    <row r="37772" customFormat="1" x14ac:dyDescent="0.3"/>
    <row r="37773" customFormat="1" x14ac:dyDescent="0.3"/>
    <row r="37774" customFormat="1" x14ac:dyDescent="0.3"/>
    <row r="37775" customFormat="1" x14ac:dyDescent="0.3"/>
    <row r="37776" customFormat="1" x14ac:dyDescent="0.3"/>
    <row r="37777" customFormat="1" x14ac:dyDescent="0.3"/>
    <row r="37778" customFormat="1" x14ac:dyDescent="0.3"/>
    <row r="37779" customFormat="1" x14ac:dyDescent="0.3"/>
    <row r="37780" customFormat="1" x14ac:dyDescent="0.3"/>
    <row r="37781" customFormat="1" x14ac:dyDescent="0.3"/>
    <row r="37782" customFormat="1" x14ac:dyDescent="0.3"/>
    <row r="37783" customFormat="1" x14ac:dyDescent="0.3"/>
    <row r="37784" customFormat="1" x14ac:dyDescent="0.3"/>
    <row r="37785" customFormat="1" x14ac:dyDescent="0.3"/>
    <row r="37786" customFormat="1" x14ac:dyDescent="0.3"/>
    <row r="37787" customFormat="1" x14ac:dyDescent="0.3"/>
    <row r="37788" customFormat="1" x14ac:dyDescent="0.3"/>
    <row r="37789" customFormat="1" x14ac:dyDescent="0.3"/>
    <row r="37790" customFormat="1" x14ac:dyDescent="0.3"/>
    <row r="37791" customFormat="1" x14ac:dyDescent="0.3"/>
    <row r="37792" customFormat="1" x14ac:dyDescent="0.3"/>
    <row r="37793" customFormat="1" x14ac:dyDescent="0.3"/>
    <row r="37794" customFormat="1" x14ac:dyDescent="0.3"/>
    <row r="37795" customFormat="1" x14ac:dyDescent="0.3"/>
    <row r="37796" customFormat="1" x14ac:dyDescent="0.3"/>
    <row r="37797" customFormat="1" x14ac:dyDescent="0.3"/>
    <row r="37798" customFormat="1" x14ac:dyDescent="0.3"/>
    <row r="37799" customFormat="1" x14ac:dyDescent="0.3"/>
    <row r="37800" customFormat="1" x14ac:dyDescent="0.3"/>
    <row r="37801" customFormat="1" x14ac:dyDescent="0.3"/>
    <row r="37802" customFormat="1" x14ac:dyDescent="0.3"/>
    <row r="37803" customFormat="1" x14ac:dyDescent="0.3"/>
    <row r="37804" customFormat="1" x14ac:dyDescent="0.3"/>
    <row r="37805" customFormat="1" x14ac:dyDescent="0.3"/>
    <row r="37806" customFormat="1" x14ac:dyDescent="0.3"/>
    <row r="37807" customFormat="1" x14ac:dyDescent="0.3"/>
    <row r="37808" customFormat="1" x14ac:dyDescent="0.3"/>
    <row r="37809" customFormat="1" x14ac:dyDescent="0.3"/>
    <row r="37810" customFormat="1" x14ac:dyDescent="0.3"/>
    <row r="37811" customFormat="1" x14ac:dyDescent="0.3"/>
    <row r="37812" customFormat="1" x14ac:dyDescent="0.3"/>
    <row r="37813" customFormat="1" x14ac:dyDescent="0.3"/>
    <row r="37814" customFormat="1" x14ac:dyDescent="0.3"/>
    <row r="37815" customFormat="1" x14ac:dyDescent="0.3"/>
    <row r="37816" customFormat="1" x14ac:dyDescent="0.3"/>
    <row r="37817" customFormat="1" x14ac:dyDescent="0.3"/>
    <row r="37818" customFormat="1" x14ac:dyDescent="0.3"/>
    <row r="37819" customFormat="1" x14ac:dyDescent="0.3"/>
    <row r="37820" customFormat="1" x14ac:dyDescent="0.3"/>
    <row r="37821" customFormat="1" x14ac:dyDescent="0.3"/>
    <row r="37822" customFormat="1" x14ac:dyDescent="0.3"/>
    <row r="37823" customFormat="1" x14ac:dyDescent="0.3"/>
    <row r="37824" customFormat="1" x14ac:dyDescent="0.3"/>
    <row r="37825" customFormat="1" x14ac:dyDescent="0.3"/>
    <row r="37826" customFormat="1" x14ac:dyDescent="0.3"/>
    <row r="37827" customFormat="1" x14ac:dyDescent="0.3"/>
    <row r="37828" customFormat="1" x14ac:dyDescent="0.3"/>
    <row r="37829" customFormat="1" x14ac:dyDescent="0.3"/>
    <row r="37830" customFormat="1" x14ac:dyDescent="0.3"/>
    <row r="37831" customFormat="1" x14ac:dyDescent="0.3"/>
    <row r="37832" customFormat="1" x14ac:dyDescent="0.3"/>
    <row r="37833" customFormat="1" x14ac:dyDescent="0.3"/>
    <row r="37834" customFormat="1" x14ac:dyDescent="0.3"/>
    <row r="37835" customFormat="1" x14ac:dyDescent="0.3"/>
    <row r="37836" customFormat="1" x14ac:dyDescent="0.3"/>
    <row r="37837" customFormat="1" x14ac:dyDescent="0.3"/>
    <row r="37838" customFormat="1" x14ac:dyDescent="0.3"/>
    <row r="37839" customFormat="1" x14ac:dyDescent="0.3"/>
    <row r="37840" customFormat="1" x14ac:dyDescent="0.3"/>
    <row r="37841" customFormat="1" x14ac:dyDescent="0.3"/>
    <row r="37842" customFormat="1" x14ac:dyDescent="0.3"/>
    <row r="37843" customFormat="1" x14ac:dyDescent="0.3"/>
    <row r="37844" customFormat="1" x14ac:dyDescent="0.3"/>
    <row r="37845" customFormat="1" x14ac:dyDescent="0.3"/>
    <row r="37846" customFormat="1" x14ac:dyDescent="0.3"/>
    <row r="37847" customFormat="1" x14ac:dyDescent="0.3"/>
    <row r="37848" customFormat="1" x14ac:dyDescent="0.3"/>
    <row r="37849" customFormat="1" x14ac:dyDescent="0.3"/>
    <row r="37850" customFormat="1" x14ac:dyDescent="0.3"/>
    <row r="37851" customFormat="1" x14ac:dyDescent="0.3"/>
    <row r="37852" customFormat="1" x14ac:dyDescent="0.3"/>
    <row r="37853" customFormat="1" x14ac:dyDescent="0.3"/>
    <row r="37854" customFormat="1" x14ac:dyDescent="0.3"/>
    <row r="37855" customFormat="1" x14ac:dyDescent="0.3"/>
    <row r="37856" customFormat="1" x14ac:dyDescent="0.3"/>
    <row r="37857" customFormat="1" x14ac:dyDescent="0.3"/>
    <row r="37858" customFormat="1" x14ac:dyDescent="0.3"/>
    <row r="37859" customFormat="1" x14ac:dyDescent="0.3"/>
    <row r="37860" customFormat="1" x14ac:dyDescent="0.3"/>
    <row r="37861" customFormat="1" x14ac:dyDescent="0.3"/>
    <row r="37862" customFormat="1" x14ac:dyDescent="0.3"/>
    <row r="37863" customFormat="1" x14ac:dyDescent="0.3"/>
    <row r="37864" customFormat="1" x14ac:dyDescent="0.3"/>
    <row r="37865" customFormat="1" x14ac:dyDescent="0.3"/>
    <row r="37866" customFormat="1" x14ac:dyDescent="0.3"/>
    <row r="37867" customFormat="1" x14ac:dyDescent="0.3"/>
    <row r="37868" customFormat="1" x14ac:dyDescent="0.3"/>
    <row r="37869" customFormat="1" x14ac:dyDescent="0.3"/>
    <row r="37870" customFormat="1" x14ac:dyDescent="0.3"/>
    <row r="37871" customFormat="1" x14ac:dyDescent="0.3"/>
    <row r="37872" customFormat="1" x14ac:dyDescent="0.3"/>
    <row r="37873" customFormat="1" x14ac:dyDescent="0.3"/>
    <row r="37874" customFormat="1" x14ac:dyDescent="0.3"/>
    <row r="37875" customFormat="1" x14ac:dyDescent="0.3"/>
    <row r="37876" customFormat="1" x14ac:dyDescent="0.3"/>
    <row r="37877" customFormat="1" x14ac:dyDescent="0.3"/>
    <row r="37878" customFormat="1" x14ac:dyDescent="0.3"/>
    <row r="37879" customFormat="1" x14ac:dyDescent="0.3"/>
    <row r="37880" customFormat="1" x14ac:dyDescent="0.3"/>
    <row r="37881" customFormat="1" x14ac:dyDescent="0.3"/>
    <row r="37882" customFormat="1" x14ac:dyDescent="0.3"/>
    <row r="37883" customFormat="1" x14ac:dyDescent="0.3"/>
    <row r="37884" customFormat="1" x14ac:dyDescent="0.3"/>
    <row r="37885" customFormat="1" x14ac:dyDescent="0.3"/>
    <row r="37886" customFormat="1" x14ac:dyDescent="0.3"/>
    <row r="37887" customFormat="1" x14ac:dyDescent="0.3"/>
    <row r="37888" customFormat="1" x14ac:dyDescent="0.3"/>
    <row r="37889" customFormat="1" x14ac:dyDescent="0.3"/>
    <row r="37890" customFormat="1" x14ac:dyDescent="0.3"/>
    <row r="37891" customFormat="1" x14ac:dyDescent="0.3"/>
    <row r="37892" customFormat="1" x14ac:dyDescent="0.3"/>
    <row r="37893" customFormat="1" x14ac:dyDescent="0.3"/>
    <row r="37894" customFormat="1" x14ac:dyDescent="0.3"/>
    <row r="37895" customFormat="1" x14ac:dyDescent="0.3"/>
    <row r="37896" customFormat="1" x14ac:dyDescent="0.3"/>
    <row r="37897" customFormat="1" x14ac:dyDescent="0.3"/>
    <row r="37898" customFormat="1" x14ac:dyDescent="0.3"/>
    <row r="37899" customFormat="1" x14ac:dyDescent="0.3"/>
    <row r="37900" customFormat="1" x14ac:dyDescent="0.3"/>
    <row r="37901" customFormat="1" x14ac:dyDescent="0.3"/>
    <row r="37902" customFormat="1" x14ac:dyDescent="0.3"/>
    <row r="37903" customFormat="1" x14ac:dyDescent="0.3"/>
    <row r="37904" customFormat="1" x14ac:dyDescent="0.3"/>
    <row r="37905" customFormat="1" x14ac:dyDescent="0.3"/>
    <row r="37906" customFormat="1" x14ac:dyDescent="0.3"/>
    <row r="37907" customFormat="1" x14ac:dyDescent="0.3"/>
    <row r="37908" customFormat="1" x14ac:dyDescent="0.3"/>
    <row r="37909" customFormat="1" x14ac:dyDescent="0.3"/>
    <row r="37910" customFormat="1" x14ac:dyDescent="0.3"/>
    <row r="37911" customFormat="1" x14ac:dyDescent="0.3"/>
    <row r="37912" customFormat="1" x14ac:dyDescent="0.3"/>
    <row r="37913" customFormat="1" x14ac:dyDescent="0.3"/>
    <row r="37914" customFormat="1" x14ac:dyDescent="0.3"/>
    <row r="37915" customFormat="1" x14ac:dyDescent="0.3"/>
    <row r="37916" customFormat="1" x14ac:dyDescent="0.3"/>
    <row r="37917" customFormat="1" x14ac:dyDescent="0.3"/>
    <row r="37918" customFormat="1" x14ac:dyDescent="0.3"/>
    <row r="37919" customFormat="1" x14ac:dyDescent="0.3"/>
    <row r="37920" customFormat="1" x14ac:dyDescent="0.3"/>
    <row r="37921" customFormat="1" x14ac:dyDescent="0.3"/>
    <row r="37922" customFormat="1" x14ac:dyDescent="0.3"/>
    <row r="37923" customFormat="1" x14ac:dyDescent="0.3"/>
    <row r="37924" customFormat="1" x14ac:dyDescent="0.3"/>
    <row r="37925" customFormat="1" x14ac:dyDescent="0.3"/>
    <row r="37926" customFormat="1" x14ac:dyDescent="0.3"/>
    <row r="37927" customFormat="1" x14ac:dyDescent="0.3"/>
    <row r="37928" customFormat="1" x14ac:dyDescent="0.3"/>
    <row r="37929" customFormat="1" x14ac:dyDescent="0.3"/>
    <row r="37930" customFormat="1" x14ac:dyDescent="0.3"/>
    <row r="37931" customFormat="1" x14ac:dyDescent="0.3"/>
    <row r="37932" customFormat="1" x14ac:dyDescent="0.3"/>
    <row r="37933" customFormat="1" x14ac:dyDescent="0.3"/>
    <row r="37934" customFormat="1" x14ac:dyDescent="0.3"/>
    <row r="37935" customFormat="1" x14ac:dyDescent="0.3"/>
    <row r="37936" customFormat="1" x14ac:dyDescent="0.3"/>
    <row r="37937" customFormat="1" x14ac:dyDescent="0.3"/>
    <row r="37938" customFormat="1" x14ac:dyDescent="0.3"/>
    <row r="37939" customFormat="1" x14ac:dyDescent="0.3"/>
    <row r="37940" customFormat="1" x14ac:dyDescent="0.3"/>
    <row r="37941" customFormat="1" x14ac:dyDescent="0.3"/>
    <row r="37942" customFormat="1" x14ac:dyDescent="0.3"/>
    <row r="37943" customFormat="1" x14ac:dyDescent="0.3"/>
    <row r="37944" customFormat="1" x14ac:dyDescent="0.3"/>
    <row r="37945" customFormat="1" x14ac:dyDescent="0.3"/>
    <row r="37946" customFormat="1" x14ac:dyDescent="0.3"/>
    <row r="37947" customFormat="1" x14ac:dyDescent="0.3"/>
    <row r="37948" customFormat="1" x14ac:dyDescent="0.3"/>
    <row r="37949" customFormat="1" x14ac:dyDescent="0.3"/>
    <row r="37950" customFormat="1" x14ac:dyDescent="0.3"/>
    <row r="37951" customFormat="1" x14ac:dyDescent="0.3"/>
    <row r="37952" customFormat="1" x14ac:dyDescent="0.3"/>
    <row r="37953" customFormat="1" x14ac:dyDescent="0.3"/>
    <row r="37954" customFormat="1" x14ac:dyDescent="0.3"/>
    <row r="37955" customFormat="1" x14ac:dyDescent="0.3"/>
    <row r="37956" customFormat="1" x14ac:dyDescent="0.3"/>
    <row r="37957" customFormat="1" x14ac:dyDescent="0.3"/>
    <row r="37958" customFormat="1" x14ac:dyDescent="0.3"/>
    <row r="37959" customFormat="1" x14ac:dyDescent="0.3"/>
    <row r="37960" customFormat="1" x14ac:dyDescent="0.3"/>
    <row r="37961" customFormat="1" x14ac:dyDescent="0.3"/>
    <row r="37962" customFormat="1" x14ac:dyDescent="0.3"/>
    <row r="37963" customFormat="1" x14ac:dyDescent="0.3"/>
    <row r="37964" customFormat="1" x14ac:dyDescent="0.3"/>
    <row r="37965" customFormat="1" x14ac:dyDescent="0.3"/>
    <row r="37966" customFormat="1" x14ac:dyDescent="0.3"/>
    <row r="37967" customFormat="1" x14ac:dyDescent="0.3"/>
    <row r="37968" customFormat="1" x14ac:dyDescent="0.3"/>
    <row r="37969" customFormat="1" x14ac:dyDescent="0.3"/>
    <row r="37970" customFormat="1" x14ac:dyDescent="0.3"/>
    <row r="37971" customFormat="1" x14ac:dyDescent="0.3"/>
    <row r="37972" customFormat="1" x14ac:dyDescent="0.3"/>
    <row r="37973" customFormat="1" x14ac:dyDescent="0.3"/>
    <row r="37974" customFormat="1" x14ac:dyDescent="0.3"/>
    <row r="37975" customFormat="1" x14ac:dyDescent="0.3"/>
    <row r="37976" customFormat="1" x14ac:dyDescent="0.3"/>
    <row r="37977" customFormat="1" x14ac:dyDescent="0.3"/>
    <row r="37978" customFormat="1" x14ac:dyDescent="0.3"/>
    <row r="37979" customFormat="1" x14ac:dyDescent="0.3"/>
    <row r="37980" customFormat="1" x14ac:dyDescent="0.3"/>
    <row r="37981" customFormat="1" x14ac:dyDescent="0.3"/>
    <row r="37982" customFormat="1" x14ac:dyDescent="0.3"/>
    <row r="37983" customFormat="1" x14ac:dyDescent="0.3"/>
    <row r="37984" customFormat="1" x14ac:dyDescent="0.3"/>
    <row r="37985" customFormat="1" x14ac:dyDescent="0.3"/>
    <row r="37986" customFormat="1" x14ac:dyDescent="0.3"/>
    <row r="37987" customFormat="1" x14ac:dyDescent="0.3"/>
    <row r="37988" customFormat="1" x14ac:dyDescent="0.3"/>
    <row r="37989" customFormat="1" x14ac:dyDescent="0.3"/>
    <row r="37990" customFormat="1" x14ac:dyDescent="0.3"/>
    <row r="37991" customFormat="1" x14ac:dyDescent="0.3"/>
    <row r="37992" customFormat="1" x14ac:dyDescent="0.3"/>
    <row r="37993" customFormat="1" x14ac:dyDescent="0.3"/>
    <row r="37994" customFormat="1" x14ac:dyDescent="0.3"/>
    <row r="37995" customFormat="1" x14ac:dyDescent="0.3"/>
    <row r="37996" customFormat="1" x14ac:dyDescent="0.3"/>
    <row r="37997" customFormat="1" x14ac:dyDescent="0.3"/>
    <row r="37998" customFormat="1" x14ac:dyDescent="0.3"/>
    <row r="37999" customFormat="1" x14ac:dyDescent="0.3"/>
    <row r="38000" customFormat="1" x14ac:dyDescent="0.3"/>
    <row r="38001" customFormat="1" x14ac:dyDescent="0.3"/>
    <row r="38002" customFormat="1" x14ac:dyDescent="0.3"/>
    <row r="38003" customFormat="1" x14ac:dyDescent="0.3"/>
    <row r="38004" customFormat="1" x14ac:dyDescent="0.3"/>
    <row r="38005" customFormat="1" x14ac:dyDescent="0.3"/>
    <row r="38006" customFormat="1" x14ac:dyDescent="0.3"/>
    <row r="38007" customFormat="1" x14ac:dyDescent="0.3"/>
    <row r="38008" customFormat="1" x14ac:dyDescent="0.3"/>
    <row r="38009" customFormat="1" x14ac:dyDescent="0.3"/>
    <row r="38010" customFormat="1" x14ac:dyDescent="0.3"/>
    <row r="38011" customFormat="1" x14ac:dyDescent="0.3"/>
    <row r="38012" customFormat="1" x14ac:dyDescent="0.3"/>
    <row r="38013" customFormat="1" x14ac:dyDescent="0.3"/>
    <row r="38014" customFormat="1" x14ac:dyDescent="0.3"/>
    <row r="38015" customFormat="1" x14ac:dyDescent="0.3"/>
    <row r="38016" customFormat="1" x14ac:dyDescent="0.3"/>
    <row r="38017" customFormat="1" x14ac:dyDescent="0.3"/>
    <row r="38018" customFormat="1" x14ac:dyDescent="0.3"/>
    <row r="38019" customFormat="1" x14ac:dyDescent="0.3"/>
    <row r="38020" customFormat="1" x14ac:dyDescent="0.3"/>
    <row r="38021" customFormat="1" x14ac:dyDescent="0.3"/>
    <row r="38022" customFormat="1" x14ac:dyDescent="0.3"/>
    <row r="38023" customFormat="1" x14ac:dyDescent="0.3"/>
    <row r="38024" customFormat="1" x14ac:dyDescent="0.3"/>
    <row r="38025" customFormat="1" x14ac:dyDescent="0.3"/>
    <row r="38026" customFormat="1" x14ac:dyDescent="0.3"/>
    <row r="38027" customFormat="1" x14ac:dyDescent="0.3"/>
    <row r="38028" customFormat="1" x14ac:dyDescent="0.3"/>
    <row r="38029" customFormat="1" x14ac:dyDescent="0.3"/>
    <row r="38030" customFormat="1" x14ac:dyDescent="0.3"/>
    <row r="38031" customFormat="1" x14ac:dyDescent="0.3"/>
    <row r="38032" customFormat="1" x14ac:dyDescent="0.3"/>
    <row r="38033" customFormat="1" x14ac:dyDescent="0.3"/>
    <row r="38034" customFormat="1" x14ac:dyDescent="0.3"/>
    <row r="38035" customFormat="1" x14ac:dyDescent="0.3"/>
    <row r="38036" customFormat="1" x14ac:dyDescent="0.3"/>
    <row r="38037" customFormat="1" x14ac:dyDescent="0.3"/>
    <row r="38038" customFormat="1" x14ac:dyDescent="0.3"/>
    <row r="38039" customFormat="1" x14ac:dyDescent="0.3"/>
    <row r="38040" customFormat="1" x14ac:dyDescent="0.3"/>
    <row r="38041" customFormat="1" x14ac:dyDescent="0.3"/>
    <row r="38042" customFormat="1" x14ac:dyDescent="0.3"/>
    <row r="38043" customFormat="1" x14ac:dyDescent="0.3"/>
    <row r="38044" customFormat="1" x14ac:dyDescent="0.3"/>
    <row r="38045" customFormat="1" x14ac:dyDescent="0.3"/>
    <row r="38046" customFormat="1" x14ac:dyDescent="0.3"/>
    <row r="38047" customFormat="1" x14ac:dyDescent="0.3"/>
    <row r="38048" customFormat="1" x14ac:dyDescent="0.3"/>
    <row r="38049" customFormat="1" x14ac:dyDescent="0.3"/>
    <row r="38050" customFormat="1" x14ac:dyDescent="0.3"/>
    <row r="38051" customFormat="1" x14ac:dyDescent="0.3"/>
    <row r="38052" customFormat="1" x14ac:dyDescent="0.3"/>
    <row r="38053" customFormat="1" x14ac:dyDescent="0.3"/>
    <row r="38054" customFormat="1" x14ac:dyDescent="0.3"/>
    <row r="38055" customFormat="1" x14ac:dyDescent="0.3"/>
    <row r="38056" customFormat="1" x14ac:dyDescent="0.3"/>
    <row r="38057" customFormat="1" x14ac:dyDescent="0.3"/>
    <row r="38058" customFormat="1" x14ac:dyDescent="0.3"/>
    <row r="38059" customFormat="1" x14ac:dyDescent="0.3"/>
    <row r="38060" customFormat="1" x14ac:dyDescent="0.3"/>
    <row r="38061" customFormat="1" x14ac:dyDescent="0.3"/>
    <row r="38062" customFormat="1" x14ac:dyDescent="0.3"/>
    <row r="38063" customFormat="1" x14ac:dyDescent="0.3"/>
    <row r="38064" customFormat="1" x14ac:dyDescent="0.3"/>
    <row r="38065" customFormat="1" x14ac:dyDescent="0.3"/>
    <row r="38066" customFormat="1" x14ac:dyDescent="0.3"/>
    <row r="38067" customFormat="1" x14ac:dyDescent="0.3"/>
    <row r="38068" customFormat="1" x14ac:dyDescent="0.3"/>
    <row r="38069" customFormat="1" x14ac:dyDescent="0.3"/>
    <row r="38070" customFormat="1" x14ac:dyDescent="0.3"/>
    <row r="38071" customFormat="1" x14ac:dyDescent="0.3"/>
    <row r="38072" customFormat="1" x14ac:dyDescent="0.3"/>
    <row r="38073" customFormat="1" x14ac:dyDescent="0.3"/>
    <row r="38074" customFormat="1" x14ac:dyDescent="0.3"/>
    <row r="38075" customFormat="1" x14ac:dyDescent="0.3"/>
    <row r="38076" customFormat="1" x14ac:dyDescent="0.3"/>
    <row r="38077" customFormat="1" x14ac:dyDescent="0.3"/>
    <row r="38078" customFormat="1" x14ac:dyDescent="0.3"/>
    <row r="38079" customFormat="1" x14ac:dyDescent="0.3"/>
    <row r="38080" customFormat="1" x14ac:dyDescent="0.3"/>
    <row r="38081" customFormat="1" x14ac:dyDescent="0.3"/>
    <row r="38082" customFormat="1" x14ac:dyDescent="0.3"/>
    <row r="38083" customFormat="1" x14ac:dyDescent="0.3"/>
    <row r="38084" customFormat="1" x14ac:dyDescent="0.3"/>
    <row r="38085" customFormat="1" x14ac:dyDescent="0.3"/>
    <row r="38086" customFormat="1" x14ac:dyDescent="0.3"/>
    <row r="38087" customFormat="1" x14ac:dyDescent="0.3"/>
    <row r="38088" customFormat="1" x14ac:dyDescent="0.3"/>
    <row r="38089" customFormat="1" x14ac:dyDescent="0.3"/>
    <row r="38090" customFormat="1" x14ac:dyDescent="0.3"/>
    <row r="38091" customFormat="1" x14ac:dyDescent="0.3"/>
    <row r="38092" customFormat="1" x14ac:dyDescent="0.3"/>
    <row r="38093" customFormat="1" x14ac:dyDescent="0.3"/>
    <row r="38094" customFormat="1" x14ac:dyDescent="0.3"/>
    <row r="38095" customFormat="1" x14ac:dyDescent="0.3"/>
    <row r="38096" customFormat="1" x14ac:dyDescent="0.3"/>
    <row r="38097" customFormat="1" x14ac:dyDescent="0.3"/>
    <row r="38098" customFormat="1" x14ac:dyDescent="0.3"/>
    <row r="38099" customFormat="1" x14ac:dyDescent="0.3"/>
    <row r="38100" customFormat="1" x14ac:dyDescent="0.3"/>
    <row r="38101" customFormat="1" x14ac:dyDescent="0.3"/>
    <row r="38102" customFormat="1" x14ac:dyDescent="0.3"/>
    <row r="38103" customFormat="1" x14ac:dyDescent="0.3"/>
    <row r="38104" customFormat="1" x14ac:dyDescent="0.3"/>
    <row r="38105" customFormat="1" x14ac:dyDescent="0.3"/>
    <row r="38106" customFormat="1" x14ac:dyDescent="0.3"/>
    <row r="38107" customFormat="1" x14ac:dyDescent="0.3"/>
    <row r="38108" customFormat="1" x14ac:dyDescent="0.3"/>
    <row r="38109" customFormat="1" x14ac:dyDescent="0.3"/>
    <row r="38110" customFormat="1" x14ac:dyDescent="0.3"/>
    <row r="38111" customFormat="1" x14ac:dyDescent="0.3"/>
    <row r="38112" customFormat="1" x14ac:dyDescent="0.3"/>
    <row r="38113" customFormat="1" x14ac:dyDescent="0.3"/>
    <row r="38114" customFormat="1" x14ac:dyDescent="0.3"/>
    <row r="38115" customFormat="1" x14ac:dyDescent="0.3"/>
    <row r="38116" customFormat="1" x14ac:dyDescent="0.3"/>
    <row r="38117" customFormat="1" x14ac:dyDescent="0.3"/>
    <row r="38118" customFormat="1" x14ac:dyDescent="0.3"/>
    <row r="38119" customFormat="1" x14ac:dyDescent="0.3"/>
    <row r="38120" customFormat="1" x14ac:dyDescent="0.3"/>
    <row r="38121" customFormat="1" x14ac:dyDescent="0.3"/>
    <row r="38122" customFormat="1" x14ac:dyDescent="0.3"/>
    <row r="38123" customFormat="1" x14ac:dyDescent="0.3"/>
    <row r="38124" customFormat="1" x14ac:dyDescent="0.3"/>
    <row r="38125" customFormat="1" x14ac:dyDescent="0.3"/>
    <row r="38126" customFormat="1" x14ac:dyDescent="0.3"/>
    <row r="38127" customFormat="1" x14ac:dyDescent="0.3"/>
    <row r="38128" customFormat="1" x14ac:dyDescent="0.3"/>
    <row r="38129" customFormat="1" x14ac:dyDescent="0.3"/>
    <row r="38130" customFormat="1" x14ac:dyDescent="0.3"/>
    <row r="38131" customFormat="1" x14ac:dyDescent="0.3"/>
    <row r="38132" customFormat="1" x14ac:dyDescent="0.3"/>
    <row r="38133" customFormat="1" x14ac:dyDescent="0.3"/>
    <row r="38134" customFormat="1" x14ac:dyDescent="0.3"/>
    <row r="38135" customFormat="1" x14ac:dyDescent="0.3"/>
    <row r="38136" customFormat="1" x14ac:dyDescent="0.3"/>
    <row r="38137" customFormat="1" x14ac:dyDescent="0.3"/>
    <row r="38138" customFormat="1" x14ac:dyDescent="0.3"/>
    <row r="38139" customFormat="1" x14ac:dyDescent="0.3"/>
    <row r="38140" customFormat="1" x14ac:dyDescent="0.3"/>
    <row r="38141" customFormat="1" x14ac:dyDescent="0.3"/>
    <row r="38142" customFormat="1" x14ac:dyDescent="0.3"/>
    <row r="38143" customFormat="1" x14ac:dyDescent="0.3"/>
    <row r="38144" customFormat="1" x14ac:dyDescent="0.3"/>
    <row r="38145" customFormat="1" x14ac:dyDescent="0.3"/>
    <row r="38146" customFormat="1" x14ac:dyDescent="0.3"/>
    <row r="38147" customFormat="1" x14ac:dyDescent="0.3"/>
    <row r="38148" customFormat="1" x14ac:dyDescent="0.3"/>
    <row r="38149" customFormat="1" x14ac:dyDescent="0.3"/>
    <row r="38150" customFormat="1" x14ac:dyDescent="0.3"/>
    <row r="38151" customFormat="1" x14ac:dyDescent="0.3"/>
    <row r="38152" customFormat="1" x14ac:dyDescent="0.3"/>
    <row r="38153" customFormat="1" x14ac:dyDescent="0.3"/>
    <row r="38154" customFormat="1" x14ac:dyDescent="0.3"/>
    <row r="38155" customFormat="1" x14ac:dyDescent="0.3"/>
    <row r="38156" customFormat="1" x14ac:dyDescent="0.3"/>
    <row r="38157" customFormat="1" x14ac:dyDescent="0.3"/>
    <row r="38158" customFormat="1" x14ac:dyDescent="0.3"/>
    <row r="38159" customFormat="1" x14ac:dyDescent="0.3"/>
    <row r="38160" customFormat="1" x14ac:dyDescent="0.3"/>
    <row r="38161" customFormat="1" x14ac:dyDescent="0.3"/>
    <row r="38162" customFormat="1" x14ac:dyDescent="0.3"/>
    <row r="38163" customFormat="1" x14ac:dyDescent="0.3"/>
    <row r="38164" customFormat="1" x14ac:dyDescent="0.3"/>
    <row r="38165" customFormat="1" x14ac:dyDescent="0.3"/>
    <row r="38166" customFormat="1" x14ac:dyDescent="0.3"/>
    <row r="38167" customFormat="1" x14ac:dyDescent="0.3"/>
    <row r="38168" customFormat="1" x14ac:dyDescent="0.3"/>
    <row r="38169" customFormat="1" x14ac:dyDescent="0.3"/>
    <row r="38170" customFormat="1" x14ac:dyDescent="0.3"/>
    <row r="38171" customFormat="1" x14ac:dyDescent="0.3"/>
    <row r="38172" customFormat="1" x14ac:dyDescent="0.3"/>
    <row r="38173" customFormat="1" x14ac:dyDescent="0.3"/>
    <row r="38174" customFormat="1" x14ac:dyDescent="0.3"/>
    <row r="38175" customFormat="1" x14ac:dyDescent="0.3"/>
    <row r="38176" customFormat="1" x14ac:dyDescent="0.3"/>
    <row r="38177" customFormat="1" x14ac:dyDescent="0.3"/>
    <row r="38178" customFormat="1" x14ac:dyDescent="0.3"/>
    <row r="38179" customFormat="1" x14ac:dyDescent="0.3"/>
    <row r="38180" customFormat="1" x14ac:dyDescent="0.3"/>
    <row r="38181" customFormat="1" x14ac:dyDescent="0.3"/>
    <row r="38182" customFormat="1" x14ac:dyDescent="0.3"/>
    <row r="38183" customFormat="1" x14ac:dyDescent="0.3"/>
    <row r="38184" customFormat="1" x14ac:dyDescent="0.3"/>
    <row r="38185" customFormat="1" x14ac:dyDescent="0.3"/>
    <row r="38186" customFormat="1" x14ac:dyDescent="0.3"/>
    <row r="38187" customFormat="1" x14ac:dyDescent="0.3"/>
    <row r="38188" customFormat="1" x14ac:dyDescent="0.3"/>
    <row r="38189" customFormat="1" x14ac:dyDescent="0.3"/>
    <row r="38190" customFormat="1" x14ac:dyDescent="0.3"/>
    <row r="38191" customFormat="1" x14ac:dyDescent="0.3"/>
    <row r="38192" customFormat="1" x14ac:dyDescent="0.3"/>
    <row r="38193" customFormat="1" x14ac:dyDescent="0.3"/>
    <row r="38194" customFormat="1" x14ac:dyDescent="0.3"/>
    <row r="38195" customFormat="1" x14ac:dyDescent="0.3"/>
    <row r="38196" customFormat="1" x14ac:dyDescent="0.3"/>
    <row r="38197" customFormat="1" x14ac:dyDescent="0.3"/>
    <row r="38198" customFormat="1" x14ac:dyDescent="0.3"/>
    <row r="38199" customFormat="1" x14ac:dyDescent="0.3"/>
    <row r="38200" customFormat="1" x14ac:dyDescent="0.3"/>
    <row r="38201" customFormat="1" x14ac:dyDescent="0.3"/>
    <row r="38202" customFormat="1" x14ac:dyDescent="0.3"/>
    <row r="38203" customFormat="1" x14ac:dyDescent="0.3"/>
    <row r="38204" customFormat="1" x14ac:dyDescent="0.3"/>
    <row r="38205" customFormat="1" x14ac:dyDescent="0.3"/>
    <row r="38206" customFormat="1" x14ac:dyDescent="0.3"/>
    <row r="38207" customFormat="1" x14ac:dyDescent="0.3"/>
    <row r="38208" customFormat="1" x14ac:dyDescent="0.3"/>
    <row r="38209" customFormat="1" x14ac:dyDescent="0.3"/>
    <row r="38210" customFormat="1" x14ac:dyDescent="0.3"/>
    <row r="38211" customFormat="1" x14ac:dyDescent="0.3"/>
    <row r="38212" customFormat="1" x14ac:dyDescent="0.3"/>
    <row r="38213" customFormat="1" x14ac:dyDescent="0.3"/>
    <row r="38214" customFormat="1" x14ac:dyDescent="0.3"/>
    <row r="38215" customFormat="1" x14ac:dyDescent="0.3"/>
    <row r="38216" customFormat="1" x14ac:dyDescent="0.3"/>
    <row r="38217" customFormat="1" x14ac:dyDescent="0.3"/>
    <row r="38218" customFormat="1" x14ac:dyDescent="0.3"/>
    <row r="38219" customFormat="1" x14ac:dyDescent="0.3"/>
    <row r="38220" customFormat="1" x14ac:dyDescent="0.3"/>
    <row r="38221" customFormat="1" x14ac:dyDescent="0.3"/>
    <row r="38222" customFormat="1" x14ac:dyDescent="0.3"/>
    <row r="38223" customFormat="1" x14ac:dyDescent="0.3"/>
    <row r="38224" customFormat="1" x14ac:dyDescent="0.3"/>
    <row r="38225" customFormat="1" x14ac:dyDescent="0.3"/>
    <row r="38226" customFormat="1" x14ac:dyDescent="0.3"/>
    <row r="38227" customFormat="1" x14ac:dyDescent="0.3"/>
    <row r="38228" customFormat="1" x14ac:dyDescent="0.3"/>
    <row r="38229" customFormat="1" x14ac:dyDescent="0.3"/>
    <row r="38230" customFormat="1" x14ac:dyDescent="0.3"/>
    <row r="38231" customFormat="1" x14ac:dyDescent="0.3"/>
    <row r="38232" customFormat="1" x14ac:dyDescent="0.3"/>
    <row r="38233" customFormat="1" x14ac:dyDescent="0.3"/>
    <row r="38234" customFormat="1" x14ac:dyDescent="0.3"/>
    <row r="38235" customFormat="1" x14ac:dyDescent="0.3"/>
    <row r="38236" customFormat="1" x14ac:dyDescent="0.3"/>
    <row r="38237" customFormat="1" x14ac:dyDescent="0.3"/>
    <row r="38238" customFormat="1" x14ac:dyDescent="0.3"/>
    <row r="38239" customFormat="1" x14ac:dyDescent="0.3"/>
    <row r="38240" customFormat="1" x14ac:dyDescent="0.3"/>
    <row r="38241" customFormat="1" x14ac:dyDescent="0.3"/>
    <row r="38242" customFormat="1" x14ac:dyDescent="0.3"/>
    <row r="38243" customFormat="1" x14ac:dyDescent="0.3"/>
    <row r="38244" customFormat="1" x14ac:dyDescent="0.3"/>
    <row r="38245" customFormat="1" x14ac:dyDescent="0.3"/>
    <row r="38246" customFormat="1" x14ac:dyDescent="0.3"/>
    <row r="38247" customFormat="1" x14ac:dyDescent="0.3"/>
    <row r="38248" customFormat="1" x14ac:dyDescent="0.3"/>
    <row r="38249" customFormat="1" x14ac:dyDescent="0.3"/>
    <row r="38250" customFormat="1" x14ac:dyDescent="0.3"/>
    <row r="38251" customFormat="1" x14ac:dyDescent="0.3"/>
    <row r="38252" customFormat="1" x14ac:dyDescent="0.3"/>
    <row r="38253" customFormat="1" x14ac:dyDescent="0.3"/>
    <row r="38254" customFormat="1" x14ac:dyDescent="0.3"/>
    <row r="38255" customFormat="1" x14ac:dyDescent="0.3"/>
    <row r="38256" customFormat="1" x14ac:dyDescent="0.3"/>
    <row r="38257" customFormat="1" x14ac:dyDescent="0.3"/>
    <row r="38258" customFormat="1" x14ac:dyDescent="0.3"/>
    <row r="38259" customFormat="1" x14ac:dyDescent="0.3"/>
    <row r="38260" customFormat="1" x14ac:dyDescent="0.3"/>
    <row r="38261" customFormat="1" x14ac:dyDescent="0.3"/>
    <row r="38262" customFormat="1" x14ac:dyDescent="0.3"/>
    <row r="38263" customFormat="1" x14ac:dyDescent="0.3"/>
    <row r="38264" customFormat="1" x14ac:dyDescent="0.3"/>
    <row r="38265" customFormat="1" x14ac:dyDescent="0.3"/>
    <row r="38266" customFormat="1" x14ac:dyDescent="0.3"/>
    <row r="38267" customFormat="1" x14ac:dyDescent="0.3"/>
    <row r="38268" customFormat="1" x14ac:dyDescent="0.3"/>
    <row r="38269" customFormat="1" x14ac:dyDescent="0.3"/>
    <row r="38270" customFormat="1" x14ac:dyDescent="0.3"/>
    <row r="38271" customFormat="1" x14ac:dyDescent="0.3"/>
    <row r="38272" customFormat="1" x14ac:dyDescent="0.3"/>
    <row r="38273" customFormat="1" x14ac:dyDescent="0.3"/>
    <row r="38274" customFormat="1" x14ac:dyDescent="0.3"/>
    <row r="38275" customFormat="1" x14ac:dyDescent="0.3"/>
    <row r="38276" customFormat="1" x14ac:dyDescent="0.3"/>
    <row r="38277" customFormat="1" x14ac:dyDescent="0.3"/>
    <row r="38278" customFormat="1" x14ac:dyDescent="0.3"/>
    <row r="38279" customFormat="1" x14ac:dyDescent="0.3"/>
    <row r="38280" customFormat="1" x14ac:dyDescent="0.3"/>
    <row r="38281" customFormat="1" x14ac:dyDescent="0.3"/>
    <row r="38282" customFormat="1" x14ac:dyDescent="0.3"/>
    <row r="38283" customFormat="1" x14ac:dyDescent="0.3"/>
    <row r="38284" customFormat="1" x14ac:dyDescent="0.3"/>
    <row r="38285" customFormat="1" x14ac:dyDescent="0.3"/>
    <row r="38286" customFormat="1" x14ac:dyDescent="0.3"/>
    <row r="38287" customFormat="1" x14ac:dyDescent="0.3"/>
    <row r="38288" customFormat="1" x14ac:dyDescent="0.3"/>
    <row r="38289" customFormat="1" x14ac:dyDescent="0.3"/>
    <row r="38290" customFormat="1" x14ac:dyDescent="0.3"/>
    <row r="38291" customFormat="1" x14ac:dyDescent="0.3"/>
    <row r="38292" customFormat="1" x14ac:dyDescent="0.3"/>
    <row r="38293" customFormat="1" x14ac:dyDescent="0.3"/>
    <row r="38294" customFormat="1" x14ac:dyDescent="0.3"/>
    <row r="38295" customFormat="1" x14ac:dyDescent="0.3"/>
    <row r="38296" customFormat="1" x14ac:dyDescent="0.3"/>
    <row r="38297" customFormat="1" x14ac:dyDescent="0.3"/>
    <row r="38298" customFormat="1" x14ac:dyDescent="0.3"/>
    <row r="38299" customFormat="1" x14ac:dyDescent="0.3"/>
    <row r="38300" customFormat="1" x14ac:dyDescent="0.3"/>
    <row r="38301" customFormat="1" x14ac:dyDescent="0.3"/>
    <row r="38302" customFormat="1" x14ac:dyDescent="0.3"/>
    <row r="38303" customFormat="1" x14ac:dyDescent="0.3"/>
    <row r="38304" customFormat="1" x14ac:dyDescent="0.3"/>
    <row r="38305" customFormat="1" x14ac:dyDescent="0.3"/>
    <row r="38306" customFormat="1" x14ac:dyDescent="0.3"/>
    <row r="38307" customFormat="1" x14ac:dyDescent="0.3"/>
    <row r="38308" customFormat="1" x14ac:dyDescent="0.3"/>
    <row r="38309" customFormat="1" x14ac:dyDescent="0.3"/>
    <row r="38310" customFormat="1" x14ac:dyDescent="0.3"/>
    <row r="38311" customFormat="1" x14ac:dyDescent="0.3"/>
    <row r="38312" customFormat="1" x14ac:dyDescent="0.3"/>
    <row r="38313" customFormat="1" x14ac:dyDescent="0.3"/>
    <row r="38314" customFormat="1" x14ac:dyDescent="0.3"/>
    <row r="38315" customFormat="1" x14ac:dyDescent="0.3"/>
    <row r="38316" customFormat="1" x14ac:dyDescent="0.3"/>
    <row r="38317" customFormat="1" x14ac:dyDescent="0.3"/>
    <row r="38318" customFormat="1" x14ac:dyDescent="0.3"/>
    <row r="38319" customFormat="1" x14ac:dyDescent="0.3"/>
    <row r="38320" customFormat="1" x14ac:dyDescent="0.3"/>
    <row r="38321" customFormat="1" x14ac:dyDescent="0.3"/>
    <row r="38322" customFormat="1" x14ac:dyDescent="0.3"/>
    <row r="38323" customFormat="1" x14ac:dyDescent="0.3"/>
    <row r="38324" customFormat="1" x14ac:dyDescent="0.3"/>
    <row r="38325" customFormat="1" x14ac:dyDescent="0.3"/>
    <row r="38326" customFormat="1" x14ac:dyDescent="0.3"/>
    <row r="38327" customFormat="1" x14ac:dyDescent="0.3"/>
    <row r="38328" customFormat="1" x14ac:dyDescent="0.3"/>
    <row r="38329" customFormat="1" x14ac:dyDescent="0.3"/>
    <row r="38330" customFormat="1" x14ac:dyDescent="0.3"/>
    <row r="38331" customFormat="1" x14ac:dyDescent="0.3"/>
    <row r="38332" customFormat="1" x14ac:dyDescent="0.3"/>
    <row r="38333" customFormat="1" x14ac:dyDescent="0.3"/>
    <row r="38334" customFormat="1" x14ac:dyDescent="0.3"/>
    <row r="38335" customFormat="1" x14ac:dyDescent="0.3"/>
    <row r="38336" customFormat="1" x14ac:dyDescent="0.3"/>
    <row r="38337" customFormat="1" x14ac:dyDescent="0.3"/>
    <row r="38338" customFormat="1" x14ac:dyDescent="0.3"/>
    <row r="38339" customFormat="1" x14ac:dyDescent="0.3"/>
    <row r="38340" customFormat="1" x14ac:dyDescent="0.3"/>
    <row r="38341" customFormat="1" x14ac:dyDescent="0.3"/>
    <row r="38342" customFormat="1" x14ac:dyDescent="0.3"/>
    <row r="38343" customFormat="1" x14ac:dyDescent="0.3"/>
    <row r="38344" customFormat="1" x14ac:dyDescent="0.3"/>
    <row r="38345" customFormat="1" x14ac:dyDescent="0.3"/>
    <row r="38346" customFormat="1" x14ac:dyDescent="0.3"/>
    <row r="38347" customFormat="1" x14ac:dyDescent="0.3"/>
    <row r="38348" customFormat="1" x14ac:dyDescent="0.3"/>
    <row r="38349" customFormat="1" x14ac:dyDescent="0.3"/>
    <row r="38350" customFormat="1" x14ac:dyDescent="0.3"/>
    <row r="38351" customFormat="1" x14ac:dyDescent="0.3"/>
    <row r="38352" customFormat="1" x14ac:dyDescent="0.3"/>
    <row r="38353" customFormat="1" x14ac:dyDescent="0.3"/>
    <row r="38354" customFormat="1" x14ac:dyDescent="0.3"/>
    <row r="38355" customFormat="1" x14ac:dyDescent="0.3"/>
    <row r="38356" customFormat="1" x14ac:dyDescent="0.3"/>
    <row r="38357" customFormat="1" x14ac:dyDescent="0.3"/>
    <row r="38358" customFormat="1" x14ac:dyDescent="0.3"/>
    <row r="38359" customFormat="1" x14ac:dyDescent="0.3"/>
    <row r="38360" customFormat="1" x14ac:dyDescent="0.3"/>
    <row r="38361" customFormat="1" x14ac:dyDescent="0.3"/>
    <row r="38362" customFormat="1" x14ac:dyDescent="0.3"/>
    <row r="38363" customFormat="1" x14ac:dyDescent="0.3"/>
    <row r="38364" customFormat="1" x14ac:dyDescent="0.3"/>
    <row r="38365" customFormat="1" x14ac:dyDescent="0.3"/>
    <row r="38366" customFormat="1" x14ac:dyDescent="0.3"/>
    <row r="38367" customFormat="1" x14ac:dyDescent="0.3"/>
    <row r="38368" customFormat="1" x14ac:dyDescent="0.3"/>
    <row r="38369" customFormat="1" x14ac:dyDescent="0.3"/>
    <row r="38370" customFormat="1" x14ac:dyDescent="0.3"/>
    <row r="38371" customFormat="1" x14ac:dyDescent="0.3"/>
    <row r="38372" customFormat="1" x14ac:dyDescent="0.3"/>
    <row r="38373" customFormat="1" x14ac:dyDescent="0.3"/>
    <row r="38374" customFormat="1" x14ac:dyDescent="0.3"/>
    <row r="38375" customFormat="1" x14ac:dyDescent="0.3"/>
    <row r="38376" customFormat="1" x14ac:dyDescent="0.3"/>
    <row r="38377" customFormat="1" x14ac:dyDescent="0.3"/>
    <row r="38378" customFormat="1" x14ac:dyDescent="0.3"/>
    <row r="38379" customFormat="1" x14ac:dyDescent="0.3"/>
    <row r="38380" customFormat="1" x14ac:dyDescent="0.3"/>
    <row r="38381" customFormat="1" x14ac:dyDescent="0.3"/>
    <row r="38382" customFormat="1" x14ac:dyDescent="0.3"/>
    <row r="38383" customFormat="1" x14ac:dyDescent="0.3"/>
    <row r="38384" customFormat="1" x14ac:dyDescent="0.3"/>
    <row r="38385" customFormat="1" x14ac:dyDescent="0.3"/>
    <row r="38386" customFormat="1" x14ac:dyDescent="0.3"/>
    <row r="38387" customFormat="1" x14ac:dyDescent="0.3"/>
    <row r="38388" customFormat="1" x14ac:dyDescent="0.3"/>
    <row r="38389" customFormat="1" x14ac:dyDescent="0.3"/>
    <row r="38390" customFormat="1" x14ac:dyDescent="0.3"/>
    <row r="38391" customFormat="1" x14ac:dyDescent="0.3"/>
    <row r="38392" customFormat="1" x14ac:dyDescent="0.3"/>
    <row r="38393" customFormat="1" x14ac:dyDescent="0.3"/>
    <row r="38394" customFormat="1" x14ac:dyDescent="0.3"/>
    <row r="38395" customFormat="1" x14ac:dyDescent="0.3"/>
    <row r="38396" customFormat="1" x14ac:dyDescent="0.3"/>
    <row r="38397" customFormat="1" x14ac:dyDescent="0.3"/>
    <row r="38398" customFormat="1" x14ac:dyDescent="0.3"/>
    <row r="38399" customFormat="1" x14ac:dyDescent="0.3"/>
    <row r="38400" customFormat="1" x14ac:dyDescent="0.3"/>
    <row r="38401" customFormat="1" x14ac:dyDescent="0.3"/>
    <row r="38402" customFormat="1" x14ac:dyDescent="0.3"/>
    <row r="38403" customFormat="1" x14ac:dyDescent="0.3"/>
    <row r="38404" customFormat="1" x14ac:dyDescent="0.3"/>
    <row r="38405" customFormat="1" x14ac:dyDescent="0.3"/>
    <row r="38406" customFormat="1" x14ac:dyDescent="0.3"/>
    <row r="38407" customFormat="1" x14ac:dyDescent="0.3"/>
    <row r="38408" customFormat="1" x14ac:dyDescent="0.3"/>
    <row r="38409" customFormat="1" x14ac:dyDescent="0.3"/>
    <row r="38410" customFormat="1" x14ac:dyDescent="0.3"/>
    <row r="38411" customFormat="1" x14ac:dyDescent="0.3"/>
    <row r="38412" customFormat="1" x14ac:dyDescent="0.3"/>
    <row r="38413" customFormat="1" x14ac:dyDescent="0.3"/>
    <row r="38414" customFormat="1" x14ac:dyDescent="0.3"/>
    <row r="38415" customFormat="1" x14ac:dyDescent="0.3"/>
    <row r="38416" customFormat="1" x14ac:dyDescent="0.3"/>
    <row r="38417" customFormat="1" x14ac:dyDescent="0.3"/>
    <row r="38418" customFormat="1" x14ac:dyDescent="0.3"/>
    <row r="38419" customFormat="1" x14ac:dyDescent="0.3"/>
    <row r="38420" customFormat="1" x14ac:dyDescent="0.3"/>
    <row r="38421" customFormat="1" x14ac:dyDescent="0.3"/>
    <row r="38422" customFormat="1" x14ac:dyDescent="0.3"/>
    <row r="38423" customFormat="1" x14ac:dyDescent="0.3"/>
    <row r="38424" customFormat="1" x14ac:dyDescent="0.3"/>
    <row r="38425" customFormat="1" x14ac:dyDescent="0.3"/>
    <row r="38426" customFormat="1" x14ac:dyDescent="0.3"/>
    <row r="38427" customFormat="1" x14ac:dyDescent="0.3"/>
    <row r="38428" customFormat="1" x14ac:dyDescent="0.3"/>
    <row r="38429" customFormat="1" x14ac:dyDescent="0.3"/>
    <row r="38430" customFormat="1" x14ac:dyDescent="0.3"/>
    <row r="38431" customFormat="1" x14ac:dyDescent="0.3"/>
    <row r="38432" customFormat="1" x14ac:dyDescent="0.3"/>
    <row r="38433" customFormat="1" x14ac:dyDescent="0.3"/>
    <row r="38434" customFormat="1" x14ac:dyDescent="0.3"/>
    <row r="38435" customFormat="1" x14ac:dyDescent="0.3"/>
    <row r="38436" customFormat="1" x14ac:dyDescent="0.3"/>
    <row r="38437" customFormat="1" x14ac:dyDescent="0.3"/>
    <row r="38438" customFormat="1" x14ac:dyDescent="0.3"/>
    <row r="38439" customFormat="1" x14ac:dyDescent="0.3"/>
    <row r="38440" customFormat="1" x14ac:dyDescent="0.3"/>
    <row r="38441" customFormat="1" x14ac:dyDescent="0.3"/>
    <row r="38442" customFormat="1" x14ac:dyDescent="0.3"/>
    <row r="38443" customFormat="1" x14ac:dyDescent="0.3"/>
    <row r="38444" customFormat="1" x14ac:dyDescent="0.3"/>
    <row r="38445" customFormat="1" x14ac:dyDescent="0.3"/>
    <row r="38446" customFormat="1" x14ac:dyDescent="0.3"/>
    <row r="38447" customFormat="1" x14ac:dyDescent="0.3"/>
    <row r="38448" customFormat="1" x14ac:dyDescent="0.3"/>
    <row r="38449" customFormat="1" x14ac:dyDescent="0.3"/>
    <row r="38450" customFormat="1" x14ac:dyDescent="0.3"/>
    <row r="38451" customFormat="1" x14ac:dyDescent="0.3"/>
    <row r="38452" customFormat="1" x14ac:dyDescent="0.3"/>
    <row r="38453" customFormat="1" x14ac:dyDescent="0.3"/>
    <row r="38454" customFormat="1" x14ac:dyDescent="0.3"/>
    <row r="38455" customFormat="1" x14ac:dyDescent="0.3"/>
    <row r="38456" customFormat="1" x14ac:dyDescent="0.3"/>
    <row r="38457" customFormat="1" x14ac:dyDescent="0.3"/>
    <row r="38458" customFormat="1" x14ac:dyDescent="0.3"/>
    <row r="38459" customFormat="1" x14ac:dyDescent="0.3"/>
    <row r="38460" customFormat="1" x14ac:dyDescent="0.3"/>
    <row r="38461" customFormat="1" x14ac:dyDescent="0.3"/>
    <row r="38462" customFormat="1" x14ac:dyDescent="0.3"/>
    <row r="38463" customFormat="1" x14ac:dyDescent="0.3"/>
    <row r="38464" customFormat="1" x14ac:dyDescent="0.3"/>
    <row r="38465" customFormat="1" x14ac:dyDescent="0.3"/>
    <row r="38466" customFormat="1" x14ac:dyDescent="0.3"/>
    <row r="38467" customFormat="1" x14ac:dyDescent="0.3"/>
    <row r="38468" customFormat="1" x14ac:dyDescent="0.3"/>
    <row r="38469" customFormat="1" x14ac:dyDescent="0.3"/>
    <row r="38470" customFormat="1" x14ac:dyDescent="0.3"/>
    <row r="38471" customFormat="1" x14ac:dyDescent="0.3"/>
    <row r="38472" customFormat="1" x14ac:dyDescent="0.3"/>
    <row r="38473" customFormat="1" x14ac:dyDescent="0.3"/>
    <row r="38474" customFormat="1" x14ac:dyDescent="0.3"/>
    <row r="38475" customFormat="1" x14ac:dyDescent="0.3"/>
    <row r="38476" customFormat="1" x14ac:dyDescent="0.3"/>
    <row r="38477" customFormat="1" x14ac:dyDescent="0.3"/>
    <row r="38478" customFormat="1" x14ac:dyDescent="0.3"/>
    <row r="38479" customFormat="1" x14ac:dyDescent="0.3"/>
    <row r="38480" customFormat="1" x14ac:dyDescent="0.3"/>
    <row r="38481" customFormat="1" x14ac:dyDescent="0.3"/>
    <row r="38482" customFormat="1" x14ac:dyDescent="0.3"/>
    <row r="38483" customFormat="1" x14ac:dyDescent="0.3"/>
    <row r="38484" customFormat="1" x14ac:dyDescent="0.3"/>
    <row r="38485" customFormat="1" x14ac:dyDescent="0.3"/>
    <row r="38486" customFormat="1" x14ac:dyDescent="0.3"/>
    <row r="38487" customFormat="1" x14ac:dyDescent="0.3"/>
    <row r="38488" customFormat="1" x14ac:dyDescent="0.3"/>
    <row r="38489" customFormat="1" x14ac:dyDescent="0.3"/>
    <row r="38490" customFormat="1" x14ac:dyDescent="0.3"/>
    <row r="38491" customFormat="1" x14ac:dyDescent="0.3"/>
    <row r="38492" customFormat="1" x14ac:dyDescent="0.3"/>
    <row r="38493" customFormat="1" x14ac:dyDescent="0.3"/>
    <row r="38494" customFormat="1" x14ac:dyDescent="0.3"/>
    <row r="38495" customFormat="1" x14ac:dyDescent="0.3"/>
    <row r="38496" customFormat="1" x14ac:dyDescent="0.3"/>
    <row r="38497" customFormat="1" x14ac:dyDescent="0.3"/>
    <row r="38498" customFormat="1" x14ac:dyDescent="0.3"/>
    <row r="38499" customFormat="1" x14ac:dyDescent="0.3"/>
    <row r="38500" customFormat="1" x14ac:dyDescent="0.3"/>
    <row r="38501" customFormat="1" x14ac:dyDescent="0.3"/>
    <row r="38502" customFormat="1" x14ac:dyDescent="0.3"/>
    <row r="38503" customFormat="1" x14ac:dyDescent="0.3"/>
    <row r="38504" customFormat="1" x14ac:dyDescent="0.3"/>
    <row r="38505" customFormat="1" x14ac:dyDescent="0.3"/>
    <row r="38506" customFormat="1" x14ac:dyDescent="0.3"/>
    <row r="38507" customFormat="1" x14ac:dyDescent="0.3"/>
    <row r="38508" customFormat="1" x14ac:dyDescent="0.3"/>
    <row r="38509" customFormat="1" x14ac:dyDescent="0.3"/>
    <row r="38510" customFormat="1" x14ac:dyDescent="0.3"/>
    <row r="38511" customFormat="1" x14ac:dyDescent="0.3"/>
    <row r="38512" customFormat="1" x14ac:dyDescent="0.3"/>
    <row r="38513" customFormat="1" x14ac:dyDescent="0.3"/>
    <row r="38514" customFormat="1" x14ac:dyDescent="0.3"/>
    <row r="38515" customFormat="1" x14ac:dyDescent="0.3"/>
    <row r="38516" customFormat="1" x14ac:dyDescent="0.3"/>
    <row r="38517" customFormat="1" x14ac:dyDescent="0.3"/>
    <row r="38518" customFormat="1" x14ac:dyDescent="0.3"/>
    <row r="38519" customFormat="1" x14ac:dyDescent="0.3"/>
    <row r="38520" customFormat="1" x14ac:dyDescent="0.3"/>
    <row r="38521" customFormat="1" x14ac:dyDescent="0.3"/>
    <row r="38522" customFormat="1" x14ac:dyDescent="0.3"/>
    <row r="38523" customFormat="1" x14ac:dyDescent="0.3"/>
    <row r="38524" customFormat="1" x14ac:dyDescent="0.3"/>
    <row r="38525" customFormat="1" x14ac:dyDescent="0.3"/>
    <row r="38526" customFormat="1" x14ac:dyDescent="0.3"/>
    <row r="38527" customFormat="1" x14ac:dyDescent="0.3"/>
    <row r="38528" customFormat="1" x14ac:dyDescent="0.3"/>
    <row r="38529" customFormat="1" x14ac:dyDescent="0.3"/>
    <row r="38530" customFormat="1" x14ac:dyDescent="0.3"/>
    <row r="38531" customFormat="1" x14ac:dyDescent="0.3"/>
    <row r="38532" customFormat="1" x14ac:dyDescent="0.3"/>
    <row r="38533" customFormat="1" x14ac:dyDescent="0.3"/>
    <row r="38534" customFormat="1" x14ac:dyDescent="0.3"/>
    <row r="38535" customFormat="1" x14ac:dyDescent="0.3"/>
    <row r="38536" customFormat="1" x14ac:dyDescent="0.3"/>
    <row r="38537" customFormat="1" x14ac:dyDescent="0.3"/>
    <row r="38538" customFormat="1" x14ac:dyDescent="0.3"/>
    <row r="38539" customFormat="1" x14ac:dyDescent="0.3"/>
    <row r="38540" customFormat="1" x14ac:dyDescent="0.3"/>
    <row r="38541" customFormat="1" x14ac:dyDescent="0.3"/>
    <row r="38542" customFormat="1" x14ac:dyDescent="0.3"/>
    <row r="38543" customFormat="1" x14ac:dyDescent="0.3"/>
    <row r="38544" customFormat="1" x14ac:dyDescent="0.3"/>
    <row r="38545" customFormat="1" x14ac:dyDescent="0.3"/>
    <row r="38546" customFormat="1" x14ac:dyDescent="0.3"/>
    <row r="38547" customFormat="1" x14ac:dyDescent="0.3"/>
    <row r="38548" customFormat="1" x14ac:dyDescent="0.3"/>
    <row r="38549" customFormat="1" x14ac:dyDescent="0.3"/>
    <row r="38550" customFormat="1" x14ac:dyDescent="0.3"/>
    <row r="38551" customFormat="1" x14ac:dyDescent="0.3"/>
    <row r="38552" customFormat="1" x14ac:dyDescent="0.3"/>
    <row r="38553" customFormat="1" x14ac:dyDescent="0.3"/>
    <row r="38554" customFormat="1" x14ac:dyDescent="0.3"/>
    <row r="38555" customFormat="1" x14ac:dyDescent="0.3"/>
    <row r="38556" customFormat="1" x14ac:dyDescent="0.3"/>
    <row r="38557" customFormat="1" x14ac:dyDescent="0.3"/>
    <row r="38558" customFormat="1" x14ac:dyDescent="0.3"/>
    <row r="38559" customFormat="1" x14ac:dyDescent="0.3"/>
    <row r="38560" customFormat="1" x14ac:dyDescent="0.3"/>
    <row r="38561" customFormat="1" x14ac:dyDescent="0.3"/>
    <row r="38562" customFormat="1" x14ac:dyDescent="0.3"/>
    <row r="38563" customFormat="1" x14ac:dyDescent="0.3"/>
    <row r="38564" customFormat="1" x14ac:dyDescent="0.3"/>
    <row r="38565" customFormat="1" x14ac:dyDescent="0.3"/>
    <row r="38566" customFormat="1" x14ac:dyDescent="0.3"/>
    <row r="38567" customFormat="1" x14ac:dyDescent="0.3"/>
    <row r="38568" customFormat="1" x14ac:dyDescent="0.3"/>
    <row r="38569" customFormat="1" x14ac:dyDescent="0.3"/>
    <row r="38570" customFormat="1" x14ac:dyDescent="0.3"/>
    <row r="38571" customFormat="1" x14ac:dyDescent="0.3"/>
    <row r="38572" customFormat="1" x14ac:dyDescent="0.3"/>
    <row r="38573" customFormat="1" x14ac:dyDescent="0.3"/>
    <row r="38574" customFormat="1" x14ac:dyDescent="0.3"/>
    <row r="38575" customFormat="1" x14ac:dyDescent="0.3"/>
    <row r="38576" customFormat="1" x14ac:dyDescent="0.3"/>
    <row r="38577" customFormat="1" x14ac:dyDescent="0.3"/>
    <row r="38578" customFormat="1" x14ac:dyDescent="0.3"/>
    <row r="38579" customFormat="1" x14ac:dyDescent="0.3"/>
    <row r="38580" customFormat="1" x14ac:dyDescent="0.3"/>
    <row r="38581" customFormat="1" x14ac:dyDescent="0.3"/>
    <row r="38582" customFormat="1" x14ac:dyDescent="0.3"/>
    <row r="38583" customFormat="1" x14ac:dyDescent="0.3"/>
    <row r="38584" customFormat="1" x14ac:dyDescent="0.3"/>
    <row r="38585" customFormat="1" x14ac:dyDescent="0.3"/>
    <row r="38586" customFormat="1" x14ac:dyDescent="0.3"/>
    <row r="38587" customFormat="1" x14ac:dyDescent="0.3"/>
    <row r="38588" customFormat="1" x14ac:dyDescent="0.3"/>
    <row r="38589" customFormat="1" x14ac:dyDescent="0.3"/>
    <row r="38590" customFormat="1" x14ac:dyDescent="0.3"/>
    <row r="38591" customFormat="1" x14ac:dyDescent="0.3"/>
    <row r="38592" customFormat="1" x14ac:dyDescent="0.3"/>
    <row r="38593" customFormat="1" x14ac:dyDescent="0.3"/>
    <row r="38594" customFormat="1" x14ac:dyDescent="0.3"/>
    <row r="38595" customFormat="1" x14ac:dyDescent="0.3"/>
    <row r="38596" customFormat="1" x14ac:dyDescent="0.3"/>
    <row r="38597" customFormat="1" x14ac:dyDescent="0.3"/>
    <row r="38598" customFormat="1" x14ac:dyDescent="0.3"/>
    <row r="38599" customFormat="1" x14ac:dyDescent="0.3"/>
    <row r="38600" customFormat="1" x14ac:dyDescent="0.3"/>
    <row r="38601" customFormat="1" x14ac:dyDescent="0.3"/>
    <row r="38602" customFormat="1" x14ac:dyDescent="0.3"/>
    <row r="38603" customFormat="1" x14ac:dyDescent="0.3"/>
    <row r="38604" customFormat="1" x14ac:dyDescent="0.3"/>
    <row r="38605" customFormat="1" x14ac:dyDescent="0.3"/>
    <row r="38606" customFormat="1" x14ac:dyDescent="0.3"/>
    <row r="38607" customFormat="1" x14ac:dyDescent="0.3"/>
    <row r="38608" customFormat="1" x14ac:dyDescent="0.3"/>
    <row r="38609" customFormat="1" x14ac:dyDescent="0.3"/>
    <row r="38610" customFormat="1" x14ac:dyDescent="0.3"/>
    <row r="38611" customFormat="1" x14ac:dyDescent="0.3"/>
    <row r="38612" customFormat="1" x14ac:dyDescent="0.3"/>
    <row r="38613" customFormat="1" x14ac:dyDescent="0.3"/>
    <row r="38614" customFormat="1" x14ac:dyDescent="0.3"/>
    <row r="38615" customFormat="1" x14ac:dyDescent="0.3"/>
    <row r="38616" customFormat="1" x14ac:dyDescent="0.3"/>
    <row r="38617" customFormat="1" x14ac:dyDescent="0.3"/>
    <row r="38618" customFormat="1" x14ac:dyDescent="0.3"/>
    <row r="38619" customFormat="1" x14ac:dyDescent="0.3"/>
    <row r="38620" customFormat="1" x14ac:dyDescent="0.3"/>
    <row r="38621" customFormat="1" x14ac:dyDescent="0.3"/>
    <row r="38622" customFormat="1" x14ac:dyDescent="0.3"/>
    <row r="38623" customFormat="1" x14ac:dyDescent="0.3"/>
    <row r="38624" customFormat="1" x14ac:dyDescent="0.3"/>
    <row r="38625" customFormat="1" x14ac:dyDescent="0.3"/>
    <row r="38626" customFormat="1" x14ac:dyDescent="0.3"/>
    <row r="38627" customFormat="1" x14ac:dyDescent="0.3"/>
    <row r="38628" customFormat="1" x14ac:dyDescent="0.3"/>
    <row r="38629" customFormat="1" x14ac:dyDescent="0.3"/>
    <row r="38630" customFormat="1" x14ac:dyDescent="0.3"/>
    <row r="38631" customFormat="1" x14ac:dyDescent="0.3"/>
    <row r="38632" customFormat="1" x14ac:dyDescent="0.3"/>
    <row r="38633" customFormat="1" x14ac:dyDescent="0.3"/>
    <row r="38634" customFormat="1" x14ac:dyDescent="0.3"/>
    <row r="38635" customFormat="1" x14ac:dyDescent="0.3"/>
    <row r="38636" customFormat="1" x14ac:dyDescent="0.3"/>
    <row r="38637" customFormat="1" x14ac:dyDescent="0.3"/>
    <row r="38638" customFormat="1" x14ac:dyDescent="0.3"/>
    <row r="38639" customFormat="1" x14ac:dyDescent="0.3"/>
    <row r="38640" customFormat="1" x14ac:dyDescent="0.3"/>
    <row r="38641" customFormat="1" x14ac:dyDescent="0.3"/>
    <row r="38642" customFormat="1" x14ac:dyDescent="0.3"/>
    <row r="38643" customFormat="1" x14ac:dyDescent="0.3"/>
    <row r="38644" customFormat="1" x14ac:dyDescent="0.3"/>
    <row r="38645" customFormat="1" x14ac:dyDescent="0.3"/>
    <row r="38646" customFormat="1" x14ac:dyDescent="0.3"/>
    <row r="38647" customFormat="1" x14ac:dyDescent="0.3"/>
    <row r="38648" customFormat="1" x14ac:dyDescent="0.3"/>
    <row r="38649" customFormat="1" x14ac:dyDescent="0.3"/>
    <row r="38650" customFormat="1" x14ac:dyDescent="0.3"/>
    <row r="38651" customFormat="1" x14ac:dyDescent="0.3"/>
    <row r="38652" customFormat="1" x14ac:dyDescent="0.3"/>
    <row r="38653" customFormat="1" x14ac:dyDescent="0.3"/>
    <row r="38654" customFormat="1" x14ac:dyDescent="0.3"/>
    <row r="38655" customFormat="1" x14ac:dyDescent="0.3"/>
    <row r="38656" customFormat="1" x14ac:dyDescent="0.3"/>
    <row r="38657" customFormat="1" x14ac:dyDescent="0.3"/>
    <row r="38658" customFormat="1" x14ac:dyDescent="0.3"/>
    <row r="38659" customFormat="1" x14ac:dyDescent="0.3"/>
    <row r="38660" customFormat="1" x14ac:dyDescent="0.3"/>
    <row r="38661" customFormat="1" x14ac:dyDescent="0.3"/>
    <row r="38662" customFormat="1" x14ac:dyDescent="0.3"/>
    <row r="38663" customFormat="1" x14ac:dyDescent="0.3"/>
    <row r="38664" customFormat="1" x14ac:dyDescent="0.3"/>
    <row r="38665" customFormat="1" x14ac:dyDescent="0.3"/>
    <row r="38666" customFormat="1" x14ac:dyDescent="0.3"/>
    <row r="38667" customFormat="1" x14ac:dyDescent="0.3"/>
    <row r="38668" customFormat="1" x14ac:dyDescent="0.3"/>
    <row r="38669" customFormat="1" x14ac:dyDescent="0.3"/>
    <row r="38670" customFormat="1" x14ac:dyDescent="0.3"/>
    <row r="38671" customFormat="1" x14ac:dyDescent="0.3"/>
    <row r="38672" customFormat="1" x14ac:dyDescent="0.3"/>
    <row r="38673" customFormat="1" x14ac:dyDescent="0.3"/>
    <row r="38674" customFormat="1" x14ac:dyDescent="0.3"/>
    <row r="38675" customFormat="1" x14ac:dyDescent="0.3"/>
    <row r="38676" customFormat="1" x14ac:dyDescent="0.3"/>
    <row r="38677" customFormat="1" x14ac:dyDescent="0.3"/>
    <row r="38678" customFormat="1" x14ac:dyDescent="0.3"/>
    <row r="38679" customFormat="1" x14ac:dyDescent="0.3"/>
    <row r="38680" customFormat="1" x14ac:dyDescent="0.3"/>
    <row r="38681" customFormat="1" x14ac:dyDescent="0.3"/>
    <row r="38682" customFormat="1" x14ac:dyDescent="0.3"/>
    <row r="38683" customFormat="1" x14ac:dyDescent="0.3"/>
    <row r="38684" customFormat="1" x14ac:dyDescent="0.3"/>
    <row r="38685" customFormat="1" x14ac:dyDescent="0.3"/>
    <row r="38686" customFormat="1" x14ac:dyDescent="0.3"/>
    <row r="38687" customFormat="1" x14ac:dyDescent="0.3"/>
    <row r="38688" customFormat="1" x14ac:dyDescent="0.3"/>
    <row r="38689" customFormat="1" x14ac:dyDescent="0.3"/>
    <row r="38690" customFormat="1" x14ac:dyDescent="0.3"/>
    <row r="38691" customFormat="1" x14ac:dyDescent="0.3"/>
    <row r="38692" customFormat="1" x14ac:dyDescent="0.3"/>
    <row r="38693" customFormat="1" x14ac:dyDescent="0.3"/>
    <row r="38694" customFormat="1" x14ac:dyDescent="0.3"/>
    <row r="38695" customFormat="1" x14ac:dyDescent="0.3"/>
    <row r="38696" customFormat="1" x14ac:dyDescent="0.3"/>
    <row r="38697" customFormat="1" x14ac:dyDescent="0.3"/>
    <row r="38698" customFormat="1" x14ac:dyDescent="0.3"/>
    <row r="38699" customFormat="1" x14ac:dyDescent="0.3"/>
    <row r="38700" customFormat="1" x14ac:dyDescent="0.3"/>
    <row r="38701" customFormat="1" x14ac:dyDescent="0.3"/>
    <row r="38702" customFormat="1" x14ac:dyDescent="0.3"/>
    <row r="38703" customFormat="1" x14ac:dyDescent="0.3"/>
    <row r="38704" customFormat="1" x14ac:dyDescent="0.3"/>
    <row r="38705" customFormat="1" x14ac:dyDescent="0.3"/>
    <row r="38706" customFormat="1" x14ac:dyDescent="0.3"/>
    <row r="38707" customFormat="1" x14ac:dyDescent="0.3"/>
    <row r="38708" customFormat="1" x14ac:dyDescent="0.3"/>
    <row r="38709" customFormat="1" x14ac:dyDescent="0.3"/>
    <row r="38710" customFormat="1" x14ac:dyDescent="0.3"/>
    <row r="38711" customFormat="1" x14ac:dyDescent="0.3"/>
    <row r="38712" customFormat="1" x14ac:dyDescent="0.3"/>
    <row r="38713" customFormat="1" x14ac:dyDescent="0.3"/>
    <row r="38714" customFormat="1" x14ac:dyDescent="0.3"/>
    <row r="38715" customFormat="1" x14ac:dyDescent="0.3"/>
    <row r="38716" customFormat="1" x14ac:dyDescent="0.3"/>
    <row r="38717" customFormat="1" x14ac:dyDescent="0.3"/>
    <row r="38718" customFormat="1" x14ac:dyDescent="0.3"/>
    <row r="38719" customFormat="1" x14ac:dyDescent="0.3"/>
    <row r="38720" customFormat="1" x14ac:dyDescent="0.3"/>
    <row r="38721" customFormat="1" x14ac:dyDescent="0.3"/>
    <row r="38722" customFormat="1" x14ac:dyDescent="0.3"/>
    <row r="38723" customFormat="1" x14ac:dyDescent="0.3"/>
    <row r="38724" customFormat="1" x14ac:dyDescent="0.3"/>
    <row r="38725" customFormat="1" x14ac:dyDescent="0.3"/>
    <row r="38726" customFormat="1" x14ac:dyDescent="0.3"/>
    <row r="38727" customFormat="1" x14ac:dyDescent="0.3"/>
    <row r="38728" customFormat="1" x14ac:dyDescent="0.3"/>
    <row r="38729" customFormat="1" x14ac:dyDescent="0.3"/>
    <row r="38730" customFormat="1" x14ac:dyDescent="0.3"/>
    <row r="38731" customFormat="1" x14ac:dyDescent="0.3"/>
    <row r="38732" customFormat="1" x14ac:dyDescent="0.3"/>
    <row r="38733" customFormat="1" x14ac:dyDescent="0.3"/>
    <row r="38734" customFormat="1" x14ac:dyDescent="0.3"/>
    <row r="38735" customFormat="1" x14ac:dyDescent="0.3"/>
    <row r="38736" customFormat="1" x14ac:dyDescent="0.3"/>
    <row r="38737" customFormat="1" x14ac:dyDescent="0.3"/>
    <row r="38738" customFormat="1" x14ac:dyDescent="0.3"/>
    <row r="38739" customFormat="1" x14ac:dyDescent="0.3"/>
    <row r="38740" customFormat="1" x14ac:dyDescent="0.3"/>
    <row r="38741" customFormat="1" x14ac:dyDescent="0.3"/>
    <row r="38742" customFormat="1" x14ac:dyDescent="0.3"/>
    <row r="38743" customFormat="1" x14ac:dyDescent="0.3"/>
    <row r="38744" customFormat="1" x14ac:dyDescent="0.3"/>
    <row r="38745" customFormat="1" x14ac:dyDescent="0.3"/>
    <row r="38746" customFormat="1" x14ac:dyDescent="0.3"/>
    <row r="38747" customFormat="1" x14ac:dyDescent="0.3"/>
    <row r="38748" customFormat="1" x14ac:dyDescent="0.3"/>
    <row r="38749" customFormat="1" x14ac:dyDescent="0.3"/>
    <row r="38750" customFormat="1" x14ac:dyDescent="0.3"/>
    <row r="38751" customFormat="1" x14ac:dyDescent="0.3"/>
    <row r="38752" customFormat="1" x14ac:dyDescent="0.3"/>
    <row r="38753" customFormat="1" x14ac:dyDescent="0.3"/>
    <row r="38754" customFormat="1" x14ac:dyDescent="0.3"/>
    <row r="38755" customFormat="1" x14ac:dyDescent="0.3"/>
    <row r="38756" customFormat="1" x14ac:dyDescent="0.3"/>
    <row r="38757" customFormat="1" x14ac:dyDescent="0.3"/>
    <row r="38758" customFormat="1" x14ac:dyDescent="0.3"/>
    <row r="38759" customFormat="1" x14ac:dyDescent="0.3"/>
    <row r="38760" customFormat="1" x14ac:dyDescent="0.3"/>
    <row r="38761" customFormat="1" x14ac:dyDescent="0.3"/>
    <row r="38762" customFormat="1" x14ac:dyDescent="0.3"/>
    <row r="38763" customFormat="1" x14ac:dyDescent="0.3"/>
    <row r="38764" customFormat="1" x14ac:dyDescent="0.3"/>
    <row r="38765" customFormat="1" x14ac:dyDescent="0.3"/>
    <row r="38766" customFormat="1" x14ac:dyDescent="0.3"/>
    <row r="38767" customFormat="1" x14ac:dyDescent="0.3"/>
    <row r="38768" customFormat="1" x14ac:dyDescent="0.3"/>
    <row r="38769" customFormat="1" x14ac:dyDescent="0.3"/>
    <row r="38770" customFormat="1" x14ac:dyDescent="0.3"/>
    <row r="38771" customFormat="1" x14ac:dyDescent="0.3"/>
    <row r="38772" customFormat="1" x14ac:dyDescent="0.3"/>
    <row r="38773" customFormat="1" x14ac:dyDescent="0.3"/>
    <row r="38774" customFormat="1" x14ac:dyDescent="0.3"/>
    <row r="38775" customFormat="1" x14ac:dyDescent="0.3"/>
    <row r="38776" customFormat="1" x14ac:dyDescent="0.3"/>
    <row r="38777" customFormat="1" x14ac:dyDescent="0.3"/>
    <row r="38778" customFormat="1" x14ac:dyDescent="0.3"/>
    <row r="38779" customFormat="1" x14ac:dyDescent="0.3"/>
    <row r="38780" customFormat="1" x14ac:dyDescent="0.3"/>
    <row r="38781" customFormat="1" x14ac:dyDescent="0.3"/>
    <row r="38782" customFormat="1" x14ac:dyDescent="0.3"/>
    <row r="38783" customFormat="1" x14ac:dyDescent="0.3"/>
    <row r="38784" customFormat="1" x14ac:dyDescent="0.3"/>
    <row r="38785" customFormat="1" x14ac:dyDescent="0.3"/>
    <row r="38786" customFormat="1" x14ac:dyDescent="0.3"/>
    <row r="38787" customFormat="1" x14ac:dyDescent="0.3"/>
    <row r="38788" customFormat="1" x14ac:dyDescent="0.3"/>
    <row r="38789" customFormat="1" x14ac:dyDescent="0.3"/>
    <row r="38790" customFormat="1" x14ac:dyDescent="0.3"/>
    <row r="38791" customFormat="1" x14ac:dyDescent="0.3"/>
    <row r="38792" customFormat="1" x14ac:dyDescent="0.3"/>
    <row r="38793" customFormat="1" x14ac:dyDescent="0.3"/>
    <row r="38794" customFormat="1" x14ac:dyDescent="0.3"/>
    <row r="38795" customFormat="1" x14ac:dyDescent="0.3"/>
    <row r="38796" customFormat="1" x14ac:dyDescent="0.3"/>
    <row r="38797" customFormat="1" x14ac:dyDescent="0.3"/>
    <row r="38798" customFormat="1" x14ac:dyDescent="0.3"/>
    <row r="38799" customFormat="1" x14ac:dyDescent="0.3"/>
    <row r="38800" customFormat="1" x14ac:dyDescent="0.3"/>
    <row r="38801" customFormat="1" x14ac:dyDescent="0.3"/>
    <row r="38802" customFormat="1" x14ac:dyDescent="0.3"/>
    <row r="38803" customFormat="1" x14ac:dyDescent="0.3"/>
    <row r="38804" customFormat="1" x14ac:dyDescent="0.3"/>
    <row r="38805" customFormat="1" x14ac:dyDescent="0.3"/>
    <row r="38806" customFormat="1" x14ac:dyDescent="0.3"/>
    <row r="38807" customFormat="1" x14ac:dyDescent="0.3"/>
    <row r="38808" customFormat="1" x14ac:dyDescent="0.3"/>
    <row r="38809" customFormat="1" x14ac:dyDescent="0.3"/>
    <row r="38810" customFormat="1" x14ac:dyDescent="0.3"/>
    <row r="38811" customFormat="1" x14ac:dyDescent="0.3"/>
    <row r="38812" customFormat="1" x14ac:dyDescent="0.3"/>
    <row r="38813" customFormat="1" x14ac:dyDescent="0.3"/>
    <row r="38814" customFormat="1" x14ac:dyDescent="0.3"/>
    <row r="38815" customFormat="1" x14ac:dyDescent="0.3"/>
    <row r="38816" customFormat="1" x14ac:dyDescent="0.3"/>
    <row r="38817" customFormat="1" x14ac:dyDescent="0.3"/>
    <row r="38818" customFormat="1" x14ac:dyDescent="0.3"/>
    <row r="38819" customFormat="1" x14ac:dyDescent="0.3"/>
    <row r="38820" customFormat="1" x14ac:dyDescent="0.3"/>
    <row r="38821" customFormat="1" x14ac:dyDescent="0.3"/>
    <row r="38822" customFormat="1" x14ac:dyDescent="0.3"/>
    <row r="38823" customFormat="1" x14ac:dyDescent="0.3"/>
    <row r="38824" customFormat="1" x14ac:dyDescent="0.3"/>
    <row r="38825" customFormat="1" x14ac:dyDescent="0.3"/>
    <row r="38826" customFormat="1" x14ac:dyDescent="0.3"/>
    <row r="38827" customFormat="1" x14ac:dyDescent="0.3"/>
    <row r="38828" customFormat="1" x14ac:dyDescent="0.3"/>
    <row r="38829" customFormat="1" x14ac:dyDescent="0.3"/>
    <row r="38830" customFormat="1" x14ac:dyDescent="0.3"/>
    <row r="38831" customFormat="1" x14ac:dyDescent="0.3"/>
    <row r="38832" customFormat="1" x14ac:dyDescent="0.3"/>
    <row r="38833" customFormat="1" x14ac:dyDescent="0.3"/>
    <row r="38834" customFormat="1" x14ac:dyDescent="0.3"/>
    <row r="38835" customFormat="1" x14ac:dyDescent="0.3"/>
    <row r="38836" customFormat="1" x14ac:dyDescent="0.3"/>
    <row r="38837" customFormat="1" x14ac:dyDescent="0.3"/>
    <row r="38838" customFormat="1" x14ac:dyDescent="0.3"/>
    <row r="38839" customFormat="1" x14ac:dyDescent="0.3"/>
    <row r="38840" customFormat="1" x14ac:dyDescent="0.3"/>
    <row r="38841" customFormat="1" x14ac:dyDescent="0.3"/>
    <row r="38842" customFormat="1" x14ac:dyDescent="0.3"/>
    <row r="38843" customFormat="1" x14ac:dyDescent="0.3"/>
    <row r="38844" customFormat="1" x14ac:dyDescent="0.3"/>
    <row r="38845" customFormat="1" x14ac:dyDescent="0.3"/>
    <row r="38846" customFormat="1" x14ac:dyDescent="0.3"/>
    <row r="38847" customFormat="1" x14ac:dyDescent="0.3"/>
    <row r="38848" customFormat="1" x14ac:dyDescent="0.3"/>
    <row r="38849" customFormat="1" x14ac:dyDescent="0.3"/>
    <row r="38850" customFormat="1" x14ac:dyDescent="0.3"/>
    <row r="38851" customFormat="1" x14ac:dyDescent="0.3"/>
    <row r="38852" customFormat="1" x14ac:dyDescent="0.3"/>
    <row r="38853" customFormat="1" x14ac:dyDescent="0.3"/>
    <row r="38854" customFormat="1" x14ac:dyDescent="0.3"/>
    <row r="38855" customFormat="1" x14ac:dyDescent="0.3"/>
    <row r="38856" customFormat="1" x14ac:dyDescent="0.3"/>
    <row r="38857" customFormat="1" x14ac:dyDescent="0.3"/>
    <row r="38858" customFormat="1" x14ac:dyDescent="0.3"/>
    <row r="38859" customFormat="1" x14ac:dyDescent="0.3"/>
    <row r="38860" customFormat="1" x14ac:dyDescent="0.3"/>
    <row r="38861" customFormat="1" x14ac:dyDescent="0.3"/>
    <row r="38862" customFormat="1" x14ac:dyDescent="0.3"/>
    <row r="38863" customFormat="1" x14ac:dyDescent="0.3"/>
    <row r="38864" customFormat="1" x14ac:dyDescent="0.3"/>
    <row r="38865" customFormat="1" x14ac:dyDescent="0.3"/>
    <row r="38866" customFormat="1" x14ac:dyDescent="0.3"/>
    <row r="38867" customFormat="1" x14ac:dyDescent="0.3"/>
    <row r="38868" customFormat="1" x14ac:dyDescent="0.3"/>
    <row r="38869" customFormat="1" x14ac:dyDescent="0.3"/>
    <row r="38870" customFormat="1" x14ac:dyDescent="0.3"/>
    <row r="38871" customFormat="1" x14ac:dyDescent="0.3"/>
    <row r="38872" customFormat="1" x14ac:dyDescent="0.3"/>
    <row r="38873" customFormat="1" x14ac:dyDescent="0.3"/>
    <row r="38874" customFormat="1" x14ac:dyDescent="0.3"/>
    <row r="38875" customFormat="1" x14ac:dyDescent="0.3"/>
    <row r="38876" customFormat="1" x14ac:dyDescent="0.3"/>
    <row r="38877" customFormat="1" x14ac:dyDescent="0.3"/>
    <row r="38878" customFormat="1" x14ac:dyDescent="0.3"/>
    <row r="38879" customFormat="1" x14ac:dyDescent="0.3"/>
    <row r="38880" customFormat="1" x14ac:dyDescent="0.3"/>
    <row r="38881" customFormat="1" x14ac:dyDescent="0.3"/>
    <row r="38882" customFormat="1" x14ac:dyDescent="0.3"/>
    <row r="38883" customFormat="1" x14ac:dyDescent="0.3"/>
    <row r="38884" customFormat="1" x14ac:dyDescent="0.3"/>
    <row r="38885" customFormat="1" x14ac:dyDescent="0.3"/>
    <row r="38886" customFormat="1" x14ac:dyDescent="0.3"/>
    <row r="38887" customFormat="1" x14ac:dyDescent="0.3"/>
    <row r="38888" customFormat="1" x14ac:dyDescent="0.3"/>
    <row r="38889" customFormat="1" x14ac:dyDescent="0.3"/>
    <row r="38890" customFormat="1" x14ac:dyDescent="0.3"/>
    <row r="38891" customFormat="1" x14ac:dyDescent="0.3"/>
    <row r="38892" customFormat="1" x14ac:dyDescent="0.3"/>
    <row r="38893" customFormat="1" x14ac:dyDescent="0.3"/>
    <row r="38894" customFormat="1" x14ac:dyDescent="0.3"/>
    <row r="38895" customFormat="1" x14ac:dyDescent="0.3"/>
    <row r="38896" customFormat="1" x14ac:dyDescent="0.3"/>
    <row r="38897" customFormat="1" x14ac:dyDescent="0.3"/>
    <row r="38898" customFormat="1" x14ac:dyDescent="0.3"/>
    <row r="38899" customFormat="1" x14ac:dyDescent="0.3"/>
    <row r="38900" customFormat="1" x14ac:dyDescent="0.3"/>
    <row r="38901" customFormat="1" x14ac:dyDescent="0.3"/>
    <row r="38902" customFormat="1" x14ac:dyDescent="0.3"/>
    <row r="38903" customFormat="1" x14ac:dyDescent="0.3"/>
    <row r="38904" customFormat="1" x14ac:dyDescent="0.3"/>
    <row r="38905" customFormat="1" x14ac:dyDescent="0.3"/>
    <row r="38906" customFormat="1" x14ac:dyDescent="0.3"/>
    <row r="38907" customFormat="1" x14ac:dyDescent="0.3"/>
    <row r="38908" customFormat="1" x14ac:dyDescent="0.3"/>
    <row r="38909" customFormat="1" x14ac:dyDescent="0.3"/>
    <row r="38910" customFormat="1" x14ac:dyDescent="0.3"/>
    <row r="38911" customFormat="1" x14ac:dyDescent="0.3"/>
    <row r="38912" customFormat="1" x14ac:dyDescent="0.3"/>
    <row r="38913" customFormat="1" x14ac:dyDescent="0.3"/>
    <row r="38914" customFormat="1" x14ac:dyDescent="0.3"/>
    <row r="38915" customFormat="1" x14ac:dyDescent="0.3"/>
    <row r="38916" customFormat="1" x14ac:dyDescent="0.3"/>
    <row r="38917" customFormat="1" x14ac:dyDescent="0.3"/>
    <row r="38918" customFormat="1" x14ac:dyDescent="0.3"/>
    <row r="38919" customFormat="1" x14ac:dyDescent="0.3"/>
    <row r="38920" customFormat="1" x14ac:dyDescent="0.3"/>
    <row r="38921" customFormat="1" x14ac:dyDescent="0.3"/>
    <row r="38922" customFormat="1" x14ac:dyDescent="0.3"/>
    <row r="38923" customFormat="1" x14ac:dyDescent="0.3"/>
    <row r="38924" customFormat="1" x14ac:dyDescent="0.3"/>
    <row r="38925" customFormat="1" x14ac:dyDescent="0.3"/>
    <row r="38926" customFormat="1" x14ac:dyDescent="0.3"/>
    <row r="38927" customFormat="1" x14ac:dyDescent="0.3"/>
    <row r="38928" customFormat="1" x14ac:dyDescent="0.3"/>
    <row r="38929" customFormat="1" x14ac:dyDescent="0.3"/>
    <row r="38930" customFormat="1" x14ac:dyDescent="0.3"/>
    <row r="38931" customFormat="1" x14ac:dyDescent="0.3"/>
    <row r="38932" customFormat="1" x14ac:dyDescent="0.3"/>
    <row r="38933" customFormat="1" x14ac:dyDescent="0.3"/>
    <row r="38934" customFormat="1" x14ac:dyDescent="0.3"/>
    <row r="38935" customFormat="1" x14ac:dyDescent="0.3"/>
    <row r="38936" customFormat="1" x14ac:dyDescent="0.3"/>
    <row r="38937" customFormat="1" x14ac:dyDescent="0.3"/>
    <row r="38938" customFormat="1" x14ac:dyDescent="0.3"/>
    <row r="38939" customFormat="1" x14ac:dyDescent="0.3"/>
    <row r="38940" customFormat="1" x14ac:dyDescent="0.3"/>
    <row r="38941" customFormat="1" x14ac:dyDescent="0.3"/>
    <row r="38942" customFormat="1" x14ac:dyDescent="0.3"/>
    <row r="38943" customFormat="1" x14ac:dyDescent="0.3"/>
    <row r="38944" customFormat="1" x14ac:dyDescent="0.3"/>
    <row r="38945" customFormat="1" x14ac:dyDescent="0.3"/>
    <row r="38946" customFormat="1" x14ac:dyDescent="0.3"/>
    <row r="38947" customFormat="1" x14ac:dyDescent="0.3"/>
    <row r="38948" customFormat="1" x14ac:dyDescent="0.3"/>
    <row r="38949" customFormat="1" x14ac:dyDescent="0.3"/>
    <row r="38950" customFormat="1" x14ac:dyDescent="0.3"/>
    <row r="38951" customFormat="1" x14ac:dyDescent="0.3"/>
    <row r="38952" customFormat="1" x14ac:dyDescent="0.3"/>
    <row r="38953" customFormat="1" x14ac:dyDescent="0.3"/>
    <row r="38954" customFormat="1" x14ac:dyDescent="0.3"/>
    <row r="38955" customFormat="1" x14ac:dyDescent="0.3"/>
    <row r="38956" customFormat="1" x14ac:dyDescent="0.3"/>
    <row r="38957" customFormat="1" x14ac:dyDescent="0.3"/>
    <row r="38958" customFormat="1" x14ac:dyDescent="0.3"/>
    <row r="38959" customFormat="1" x14ac:dyDescent="0.3"/>
    <row r="38960" customFormat="1" x14ac:dyDescent="0.3"/>
    <row r="38961" customFormat="1" x14ac:dyDescent="0.3"/>
    <row r="38962" customFormat="1" x14ac:dyDescent="0.3"/>
    <row r="38963" customFormat="1" x14ac:dyDescent="0.3"/>
    <row r="38964" customFormat="1" x14ac:dyDescent="0.3"/>
    <row r="38965" customFormat="1" x14ac:dyDescent="0.3"/>
    <row r="38966" customFormat="1" x14ac:dyDescent="0.3"/>
    <row r="38967" customFormat="1" x14ac:dyDescent="0.3"/>
    <row r="38968" customFormat="1" x14ac:dyDescent="0.3"/>
    <row r="38969" customFormat="1" x14ac:dyDescent="0.3"/>
    <row r="38970" customFormat="1" x14ac:dyDescent="0.3"/>
    <row r="38971" customFormat="1" x14ac:dyDescent="0.3"/>
    <row r="38972" customFormat="1" x14ac:dyDescent="0.3"/>
    <row r="38973" customFormat="1" x14ac:dyDescent="0.3"/>
    <row r="38974" customFormat="1" x14ac:dyDescent="0.3"/>
    <row r="38975" customFormat="1" x14ac:dyDescent="0.3"/>
    <row r="38976" customFormat="1" x14ac:dyDescent="0.3"/>
    <row r="38977" customFormat="1" x14ac:dyDescent="0.3"/>
    <row r="38978" customFormat="1" x14ac:dyDescent="0.3"/>
    <row r="38979" customFormat="1" x14ac:dyDescent="0.3"/>
    <row r="38980" customFormat="1" x14ac:dyDescent="0.3"/>
    <row r="38981" customFormat="1" x14ac:dyDescent="0.3"/>
    <row r="38982" customFormat="1" x14ac:dyDescent="0.3"/>
    <row r="38983" customFormat="1" x14ac:dyDescent="0.3"/>
    <row r="38984" customFormat="1" x14ac:dyDescent="0.3"/>
    <row r="38985" customFormat="1" x14ac:dyDescent="0.3"/>
    <row r="38986" customFormat="1" x14ac:dyDescent="0.3"/>
    <row r="38987" customFormat="1" x14ac:dyDescent="0.3"/>
    <row r="38988" customFormat="1" x14ac:dyDescent="0.3"/>
    <row r="38989" customFormat="1" x14ac:dyDescent="0.3"/>
    <row r="38990" customFormat="1" x14ac:dyDescent="0.3"/>
    <row r="38991" customFormat="1" x14ac:dyDescent="0.3"/>
    <row r="38992" customFormat="1" x14ac:dyDescent="0.3"/>
    <row r="38993" customFormat="1" x14ac:dyDescent="0.3"/>
    <row r="38994" customFormat="1" x14ac:dyDescent="0.3"/>
    <row r="38995" customFormat="1" x14ac:dyDescent="0.3"/>
    <row r="38996" customFormat="1" x14ac:dyDescent="0.3"/>
    <row r="38997" customFormat="1" x14ac:dyDescent="0.3"/>
    <row r="38998" customFormat="1" x14ac:dyDescent="0.3"/>
    <row r="38999" customFormat="1" x14ac:dyDescent="0.3"/>
    <row r="39000" customFormat="1" x14ac:dyDescent="0.3"/>
    <row r="39001" customFormat="1" x14ac:dyDescent="0.3"/>
    <row r="39002" customFormat="1" x14ac:dyDescent="0.3"/>
    <row r="39003" customFormat="1" x14ac:dyDescent="0.3"/>
    <row r="39004" customFormat="1" x14ac:dyDescent="0.3"/>
    <row r="39005" customFormat="1" x14ac:dyDescent="0.3"/>
    <row r="39006" customFormat="1" x14ac:dyDescent="0.3"/>
    <row r="39007" customFormat="1" x14ac:dyDescent="0.3"/>
    <row r="39008" customFormat="1" x14ac:dyDescent="0.3"/>
    <row r="39009" customFormat="1" x14ac:dyDescent="0.3"/>
    <row r="39010" customFormat="1" x14ac:dyDescent="0.3"/>
    <row r="39011" customFormat="1" x14ac:dyDescent="0.3"/>
    <row r="39012" customFormat="1" x14ac:dyDescent="0.3"/>
    <row r="39013" customFormat="1" x14ac:dyDescent="0.3"/>
    <row r="39014" customFormat="1" x14ac:dyDescent="0.3"/>
    <row r="39015" customFormat="1" x14ac:dyDescent="0.3"/>
    <row r="39016" customFormat="1" x14ac:dyDescent="0.3"/>
    <row r="39017" customFormat="1" x14ac:dyDescent="0.3"/>
    <row r="39018" customFormat="1" x14ac:dyDescent="0.3"/>
    <row r="39019" customFormat="1" x14ac:dyDescent="0.3"/>
    <row r="39020" customFormat="1" x14ac:dyDescent="0.3"/>
    <row r="39021" customFormat="1" x14ac:dyDescent="0.3"/>
    <row r="39022" customFormat="1" x14ac:dyDescent="0.3"/>
    <row r="39023" customFormat="1" x14ac:dyDescent="0.3"/>
    <row r="39024" customFormat="1" x14ac:dyDescent="0.3"/>
    <row r="39025" customFormat="1" x14ac:dyDescent="0.3"/>
    <row r="39026" customFormat="1" x14ac:dyDescent="0.3"/>
    <row r="39027" customFormat="1" x14ac:dyDescent="0.3"/>
    <row r="39028" customFormat="1" x14ac:dyDescent="0.3"/>
    <row r="39029" customFormat="1" x14ac:dyDescent="0.3"/>
    <row r="39030" customFormat="1" x14ac:dyDescent="0.3"/>
    <row r="39031" customFormat="1" x14ac:dyDescent="0.3"/>
    <row r="39032" customFormat="1" x14ac:dyDescent="0.3"/>
    <row r="39033" customFormat="1" x14ac:dyDescent="0.3"/>
    <row r="39034" customFormat="1" x14ac:dyDescent="0.3"/>
    <row r="39035" customFormat="1" x14ac:dyDescent="0.3"/>
    <row r="39036" customFormat="1" x14ac:dyDescent="0.3"/>
    <row r="39037" customFormat="1" x14ac:dyDescent="0.3"/>
    <row r="39038" customFormat="1" x14ac:dyDescent="0.3"/>
    <row r="39039" customFormat="1" x14ac:dyDescent="0.3"/>
    <row r="39040" customFormat="1" x14ac:dyDescent="0.3"/>
    <row r="39041" customFormat="1" x14ac:dyDescent="0.3"/>
    <row r="39042" customFormat="1" x14ac:dyDescent="0.3"/>
    <row r="39043" customFormat="1" x14ac:dyDescent="0.3"/>
    <row r="39044" customFormat="1" x14ac:dyDescent="0.3"/>
    <row r="39045" customFormat="1" x14ac:dyDescent="0.3"/>
    <row r="39046" customFormat="1" x14ac:dyDescent="0.3"/>
    <row r="39047" customFormat="1" x14ac:dyDescent="0.3"/>
    <row r="39048" customFormat="1" x14ac:dyDescent="0.3"/>
    <row r="39049" customFormat="1" x14ac:dyDescent="0.3"/>
    <row r="39050" customFormat="1" x14ac:dyDescent="0.3"/>
    <row r="39051" customFormat="1" x14ac:dyDescent="0.3"/>
    <row r="39052" customFormat="1" x14ac:dyDescent="0.3"/>
    <row r="39053" customFormat="1" x14ac:dyDescent="0.3"/>
    <row r="39054" customFormat="1" x14ac:dyDescent="0.3"/>
    <row r="39055" customFormat="1" x14ac:dyDescent="0.3"/>
    <row r="39056" customFormat="1" x14ac:dyDescent="0.3"/>
    <row r="39057" customFormat="1" x14ac:dyDescent="0.3"/>
    <row r="39058" customFormat="1" x14ac:dyDescent="0.3"/>
    <row r="39059" customFormat="1" x14ac:dyDescent="0.3"/>
    <row r="39060" customFormat="1" x14ac:dyDescent="0.3"/>
    <row r="39061" customFormat="1" x14ac:dyDescent="0.3"/>
    <row r="39062" customFormat="1" x14ac:dyDescent="0.3"/>
    <row r="39063" customFormat="1" x14ac:dyDescent="0.3"/>
    <row r="39064" customFormat="1" x14ac:dyDescent="0.3"/>
    <row r="39065" customFormat="1" x14ac:dyDescent="0.3"/>
    <row r="39066" customFormat="1" x14ac:dyDescent="0.3"/>
    <row r="39067" customFormat="1" x14ac:dyDescent="0.3"/>
    <row r="39068" customFormat="1" x14ac:dyDescent="0.3"/>
    <row r="39069" customFormat="1" x14ac:dyDescent="0.3"/>
    <row r="39070" customFormat="1" x14ac:dyDescent="0.3"/>
    <row r="39071" customFormat="1" x14ac:dyDescent="0.3"/>
    <row r="39072" customFormat="1" x14ac:dyDescent="0.3"/>
    <row r="39073" customFormat="1" x14ac:dyDescent="0.3"/>
    <row r="39074" customFormat="1" x14ac:dyDescent="0.3"/>
    <row r="39075" customFormat="1" x14ac:dyDescent="0.3"/>
    <row r="39076" customFormat="1" x14ac:dyDescent="0.3"/>
    <row r="39077" customFormat="1" x14ac:dyDescent="0.3"/>
    <row r="39078" customFormat="1" x14ac:dyDescent="0.3"/>
    <row r="39079" customFormat="1" x14ac:dyDescent="0.3"/>
    <row r="39080" customFormat="1" x14ac:dyDescent="0.3"/>
    <row r="39081" customFormat="1" x14ac:dyDescent="0.3"/>
    <row r="39082" customFormat="1" x14ac:dyDescent="0.3"/>
    <row r="39083" customFormat="1" x14ac:dyDescent="0.3"/>
    <row r="39084" customFormat="1" x14ac:dyDescent="0.3"/>
    <row r="39085" customFormat="1" x14ac:dyDescent="0.3"/>
    <row r="39086" customFormat="1" x14ac:dyDescent="0.3"/>
    <row r="39087" customFormat="1" x14ac:dyDescent="0.3"/>
    <row r="39088" customFormat="1" x14ac:dyDescent="0.3"/>
    <row r="39089" customFormat="1" x14ac:dyDescent="0.3"/>
    <row r="39090" customFormat="1" x14ac:dyDescent="0.3"/>
    <row r="39091" customFormat="1" x14ac:dyDescent="0.3"/>
    <row r="39092" customFormat="1" x14ac:dyDescent="0.3"/>
    <row r="39093" customFormat="1" x14ac:dyDescent="0.3"/>
    <row r="39094" customFormat="1" x14ac:dyDescent="0.3"/>
    <row r="39095" customFormat="1" x14ac:dyDescent="0.3"/>
    <row r="39096" customFormat="1" x14ac:dyDescent="0.3"/>
    <row r="39097" customFormat="1" x14ac:dyDescent="0.3"/>
    <row r="39098" customFormat="1" x14ac:dyDescent="0.3"/>
    <row r="39099" customFormat="1" x14ac:dyDescent="0.3"/>
    <row r="39100" customFormat="1" x14ac:dyDescent="0.3"/>
    <row r="39101" customFormat="1" x14ac:dyDescent="0.3"/>
    <row r="39102" customFormat="1" x14ac:dyDescent="0.3"/>
    <row r="39103" customFormat="1" x14ac:dyDescent="0.3"/>
    <row r="39104" customFormat="1" x14ac:dyDescent="0.3"/>
    <row r="39105" customFormat="1" x14ac:dyDescent="0.3"/>
    <row r="39106" customFormat="1" x14ac:dyDescent="0.3"/>
    <row r="39107" customFormat="1" x14ac:dyDescent="0.3"/>
    <row r="39108" customFormat="1" x14ac:dyDescent="0.3"/>
    <row r="39109" customFormat="1" x14ac:dyDescent="0.3"/>
    <row r="39110" customFormat="1" x14ac:dyDescent="0.3"/>
    <row r="39111" customFormat="1" x14ac:dyDescent="0.3"/>
    <row r="39112" customFormat="1" x14ac:dyDescent="0.3"/>
    <row r="39113" customFormat="1" x14ac:dyDescent="0.3"/>
    <row r="39114" customFormat="1" x14ac:dyDescent="0.3"/>
    <row r="39115" customFormat="1" x14ac:dyDescent="0.3"/>
    <row r="39116" customFormat="1" x14ac:dyDescent="0.3"/>
    <row r="39117" customFormat="1" x14ac:dyDescent="0.3"/>
    <row r="39118" customFormat="1" x14ac:dyDescent="0.3"/>
    <row r="39119" customFormat="1" x14ac:dyDescent="0.3"/>
    <row r="39120" customFormat="1" x14ac:dyDescent="0.3"/>
    <row r="39121" customFormat="1" x14ac:dyDescent="0.3"/>
    <row r="39122" customFormat="1" x14ac:dyDescent="0.3"/>
    <row r="39123" customFormat="1" x14ac:dyDescent="0.3"/>
    <row r="39124" customFormat="1" x14ac:dyDescent="0.3"/>
    <row r="39125" customFormat="1" x14ac:dyDescent="0.3"/>
    <row r="39126" customFormat="1" x14ac:dyDescent="0.3"/>
    <row r="39127" customFormat="1" x14ac:dyDescent="0.3"/>
    <row r="39128" customFormat="1" x14ac:dyDescent="0.3"/>
    <row r="39129" customFormat="1" x14ac:dyDescent="0.3"/>
    <row r="39130" customFormat="1" x14ac:dyDescent="0.3"/>
    <row r="39131" customFormat="1" x14ac:dyDescent="0.3"/>
    <row r="39132" customFormat="1" x14ac:dyDescent="0.3"/>
    <row r="39133" customFormat="1" x14ac:dyDescent="0.3"/>
    <row r="39134" customFormat="1" x14ac:dyDescent="0.3"/>
    <row r="39135" customFormat="1" x14ac:dyDescent="0.3"/>
    <row r="39136" customFormat="1" x14ac:dyDescent="0.3"/>
    <row r="39137" customFormat="1" x14ac:dyDescent="0.3"/>
    <row r="39138" customFormat="1" x14ac:dyDescent="0.3"/>
    <row r="39139" customFormat="1" x14ac:dyDescent="0.3"/>
    <row r="39140" customFormat="1" x14ac:dyDescent="0.3"/>
    <row r="39141" customFormat="1" x14ac:dyDescent="0.3"/>
    <row r="39142" customFormat="1" x14ac:dyDescent="0.3"/>
    <row r="39143" customFormat="1" x14ac:dyDescent="0.3"/>
    <row r="39144" customFormat="1" x14ac:dyDescent="0.3"/>
    <row r="39145" customFormat="1" x14ac:dyDescent="0.3"/>
    <row r="39146" customFormat="1" x14ac:dyDescent="0.3"/>
    <row r="39147" customFormat="1" x14ac:dyDescent="0.3"/>
    <row r="39148" customFormat="1" x14ac:dyDescent="0.3"/>
    <row r="39149" customFormat="1" x14ac:dyDescent="0.3"/>
    <row r="39150" customFormat="1" x14ac:dyDescent="0.3"/>
    <row r="39151" customFormat="1" x14ac:dyDescent="0.3"/>
    <row r="39152" customFormat="1" x14ac:dyDescent="0.3"/>
    <row r="39153" customFormat="1" x14ac:dyDescent="0.3"/>
    <row r="39154" customFormat="1" x14ac:dyDescent="0.3"/>
    <row r="39155" customFormat="1" x14ac:dyDescent="0.3"/>
    <row r="39156" customFormat="1" x14ac:dyDescent="0.3"/>
    <row r="39157" customFormat="1" x14ac:dyDescent="0.3"/>
    <row r="39158" customFormat="1" x14ac:dyDescent="0.3"/>
    <row r="39159" customFormat="1" x14ac:dyDescent="0.3"/>
    <row r="39160" customFormat="1" x14ac:dyDescent="0.3"/>
    <row r="39161" customFormat="1" x14ac:dyDescent="0.3"/>
    <row r="39162" customFormat="1" x14ac:dyDescent="0.3"/>
    <row r="39163" customFormat="1" x14ac:dyDescent="0.3"/>
    <row r="39164" customFormat="1" x14ac:dyDescent="0.3"/>
    <row r="39165" customFormat="1" x14ac:dyDescent="0.3"/>
    <row r="39166" customFormat="1" x14ac:dyDescent="0.3"/>
    <row r="39167" customFormat="1" x14ac:dyDescent="0.3"/>
    <row r="39168" customFormat="1" x14ac:dyDescent="0.3"/>
    <row r="39169" customFormat="1" x14ac:dyDescent="0.3"/>
    <row r="39170" customFormat="1" x14ac:dyDescent="0.3"/>
    <row r="39171" customFormat="1" x14ac:dyDescent="0.3"/>
    <row r="39172" customFormat="1" x14ac:dyDescent="0.3"/>
    <row r="39173" customFormat="1" x14ac:dyDescent="0.3"/>
    <row r="39174" customFormat="1" x14ac:dyDescent="0.3"/>
    <row r="39175" customFormat="1" x14ac:dyDescent="0.3"/>
    <row r="39176" customFormat="1" x14ac:dyDescent="0.3"/>
    <row r="39177" customFormat="1" x14ac:dyDescent="0.3"/>
    <row r="39178" customFormat="1" x14ac:dyDescent="0.3"/>
    <row r="39179" customFormat="1" x14ac:dyDescent="0.3"/>
    <row r="39180" customFormat="1" x14ac:dyDescent="0.3"/>
    <row r="39181" customFormat="1" x14ac:dyDescent="0.3"/>
    <row r="39182" customFormat="1" x14ac:dyDescent="0.3"/>
    <row r="39183" customFormat="1" x14ac:dyDescent="0.3"/>
    <row r="39184" customFormat="1" x14ac:dyDescent="0.3"/>
    <row r="39185" customFormat="1" x14ac:dyDescent="0.3"/>
    <row r="39186" customFormat="1" x14ac:dyDescent="0.3"/>
    <row r="39187" customFormat="1" x14ac:dyDescent="0.3"/>
    <row r="39188" customFormat="1" x14ac:dyDescent="0.3"/>
    <row r="39189" customFormat="1" x14ac:dyDescent="0.3"/>
    <row r="39190" customFormat="1" x14ac:dyDescent="0.3"/>
    <row r="39191" customFormat="1" x14ac:dyDescent="0.3"/>
    <row r="39192" customFormat="1" x14ac:dyDescent="0.3"/>
    <row r="39193" customFormat="1" x14ac:dyDescent="0.3"/>
    <row r="39194" customFormat="1" x14ac:dyDescent="0.3"/>
    <row r="39195" customFormat="1" x14ac:dyDescent="0.3"/>
    <row r="39196" customFormat="1" x14ac:dyDescent="0.3"/>
    <row r="39197" customFormat="1" x14ac:dyDescent="0.3"/>
    <row r="39198" customFormat="1" x14ac:dyDescent="0.3"/>
    <row r="39199" customFormat="1" x14ac:dyDescent="0.3"/>
    <row r="39200" customFormat="1" x14ac:dyDescent="0.3"/>
    <row r="39201" customFormat="1" x14ac:dyDescent="0.3"/>
    <row r="39202" customFormat="1" x14ac:dyDescent="0.3"/>
    <row r="39203" customFormat="1" x14ac:dyDescent="0.3"/>
    <row r="39204" customFormat="1" x14ac:dyDescent="0.3"/>
    <row r="39205" customFormat="1" x14ac:dyDescent="0.3"/>
    <row r="39206" customFormat="1" x14ac:dyDescent="0.3"/>
    <row r="39207" customFormat="1" x14ac:dyDescent="0.3"/>
    <row r="39208" customFormat="1" x14ac:dyDescent="0.3"/>
    <row r="39209" customFormat="1" x14ac:dyDescent="0.3"/>
    <row r="39210" customFormat="1" x14ac:dyDescent="0.3"/>
    <row r="39211" customFormat="1" x14ac:dyDescent="0.3"/>
    <row r="39212" customFormat="1" x14ac:dyDescent="0.3"/>
    <row r="39213" customFormat="1" x14ac:dyDescent="0.3"/>
    <row r="39214" customFormat="1" x14ac:dyDescent="0.3"/>
    <row r="39215" customFormat="1" x14ac:dyDescent="0.3"/>
    <row r="39216" customFormat="1" x14ac:dyDescent="0.3"/>
    <row r="39217" customFormat="1" x14ac:dyDescent="0.3"/>
    <row r="39218" customFormat="1" x14ac:dyDescent="0.3"/>
    <row r="39219" customFormat="1" x14ac:dyDescent="0.3"/>
    <row r="39220" customFormat="1" x14ac:dyDescent="0.3"/>
    <row r="39221" customFormat="1" x14ac:dyDescent="0.3"/>
    <row r="39222" customFormat="1" x14ac:dyDescent="0.3"/>
    <row r="39223" customFormat="1" x14ac:dyDescent="0.3"/>
    <row r="39224" customFormat="1" x14ac:dyDescent="0.3"/>
    <row r="39225" customFormat="1" x14ac:dyDescent="0.3"/>
    <row r="39226" customFormat="1" x14ac:dyDescent="0.3"/>
    <row r="39227" customFormat="1" x14ac:dyDescent="0.3"/>
    <row r="39228" customFormat="1" x14ac:dyDescent="0.3"/>
    <row r="39229" customFormat="1" x14ac:dyDescent="0.3"/>
    <row r="39230" customFormat="1" x14ac:dyDescent="0.3"/>
    <row r="39231" customFormat="1" x14ac:dyDescent="0.3"/>
    <row r="39232" customFormat="1" x14ac:dyDescent="0.3"/>
    <row r="39233" customFormat="1" x14ac:dyDescent="0.3"/>
    <row r="39234" customFormat="1" x14ac:dyDescent="0.3"/>
    <row r="39235" customFormat="1" x14ac:dyDescent="0.3"/>
    <row r="39236" customFormat="1" x14ac:dyDescent="0.3"/>
    <row r="39237" customFormat="1" x14ac:dyDescent="0.3"/>
    <row r="39238" customFormat="1" x14ac:dyDescent="0.3"/>
    <row r="39239" customFormat="1" x14ac:dyDescent="0.3"/>
    <row r="39240" customFormat="1" x14ac:dyDescent="0.3"/>
    <row r="39241" customFormat="1" x14ac:dyDescent="0.3"/>
    <row r="39242" customFormat="1" x14ac:dyDescent="0.3"/>
    <row r="39243" customFormat="1" x14ac:dyDescent="0.3"/>
    <row r="39244" customFormat="1" x14ac:dyDescent="0.3"/>
    <row r="39245" customFormat="1" x14ac:dyDescent="0.3"/>
    <row r="39246" customFormat="1" x14ac:dyDescent="0.3"/>
    <row r="39247" customFormat="1" x14ac:dyDescent="0.3"/>
    <row r="39248" customFormat="1" x14ac:dyDescent="0.3"/>
    <row r="39249" customFormat="1" x14ac:dyDescent="0.3"/>
    <row r="39250" customFormat="1" x14ac:dyDescent="0.3"/>
    <row r="39251" customFormat="1" x14ac:dyDescent="0.3"/>
    <row r="39252" customFormat="1" x14ac:dyDescent="0.3"/>
    <row r="39253" customFormat="1" x14ac:dyDescent="0.3"/>
    <row r="39254" customFormat="1" x14ac:dyDescent="0.3"/>
    <row r="39255" customFormat="1" x14ac:dyDescent="0.3"/>
    <row r="39256" customFormat="1" x14ac:dyDescent="0.3"/>
    <row r="39257" customFormat="1" x14ac:dyDescent="0.3"/>
    <row r="39258" customFormat="1" x14ac:dyDescent="0.3"/>
    <row r="39259" customFormat="1" x14ac:dyDescent="0.3"/>
    <row r="39260" customFormat="1" x14ac:dyDescent="0.3"/>
    <row r="39261" customFormat="1" x14ac:dyDescent="0.3"/>
    <row r="39262" customFormat="1" x14ac:dyDescent="0.3"/>
    <row r="39263" customFormat="1" x14ac:dyDescent="0.3"/>
    <row r="39264" customFormat="1" x14ac:dyDescent="0.3"/>
    <row r="39265" customFormat="1" x14ac:dyDescent="0.3"/>
    <row r="39266" customFormat="1" x14ac:dyDescent="0.3"/>
    <row r="39267" customFormat="1" x14ac:dyDescent="0.3"/>
    <row r="39268" customFormat="1" x14ac:dyDescent="0.3"/>
    <row r="39269" customFormat="1" x14ac:dyDescent="0.3"/>
    <row r="39270" customFormat="1" x14ac:dyDescent="0.3"/>
    <row r="39271" customFormat="1" x14ac:dyDescent="0.3"/>
    <row r="39272" customFormat="1" x14ac:dyDescent="0.3"/>
    <row r="39273" customFormat="1" x14ac:dyDescent="0.3"/>
    <row r="39274" customFormat="1" x14ac:dyDescent="0.3"/>
    <row r="39275" customFormat="1" x14ac:dyDescent="0.3"/>
    <row r="39276" customFormat="1" x14ac:dyDescent="0.3"/>
    <row r="39277" customFormat="1" x14ac:dyDescent="0.3"/>
    <row r="39278" customFormat="1" x14ac:dyDescent="0.3"/>
    <row r="39279" customFormat="1" x14ac:dyDescent="0.3"/>
    <row r="39280" customFormat="1" x14ac:dyDescent="0.3"/>
    <row r="39281" customFormat="1" x14ac:dyDescent="0.3"/>
    <row r="39282" customFormat="1" x14ac:dyDescent="0.3"/>
    <row r="39283" customFormat="1" x14ac:dyDescent="0.3"/>
    <row r="39284" customFormat="1" x14ac:dyDescent="0.3"/>
    <row r="39285" customFormat="1" x14ac:dyDescent="0.3"/>
    <row r="39286" customFormat="1" x14ac:dyDescent="0.3"/>
    <row r="39287" customFormat="1" x14ac:dyDescent="0.3"/>
    <row r="39288" customFormat="1" x14ac:dyDescent="0.3"/>
    <row r="39289" customFormat="1" x14ac:dyDescent="0.3"/>
    <row r="39290" customFormat="1" x14ac:dyDescent="0.3"/>
    <row r="39291" customFormat="1" x14ac:dyDescent="0.3"/>
    <row r="39292" customFormat="1" x14ac:dyDescent="0.3"/>
    <row r="39293" customFormat="1" x14ac:dyDescent="0.3"/>
    <row r="39294" customFormat="1" x14ac:dyDescent="0.3"/>
    <row r="39295" customFormat="1" x14ac:dyDescent="0.3"/>
    <row r="39296" customFormat="1" x14ac:dyDescent="0.3"/>
    <row r="39297" customFormat="1" x14ac:dyDescent="0.3"/>
    <row r="39298" customFormat="1" x14ac:dyDescent="0.3"/>
    <row r="39299" customFormat="1" x14ac:dyDescent="0.3"/>
    <row r="39300" customFormat="1" x14ac:dyDescent="0.3"/>
    <row r="39301" customFormat="1" x14ac:dyDescent="0.3"/>
    <row r="39302" customFormat="1" x14ac:dyDescent="0.3"/>
    <row r="39303" customFormat="1" x14ac:dyDescent="0.3"/>
    <row r="39304" customFormat="1" x14ac:dyDescent="0.3"/>
    <row r="39305" customFormat="1" x14ac:dyDescent="0.3"/>
    <row r="39306" customFormat="1" x14ac:dyDescent="0.3"/>
    <row r="39307" customFormat="1" x14ac:dyDescent="0.3"/>
    <row r="39308" customFormat="1" x14ac:dyDescent="0.3"/>
    <row r="39309" customFormat="1" x14ac:dyDescent="0.3"/>
    <row r="39310" customFormat="1" x14ac:dyDescent="0.3"/>
    <row r="39311" customFormat="1" x14ac:dyDescent="0.3"/>
    <row r="39312" customFormat="1" x14ac:dyDescent="0.3"/>
    <row r="39313" customFormat="1" x14ac:dyDescent="0.3"/>
    <row r="39314" customFormat="1" x14ac:dyDescent="0.3"/>
    <row r="39315" customFormat="1" x14ac:dyDescent="0.3"/>
    <row r="39316" customFormat="1" x14ac:dyDescent="0.3"/>
    <row r="39317" customFormat="1" x14ac:dyDescent="0.3"/>
    <row r="39318" customFormat="1" x14ac:dyDescent="0.3"/>
    <row r="39319" customFormat="1" x14ac:dyDescent="0.3"/>
    <row r="39320" customFormat="1" x14ac:dyDescent="0.3"/>
    <row r="39321" customFormat="1" x14ac:dyDescent="0.3"/>
    <row r="39322" customFormat="1" x14ac:dyDescent="0.3"/>
    <row r="39323" customFormat="1" x14ac:dyDescent="0.3"/>
    <row r="39324" customFormat="1" x14ac:dyDescent="0.3"/>
    <row r="39325" customFormat="1" x14ac:dyDescent="0.3"/>
    <row r="39326" customFormat="1" x14ac:dyDescent="0.3"/>
    <row r="39327" customFormat="1" x14ac:dyDescent="0.3"/>
    <row r="39328" customFormat="1" x14ac:dyDescent="0.3"/>
    <row r="39329" customFormat="1" x14ac:dyDescent="0.3"/>
    <row r="39330" customFormat="1" x14ac:dyDescent="0.3"/>
    <row r="39331" customFormat="1" x14ac:dyDescent="0.3"/>
    <row r="39332" customFormat="1" x14ac:dyDescent="0.3"/>
    <row r="39333" customFormat="1" x14ac:dyDescent="0.3"/>
    <row r="39334" customFormat="1" x14ac:dyDescent="0.3"/>
    <row r="39335" customFormat="1" x14ac:dyDescent="0.3"/>
    <row r="39336" customFormat="1" x14ac:dyDescent="0.3"/>
    <row r="39337" customFormat="1" x14ac:dyDescent="0.3"/>
    <row r="39338" customFormat="1" x14ac:dyDescent="0.3"/>
    <row r="39339" customFormat="1" x14ac:dyDescent="0.3"/>
    <row r="39340" customFormat="1" x14ac:dyDescent="0.3"/>
    <row r="39341" customFormat="1" x14ac:dyDescent="0.3"/>
    <row r="39342" customFormat="1" x14ac:dyDescent="0.3"/>
    <row r="39343" customFormat="1" x14ac:dyDescent="0.3"/>
    <row r="39344" customFormat="1" x14ac:dyDescent="0.3"/>
    <row r="39345" customFormat="1" x14ac:dyDescent="0.3"/>
    <row r="39346" customFormat="1" x14ac:dyDescent="0.3"/>
    <row r="39347" customFormat="1" x14ac:dyDescent="0.3"/>
    <row r="39348" customFormat="1" x14ac:dyDescent="0.3"/>
    <row r="39349" customFormat="1" x14ac:dyDescent="0.3"/>
    <row r="39350" customFormat="1" x14ac:dyDescent="0.3"/>
    <row r="39351" customFormat="1" x14ac:dyDescent="0.3"/>
    <row r="39352" customFormat="1" x14ac:dyDescent="0.3"/>
    <row r="39353" customFormat="1" x14ac:dyDescent="0.3"/>
    <row r="39354" customFormat="1" x14ac:dyDescent="0.3"/>
    <row r="39355" customFormat="1" x14ac:dyDescent="0.3"/>
    <row r="39356" customFormat="1" x14ac:dyDescent="0.3"/>
    <row r="39357" customFormat="1" x14ac:dyDescent="0.3"/>
    <row r="39358" customFormat="1" x14ac:dyDescent="0.3"/>
    <row r="39359" customFormat="1" x14ac:dyDescent="0.3"/>
    <row r="39360" customFormat="1" x14ac:dyDescent="0.3"/>
    <row r="39361" customFormat="1" x14ac:dyDescent="0.3"/>
    <row r="39362" customFormat="1" x14ac:dyDescent="0.3"/>
    <row r="39363" customFormat="1" x14ac:dyDescent="0.3"/>
    <row r="39364" customFormat="1" x14ac:dyDescent="0.3"/>
    <row r="39365" customFormat="1" x14ac:dyDescent="0.3"/>
    <row r="39366" customFormat="1" x14ac:dyDescent="0.3"/>
    <row r="39367" customFormat="1" x14ac:dyDescent="0.3"/>
    <row r="39368" customFormat="1" x14ac:dyDescent="0.3"/>
    <row r="39369" customFormat="1" x14ac:dyDescent="0.3"/>
    <row r="39370" customFormat="1" x14ac:dyDescent="0.3"/>
    <row r="39371" customFormat="1" x14ac:dyDescent="0.3"/>
    <row r="39372" customFormat="1" x14ac:dyDescent="0.3"/>
    <row r="39373" customFormat="1" x14ac:dyDescent="0.3"/>
    <row r="39374" customFormat="1" x14ac:dyDescent="0.3"/>
    <row r="39375" customFormat="1" x14ac:dyDescent="0.3"/>
    <row r="39376" customFormat="1" x14ac:dyDescent="0.3"/>
    <row r="39377" customFormat="1" x14ac:dyDescent="0.3"/>
    <row r="39378" customFormat="1" x14ac:dyDescent="0.3"/>
    <row r="39379" customFormat="1" x14ac:dyDescent="0.3"/>
    <row r="39380" customFormat="1" x14ac:dyDescent="0.3"/>
    <row r="39381" customFormat="1" x14ac:dyDescent="0.3"/>
    <row r="39382" customFormat="1" x14ac:dyDescent="0.3"/>
    <row r="39383" customFormat="1" x14ac:dyDescent="0.3"/>
    <row r="39384" customFormat="1" x14ac:dyDescent="0.3"/>
    <row r="39385" customFormat="1" x14ac:dyDescent="0.3"/>
    <row r="39386" customFormat="1" x14ac:dyDescent="0.3"/>
    <row r="39387" customFormat="1" x14ac:dyDescent="0.3"/>
    <row r="39388" customFormat="1" x14ac:dyDescent="0.3"/>
    <row r="39389" customFormat="1" x14ac:dyDescent="0.3"/>
    <row r="39390" customFormat="1" x14ac:dyDescent="0.3"/>
    <row r="39391" customFormat="1" x14ac:dyDescent="0.3"/>
    <row r="39392" customFormat="1" x14ac:dyDescent="0.3"/>
    <row r="39393" customFormat="1" x14ac:dyDescent="0.3"/>
    <row r="39394" customFormat="1" x14ac:dyDescent="0.3"/>
    <row r="39395" customFormat="1" x14ac:dyDescent="0.3"/>
    <row r="39396" customFormat="1" x14ac:dyDescent="0.3"/>
    <row r="39397" customFormat="1" x14ac:dyDescent="0.3"/>
    <row r="39398" customFormat="1" x14ac:dyDescent="0.3"/>
    <row r="39399" customFormat="1" x14ac:dyDescent="0.3"/>
    <row r="39400" customFormat="1" x14ac:dyDescent="0.3"/>
    <row r="39401" customFormat="1" x14ac:dyDescent="0.3"/>
    <row r="39402" customFormat="1" x14ac:dyDescent="0.3"/>
    <row r="39403" customFormat="1" x14ac:dyDescent="0.3"/>
    <row r="39404" customFormat="1" x14ac:dyDescent="0.3"/>
    <row r="39405" customFormat="1" x14ac:dyDescent="0.3"/>
    <row r="39406" customFormat="1" x14ac:dyDescent="0.3"/>
    <row r="39407" customFormat="1" x14ac:dyDescent="0.3"/>
    <row r="39408" customFormat="1" x14ac:dyDescent="0.3"/>
    <row r="39409" customFormat="1" x14ac:dyDescent="0.3"/>
    <row r="39410" customFormat="1" x14ac:dyDescent="0.3"/>
    <row r="39411" customFormat="1" x14ac:dyDescent="0.3"/>
    <row r="39412" customFormat="1" x14ac:dyDescent="0.3"/>
    <row r="39413" customFormat="1" x14ac:dyDescent="0.3"/>
    <row r="39414" customFormat="1" x14ac:dyDescent="0.3"/>
    <row r="39415" customFormat="1" x14ac:dyDescent="0.3"/>
    <row r="39416" customFormat="1" x14ac:dyDescent="0.3"/>
    <row r="39417" customFormat="1" x14ac:dyDescent="0.3"/>
    <row r="39418" customFormat="1" x14ac:dyDescent="0.3"/>
    <row r="39419" customFormat="1" x14ac:dyDescent="0.3"/>
    <row r="39420" customFormat="1" x14ac:dyDescent="0.3"/>
    <row r="39421" customFormat="1" x14ac:dyDescent="0.3"/>
    <row r="39422" customFormat="1" x14ac:dyDescent="0.3"/>
    <row r="39423" customFormat="1" x14ac:dyDescent="0.3"/>
    <row r="39424" customFormat="1" x14ac:dyDescent="0.3"/>
    <row r="39425" customFormat="1" x14ac:dyDescent="0.3"/>
    <row r="39426" customFormat="1" x14ac:dyDescent="0.3"/>
    <row r="39427" customFormat="1" x14ac:dyDescent="0.3"/>
    <row r="39428" customFormat="1" x14ac:dyDescent="0.3"/>
    <row r="39429" customFormat="1" x14ac:dyDescent="0.3"/>
    <row r="39430" customFormat="1" x14ac:dyDescent="0.3"/>
    <row r="39431" customFormat="1" x14ac:dyDescent="0.3"/>
    <row r="39432" customFormat="1" x14ac:dyDescent="0.3"/>
    <row r="39433" customFormat="1" x14ac:dyDescent="0.3"/>
    <row r="39434" customFormat="1" x14ac:dyDescent="0.3"/>
    <row r="39435" customFormat="1" x14ac:dyDescent="0.3"/>
    <row r="39436" customFormat="1" x14ac:dyDescent="0.3"/>
    <row r="39437" customFormat="1" x14ac:dyDescent="0.3"/>
    <row r="39438" customFormat="1" x14ac:dyDescent="0.3"/>
    <row r="39439" customFormat="1" x14ac:dyDescent="0.3"/>
    <row r="39440" customFormat="1" x14ac:dyDescent="0.3"/>
    <row r="39441" customFormat="1" x14ac:dyDescent="0.3"/>
    <row r="39442" customFormat="1" x14ac:dyDescent="0.3"/>
    <row r="39443" customFormat="1" x14ac:dyDescent="0.3"/>
    <row r="39444" customFormat="1" x14ac:dyDescent="0.3"/>
    <row r="39445" customFormat="1" x14ac:dyDescent="0.3"/>
    <row r="39446" customFormat="1" x14ac:dyDescent="0.3"/>
    <row r="39447" customFormat="1" x14ac:dyDescent="0.3"/>
    <row r="39448" customFormat="1" x14ac:dyDescent="0.3"/>
    <row r="39449" customFormat="1" x14ac:dyDescent="0.3"/>
    <row r="39450" customFormat="1" x14ac:dyDescent="0.3"/>
    <row r="39451" customFormat="1" x14ac:dyDescent="0.3"/>
    <row r="39452" customFormat="1" x14ac:dyDescent="0.3"/>
    <row r="39453" customFormat="1" x14ac:dyDescent="0.3"/>
    <row r="39454" customFormat="1" x14ac:dyDescent="0.3"/>
    <row r="39455" customFormat="1" x14ac:dyDescent="0.3"/>
    <row r="39456" customFormat="1" x14ac:dyDescent="0.3"/>
    <row r="39457" customFormat="1" x14ac:dyDescent="0.3"/>
    <row r="39458" customFormat="1" x14ac:dyDescent="0.3"/>
    <row r="39459" customFormat="1" x14ac:dyDescent="0.3"/>
    <row r="39460" customFormat="1" x14ac:dyDescent="0.3"/>
    <row r="39461" customFormat="1" x14ac:dyDescent="0.3"/>
    <row r="39462" customFormat="1" x14ac:dyDescent="0.3"/>
    <row r="39463" customFormat="1" x14ac:dyDescent="0.3"/>
    <row r="39464" customFormat="1" x14ac:dyDescent="0.3"/>
    <row r="39465" customFormat="1" x14ac:dyDescent="0.3"/>
    <row r="39466" customFormat="1" x14ac:dyDescent="0.3"/>
    <row r="39467" customFormat="1" x14ac:dyDescent="0.3"/>
    <row r="39468" customFormat="1" x14ac:dyDescent="0.3"/>
    <row r="39469" customFormat="1" x14ac:dyDescent="0.3"/>
    <row r="39470" customFormat="1" x14ac:dyDescent="0.3"/>
    <row r="39471" customFormat="1" x14ac:dyDescent="0.3"/>
    <row r="39472" customFormat="1" x14ac:dyDescent="0.3"/>
    <row r="39473" customFormat="1" x14ac:dyDescent="0.3"/>
    <row r="39474" customFormat="1" x14ac:dyDescent="0.3"/>
    <row r="39475" customFormat="1" x14ac:dyDescent="0.3"/>
    <row r="39476" customFormat="1" x14ac:dyDescent="0.3"/>
    <row r="39477" customFormat="1" x14ac:dyDescent="0.3"/>
    <row r="39478" customFormat="1" x14ac:dyDescent="0.3"/>
    <row r="39479" customFormat="1" x14ac:dyDescent="0.3"/>
    <row r="39480" customFormat="1" x14ac:dyDescent="0.3"/>
    <row r="39481" customFormat="1" x14ac:dyDescent="0.3"/>
    <row r="39482" customFormat="1" x14ac:dyDescent="0.3"/>
    <row r="39483" customFormat="1" x14ac:dyDescent="0.3"/>
    <row r="39484" customFormat="1" x14ac:dyDescent="0.3"/>
    <row r="39485" customFormat="1" x14ac:dyDescent="0.3"/>
    <row r="39486" customFormat="1" x14ac:dyDescent="0.3"/>
    <row r="39487" customFormat="1" x14ac:dyDescent="0.3"/>
    <row r="39488" customFormat="1" x14ac:dyDescent="0.3"/>
    <row r="39489" customFormat="1" x14ac:dyDescent="0.3"/>
    <row r="39490" customFormat="1" x14ac:dyDescent="0.3"/>
    <row r="39491" customFormat="1" x14ac:dyDescent="0.3"/>
    <row r="39492" customFormat="1" x14ac:dyDescent="0.3"/>
    <row r="39493" customFormat="1" x14ac:dyDescent="0.3"/>
    <row r="39494" customFormat="1" x14ac:dyDescent="0.3"/>
    <row r="39495" customFormat="1" x14ac:dyDescent="0.3"/>
    <row r="39496" customFormat="1" x14ac:dyDescent="0.3"/>
    <row r="39497" customFormat="1" x14ac:dyDescent="0.3"/>
    <row r="39498" customFormat="1" x14ac:dyDescent="0.3"/>
    <row r="39499" customFormat="1" x14ac:dyDescent="0.3"/>
    <row r="39500" customFormat="1" x14ac:dyDescent="0.3"/>
    <row r="39501" customFormat="1" x14ac:dyDescent="0.3"/>
    <row r="39502" customFormat="1" x14ac:dyDescent="0.3"/>
    <row r="39503" customFormat="1" x14ac:dyDescent="0.3"/>
    <row r="39504" customFormat="1" x14ac:dyDescent="0.3"/>
    <row r="39505" customFormat="1" x14ac:dyDescent="0.3"/>
    <row r="39506" customFormat="1" x14ac:dyDescent="0.3"/>
    <row r="39507" customFormat="1" x14ac:dyDescent="0.3"/>
    <row r="39508" customFormat="1" x14ac:dyDescent="0.3"/>
    <row r="39509" customFormat="1" x14ac:dyDescent="0.3"/>
    <row r="39510" customFormat="1" x14ac:dyDescent="0.3"/>
    <row r="39511" customFormat="1" x14ac:dyDescent="0.3"/>
    <row r="39512" customFormat="1" x14ac:dyDescent="0.3"/>
    <row r="39513" customFormat="1" x14ac:dyDescent="0.3"/>
    <row r="39514" customFormat="1" x14ac:dyDescent="0.3"/>
    <row r="39515" customFormat="1" x14ac:dyDescent="0.3"/>
    <row r="39516" customFormat="1" x14ac:dyDescent="0.3"/>
    <row r="39517" customFormat="1" x14ac:dyDescent="0.3"/>
    <row r="39518" customFormat="1" x14ac:dyDescent="0.3"/>
    <row r="39519" customFormat="1" x14ac:dyDescent="0.3"/>
    <row r="39520" customFormat="1" x14ac:dyDescent="0.3"/>
    <row r="39521" customFormat="1" x14ac:dyDescent="0.3"/>
    <row r="39522" customFormat="1" x14ac:dyDescent="0.3"/>
    <row r="39523" customFormat="1" x14ac:dyDescent="0.3"/>
    <row r="39524" customFormat="1" x14ac:dyDescent="0.3"/>
    <row r="39525" customFormat="1" x14ac:dyDescent="0.3"/>
    <row r="39526" customFormat="1" x14ac:dyDescent="0.3"/>
    <row r="39527" customFormat="1" x14ac:dyDescent="0.3"/>
    <row r="39528" customFormat="1" x14ac:dyDescent="0.3"/>
    <row r="39529" customFormat="1" x14ac:dyDescent="0.3"/>
    <row r="39530" customFormat="1" x14ac:dyDescent="0.3"/>
    <row r="39531" customFormat="1" x14ac:dyDescent="0.3"/>
    <row r="39532" customFormat="1" x14ac:dyDescent="0.3"/>
    <row r="39533" customFormat="1" x14ac:dyDescent="0.3"/>
    <row r="39534" customFormat="1" x14ac:dyDescent="0.3"/>
    <row r="39535" customFormat="1" x14ac:dyDescent="0.3"/>
    <row r="39536" customFormat="1" x14ac:dyDescent="0.3"/>
    <row r="39537" customFormat="1" x14ac:dyDescent="0.3"/>
    <row r="39538" customFormat="1" x14ac:dyDescent="0.3"/>
    <row r="39539" customFormat="1" x14ac:dyDescent="0.3"/>
    <row r="39540" customFormat="1" x14ac:dyDescent="0.3"/>
    <row r="39541" customFormat="1" x14ac:dyDescent="0.3"/>
    <row r="39542" customFormat="1" x14ac:dyDescent="0.3"/>
    <row r="39543" customFormat="1" x14ac:dyDescent="0.3"/>
    <row r="39544" customFormat="1" x14ac:dyDescent="0.3"/>
    <row r="39545" customFormat="1" x14ac:dyDescent="0.3"/>
    <row r="39546" customFormat="1" x14ac:dyDescent="0.3"/>
    <row r="39547" customFormat="1" x14ac:dyDescent="0.3"/>
    <row r="39548" customFormat="1" x14ac:dyDescent="0.3"/>
    <row r="39549" customFormat="1" x14ac:dyDescent="0.3"/>
    <row r="39550" customFormat="1" x14ac:dyDescent="0.3"/>
    <row r="39551" customFormat="1" x14ac:dyDescent="0.3"/>
    <row r="39552" customFormat="1" x14ac:dyDescent="0.3"/>
    <row r="39553" customFormat="1" x14ac:dyDescent="0.3"/>
    <row r="39554" customFormat="1" x14ac:dyDescent="0.3"/>
    <row r="39555" customFormat="1" x14ac:dyDescent="0.3"/>
    <row r="39556" customFormat="1" x14ac:dyDescent="0.3"/>
    <row r="39557" customFormat="1" x14ac:dyDescent="0.3"/>
    <row r="39558" customFormat="1" x14ac:dyDescent="0.3"/>
    <row r="39559" customFormat="1" x14ac:dyDescent="0.3"/>
    <row r="39560" customFormat="1" x14ac:dyDescent="0.3"/>
    <row r="39561" customFormat="1" x14ac:dyDescent="0.3"/>
    <row r="39562" customFormat="1" x14ac:dyDescent="0.3"/>
    <row r="39563" customFormat="1" x14ac:dyDescent="0.3"/>
    <row r="39564" customFormat="1" x14ac:dyDescent="0.3"/>
    <row r="39565" customFormat="1" x14ac:dyDescent="0.3"/>
    <row r="39566" customFormat="1" x14ac:dyDescent="0.3"/>
    <row r="39567" customFormat="1" x14ac:dyDescent="0.3"/>
    <row r="39568" customFormat="1" x14ac:dyDescent="0.3"/>
    <row r="39569" customFormat="1" x14ac:dyDescent="0.3"/>
    <row r="39570" customFormat="1" x14ac:dyDescent="0.3"/>
    <row r="39571" customFormat="1" x14ac:dyDescent="0.3"/>
    <row r="39572" customFormat="1" x14ac:dyDescent="0.3"/>
    <row r="39573" customFormat="1" x14ac:dyDescent="0.3"/>
    <row r="39574" customFormat="1" x14ac:dyDescent="0.3"/>
    <row r="39575" customFormat="1" x14ac:dyDescent="0.3"/>
    <row r="39576" customFormat="1" x14ac:dyDescent="0.3"/>
    <row r="39577" customFormat="1" x14ac:dyDescent="0.3"/>
    <row r="39578" customFormat="1" x14ac:dyDescent="0.3"/>
    <row r="39579" customFormat="1" x14ac:dyDescent="0.3"/>
    <row r="39580" customFormat="1" x14ac:dyDescent="0.3"/>
    <row r="39581" customFormat="1" x14ac:dyDescent="0.3"/>
    <row r="39582" customFormat="1" x14ac:dyDescent="0.3"/>
    <row r="39583" customFormat="1" x14ac:dyDescent="0.3"/>
    <row r="39584" customFormat="1" x14ac:dyDescent="0.3"/>
    <row r="39585" customFormat="1" x14ac:dyDescent="0.3"/>
    <row r="39586" customFormat="1" x14ac:dyDescent="0.3"/>
    <row r="39587" customFormat="1" x14ac:dyDescent="0.3"/>
    <row r="39588" customFormat="1" x14ac:dyDescent="0.3"/>
    <row r="39589" customFormat="1" x14ac:dyDescent="0.3"/>
    <row r="39590" customFormat="1" x14ac:dyDescent="0.3"/>
    <row r="39591" customFormat="1" x14ac:dyDescent="0.3"/>
    <row r="39592" customFormat="1" x14ac:dyDescent="0.3"/>
    <row r="39593" customFormat="1" x14ac:dyDescent="0.3"/>
    <row r="39594" customFormat="1" x14ac:dyDescent="0.3"/>
    <row r="39595" customFormat="1" x14ac:dyDescent="0.3"/>
    <row r="39596" customFormat="1" x14ac:dyDescent="0.3"/>
    <row r="39597" customFormat="1" x14ac:dyDescent="0.3"/>
    <row r="39598" customFormat="1" x14ac:dyDescent="0.3"/>
    <row r="39599" customFormat="1" x14ac:dyDescent="0.3"/>
    <row r="39600" customFormat="1" x14ac:dyDescent="0.3"/>
    <row r="39601" customFormat="1" x14ac:dyDescent="0.3"/>
    <row r="39602" customFormat="1" x14ac:dyDescent="0.3"/>
    <row r="39603" customFormat="1" x14ac:dyDescent="0.3"/>
    <row r="39604" customFormat="1" x14ac:dyDescent="0.3"/>
    <row r="39605" customFormat="1" x14ac:dyDescent="0.3"/>
    <row r="39606" customFormat="1" x14ac:dyDescent="0.3"/>
    <row r="39607" customFormat="1" x14ac:dyDescent="0.3"/>
    <row r="39608" customFormat="1" x14ac:dyDescent="0.3"/>
    <row r="39609" customFormat="1" x14ac:dyDescent="0.3"/>
    <row r="39610" customFormat="1" x14ac:dyDescent="0.3"/>
    <row r="39611" customFormat="1" x14ac:dyDescent="0.3"/>
    <row r="39612" customFormat="1" x14ac:dyDescent="0.3"/>
    <row r="39613" customFormat="1" x14ac:dyDescent="0.3"/>
    <row r="39614" customFormat="1" x14ac:dyDescent="0.3"/>
    <row r="39615" customFormat="1" x14ac:dyDescent="0.3"/>
    <row r="39616" customFormat="1" x14ac:dyDescent="0.3"/>
    <row r="39617" customFormat="1" x14ac:dyDescent="0.3"/>
    <row r="39618" customFormat="1" x14ac:dyDescent="0.3"/>
    <row r="39619" customFormat="1" x14ac:dyDescent="0.3"/>
    <row r="39620" customFormat="1" x14ac:dyDescent="0.3"/>
    <row r="39621" customFormat="1" x14ac:dyDescent="0.3"/>
    <row r="39622" customFormat="1" x14ac:dyDescent="0.3"/>
    <row r="39623" customFormat="1" x14ac:dyDescent="0.3"/>
    <row r="39624" customFormat="1" x14ac:dyDescent="0.3"/>
    <row r="39625" customFormat="1" x14ac:dyDescent="0.3"/>
    <row r="39626" customFormat="1" x14ac:dyDescent="0.3"/>
    <row r="39627" customFormat="1" x14ac:dyDescent="0.3"/>
    <row r="39628" customFormat="1" x14ac:dyDescent="0.3"/>
    <row r="39629" customFormat="1" x14ac:dyDescent="0.3"/>
    <row r="39630" customFormat="1" x14ac:dyDescent="0.3"/>
    <row r="39631" customFormat="1" x14ac:dyDescent="0.3"/>
    <row r="39632" customFormat="1" x14ac:dyDescent="0.3"/>
    <row r="39633" customFormat="1" x14ac:dyDescent="0.3"/>
    <row r="39634" customFormat="1" x14ac:dyDescent="0.3"/>
    <row r="39635" customFormat="1" x14ac:dyDescent="0.3"/>
    <row r="39636" customFormat="1" x14ac:dyDescent="0.3"/>
    <row r="39637" customFormat="1" x14ac:dyDescent="0.3"/>
    <row r="39638" customFormat="1" x14ac:dyDescent="0.3"/>
    <row r="39639" customFormat="1" x14ac:dyDescent="0.3"/>
    <row r="39640" customFormat="1" x14ac:dyDescent="0.3"/>
    <row r="39641" customFormat="1" x14ac:dyDescent="0.3"/>
    <row r="39642" customFormat="1" x14ac:dyDescent="0.3"/>
    <row r="39643" customFormat="1" x14ac:dyDescent="0.3"/>
    <row r="39644" customFormat="1" x14ac:dyDescent="0.3"/>
    <row r="39645" customFormat="1" x14ac:dyDescent="0.3"/>
    <row r="39646" customFormat="1" x14ac:dyDescent="0.3"/>
    <row r="39647" customFormat="1" x14ac:dyDescent="0.3"/>
    <row r="39648" customFormat="1" x14ac:dyDescent="0.3"/>
    <row r="39649" customFormat="1" x14ac:dyDescent="0.3"/>
    <row r="39650" customFormat="1" x14ac:dyDescent="0.3"/>
    <row r="39651" customFormat="1" x14ac:dyDescent="0.3"/>
    <row r="39652" customFormat="1" x14ac:dyDescent="0.3"/>
    <row r="39653" customFormat="1" x14ac:dyDescent="0.3"/>
    <row r="39654" customFormat="1" x14ac:dyDescent="0.3"/>
    <row r="39655" customFormat="1" x14ac:dyDescent="0.3"/>
    <row r="39656" customFormat="1" x14ac:dyDescent="0.3"/>
    <row r="39657" customFormat="1" x14ac:dyDescent="0.3"/>
    <row r="39658" customFormat="1" x14ac:dyDescent="0.3"/>
    <row r="39659" customFormat="1" x14ac:dyDescent="0.3"/>
    <row r="39660" customFormat="1" x14ac:dyDescent="0.3"/>
    <row r="39661" customFormat="1" x14ac:dyDescent="0.3"/>
    <row r="39662" customFormat="1" x14ac:dyDescent="0.3"/>
    <row r="39663" customFormat="1" x14ac:dyDescent="0.3"/>
    <row r="39664" customFormat="1" x14ac:dyDescent="0.3"/>
    <row r="39665" customFormat="1" x14ac:dyDescent="0.3"/>
    <row r="39666" customFormat="1" x14ac:dyDescent="0.3"/>
    <row r="39667" customFormat="1" x14ac:dyDescent="0.3"/>
    <row r="39668" customFormat="1" x14ac:dyDescent="0.3"/>
    <row r="39669" customFormat="1" x14ac:dyDescent="0.3"/>
    <row r="39670" customFormat="1" x14ac:dyDescent="0.3"/>
    <row r="39671" customFormat="1" x14ac:dyDescent="0.3"/>
    <row r="39672" customFormat="1" x14ac:dyDescent="0.3"/>
    <row r="39673" customFormat="1" x14ac:dyDescent="0.3"/>
    <row r="39674" customFormat="1" x14ac:dyDescent="0.3"/>
    <row r="39675" customFormat="1" x14ac:dyDescent="0.3"/>
    <row r="39676" customFormat="1" x14ac:dyDescent="0.3"/>
    <row r="39677" customFormat="1" x14ac:dyDescent="0.3"/>
    <row r="39678" customFormat="1" x14ac:dyDescent="0.3"/>
    <row r="39679" customFormat="1" x14ac:dyDescent="0.3"/>
    <row r="39680" customFormat="1" x14ac:dyDescent="0.3"/>
    <row r="39681" customFormat="1" x14ac:dyDescent="0.3"/>
    <row r="39682" customFormat="1" x14ac:dyDescent="0.3"/>
    <row r="39683" customFormat="1" x14ac:dyDescent="0.3"/>
    <row r="39684" customFormat="1" x14ac:dyDescent="0.3"/>
    <row r="39685" customFormat="1" x14ac:dyDescent="0.3"/>
    <row r="39686" customFormat="1" x14ac:dyDescent="0.3"/>
    <row r="39687" customFormat="1" x14ac:dyDescent="0.3"/>
    <row r="39688" customFormat="1" x14ac:dyDescent="0.3"/>
    <row r="39689" customFormat="1" x14ac:dyDescent="0.3"/>
    <row r="39690" customFormat="1" x14ac:dyDescent="0.3"/>
    <row r="39691" customFormat="1" x14ac:dyDescent="0.3"/>
    <row r="39692" customFormat="1" x14ac:dyDescent="0.3"/>
    <row r="39693" customFormat="1" x14ac:dyDescent="0.3"/>
    <row r="39694" customFormat="1" x14ac:dyDescent="0.3"/>
    <row r="39695" customFormat="1" x14ac:dyDescent="0.3"/>
    <row r="39696" customFormat="1" x14ac:dyDescent="0.3"/>
    <row r="39697" customFormat="1" x14ac:dyDescent="0.3"/>
    <row r="39698" customFormat="1" x14ac:dyDescent="0.3"/>
    <row r="39699" customFormat="1" x14ac:dyDescent="0.3"/>
    <row r="39700" customFormat="1" x14ac:dyDescent="0.3"/>
    <row r="39701" customFormat="1" x14ac:dyDescent="0.3"/>
    <row r="39702" customFormat="1" x14ac:dyDescent="0.3"/>
    <row r="39703" customFormat="1" x14ac:dyDescent="0.3"/>
    <row r="39704" customFormat="1" x14ac:dyDescent="0.3"/>
    <row r="39705" customFormat="1" x14ac:dyDescent="0.3"/>
    <row r="39706" customFormat="1" x14ac:dyDescent="0.3"/>
    <row r="39707" customFormat="1" x14ac:dyDescent="0.3"/>
    <row r="39708" customFormat="1" x14ac:dyDescent="0.3"/>
    <row r="39709" customFormat="1" x14ac:dyDescent="0.3"/>
    <row r="39710" customFormat="1" x14ac:dyDescent="0.3"/>
    <row r="39711" customFormat="1" x14ac:dyDescent="0.3"/>
    <row r="39712" customFormat="1" x14ac:dyDescent="0.3"/>
    <row r="39713" customFormat="1" x14ac:dyDescent="0.3"/>
    <row r="39714" customFormat="1" x14ac:dyDescent="0.3"/>
    <row r="39715" customFormat="1" x14ac:dyDescent="0.3"/>
    <row r="39716" customFormat="1" x14ac:dyDescent="0.3"/>
    <row r="39717" customFormat="1" x14ac:dyDescent="0.3"/>
    <row r="39718" customFormat="1" x14ac:dyDescent="0.3"/>
    <row r="39719" customFormat="1" x14ac:dyDescent="0.3"/>
    <row r="39720" customFormat="1" x14ac:dyDescent="0.3"/>
    <row r="39721" customFormat="1" x14ac:dyDescent="0.3"/>
    <row r="39722" customFormat="1" x14ac:dyDescent="0.3"/>
    <row r="39723" customFormat="1" x14ac:dyDescent="0.3"/>
    <row r="39724" customFormat="1" x14ac:dyDescent="0.3"/>
    <row r="39725" customFormat="1" x14ac:dyDescent="0.3"/>
    <row r="39726" customFormat="1" x14ac:dyDescent="0.3"/>
    <row r="39727" customFormat="1" x14ac:dyDescent="0.3"/>
    <row r="39728" customFormat="1" x14ac:dyDescent="0.3"/>
    <row r="39729" customFormat="1" x14ac:dyDescent="0.3"/>
    <row r="39730" customFormat="1" x14ac:dyDescent="0.3"/>
    <row r="39731" customFormat="1" x14ac:dyDescent="0.3"/>
    <row r="39732" customFormat="1" x14ac:dyDescent="0.3"/>
    <row r="39733" customFormat="1" x14ac:dyDescent="0.3"/>
    <row r="39734" customFormat="1" x14ac:dyDescent="0.3"/>
    <row r="39735" customFormat="1" x14ac:dyDescent="0.3"/>
    <row r="39736" customFormat="1" x14ac:dyDescent="0.3"/>
    <row r="39737" customFormat="1" x14ac:dyDescent="0.3"/>
    <row r="39738" customFormat="1" x14ac:dyDescent="0.3"/>
    <row r="39739" customFormat="1" x14ac:dyDescent="0.3"/>
    <row r="39740" customFormat="1" x14ac:dyDescent="0.3"/>
    <row r="39741" customFormat="1" x14ac:dyDescent="0.3"/>
    <row r="39742" customFormat="1" x14ac:dyDescent="0.3"/>
    <row r="39743" customFormat="1" x14ac:dyDescent="0.3"/>
    <row r="39744" customFormat="1" x14ac:dyDescent="0.3"/>
    <row r="39745" customFormat="1" x14ac:dyDescent="0.3"/>
    <row r="39746" customFormat="1" x14ac:dyDescent="0.3"/>
    <row r="39747" customFormat="1" x14ac:dyDescent="0.3"/>
    <row r="39748" customFormat="1" x14ac:dyDescent="0.3"/>
    <row r="39749" customFormat="1" x14ac:dyDescent="0.3"/>
    <row r="39750" customFormat="1" x14ac:dyDescent="0.3"/>
    <row r="39751" customFormat="1" x14ac:dyDescent="0.3"/>
    <row r="39752" customFormat="1" x14ac:dyDescent="0.3"/>
    <row r="39753" customFormat="1" x14ac:dyDescent="0.3"/>
    <row r="39754" customFormat="1" x14ac:dyDescent="0.3"/>
    <row r="39755" customFormat="1" x14ac:dyDescent="0.3"/>
    <row r="39756" customFormat="1" x14ac:dyDescent="0.3"/>
    <row r="39757" customFormat="1" x14ac:dyDescent="0.3"/>
    <row r="39758" customFormat="1" x14ac:dyDescent="0.3"/>
    <row r="39759" customFormat="1" x14ac:dyDescent="0.3"/>
    <row r="39760" customFormat="1" x14ac:dyDescent="0.3"/>
    <row r="39761" customFormat="1" x14ac:dyDescent="0.3"/>
    <row r="39762" customFormat="1" x14ac:dyDescent="0.3"/>
    <row r="39763" customFormat="1" x14ac:dyDescent="0.3"/>
    <row r="39764" customFormat="1" x14ac:dyDescent="0.3"/>
    <row r="39765" customFormat="1" x14ac:dyDescent="0.3"/>
    <row r="39766" customFormat="1" x14ac:dyDescent="0.3"/>
    <row r="39767" customFormat="1" x14ac:dyDescent="0.3"/>
    <row r="39768" customFormat="1" x14ac:dyDescent="0.3"/>
    <row r="39769" customFormat="1" x14ac:dyDescent="0.3"/>
    <row r="39770" customFormat="1" x14ac:dyDescent="0.3"/>
    <row r="39771" customFormat="1" x14ac:dyDescent="0.3"/>
    <row r="39772" customFormat="1" x14ac:dyDescent="0.3"/>
    <row r="39773" customFormat="1" x14ac:dyDescent="0.3"/>
    <row r="39774" customFormat="1" x14ac:dyDescent="0.3"/>
    <row r="39775" customFormat="1" x14ac:dyDescent="0.3"/>
    <row r="39776" customFormat="1" x14ac:dyDescent="0.3"/>
    <row r="39777" customFormat="1" x14ac:dyDescent="0.3"/>
    <row r="39778" customFormat="1" x14ac:dyDescent="0.3"/>
    <row r="39779" customFormat="1" x14ac:dyDescent="0.3"/>
    <row r="39780" customFormat="1" x14ac:dyDescent="0.3"/>
    <row r="39781" customFormat="1" x14ac:dyDescent="0.3"/>
    <row r="39782" customFormat="1" x14ac:dyDescent="0.3"/>
    <row r="39783" customFormat="1" x14ac:dyDescent="0.3"/>
    <row r="39784" customFormat="1" x14ac:dyDescent="0.3"/>
    <row r="39785" customFormat="1" x14ac:dyDescent="0.3"/>
    <row r="39786" customFormat="1" x14ac:dyDescent="0.3"/>
    <row r="39787" customFormat="1" x14ac:dyDescent="0.3"/>
    <row r="39788" customFormat="1" x14ac:dyDescent="0.3"/>
    <row r="39789" customFormat="1" x14ac:dyDescent="0.3"/>
    <row r="39790" customFormat="1" x14ac:dyDescent="0.3"/>
    <row r="39791" customFormat="1" x14ac:dyDescent="0.3"/>
    <row r="39792" customFormat="1" x14ac:dyDescent="0.3"/>
    <row r="39793" customFormat="1" x14ac:dyDescent="0.3"/>
    <row r="39794" customFormat="1" x14ac:dyDescent="0.3"/>
    <row r="39795" customFormat="1" x14ac:dyDescent="0.3"/>
    <row r="39796" customFormat="1" x14ac:dyDescent="0.3"/>
    <row r="39797" customFormat="1" x14ac:dyDescent="0.3"/>
    <row r="39798" customFormat="1" x14ac:dyDescent="0.3"/>
    <row r="39799" customFormat="1" x14ac:dyDescent="0.3"/>
    <row r="39800" customFormat="1" x14ac:dyDescent="0.3"/>
    <row r="39801" customFormat="1" x14ac:dyDescent="0.3"/>
    <row r="39802" customFormat="1" x14ac:dyDescent="0.3"/>
    <row r="39803" customFormat="1" x14ac:dyDescent="0.3"/>
    <row r="39804" customFormat="1" x14ac:dyDescent="0.3"/>
    <row r="39805" customFormat="1" x14ac:dyDescent="0.3"/>
    <row r="39806" customFormat="1" x14ac:dyDescent="0.3"/>
    <row r="39807" customFormat="1" x14ac:dyDescent="0.3"/>
    <row r="39808" customFormat="1" x14ac:dyDescent="0.3"/>
    <row r="39809" customFormat="1" x14ac:dyDescent="0.3"/>
    <row r="39810" customFormat="1" x14ac:dyDescent="0.3"/>
    <row r="39811" customFormat="1" x14ac:dyDescent="0.3"/>
    <row r="39812" customFormat="1" x14ac:dyDescent="0.3"/>
    <row r="39813" customFormat="1" x14ac:dyDescent="0.3"/>
    <row r="39814" customFormat="1" x14ac:dyDescent="0.3"/>
    <row r="39815" customFormat="1" x14ac:dyDescent="0.3"/>
    <row r="39816" customFormat="1" x14ac:dyDescent="0.3"/>
    <row r="39817" customFormat="1" x14ac:dyDescent="0.3"/>
    <row r="39818" customFormat="1" x14ac:dyDescent="0.3"/>
    <row r="39819" customFormat="1" x14ac:dyDescent="0.3"/>
    <row r="39820" customFormat="1" x14ac:dyDescent="0.3"/>
    <row r="39821" customFormat="1" x14ac:dyDescent="0.3"/>
    <row r="39822" customFormat="1" x14ac:dyDescent="0.3"/>
    <row r="39823" customFormat="1" x14ac:dyDescent="0.3"/>
    <row r="39824" customFormat="1" x14ac:dyDescent="0.3"/>
    <row r="39825" customFormat="1" x14ac:dyDescent="0.3"/>
    <row r="39826" customFormat="1" x14ac:dyDescent="0.3"/>
    <row r="39827" customFormat="1" x14ac:dyDescent="0.3"/>
    <row r="39828" customFormat="1" x14ac:dyDescent="0.3"/>
    <row r="39829" customFormat="1" x14ac:dyDescent="0.3"/>
    <row r="39830" customFormat="1" x14ac:dyDescent="0.3"/>
    <row r="39831" customFormat="1" x14ac:dyDescent="0.3"/>
    <row r="39832" customFormat="1" x14ac:dyDescent="0.3"/>
    <row r="39833" customFormat="1" x14ac:dyDescent="0.3"/>
    <row r="39834" customFormat="1" x14ac:dyDescent="0.3"/>
    <row r="39835" customFormat="1" x14ac:dyDescent="0.3"/>
    <row r="39836" customFormat="1" x14ac:dyDescent="0.3"/>
    <row r="39837" customFormat="1" x14ac:dyDescent="0.3"/>
    <row r="39838" customFormat="1" x14ac:dyDescent="0.3"/>
    <row r="39839" customFormat="1" x14ac:dyDescent="0.3"/>
    <row r="39840" customFormat="1" x14ac:dyDescent="0.3"/>
    <row r="39841" customFormat="1" x14ac:dyDescent="0.3"/>
    <row r="39842" customFormat="1" x14ac:dyDescent="0.3"/>
    <row r="39843" customFormat="1" x14ac:dyDescent="0.3"/>
    <row r="39844" customFormat="1" x14ac:dyDescent="0.3"/>
    <row r="39845" customFormat="1" x14ac:dyDescent="0.3"/>
    <row r="39846" customFormat="1" x14ac:dyDescent="0.3"/>
    <row r="39847" customFormat="1" x14ac:dyDescent="0.3"/>
    <row r="39848" customFormat="1" x14ac:dyDescent="0.3"/>
    <row r="39849" customFormat="1" x14ac:dyDescent="0.3"/>
    <row r="39850" customFormat="1" x14ac:dyDescent="0.3"/>
    <row r="39851" customFormat="1" x14ac:dyDescent="0.3"/>
    <row r="39852" customFormat="1" x14ac:dyDescent="0.3"/>
    <row r="39853" customFormat="1" x14ac:dyDescent="0.3"/>
    <row r="39854" customFormat="1" x14ac:dyDescent="0.3"/>
    <row r="39855" customFormat="1" x14ac:dyDescent="0.3"/>
    <row r="39856" customFormat="1" x14ac:dyDescent="0.3"/>
    <row r="39857" customFormat="1" x14ac:dyDescent="0.3"/>
    <row r="39858" customFormat="1" x14ac:dyDescent="0.3"/>
    <row r="39859" customFormat="1" x14ac:dyDescent="0.3"/>
    <row r="39860" customFormat="1" x14ac:dyDescent="0.3"/>
    <row r="39861" customFormat="1" x14ac:dyDescent="0.3"/>
    <row r="39862" customFormat="1" x14ac:dyDescent="0.3"/>
    <row r="39863" customFormat="1" x14ac:dyDescent="0.3"/>
    <row r="39864" customFormat="1" x14ac:dyDescent="0.3"/>
    <row r="39865" customFormat="1" x14ac:dyDescent="0.3"/>
    <row r="39866" customFormat="1" x14ac:dyDescent="0.3"/>
    <row r="39867" customFormat="1" x14ac:dyDescent="0.3"/>
    <row r="39868" customFormat="1" x14ac:dyDescent="0.3"/>
    <row r="39869" customFormat="1" x14ac:dyDescent="0.3"/>
    <row r="39870" customFormat="1" x14ac:dyDescent="0.3"/>
    <row r="39871" customFormat="1" x14ac:dyDescent="0.3"/>
    <row r="39872" customFormat="1" x14ac:dyDescent="0.3"/>
    <row r="39873" customFormat="1" x14ac:dyDescent="0.3"/>
    <row r="39874" customFormat="1" x14ac:dyDescent="0.3"/>
    <row r="39875" customFormat="1" x14ac:dyDescent="0.3"/>
    <row r="39876" customFormat="1" x14ac:dyDescent="0.3"/>
    <row r="39877" customFormat="1" x14ac:dyDescent="0.3"/>
    <row r="39878" customFormat="1" x14ac:dyDescent="0.3"/>
    <row r="39879" customFormat="1" x14ac:dyDescent="0.3"/>
    <row r="39880" customFormat="1" x14ac:dyDescent="0.3"/>
    <row r="39881" customFormat="1" x14ac:dyDescent="0.3"/>
    <row r="39882" customFormat="1" x14ac:dyDescent="0.3"/>
    <row r="39883" customFormat="1" x14ac:dyDescent="0.3"/>
    <row r="39884" customFormat="1" x14ac:dyDescent="0.3"/>
    <row r="39885" customFormat="1" x14ac:dyDescent="0.3"/>
    <row r="39886" customFormat="1" x14ac:dyDescent="0.3"/>
    <row r="39887" customFormat="1" x14ac:dyDescent="0.3"/>
    <row r="39888" customFormat="1" x14ac:dyDescent="0.3"/>
    <row r="39889" customFormat="1" x14ac:dyDescent="0.3"/>
    <row r="39890" customFormat="1" x14ac:dyDescent="0.3"/>
    <row r="39891" customFormat="1" x14ac:dyDescent="0.3"/>
    <row r="39892" customFormat="1" x14ac:dyDescent="0.3"/>
    <row r="39893" customFormat="1" x14ac:dyDescent="0.3"/>
    <row r="39894" customFormat="1" x14ac:dyDescent="0.3"/>
    <row r="39895" customFormat="1" x14ac:dyDescent="0.3"/>
    <row r="39896" customFormat="1" x14ac:dyDescent="0.3"/>
    <row r="39897" customFormat="1" x14ac:dyDescent="0.3"/>
    <row r="39898" customFormat="1" x14ac:dyDescent="0.3"/>
    <row r="39899" customFormat="1" x14ac:dyDescent="0.3"/>
    <row r="39900" customFormat="1" x14ac:dyDescent="0.3"/>
    <row r="39901" customFormat="1" x14ac:dyDescent="0.3"/>
    <row r="39902" customFormat="1" x14ac:dyDescent="0.3"/>
    <row r="39903" customFormat="1" x14ac:dyDescent="0.3"/>
    <row r="39904" customFormat="1" x14ac:dyDescent="0.3"/>
    <row r="39905" customFormat="1" x14ac:dyDescent="0.3"/>
    <row r="39906" customFormat="1" x14ac:dyDescent="0.3"/>
    <row r="39907" customFormat="1" x14ac:dyDescent="0.3"/>
    <row r="39908" customFormat="1" x14ac:dyDescent="0.3"/>
    <row r="39909" customFormat="1" x14ac:dyDescent="0.3"/>
    <row r="39910" customFormat="1" x14ac:dyDescent="0.3"/>
    <row r="39911" customFormat="1" x14ac:dyDescent="0.3"/>
    <row r="39912" customFormat="1" x14ac:dyDescent="0.3"/>
    <row r="39913" customFormat="1" x14ac:dyDescent="0.3"/>
    <row r="39914" customFormat="1" x14ac:dyDescent="0.3"/>
    <row r="39915" customFormat="1" x14ac:dyDescent="0.3"/>
    <row r="39916" customFormat="1" x14ac:dyDescent="0.3"/>
    <row r="39917" customFormat="1" x14ac:dyDescent="0.3"/>
    <row r="39918" customFormat="1" x14ac:dyDescent="0.3"/>
    <row r="39919" customFormat="1" x14ac:dyDescent="0.3"/>
    <row r="39920" customFormat="1" x14ac:dyDescent="0.3"/>
    <row r="39921" customFormat="1" x14ac:dyDescent="0.3"/>
    <row r="39922" customFormat="1" x14ac:dyDescent="0.3"/>
    <row r="39923" customFormat="1" x14ac:dyDescent="0.3"/>
    <row r="39924" customFormat="1" x14ac:dyDescent="0.3"/>
    <row r="39925" customFormat="1" x14ac:dyDescent="0.3"/>
    <row r="39926" customFormat="1" x14ac:dyDescent="0.3"/>
    <row r="39927" customFormat="1" x14ac:dyDescent="0.3"/>
    <row r="39928" customFormat="1" x14ac:dyDescent="0.3"/>
    <row r="39929" customFormat="1" x14ac:dyDescent="0.3"/>
    <row r="39930" customFormat="1" x14ac:dyDescent="0.3"/>
    <row r="39931" customFormat="1" x14ac:dyDescent="0.3"/>
    <row r="39932" customFormat="1" x14ac:dyDescent="0.3"/>
    <row r="39933" customFormat="1" x14ac:dyDescent="0.3"/>
    <row r="39934" customFormat="1" x14ac:dyDescent="0.3"/>
    <row r="39935" customFormat="1" x14ac:dyDescent="0.3"/>
    <row r="39936" customFormat="1" x14ac:dyDescent="0.3"/>
    <row r="39937" customFormat="1" x14ac:dyDescent="0.3"/>
    <row r="39938" customFormat="1" x14ac:dyDescent="0.3"/>
    <row r="39939" customFormat="1" x14ac:dyDescent="0.3"/>
    <row r="39940" customFormat="1" x14ac:dyDescent="0.3"/>
    <row r="39941" customFormat="1" x14ac:dyDescent="0.3"/>
    <row r="39942" customFormat="1" x14ac:dyDescent="0.3"/>
    <row r="39943" customFormat="1" x14ac:dyDescent="0.3"/>
    <row r="39944" customFormat="1" x14ac:dyDescent="0.3"/>
    <row r="39945" customFormat="1" x14ac:dyDescent="0.3"/>
    <row r="39946" customFormat="1" x14ac:dyDescent="0.3"/>
    <row r="39947" customFormat="1" x14ac:dyDescent="0.3"/>
    <row r="39948" customFormat="1" x14ac:dyDescent="0.3"/>
    <row r="39949" customFormat="1" x14ac:dyDescent="0.3"/>
    <row r="39950" customFormat="1" x14ac:dyDescent="0.3"/>
    <row r="39951" customFormat="1" x14ac:dyDescent="0.3"/>
    <row r="39952" customFormat="1" x14ac:dyDescent="0.3"/>
    <row r="39953" customFormat="1" x14ac:dyDescent="0.3"/>
    <row r="39954" customFormat="1" x14ac:dyDescent="0.3"/>
    <row r="39955" customFormat="1" x14ac:dyDescent="0.3"/>
    <row r="39956" customFormat="1" x14ac:dyDescent="0.3"/>
    <row r="39957" customFormat="1" x14ac:dyDescent="0.3"/>
    <row r="39958" customFormat="1" x14ac:dyDescent="0.3"/>
    <row r="39959" customFormat="1" x14ac:dyDescent="0.3"/>
    <row r="39960" customFormat="1" x14ac:dyDescent="0.3"/>
    <row r="39961" customFormat="1" x14ac:dyDescent="0.3"/>
    <row r="39962" customFormat="1" x14ac:dyDescent="0.3"/>
    <row r="39963" customFormat="1" x14ac:dyDescent="0.3"/>
    <row r="39964" customFormat="1" x14ac:dyDescent="0.3"/>
    <row r="39965" customFormat="1" x14ac:dyDescent="0.3"/>
    <row r="39966" customFormat="1" x14ac:dyDescent="0.3"/>
    <row r="39967" customFormat="1" x14ac:dyDescent="0.3"/>
    <row r="39968" customFormat="1" x14ac:dyDescent="0.3"/>
    <row r="39969" customFormat="1" x14ac:dyDescent="0.3"/>
    <row r="39970" customFormat="1" x14ac:dyDescent="0.3"/>
    <row r="39971" customFormat="1" x14ac:dyDescent="0.3"/>
    <row r="39972" customFormat="1" x14ac:dyDescent="0.3"/>
    <row r="39973" customFormat="1" x14ac:dyDescent="0.3"/>
    <row r="39974" customFormat="1" x14ac:dyDescent="0.3"/>
    <row r="39975" customFormat="1" x14ac:dyDescent="0.3"/>
    <row r="39976" customFormat="1" x14ac:dyDescent="0.3"/>
    <row r="39977" customFormat="1" x14ac:dyDescent="0.3"/>
    <row r="39978" customFormat="1" x14ac:dyDescent="0.3"/>
    <row r="39979" customFormat="1" x14ac:dyDescent="0.3"/>
    <row r="39980" customFormat="1" x14ac:dyDescent="0.3"/>
    <row r="39981" customFormat="1" x14ac:dyDescent="0.3"/>
    <row r="39982" customFormat="1" x14ac:dyDescent="0.3"/>
    <row r="39983" customFormat="1" x14ac:dyDescent="0.3"/>
    <row r="39984" customFormat="1" x14ac:dyDescent="0.3"/>
    <row r="39985" customFormat="1" x14ac:dyDescent="0.3"/>
    <row r="39986" customFormat="1" x14ac:dyDescent="0.3"/>
    <row r="39987" customFormat="1" x14ac:dyDescent="0.3"/>
    <row r="39988" customFormat="1" x14ac:dyDescent="0.3"/>
    <row r="39989" customFormat="1" x14ac:dyDescent="0.3"/>
    <row r="39990" customFormat="1" x14ac:dyDescent="0.3"/>
    <row r="39991" customFormat="1" x14ac:dyDescent="0.3"/>
    <row r="39992" customFormat="1" x14ac:dyDescent="0.3"/>
    <row r="39993" customFormat="1" x14ac:dyDescent="0.3"/>
    <row r="39994" customFormat="1" x14ac:dyDescent="0.3"/>
    <row r="39995" customFormat="1" x14ac:dyDescent="0.3"/>
    <row r="39996" customFormat="1" x14ac:dyDescent="0.3"/>
    <row r="39997" customFormat="1" x14ac:dyDescent="0.3"/>
    <row r="39998" customFormat="1" x14ac:dyDescent="0.3"/>
    <row r="39999" customFormat="1" x14ac:dyDescent="0.3"/>
    <row r="40000" customFormat="1" x14ac:dyDescent="0.3"/>
    <row r="40001" customFormat="1" x14ac:dyDescent="0.3"/>
    <row r="40002" customFormat="1" x14ac:dyDescent="0.3"/>
    <row r="40003" customFormat="1" x14ac:dyDescent="0.3"/>
    <row r="40004" customFormat="1" x14ac:dyDescent="0.3"/>
    <row r="40005" customFormat="1" x14ac:dyDescent="0.3"/>
    <row r="40006" customFormat="1" x14ac:dyDescent="0.3"/>
    <row r="40007" customFormat="1" x14ac:dyDescent="0.3"/>
    <row r="40008" customFormat="1" x14ac:dyDescent="0.3"/>
    <row r="40009" customFormat="1" x14ac:dyDescent="0.3"/>
    <row r="40010" customFormat="1" x14ac:dyDescent="0.3"/>
    <row r="40011" customFormat="1" x14ac:dyDescent="0.3"/>
    <row r="40012" customFormat="1" x14ac:dyDescent="0.3"/>
    <row r="40013" customFormat="1" x14ac:dyDescent="0.3"/>
    <row r="40014" customFormat="1" x14ac:dyDescent="0.3"/>
    <row r="40015" customFormat="1" x14ac:dyDescent="0.3"/>
    <row r="40016" customFormat="1" x14ac:dyDescent="0.3"/>
    <row r="40017" customFormat="1" x14ac:dyDescent="0.3"/>
    <row r="40018" customFormat="1" x14ac:dyDescent="0.3"/>
    <row r="40019" customFormat="1" x14ac:dyDescent="0.3"/>
    <row r="40020" customFormat="1" x14ac:dyDescent="0.3"/>
    <row r="40021" customFormat="1" x14ac:dyDescent="0.3"/>
    <row r="40022" customFormat="1" x14ac:dyDescent="0.3"/>
    <row r="40023" customFormat="1" x14ac:dyDescent="0.3"/>
    <row r="40024" customFormat="1" x14ac:dyDescent="0.3"/>
    <row r="40025" customFormat="1" x14ac:dyDescent="0.3"/>
    <row r="40026" customFormat="1" x14ac:dyDescent="0.3"/>
    <row r="40027" customFormat="1" x14ac:dyDescent="0.3"/>
    <row r="40028" customFormat="1" x14ac:dyDescent="0.3"/>
    <row r="40029" customFormat="1" x14ac:dyDescent="0.3"/>
    <row r="40030" customFormat="1" x14ac:dyDescent="0.3"/>
    <row r="40031" customFormat="1" x14ac:dyDescent="0.3"/>
    <row r="40032" customFormat="1" x14ac:dyDescent="0.3"/>
    <row r="40033" customFormat="1" x14ac:dyDescent="0.3"/>
    <row r="40034" customFormat="1" x14ac:dyDescent="0.3"/>
    <row r="40035" customFormat="1" x14ac:dyDescent="0.3"/>
    <row r="40036" customFormat="1" x14ac:dyDescent="0.3"/>
    <row r="40037" customFormat="1" x14ac:dyDescent="0.3"/>
    <row r="40038" customFormat="1" x14ac:dyDescent="0.3"/>
    <row r="40039" customFormat="1" x14ac:dyDescent="0.3"/>
    <row r="40040" customFormat="1" x14ac:dyDescent="0.3"/>
    <row r="40041" customFormat="1" x14ac:dyDescent="0.3"/>
    <row r="40042" customFormat="1" x14ac:dyDescent="0.3"/>
    <row r="40043" customFormat="1" x14ac:dyDescent="0.3"/>
    <row r="40044" customFormat="1" x14ac:dyDescent="0.3"/>
    <row r="40045" customFormat="1" x14ac:dyDescent="0.3"/>
    <row r="40046" customFormat="1" x14ac:dyDescent="0.3"/>
    <row r="40047" customFormat="1" x14ac:dyDescent="0.3"/>
    <row r="40048" customFormat="1" x14ac:dyDescent="0.3"/>
    <row r="40049" customFormat="1" x14ac:dyDescent="0.3"/>
    <row r="40050" customFormat="1" x14ac:dyDescent="0.3"/>
    <row r="40051" customFormat="1" x14ac:dyDescent="0.3"/>
    <row r="40052" customFormat="1" x14ac:dyDescent="0.3"/>
    <row r="40053" customFormat="1" x14ac:dyDescent="0.3"/>
    <row r="40054" customFormat="1" x14ac:dyDescent="0.3"/>
    <row r="40055" customFormat="1" x14ac:dyDescent="0.3"/>
    <row r="40056" customFormat="1" x14ac:dyDescent="0.3"/>
    <row r="40057" customFormat="1" x14ac:dyDescent="0.3"/>
    <row r="40058" customFormat="1" x14ac:dyDescent="0.3"/>
    <row r="40059" customFormat="1" x14ac:dyDescent="0.3"/>
    <row r="40060" customFormat="1" x14ac:dyDescent="0.3"/>
    <row r="40061" customFormat="1" x14ac:dyDescent="0.3"/>
    <row r="40062" customFormat="1" x14ac:dyDescent="0.3"/>
    <row r="40063" customFormat="1" x14ac:dyDescent="0.3"/>
    <row r="40064" customFormat="1" x14ac:dyDescent="0.3"/>
    <row r="40065" customFormat="1" x14ac:dyDescent="0.3"/>
    <row r="40066" customFormat="1" x14ac:dyDescent="0.3"/>
    <row r="40067" customFormat="1" x14ac:dyDescent="0.3"/>
    <row r="40068" customFormat="1" x14ac:dyDescent="0.3"/>
    <row r="40069" customFormat="1" x14ac:dyDescent="0.3"/>
    <row r="40070" customFormat="1" x14ac:dyDescent="0.3"/>
    <row r="40071" customFormat="1" x14ac:dyDescent="0.3"/>
    <row r="40072" customFormat="1" x14ac:dyDescent="0.3"/>
    <row r="40073" customFormat="1" x14ac:dyDescent="0.3"/>
    <row r="40074" customFormat="1" x14ac:dyDescent="0.3"/>
    <row r="40075" customFormat="1" x14ac:dyDescent="0.3"/>
    <row r="40076" customFormat="1" x14ac:dyDescent="0.3"/>
    <row r="40077" customFormat="1" x14ac:dyDescent="0.3"/>
    <row r="40078" customFormat="1" x14ac:dyDescent="0.3"/>
    <row r="40079" customFormat="1" x14ac:dyDescent="0.3"/>
    <row r="40080" customFormat="1" x14ac:dyDescent="0.3"/>
    <row r="40081" customFormat="1" x14ac:dyDescent="0.3"/>
    <row r="40082" customFormat="1" x14ac:dyDescent="0.3"/>
    <row r="40083" customFormat="1" x14ac:dyDescent="0.3"/>
    <row r="40084" customFormat="1" x14ac:dyDescent="0.3"/>
    <row r="40085" customFormat="1" x14ac:dyDescent="0.3"/>
    <row r="40086" customFormat="1" x14ac:dyDescent="0.3"/>
    <row r="40087" customFormat="1" x14ac:dyDescent="0.3"/>
    <row r="40088" customFormat="1" x14ac:dyDescent="0.3"/>
    <row r="40089" customFormat="1" x14ac:dyDescent="0.3"/>
    <row r="40090" customFormat="1" x14ac:dyDescent="0.3"/>
    <row r="40091" customFormat="1" x14ac:dyDescent="0.3"/>
    <row r="40092" customFormat="1" x14ac:dyDescent="0.3"/>
    <row r="40093" customFormat="1" x14ac:dyDescent="0.3"/>
    <row r="40094" customFormat="1" x14ac:dyDescent="0.3"/>
    <row r="40095" customFormat="1" x14ac:dyDescent="0.3"/>
    <row r="40096" customFormat="1" x14ac:dyDescent="0.3"/>
    <row r="40097" customFormat="1" x14ac:dyDescent="0.3"/>
    <row r="40098" customFormat="1" x14ac:dyDescent="0.3"/>
    <row r="40099" customFormat="1" x14ac:dyDescent="0.3"/>
    <row r="40100" customFormat="1" x14ac:dyDescent="0.3"/>
    <row r="40101" customFormat="1" x14ac:dyDescent="0.3"/>
    <row r="40102" customFormat="1" x14ac:dyDescent="0.3"/>
    <row r="40103" customFormat="1" x14ac:dyDescent="0.3"/>
    <row r="40104" customFormat="1" x14ac:dyDescent="0.3"/>
    <row r="40105" customFormat="1" x14ac:dyDescent="0.3"/>
    <row r="40106" customFormat="1" x14ac:dyDescent="0.3"/>
    <row r="40107" customFormat="1" x14ac:dyDescent="0.3"/>
    <row r="40108" customFormat="1" x14ac:dyDescent="0.3"/>
    <row r="40109" customFormat="1" x14ac:dyDescent="0.3"/>
    <row r="40110" customFormat="1" x14ac:dyDescent="0.3"/>
    <row r="40111" customFormat="1" x14ac:dyDescent="0.3"/>
    <row r="40112" customFormat="1" x14ac:dyDescent="0.3"/>
    <row r="40113" customFormat="1" x14ac:dyDescent="0.3"/>
    <row r="40114" customFormat="1" x14ac:dyDescent="0.3"/>
    <row r="40115" customFormat="1" x14ac:dyDescent="0.3"/>
    <row r="40116" customFormat="1" x14ac:dyDescent="0.3"/>
    <row r="40117" customFormat="1" x14ac:dyDescent="0.3"/>
    <row r="40118" customFormat="1" x14ac:dyDescent="0.3"/>
    <row r="40119" customFormat="1" x14ac:dyDescent="0.3"/>
    <row r="40120" customFormat="1" x14ac:dyDescent="0.3"/>
    <row r="40121" customFormat="1" x14ac:dyDescent="0.3"/>
    <row r="40122" customFormat="1" x14ac:dyDescent="0.3"/>
    <row r="40123" customFormat="1" x14ac:dyDescent="0.3"/>
    <row r="40124" customFormat="1" x14ac:dyDescent="0.3"/>
    <row r="40125" customFormat="1" x14ac:dyDescent="0.3"/>
    <row r="40126" customFormat="1" x14ac:dyDescent="0.3"/>
    <row r="40127" customFormat="1" x14ac:dyDescent="0.3"/>
    <row r="40128" customFormat="1" x14ac:dyDescent="0.3"/>
    <row r="40129" customFormat="1" x14ac:dyDescent="0.3"/>
    <row r="40130" customFormat="1" x14ac:dyDescent="0.3"/>
    <row r="40131" customFormat="1" x14ac:dyDescent="0.3"/>
    <row r="40132" customFormat="1" x14ac:dyDescent="0.3"/>
    <row r="40133" customFormat="1" x14ac:dyDescent="0.3"/>
    <row r="40134" customFormat="1" x14ac:dyDescent="0.3"/>
    <row r="40135" customFormat="1" x14ac:dyDescent="0.3"/>
    <row r="40136" customFormat="1" x14ac:dyDescent="0.3"/>
    <row r="40137" customFormat="1" x14ac:dyDescent="0.3"/>
    <row r="40138" customFormat="1" x14ac:dyDescent="0.3"/>
    <row r="40139" customFormat="1" x14ac:dyDescent="0.3"/>
    <row r="40140" customFormat="1" x14ac:dyDescent="0.3"/>
    <row r="40141" customFormat="1" x14ac:dyDescent="0.3"/>
    <row r="40142" customFormat="1" x14ac:dyDescent="0.3"/>
    <row r="40143" customFormat="1" x14ac:dyDescent="0.3"/>
    <row r="40144" customFormat="1" x14ac:dyDescent="0.3"/>
    <row r="40145" customFormat="1" x14ac:dyDescent="0.3"/>
    <row r="40146" customFormat="1" x14ac:dyDescent="0.3"/>
    <row r="40147" customFormat="1" x14ac:dyDescent="0.3"/>
    <row r="40148" customFormat="1" x14ac:dyDescent="0.3"/>
    <row r="40149" customFormat="1" x14ac:dyDescent="0.3"/>
    <row r="40150" customFormat="1" x14ac:dyDescent="0.3"/>
    <row r="40151" customFormat="1" x14ac:dyDescent="0.3"/>
    <row r="40152" customFormat="1" x14ac:dyDescent="0.3"/>
    <row r="40153" customFormat="1" x14ac:dyDescent="0.3"/>
    <row r="40154" customFormat="1" x14ac:dyDescent="0.3"/>
    <row r="40155" customFormat="1" x14ac:dyDescent="0.3"/>
    <row r="40156" customFormat="1" x14ac:dyDescent="0.3"/>
    <row r="40157" customFormat="1" x14ac:dyDescent="0.3"/>
    <row r="40158" customFormat="1" x14ac:dyDescent="0.3"/>
    <row r="40159" customFormat="1" x14ac:dyDescent="0.3"/>
    <row r="40160" customFormat="1" x14ac:dyDescent="0.3"/>
    <row r="40161" customFormat="1" x14ac:dyDescent="0.3"/>
    <row r="40162" customFormat="1" x14ac:dyDescent="0.3"/>
    <row r="40163" customFormat="1" x14ac:dyDescent="0.3"/>
    <row r="40164" customFormat="1" x14ac:dyDescent="0.3"/>
    <row r="40165" customFormat="1" x14ac:dyDescent="0.3"/>
    <row r="40166" customFormat="1" x14ac:dyDescent="0.3"/>
    <row r="40167" customFormat="1" x14ac:dyDescent="0.3"/>
    <row r="40168" customFormat="1" x14ac:dyDescent="0.3"/>
    <row r="40169" customFormat="1" x14ac:dyDescent="0.3"/>
    <row r="40170" customFormat="1" x14ac:dyDescent="0.3"/>
    <row r="40171" customFormat="1" x14ac:dyDescent="0.3"/>
    <row r="40172" customFormat="1" x14ac:dyDescent="0.3"/>
    <row r="40173" customFormat="1" x14ac:dyDescent="0.3"/>
    <row r="40174" customFormat="1" x14ac:dyDescent="0.3"/>
    <row r="40175" customFormat="1" x14ac:dyDescent="0.3"/>
    <row r="40176" customFormat="1" x14ac:dyDescent="0.3"/>
    <row r="40177" customFormat="1" x14ac:dyDescent="0.3"/>
    <row r="40178" customFormat="1" x14ac:dyDescent="0.3"/>
    <row r="40179" customFormat="1" x14ac:dyDescent="0.3"/>
    <row r="40180" customFormat="1" x14ac:dyDescent="0.3"/>
    <row r="40181" customFormat="1" x14ac:dyDescent="0.3"/>
    <row r="40182" customFormat="1" x14ac:dyDescent="0.3"/>
    <row r="40183" customFormat="1" x14ac:dyDescent="0.3"/>
    <row r="40184" customFormat="1" x14ac:dyDescent="0.3"/>
    <row r="40185" customFormat="1" x14ac:dyDescent="0.3"/>
    <row r="40186" customFormat="1" x14ac:dyDescent="0.3"/>
    <row r="40187" customFormat="1" x14ac:dyDescent="0.3"/>
    <row r="40188" customFormat="1" x14ac:dyDescent="0.3"/>
    <row r="40189" customFormat="1" x14ac:dyDescent="0.3"/>
    <row r="40190" customFormat="1" x14ac:dyDescent="0.3"/>
    <row r="40191" customFormat="1" x14ac:dyDescent="0.3"/>
    <row r="40192" customFormat="1" x14ac:dyDescent="0.3"/>
    <row r="40193" customFormat="1" x14ac:dyDescent="0.3"/>
    <row r="40194" customFormat="1" x14ac:dyDescent="0.3"/>
    <row r="40195" customFormat="1" x14ac:dyDescent="0.3"/>
    <row r="40196" customFormat="1" x14ac:dyDescent="0.3"/>
    <row r="40197" customFormat="1" x14ac:dyDescent="0.3"/>
    <row r="40198" customFormat="1" x14ac:dyDescent="0.3"/>
    <row r="40199" customFormat="1" x14ac:dyDescent="0.3"/>
    <row r="40200" customFormat="1" x14ac:dyDescent="0.3"/>
    <row r="40201" customFormat="1" x14ac:dyDescent="0.3"/>
    <row r="40202" customFormat="1" x14ac:dyDescent="0.3"/>
    <row r="40203" customFormat="1" x14ac:dyDescent="0.3"/>
    <row r="40204" customFormat="1" x14ac:dyDescent="0.3"/>
    <row r="40205" customFormat="1" x14ac:dyDescent="0.3"/>
    <row r="40206" customFormat="1" x14ac:dyDescent="0.3"/>
    <row r="40207" customFormat="1" x14ac:dyDescent="0.3"/>
    <row r="40208" customFormat="1" x14ac:dyDescent="0.3"/>
    <row r="40209" customFormat="1" x14ac:dyDescent="0.3"/>
    <row r="40210" customFormat="1" x14ac:dyDescent="0.3"/>
    <row r="40211" customFormat="1" x14ac:dyDescent="0.3"/>
    <row r="40212" customFormat="1" x14ac:dyDescent="0.3"/>
    <row r="40213" customFormat="1" x14ac:dyDescent="0.3"/>
    <row r="40214" customFormat="1" x14ac:dyDescent="0.3"/>
    <row r="40215" customFormat="1" x14ac:dyDescent="0.3"/>
    <row r="40216" customFormat="1" x14ac:dyDescent="0.3"/>
    <row r="40217" customFormat="1" x14ac:dyDescent="0.3"/>
    <row r="40218" customFormat="1" x14ac:dyDescent="0.3"/>
    <row r="40219" customFormat="1" x14ac:dyDescent="0.3"/>
    <row r="40220" customFormat="1" x14ac:dyDescent="0.3"/>
    <row r="40221" customFormat="1" x14ac:dyDescent="0.3"/>
    <row r="40222" customFormat="1" x14ac:dyDescent="0.3"/>
    <row r="40223" customFormat="1" x14ac:dyDescent="0.3"/>
    <row r="40224" customFormat="1" x14ac:dyDescent="0.3"/>
    <row r="40225" customFormat="1" x14ac:dyDescent="0.3"/>
    <row r="40226" customFormat="1" x14ac:dyDescent="0.3"/>
    <row r="40227" customFormat="1" x14ac:dyDescent="0.3"/>
    <row r="40228" customFormat="1" x14ac:dyDescent="0.3"/>
    <row r="40229" customFormat="1" x14ac:dyDescent="0.3"/>
    <row r="40230" customFormat="1" x14ac:dyDescent="0.3"/>
    <row r="40231" customFormat="1" x14ac:dyDescent="0.3"/>
    <row r="40232" customFormat="1" x14ac:dyDescent="0.3"/>
    <row r="40233" customFormat="1" x14ac:dyDescent="0.3"/>
    <row r="40234" customFormat="1" x14ac:dyDescent="0.3"/>
    <row r="40235" customFormat="1" x14ac:dyDescent="0.3"/>
    <row r="40236" customFormat="1" x14ac:dyDescent="0.3"/>
    <row r="40237" customFormat="1" x14ac:dyDescent="0.3"/>
    <row r="40238" customFormat="1" x14ac:dyDescent="0.3"/>
    <row r="40239" customFormat="1" x14ac:dyDescent="0.3"/>
    <row r="40240" customFormat="1" x14ac:dyDescent="0.3"/>
    <row r="40241" customFormat="1" x14ac:dyDescent="0.3"/>
    <row r="40242" customFormat="1" x14ac:dyDescent="0.3"/>
    <row r="40243" customFormat="1" x14ac:dyDescent="0.3"/>
    <row r="40244" customFormat="1" x14ac:dyDescent="0.3"/>
    <row r="40245" customFormat="1" x14ac:dyDescent="0.3"/>
    <row r="40246" customFormat="1" x14ac:dyDescent="0.3"/>
    <row r="40247" customFormat="1" x14ac:dyDescent="0.3"/>
    <row r="40248" customFormat="1" x14ac:dyDescent="0.3"/>
    <row r="40249" customFormat="1" x14ac:dyDescent="0.3"/>
    <row r="40250" customFormat="1" x14ac:dyDescent="0.3"/>
    <row r="40251" customFormat="1" x14ac:dyDescent="0.3"/>
    <row r="40252" customFormat="1" x14ac:dyDescent="0.3"/>
    <row r="40253" customFormat="1" x14ac:dyDescent="0.3"/>
    <row r="40254" customFormat="1" x14ac:dyDescent="0.3"/>
    <row r="40255" customFormat="1" x14ac:dyDescent="0.3"/>
    <row r="40256" customFormat="1" x14ac:dyDescent="0.3"/>
    <row r="40257" customFormat="1" x14ac:dyDescent="0.3"/>
    <row r="40258" customFormat="1" x14ac:dyDescent="0.3"/>
    <row r="40259" customFormat="1" x14ac:dyDescent="0.3"/>
    <row r="40260" customFormat="1" x14ac:dyDescent="0.3"/>
    <row r="40261" customFormat="1" x14ac:dyDescent="0.3"/>
    <row r="40262" customFormat="1" x14ac:dyDescent="0.3"/>
    <row r="40263" customFormat="1" x14ac:dyDescent="0.3"/>
    <row r="40264" customFormat="1" x14ac:dyDescent="0.3"/>
    <row r="40265" customFormat="1" x14ac:dyDescent="0.3"/>
    <row r="40266" customFormat="1" x14ac:dyDescent="0.3"/>
    <row r="40267" customFormat="1" x14ac:dyDescent="0.3"/>
    <row r="40268" customFormat="1" x14ac:dyDescent="0.3"/>
    <row r="40269" customFormat="1" x14ac:dyDescent="0.3"/>
    <row r="40270" customFormat="1" x14ac:dyDescent="0.3"/>
    <row r="40271" customFormat="1" x14ac:dyDescent="0.3"/>
    <row r="40272" customFormat="1" x14ac:dyDescent="0.3"/>
    <row r="40273" customFormat="1" x14ac:dyDescent="0.3"/>
    <row r="40274" customFormat="1" x14ac:dyDescent="0.3"/>
    <row r="40275" customFormat="1" x14ac:dyDescent="0.3"/>
    <row r="40276" customFormat="1" x14ac:dyDescent="0.3"/>
    <row r="40277" customFormat="1" x14ac:dyDescent="0.3"/>
    <row r="40278" customFormat="1" x14ac:dyDescent="0.3"/>
    <row r="40279" customFormat="1" x14ac:dyDescent="0.3"/>
    <row r="40280" customFormat="1" x14ac:dyDescent="0.3"/>
    <row r="40281" customFormat="1" x14ac:dyDescent="0.3"/>
    <row r="40282" customFormat="1" x14ac:dyDescent="0.3"/>
    <row r="40283" customFormat="1" x14ac:dyDescent="0.3"/>
    <row r="40284" customFormat="1" x14ac:dyDescent="0.3"/>
    <row r="40285" customFormat="1" x14ac:dyDescent="0.3"/>
    <row r="40286" customFormat="1" x14ac:dyDescent="0.3"/>
    <row r="40287" customFormat="1" x14ac:dyDescent="0.3"/>
    <row r="40288" customFormat="1" x14ac:dyDescent="0.3"/>
    <row r="40289" customFormat="1" x14ac:dyDescent="0.3"/>
    <row r="40290" customFormat="1" x14ac:dyDescent="0.3"/>
    <row r="40291" customFormat="1" x14ac:dyDescent="0.3"/>
    <row r="40292" customFormat="1" x14ac:dyDescent="0.3"/>
    <row r="40293" customFormat="1" x14ac:dyDescent="0.3"/>
    <row r="40294" customFormat="1" x14ac:dyDescent="0.3"/>
    <row r="40295" customFormat="1" x14ac:dyDescent="0.3"/>
    <row r="40296" customFormat="1" x14ac:dyDescent="0.3"/>
    <row r="40297" customFormat="1" x14ac:dyDescent="0.3"/>
    <row r="40298" customFormat="1" x14ac:dyDescent="0.3"/>
    <row r="40299" customFormat="1" x14ac:dyDescent="0.3"/>
    <row r="40300" customFormat="1" x14ac:dyDescent="0.3"/>
    <row r="40301" customFormat="1" x14ac:dyDescent="0.3"/>
    <row r="40302" customFormat="1" x14ac:dyDescent="0.3"/>
    <row r="40303" customFormat="1" x14ac:dyDescent="0.3"/>
    <row r="40304" customFormat="1" x14ac:dyDescent="0.3"/>
    <row r="40305" customFormat="1" x14ac:dyDescent="0.3"/>
    <row r="40306" customFormat="1" x14ac:dyDescent="0.3"/>
    <row r="40307" customFormat="1" x14ac:dyDescent="0.3"/>
    <row r="40308" customFormat="1" x14ac:dyDescent="0.3"/>
    <row r="40309" customFormat="1" x14ac:dyDescent="0.3"/>
    <row r="40310" customFormat="1" x14ac:dyDescent="0.3"/>
    <row r="40311" customFormat="1" x14ac:dyDescent="0.3"/>
    <row r="40312" customFormat="1" x14ac:dyDescent="0.3"/>
    <row r="40313" customFormat="1" x14ac:dyDescent="0.3"/>
    <row r="40314" customFormat="1" x14ac:dyDescent="0.3"/>
    <row r="40315" customFormat="1" x14ac:dyDescent="0.3"/>
    <row r="40316" customFormat="1" x14ac:dyDescent="0.3"/>
    <row r="40317" customFormat="1" x14ac:dyDescent="0.3"/>
    <row r="40318" customFormat="1" x14ac:dyDescent="0.3"/>
    <row r="40319" customFormat="1" x14ac:dyDescent="0.3"/>
    <row r="40320" customFormat="1" x14ac:dyDescent="0.3"/>
    <row r="40321" customFormat="1" x14ac:dyDescent="0.3"/>
    <row r="40322" customFormat="1" x14ac:dyDescent="0.3"/>
    <row r="40323" customFormat="1" x14ac:dyDescent="0.3"/>
    <row r="40324" customFormat="1" x14ac:dyDescent="0.3"/>
    <row r="40325" customFormat="1" x14ac:dyDescent="0.3"/>
    <row r="40326" customFormat="1" x14ac:dyDescent="0.3"/>
    <row r="40327" customFormat="1" x14ac:dyDescent="0.3"/>
    <row r="40328" customFormat="1" x14ac:dyDescent="0.3"/>
    <row r="40329" customFormat="1" x14ac:dyDescent="0.3"/>
    <row r="40330" customFormat="1" x14ac:dyDescent="0.3"/>
    <row r="40331" customFormat="1" x14ac:dyDescent="0.3"/>
    <row r="40332" customFormat="1" x14ac:dyDescent="0.3"/>
    <row r="40333" customFormat="1" x14ac:dyDescent="0.3"/>
    <row r="40334" customFormat="1" x14ac:dyDescent="0.3"/>
    <row r="40335" customFormat="1" x14ac:dyDescent="0.3"/>
    <row r="40336" customFormat="1" x14ac:dyDescent="0.3"/>
    <row r="40337" customFormat="1" x14ac:dyDescent="0.3"/>
    <row r="40338" customFormat="1" x14ac:dyDescent="0.3"/>
    <row r="40339" customFormat="1" x14ac:dyDescent="0.3"/>
    <row r="40340" customFormat="1" x14ac:dyDescent="0.3"/>
    <row r="40341" customFormat="1" x14ac:dyDescent="0.3"/>
    <row r="40342" customFormat="1" x14ac:dyDescent="0.3"/>
    <row r="40343" customFormat="1" x14ac:dyDescent="0.3"/>
    <row r="40344" customFormat="1" x14ac:dyDescent="0.3"/>
    <row r="40345" customFormat="1" x14ac:dyDescent="0.3"/>
    <row r="40346" customFormat="1" x14ac:dyDescent="0.3"/>
    <row r="40347" customFormat="1" x14ac:dyDescent="0.3"/>
    <row r="40348" customFormat="1" x14ac:dyDescent="0.3"/>
    <row r="40349" customFormat="1" x14ac:dyDescent="0.3"/>
    <row r="40350" customFormat="1" x14ac:dyDescent="0.3"/>
    <row r="40351" customFormat="1" x14ac:dyDescent="0.3"/>
    <row r="40352" customFormat="1" x14ac:dyDescent="0.3"/>
    <row r="40353" customFormat="1" x14ac:dyDescent="0.3"/>
    <row r="40354" customFormat="1" x14ac:dyDescent="0.3"/>
    <row r="40355" customFormat="1" x14ac:dyDescent="0.3"/>
    <row r="40356" customFormat="1" x14ac:dyDescent="0.3"/>
    <row r="40357" customFormat="1" x14ac:dyDescent="0.3"/>
    <row r="40358" customFormat="1" x14ac:dyDescent="0.3"/>
    <row r="40359" customFormat="1" x14ac:dyDescent="0.3"/>
    <row r="40360" customFormat="1" x14ac:dyDescent="0.3"/>
    <row r="40361" customFormat="1" x14ac:dyDescent="0.3"/>
    <row r="40362" customFormat="1" x14ac:dyDescent="0.3"/>
    <row r="40363" customFormat="1" x14ac:dyDescent="0.3"/>
    <row r="40364" customFormat="1" x14ac:dyDescent="0.3"/>
    <row r="40365" customFormat="1" x14ac:dyDescent="0.3"/>
    <row r="40366" customFormat="1" x14ac:dyDescent="0.3"/>
    <row r="40367" customFormat="1" x14ac:dyDescent="0.3"/>
    <row r="40368" customFormat="1" x14ac:dyDescent="0.3"/>
    <row r="40369" customFormat="1" x14ac:dyDescent="0.3"/>
    <row r="40370" customFormat="1" x14ac:dyDescent="0.3"/>
    <row r="40371" customFormat="1" x14ac:dyDescent="0.3"/>
    <row r="40372" customFormat="1" x14ac:dyDescent="0.3"/>
    <row r="40373" customFormat="1" x14ac:dyDescent="0.3"/>
    <row r="40374" customFormat="1" x14ac:dyDescent="0.3"/>
    <row r="40375" customFormat="1" x14ac:dyDescent="0.3"/>
    <row r="40376" customFormat="1" x14ac:dyDescent="0.3"/>
    <row r="40377" customFormat="1" x14ac:dyDescent="0.3"/>
    <row r="40378" customFormat="1" x14ac:dyDescent="0.3"/>
    <row r="40379" customFormat="1" x14ac:dyDescent="0.3"/>
    <row r="40380" customFormat="1" x14ac:dyDescent="0.3"/>
    <row r="40381" customFormat="1" x14ac:dyDescent="0.3"/>
    <row r="40382" customFormat="1" x14ac:dyDescent="0.3"/>
    <row r="40383" customFormat="1" x14ac:dyDescent="0.3"/>
    <row r="40384" customFormat="1" x14ac:dyDescent="0.3"/>
    <row r="40385" customFormat="1" x14ac:dyDescent="0.3"/>
    <row r="40386" customFormat="1" x14ac:dyDescent="0.3"/>
    <row r="40387" customFormat="1" x14ac:dyDescent="0.3"/>
    <row r="40388" customFormat="1" x14ac:dyDescent="0.3"/>
    <row r="40389" customFormat="1" x14ac:dyDescent="0.3"/>
    <row r="40390" customFormat="1" x14ac:dyDescent="0.3"/>
    <row r="40391" customFormat="1" x14ac:dyDescent="0.3"/>
    <row r="40392" customFormat="1" x14ac:dyDescent="0.3"/>
    <row r="40393" customFormat="1" x14ac:dyDescent="0.3"/>
    <row r="40394" customFormat="1" x14ac:dyDescent="0.3"/>
    <row r="40395" customFormat="1" x14ac:dyDescent="0.3"/>
    <row r="40396" customFormat="1" x14ac:dyDescent="0.3"/>
    <row r="40397" customFormat="1" x14ac:dyDescent="0.3"/>
    <row r="40398" customFormat="1" x14ac:dyDescent="0.3"/>
    <row r="40399" customFormat="1" x14ac:dyDescent="0.3"/>
    <row r="40400" customFormat="1" x14ac:dyDescent="0.3"/>
    <row r="40401" customFormat="1" x14ac:dyDescent="0.3"/>
    <row r="40402" customFormat="1" x14ac:dyDescent="0.3"/>
    <row r="40403" customFormat="1" x14ac:dyDescent="0.3"/>
    <row r="40404" customFormat="1" x14ac:dyDescent="0.3"/>
    <row r="40405" customFormat="1" x14ac:dyDescent="0.3"/>
    <row r="40406" customFormat="1" x14ac:dyDescent="0.3"/>
    <row r="40407" customFormat="1" x14ac:dyDescent="0.3"/>
    <row r="40408" customFormat="1" x14ac:dyDescent="0.3"/>
    <row r="40409" customFormat="1" x14ac:dyDescent="0.3"/>
    <row r="40410" customFormat="1" x14ac:dyDescent="0.3"/>
    <row r="40411" customFormat="1" x14ac:dyDescent="0.3"/>
    <row r="40412" customFormat="1" x14ac:dyDescent="0.3"/>
    <row r="40413" customFormat="1" x14ac:dyDescent="0.3"/>
    <row r="40414" customFormat="1" x14ac:dyDescent="0.3"/>
    <row r="40415" customFormat="1" x14ac:dyDescent="0.3"/>
    <row r="40416" customFormat="1" x14ac:dyDescent="0.3"/>
    <row r="40417" customFormat="1" x14ac:dyDescent="0.3"/>
    <row r="40418" customFormat="1" x14ac:dyDescent="0.3"/>
    <row r="40419" customFormat="1" x14ac:dyDescent="0.3"/>
    <row r="40420" customFormat="1" x14ac:dyDescent="0.3"/>
    <row r="40421" customFormat="1" x14ac:dyDescent="0.3"/>
    <row r="40422" customFormat="1" x14ac:dyDescent="0.3"/>
    <row r="40423" customFormat="1" x14ac:dyDescent="0.3"/>
    <row r="40424" customFormat="1" x14ac:dyDescent="0.3"/>
    <row r="40425" customFormat="1" x14ac:dyDescent="0.3"/>
    <row r="40426" customFormat="1" x14ac:dyDescent="0.3"/>
    <row r="40427" customFormat="1" x14ac:dyDescent="0.3"/>
    <row r="40428" customFormat="1" x14ac:dyDescent="0.3"/>
    <row r="40429" customFormat="1" x14ac:dyDescent="0.3"/>
    <row r="40430" customFormat="1" x14ac:dyDescent="0.3"/>
    <row r="40431" customFormat="1" x14ac:dyDescent="0.3"/>
    <row r="40432" customFormat="1" x14ac:dyDescent="0.3"/>
    <row r="40433" customFormat="1" x14ac:dyDescent="0.3"/>
    <row r="40434" customFormat="1" x14ac:dyDescent="0.3"/>
    <row r="40435" customFormat="1" x14ac:dyDescent="0.3"/>
    <row r="40436" customFormat="1" x14ac:dyDescent="0.3"/>
    <row r="40437" customFormat="1" x14ac:dyDescent="0.3"/>
    <row r="40438" customFormat="1" x14ac:dyDescent="0.3"/>
    <row r="40439" customFormat="1" x14ac:dyDescent="0.3"/>
    <row r="40440" customFormat="1" x14ac:dyDescent="0.3"/>
    <row r="40441" customFormat="1" x14ac:dyDescent="0.3"/>
    <row r="40442" customFormat="1" x14ac:dyDescent="0.3"/>
    <row r="40443" customFormat="1" x14ac:dyDescent="0.3"/>
    <row r="40444" customFormat="1" x14ac:dyDescent="0.3"/>
    <row r="40445" customFormat="1" x14ac:dyDescent="0.3"/>
    <row r="40446" customFormat="1" x14ac:dyDescent="0.3"/>
    <row r="40447" customFormat="1" x14ac:dyDescent="0.3"/>
    <row r="40448" customFormat="1" x14ac:dyDescent="0.3"/>
    <row r="40449" customFormat="1" x14ac:dyDescent="0.3"/>
    <row r="40450" customFormat="1" x14ac:dyDescent="0.3"/>
    <row r="40451" customFormat="1" x14ac:dyDescent="0.3"/>
    <row r="40452" customFormat="1" x14ac:dyDescent="0.3"/>
    <row r="40453" customFormat="1" x14ac:dyDescent="0.3"/>
    <row r="40454" customFormat="1" x14ac:dyDescent="0.3"/>
    <row r="40455" customFormat="1" x14ac:dyDescent="0.3"/>
    <row r="40456" customFormat="1" x14ac:dyDescent="0.3"/>
    <row r="40457" customFormat="1" x14ac:dyDescent="0.3"/>
    <row r="40458" customFormat="1" x14ac:dyDescent="0.3"/>
    <row r="40459" customFormat="1" x14ac:dyDescent="0.3"/>
    <row r="40460" customFormat="1" x14ac:dyDescent="0.3"/>
    <row r="40461" customFormat="1" x14ac:dyDescent="0.3"/>
    <row r="40462" customFormat="1" x14ac:dyDescent="0.3"/>
    <row r="40463" customFormat="1" x14ac:dyDescent="0.3"/>
    <row r="40464" customFormat="1" x14ac:dyDescent="0.3"/>
    <row r="40465" customFormat="1" x14ac:dyDescent="0.3"/>
    <row r="40466" customFormat="1" x14ac:dyDescent="0.3"/>
    <row r="40467" customFormat="1" x14ac:dyDescent="0.3"/>
    <row r="40468" customFormat="1" x14ac:dyDescent="0.3"/>
    <row r="40469" customFormat="1" x14ac:dyDescent="0.3"/>
    <row r="40470" customFormat="1" x14ac:dyDescent="0.3"/>
    <row r="40471" customFormat="1" x14ac:dyDescent="0.3"/>
    <row r="40472" customFormat="1" x14ac:dyDescent="0.3"/>
    <row r="40473" customFormat="1" x14ac:dyDescent="0.3"/>
    <row r="40474" customFormat="1" x14ac:dyDescent="0.3"/>
    <row r="40475" customFormat="1" x14ac:dyDescent="0.3"/>
    <row r="40476" customFormat="1" x14ac:dyDescent="0.3"/>
    <row r="40477" customFormat="1" x14ac:dyDescent="0.3"/>
    <row r="40478" customFormat="1" x14ac:dyDescent="0.3"/>
    <row r="40479" customFormat="1" x14ac:dyDescent="0.3"/>
    <row r="40480" customFormat="1" x14ac:dyDescent="0.3"/>
    <row r="40481" customFormat="1" x14ac:dyDescent="0.3"/>
    <row r="40482" customFormat="1" x14ac:dyDescent="0.3"/>
    <row r="40483" customFormat="1" x14ac:dyDescent="0.3"/>
    <row r="40484" customFormat="1" x14ac:dyDescent="0.3"/>
    <row r="40485" customFormat="1" x14ac:dyDescent="0.3"/>
    <row r="40486" customFormat="1" x14ac:dyDescent="0.3"/>
    <row r="40487" customFormat="1" x14ac:dyDescent="0.3"/>
    <row r="40488" customFormat="1" x14ac:dyDescent="0.3"/>
    <row r="40489" customFormat="1" x14ac:dyDescent="0.3"/>
    <row r="40490" customFormat="1" x14ac:dyDescent="0.3"/>
    <row r="40491" customFormat="1" x14ac:dyDescent="0.3"/>
    <row r="40492" customFormat="1" x14ac:dyDescent="0.3"/>
    <row r="40493" customFormat="1" x14ac:dyDescent="0.3"/>
    <row r="40494" customFormat="1" x14ac:dyDescent="0.3"/>
    <row r="40495" customFormat="1" x14ac:dyDescent="0.3"/>
    <row r="40496" customFormat="1" x14ac:dyDescent="0.3"/>
    <row r="40497" customFormat="1" x14ac:dyDescent="0.3"/>
    <row r="40498" customFormat="1" x14ac:dyDescent="0.3"/>
    <row r="40499" customFormat="1" x14ac:dyDescent="0.3"/>
    <row r="40500" customFormat="1" x14ac:dyDescent="0.3"/>
    <row r="40501" customFormat="1" x14ac:dyDescent="0.3"/>
    <row r="40502" customFormat="1" x14ac:dyDescent="0.3"/>
    <row r="40503" customFormat="1" x14ac:dyDescent="0.3"/>
    <row r="40504" customFormat="1" x14ac:dyDescent="0.3"/>
    <row r="40505" customFormat="1" x14ac:dyDescent="0.3"/>
    <row r="40506" customFormat="1" x14ac:dyDescent="0.3"/>
    <row r="40507" customFormat="1" x14ac:dyDescent="0.3"/>
    <row r="40508" customFormat="1" x14ac:dyDescent="0.3"/>
    <row r="40509" customFormat="1" x14ac:dyDescent="0.3"/>
    <row r="40510" customFormat="1" x14ac:dyDescent="0.3"/>
    <row r="40511" customFormat="1" x14ac:dyDescent="0.3"/>
    <row r="40512" customFormat="1" x14ac:dyDescent="0.3"/>
    <row r="40513" customFormat="1" x14ac:dyDescent="0.3"/>
    <row r="40514" customFormat="1" x14ac:dyDescent="0.3"/>
    <row r="40515" customFormat="1" x14ac:dyDescent="0.3"/>
    <row r="40516" customFormat="1" x14ac:dyDescent="0.3"/>
    <row r="40517" customFormat="1" x14ac:dyDescent="0.3"/>
    <row r="40518" customFormat="1" x14ac:dyDescent="0.3"/>
    <row r="40519" customFormat="1" x14ac:dyDescent="0.3"/>
    <row r="40520" customFormat="1" x14ac:dyDescent="0.3"/>
    <row r="40521" customFormat="1" x14ac:dyDescent="0.3"/>
    <row r="40522" customFormat="1" x14ac:dyDescent="0.3"/>
    <row r="40523" customFormat="1" x14ac:dyDescent="0.3"/>
    <row r="40524" customFormat="1" x14ac:dyDescent="0.3"/>
    <row r="40525" customFormat="1" x14ac:dyDescent="0.3"/>
    <row r="40526" customFormat="1" x14ac:dyDescent="0.3"/>
    <row r="40527" customFormat="1" x14ac:dyDescent="0.3"/>
    <row r="40528" customFormat="1" x14ac:dyDescent="0.3"/>
    <row r="40529" customFormat="1" x14ac:dyDescent="0.3"/>
    <row r="40530" customFormat="1" x14ac:dyDescent="0.3"/>
    <row r="40531" customFormat="1" x14ac:dyDescent="0.3"/>
    <row r="40532" customFormat="1" x14ac:dyDescent="0.3"/>
    <row r="40533" customFormat="1" x14ac:dyDescent="0.3"/>
    <row r="40534" customFormat="1" x14ac:dyDescent="0.3"/>
    <row r="40535" customFormat="1" x14ac:dyDescent="0.3"/>
    <row r="40536" customFormat="1" x14ac:dyDescent="0.3"/>
    <row r="40537" customFormat="1" x14ac:dyDescent="0.3"/>
    <row r="40538" customFormat="1" x14ac:dyDescent="0.3"/>
    <row r="40539" customFormat="1" x14ac:dyDescent="0.3"/>
    <row r="40540" customFormat="1" x14ac:dyDescent="0.3"/>
    <row r="40541" customFormat="1" x14ac:dyDescent="0.3"/>
    <row r="40542" customFormat="1" x14ac:dyDescent="0.3"/>
    <row r="40543" customFormat="1" x14ac:dyDescent="0.3"/>
    <row r="40544" customFormat="1" x14ac:dyDescent="0.3"/>
    <row r="40545" customFormat="1" x14ac:dyDescent="0.3"/>
    <row r="40546" customFormat="1" x14ac:dyDescent="0.3"/>
    <row r="40547" customFormat="1" x14ac:dyDescent="0.3"/>
    <row r="40548" customFormat="1" x14ac:dyDescent="0.3"/>
    <row r="40549" customFormat="1" x14ac:dyDescent="0.3"/>
    <row r="40550" customFormat="1" x14ac:dyDescent="0.3"/>
    <row r="40551" customFormat="1" x14ac:dyDescent="0.3"/>
    <row r="40552" customFormat="1" x14ac:dyDescent="0.3"/>
    <row r="40553" customFormat="1" x14ac:dyDescent="0.3"/>
    <row r="40554" customFormat="1" x14ac:dyDescent="0.3"/>
    <row r="40555" customFormat="1" x14ac:dyDescent="0.3"/>
    <row r="40556" customFormat="1" x14ac:dyDescent="0.3"/>
    <row r="40557" customFormat="1" x14ac:dyDescent="0.3"/>
    <row r="40558" customFormat="1" x14ac:dyDescent="0.3"/>
    <row r="40559" customFormat="1" x14ac:dyDescent="0.3"/>
    <row r="40560" customFormat="1" x14ac:dyDescent="0.3"/>
    <row r="40561" customFormat="1" x14ac:dyDescent="0.3"/>
    <row r="40562" customFormat="1" x14ac:dyDescent="0.3"/>
    <row r="40563" customFormat="1" x14ac:dyDescent="0.3"/>
    <row r="40564" customFormat="1" x14ac:dyDescent="0.3"/>
    <row r="40565" customFormat="1" x14ac:dyDescent="0.3"/>
    <row r="40566" customFormat="1" x14ac:dyDescent="0.3"/>
    <row r="40567" customFormat="1" x14ac:dyDescent="0.3"/>
    <row r="40568" customFormat="1" x14ac:dyDescent="0.3"/>
    <row r="40569" customFormat="1" x14ac:dyDescent="0.3"/>
    <row r="40570" customFormat="1" x14ac:dyDescent="0.3"/>
    <row r="40571" customFormat="1" x14ac:dyDescent="0.3"/>
    <row r="40572" customFormat="1" x14ac:dyDescent="0.3"/>
    <row r="40573" customFormat="1" x14ac:dyDescent="0.3"/>
    <row r="40574" customFormat="1" x14ac:dyDescent="0.3"/>
    <row r="40575" customFormat="1" x14ac:dyDescent="0.3"/>
    <row r="40576" customFormat="1" x14ac:dyDescent="0.3"/>
    <row r="40577" customFormat="1" x14ac:dyDescent="0.3"/>
    <row r="40578" customFormat="1" x14ac:dyDescent="0.3"/>
    <row r="40579" customFormat="1" x14ac:dyDescent="0.3"/>
    <row r="40580" customFormat="1" x14ac:dyDescent="0.3"/>
    <row r="40581" customFormat="1" x14ac:dyDescent="0.3"/>
    <row r="40582" customFormat="1" x14ac:dyDescent="0.3"/>
    <row r="40583" customFormat="1" x14ac:dyDescent="0.3"/>
    <row r="40584" customFormat="1" x14ac:dyDescent="0.3"/>
    <row r="40585" customFormat="1" x14ac:dyDescent="0.3"/>
    <row r="40586" customFormat="1" x14ac:dyDescent="0.3"/>
    <row r="40587" customFormat="1" x14ac:dyDescent="0.3"/>
    <row r="40588" customFormat="1" x14ac:dyDescent="0.3"/>
    <row r="40589" customFormat="1" x14ac:dyDescent="0.3"/>
    <row r="40590" customFormat="1" x14ac:dyDescent="0.3"/>
    <row r="40591" customFormat="1" x14ac:dyDescent="0.3"/>
    <row r="40592" customFormat="1" x14ac:dyDescent="0.3"/>
    <row r="40593" customFormat="1" x14ac:dyDescent="0.3"/>
    <row r="40594" customFormat="1" x14ac:dyDescent="0.3"/>
    <row r="40595" customFormat="1" x14ac:dyDescent="0.3"/>
    <row r="40596" customFormat="1" x14ac:dyDescent="0.3"/>
    <row r="40597" customFormat="1" x14ac:dyDescent="0.3"/>
    <row r="40598" customFormat="1" x14ac:dyDescent="0.3"/>
    <row r="40599" customFormat="1" x14ac:dyDescent="0.3"/>
    <row r="40600" customFormat="1" x14ac:dyDescent="0.3"/>
    <row r="40601" customFormat="1" x14ac:dyDescent="0.3"/>
    <row r="40602" customFormat="1" x14ac:dyDescent="0.3"/>
    <row r="40603" customFormat="1" x14ac:dyDescent="0.3"/>
    <row r="40604" customFormat="1" x14ac:dyDescent="0.3"/>
    <row r="40605" customFormat="1" x14ac:dyDescent="0.3"/>
    <row r="40606" customFormat="1" x14ac:dyDescent="0.3"/>
    <row r="40607" customFormat="1" x14ac:dyDescent="0.3"/>
    <row r="40608" customFormat="1" x14ac:dyDescent="0.3"/>
    <row r="40609" customFormat="1" x14ac:dyDescent="0.3"/>
    <row r="40610" customFormat="1" x14ac:dyDescent="0.3"/>
    <row r="40611" customFormat="1" x14ac:dyDescent="0.3"/>
    <row r="40612" customFormat="1" x14ac:dyDescent="0.3"/>
    <row r="40613" customFormat="1" x14ac:dyDescent="0.3"/>
    <row r="40614" customFormat="1" x14ac:dyDescent="0.3"/>
    <row r="40615" customFormat="1" x14ac:dyDescent="0.3"/>
    <row r="40616" customFormat="1" x14ac:dyDescent="0.3"/>
    <row r="40617" customFormat="1" x14ac:dyDescent="0.3"/>
    <row r="40618" customFormat="1" x14ac:dyDescent="0.3"/>
    <row r="40619" customFormat="1" x14ac:dyDescent="0.3"/>
    <row r="40620" customFormat="1" x14ac:dyDescent="0.3"/>
    <row r="40621" customFormat="1" x14ac:dyDescent="0.3"/>
    <row r="40622" customFormat="1" x14ac:dyDescent="0.3"/>
    <row r="40623" customFormat="1" x14ac:dyDescent="0.3"/>
    <row r="40624" customFormat="1" x14ac:dyDescent="0.3"/>
    <row r="40625" customFormat="1" x14ac:dyDescent="0.3"/>
    <row r="40626" customFormat="1" x14ac:dyDescent="0.3"/>
    <row r="40627" customFormat="1" x14ac:dyDescent="0.3"/>
    <row r="40628" customFormat="1" x14ac:dyDescent="0.3"/>
    <row r="40629" customFormat="1" x14ac:dyDescent="0.3"/>
    <row r="40630" customFormat="1" x14ac:dyDescent="0.3"/>
    <row r="40631" customFormat="1" x14ac:dyDescent="0.3"/>
    <row r="40632" customFormat="1" x14ac:dyDescent="0.3"/>
    <row r="40633" customFormat="1" x14ac:dyDescent="0.3"/>
    <row r="40634" customFormat="1" x14ac:dyDescent="0.3"/>
    <row r="40635" customFormat="1" x14ac:dyDescent="0.3"/>
    <row r="40636" customFormat="1" x14ac:dyDescent="0.3"/>
    <row r="40637" customFormat="1" x14ac:dyDescent="0.3"/>
    <row r="40638" customFormat="1" x14ac:dyDescent="0.3"/>
    <row r="40639" customFormat="1" x14ac:dyDescent="0.3"/>
    <row r="40640" customFormat="1" x14ac:dyDescent="0.3"/>
    <row r="40641" customFormat="1" x14ac:dyDescent="0.3"/>
    <row r="40642" customFormat="1" x14ac:dyDescent="0.3"/>
    <row r="40643" customFormat="1" x14ac:dyDescent="0.3"/>
    <row r="40644" customFormat="1" x14ac:dyDescent="0.3"/>
    <row r="40645" customFormat="1" x14ac:dyDescent="0.3"/>
    <row r="40646" customFormat="1" x14ac:dyDescent="0.3"/>
    <row r="40647" customFormat="1" x14ac:dyDescent="0.3"/>
    <row r="40648" customFormat="1" x14ac:dyDescent="0.3"/>
    <row r="40649" customFormat="1" x14ac:dyDescent="0.3"/>
    <row r="40650" customFormat="1" x14ac:dyDescent="0.3"/>
    <row r="40651" customFormat="1" x14ac:dyDescent="0.3"/>
    <row r="40652" customFormat="1" x14ac:dyDescent="0.3"/>
    <row r="40653" customFormat="1" x14ac:dyDescent="0.3"/>
    <row r="40654" customFormat="1" x14ac:dyDescent="0.3"/>
    <row r="40655" customFormat="1" x14ac:dyDescent="0.3"/>
    <row r="40656" customFormat="1" x14ac:dyDescent="0.3"/>
    <row r="40657" customFormat="1" x14ac:dyDescent="0.3"/>
    <row r="40658" customFormat="1" x14ac:dyDescent="0.3"/>
    <row r="40659" customFormat="1" x14ac:dyDescent="0.3"/>
    <row r="40660" customFormat="1" x14ac:dyDescent="0.3"/>
    <row r="40661" customFormat="1" x14ac:dyDescent="0.3"/>
    <row r="40662" customFormat="1" x14ac:dyDescent="0.3"/>
    <row r="40663" customFormat="1" x14ac:dyDescent="0.3"/>
    <row r="40664" customFormat="1" x14ac:dyDescent="0.3"/>
    <row r="40665" customFormat="1" x14ac:dyDescent="0.3"/>
    <row r="40666" customFormat="1" x14ac:dyDescent="0.3"/>
    <row r="40667" customFormat="1" x14ac:dyDescent="0.3"/>
    <row r="40668" customFormat="1" x14ac:dyDescent="0.3"/>
    <row r="40669" customFormat="1" x14ac:dyDescent="0.3"/>
    <row r="40670" customFormat="1" x14ac:dyDescent="0.3"/>
    <row r="40671" customFormat="1" x14ac:dyDescent="0.3"/>
    <row r="40672" customFormat="1" x14ac:dyDescent="0.3"/>
    <row r="40673" customFormat="1" x14ac:dyDescent="0.3"/>
    <row r="40674" customFormat="1" x14ac:dyDescent="0.3"/>
    <row r="40675" customFormat="1" x14ac:dyDescent="0.3"/>
    <row r="40676" customFormat="1" x14ac:dyDescent="0.3"/>
    <row r="40677" customFormat="1" x14ac:dyDescent="0.3"/>
    <row r="40678" customFormat="1" x14ac:dyDescent="0.3"/>
    <row r="40679" customFormat="1" x14ac:dyDescent="0.3"/>
    <row r="40680" customFormat="1" x14ac:dyDescent="0.3"/>
    <row r="40681" customFormat="1" x14ac:dyDescent="0.3"/>
    <row r="40682" customFormat="1" x14ac:dyDescent="0.3"/>
    <row r="40683" customFormat="1" x14ac:dyDescent="0.3"/>
    <row r="40684" customFormat="1" x14ac:dyDescent="0.3"/>
    <row r="40685" customFormat="1" x14ac:dyDescent="0.3"/>
    <row r="40686" customFormat="1" x14ac:dyDescent="0.3"/>
    <row r="40687" customFormat="1" x14ac:dyDescent="0.3"/>
    <row r="40688" customFormat="1" x14ac:dyDescent="0.3"/>
    <row r="40689" customFormat="1" x14ac:dyDescent="0.3"/>
    <row r="40690" customFormat="1" x14ac:dyDescent="0.3"/>
    <row r="40691" customFormat="1" x14ac:dyDescent="0.3"/>
    <row r="40692" customFormat="1" x14ac:dyDescent="0.3"/>
    <row r="40693" customFormat="1" x14ac:dyDescent="0.3"/>
    <row r="40694" customFormat="1" x14ac:dyDescent="0.3"/>
    <row r="40695" customFormat="1" x14ac:dyDescent="0.3"/>
    <row r="40696" customFormat="1" x14ac:dyDescent="0.3"/>
    <row r="40697" customFormat="1" x14ac:dyDescent="0.3"/>
    <row r="40698" customFormat="1" x14ac:dyDescent="0.3"/>
    <row r="40699" customFormat="1" x14ac:dyDescent="0.3"/>
    <row r="40700" customFormat="1" x14ac:dyDescent="0.3"/>
    <row r="40701" customFormat="1" x14ac:dyDescent="0.3"/>
    <row r="40702" customFormat="1" x14ac:dyDescent="0.3"/>
    <row r="40703" customFormat="1" x14ac:dyDescent="0.3"/>
    <row r="40704" customFormat="1" x14ac:dyDescent="0.3"/>
    <row r="40705" customFormat="1" x14ac:dyDescent="0.3"/>
    <row r="40706" customFormat="1" x14ac:dyDescent="0.3"/>
    <row r="40707" customFormat="1" x14ac:dyDescent="0.3"/>
    <row r="40708" customFormat="1" x14ac:dyDescent="0.3"/>
    <row r="40709" customFormat="1" x14ac:dyDescent="0.3"/>
    <row r="40710" customFormat="1" x14ac:dyDescent="0.3"/>
    <row r="40711" customFormat="1" x14ac:dyDescent="0.3"/>
    <row r="40712" customFormat="1" x14ac:dyDescent="0.3"/>
    <row r="40713" customFormat="1" x14ac:dyDescent="0.3"/>
    <row r="40714" customFormat="1" x14ac:dyDescent="0.3"/>
    <row r="40715" customFormat="1" x14ac:dyDescent="0.3"/>
    <row r="40716" customFormat="1" x14ac:dyDescent="0.3"/>
    <row r="40717" customFormat="1" x14ac:dyDescent="0.3"/>
    <row r="40718" customFormat="1" x14ac:dyDescent="0.3"/>
    <row r="40719" customFormat="1" x14ac:dyDescent="0.3"/>
    <row r="40720" customFormat="1" x14ac:dyDescent="0.3"/>
    <row r="40721" customFormat="1" x14ac:dyDescent="0.3"/>
    <row r="40722" customFormat="1" x14ac:dyDescent="0.3"/>
    <row r="40723" customFormat="1" x14ac:dyDescent="0.3"/>
    <row r="40724" customFormat="1" x14ac:dyDescent="0.3"/>
    <row r="40725" customFormat="1" x14ac:dyDescent="0.3"/>
    <row r="40726" customFormat="1" x14ac:dyDescent="0.3"/>
    <row r="40727" customFormat="1" x14ac:dyDescent="0.3"/>
    <row r="40728" customFormat="1" x14ac:dyDescent="0.3"/>
    <row r="40729" customFormat="1" x14ac:dyDescent="0.3"/>
    <row r="40730" customFormat="1" x14ac:dyDescent="0.3"/>
    <row r="40731" customFormat="1" x14ac:dyDescent="0.3"/>
    <row r="40732" customFormat="1" x14ac:dyDescent="0.3"/>
    <row r="40733" customFormat="1" x14ac:dyDescent="0.3"/>
    <row r="40734" customFormat="1" x14ac:dyDescent="0.3"/>
    <row r="40735" customFormat="1" x14ac:dyDescent="0.3"/>
    <row r="40736" customFormat="1" x14ac:dyDescent="0.3"/>
    <row r="40737" customFormat="1" x14ac:dyDescent="0.3"/>
    <row r="40738" customFormat="1" x14ac:dyDescent="0.3"/>
    <row r="40739" customFormat="1" x14ac:dyDescent="0.3"/>
    <row r="40740" customFormat="1" x14ac:dyDescent="0.3"/>
    <row r="40741" customFormat="1" x14ac:dyDescent="0.3"/>
    <row r="40742" customFormat="1" x14ac:dyDescent="0.3"/>
    <row r="40743" customFormat="1" x14ac:dyDescent="0.3"/>
    <row r="40744" customFormat="1" x14ac:dyDescent="0.3"/>
    <row r="40745" customFormat="1" x14ac:dyDescent="0.3"/>
    <row r="40746" customFormat="1" x14ac:dyDescent="0.3"/>
    <row r="40747" customFormat="1" x14ac:dyDescent="0.3"/>
    <row r="40748" customFormat="1" x14ac:dyDescent="0.3"/>
    <row r="40749" customFormat="1" x14ac:dyDescent="0.3"/>
    <row r="40750" customFormat="1" x14ac:dyDescent="0.3"/>
    <row r="40751" customFormat="1" x14ac:dyDescent="0.3"/>
    <row r="40752" customFormat="1" x14ac:dyDescent="0.3"/>
    <row r="40753" customFormat="1" x14ac:dyDescent="0.3"/>
    <row r="40754" customFormat="1" x14ac:dyDescent="0.3"/>
    <row r="40755" customFormat="1" x14ac:dyDescent="0.3"/>
    <row r="40756" customFormat="1" x14ac:dyDescent="0.3"/>
    <row r="40757" customFormat="1" x14ac:dyDescent="0.3"/>
    <row r="40758" customFormat="1" x14ac:dyDescent="0.3"/>
    <row r="40759" customFormat="1" x14ac:dyDescent="0.3"/>
    <row r="40760" customFormat="1" x14ac:dyDescent="0.3"/>
    <row r="40761" customFormat="1" x14ac:dyDescent="0.3"/>
    <row r="40762" customFormat="1" x14ac:dyDescent="0.3"/>
    <row r="40763" customFormat="1" x14ac:dyDescent="0.3"/>
    <row r="40764" customFormat="1" x14ac:dyDescent="0.3"/>
    <row r="40765" customFormat="1" x14ac:dyDescent="0.3"/>
    <row r="40766" customFormat="1" x14ac:dyDescent="0.3"/>
    <row r="40767" customFormat="1" x14ac:dyDescent="0.3"/>
    <row r="40768" customFormat="1" x14ac:dyDescent="0.3"/>
    <row r="40769" customFormat="1" x14ac:dyDescent="0.3"/>
    <row r="40770" customFormat="1" x14ac:dyDescent="0.3"/>
    <row r="40771" customFormat="1" x14ac:dyDescent="0.3"/>
    <row r="40772" customFormat="1" x14ac:dyDescent="0.3"/>
    <row r="40773" customFormat="1" x14ac:dyDescent="0.3"/>
    <row r="40774" customFormat="1" x14ac:dyDescent="0.3"/>
    <row r="40775" customFormat="1" x14ac:dyDescent="0.3"/>
    <row r="40776" customFormat="1" x14ac:dyDescent="0.3"/>
    <row r="40777" customFormat="1" x14ac:dyDescent="0.3"/>
    <row r="40778" customFormat="1" x14ac:dyDescent="0.3"/>
    <row r="40779" customFormat="1" x14ac:dyDescent="0.3"/>
    <row r="40780" customFormat="1" x14ac:dyDescent="0.3"/>
    <row r="40781" customFormat="1" x14ac:dyDescent="0.3"/>
    <row r="40782" customFormat="1" x14ac:dyDescent="0.3"/>
    <row r="40783" customFormat="1" x14ac:dyDescent="0.3"/>
    <row r="40784" customFormat="1" x14ac:dyDescent="0.3"/>
    <row r="40785" customFormat="1" x14ac:dyDescent="0.3"/>
    <row r="40786" customFormat="1" x14ac:dyDescent="0.3"/>
    <row r="40787" customFormat="1" x14ac:dyDescent="0.3"/>
    <row r="40788" customFormat="1" x14ac:dyDescent="0.3"/>
    <row r="40789" customFormat="1" x14ac:dyDescent="0.3"/>
    <row r="40790" customFormat="1" x14ac:dyDescent="0.3"/>
    <row r="40791" customFormat="1" x14ac:dyDescent="0.3"/>
    <row r="40792" customFormat="1" x14ac:dyDescent="0.3"/>
    <row r="40793" customFormat="1" x14ac:dyDescent="0.3"/>
    <row r="40794" customFormat="1" x14ac:dyDescent="0.3"/>
    <row r="40795" customFormat="1" x14ac:dyDescent="0.3"/>
    <row r="40796" customFormat="1" x14ac:dyDescent="0.3"/>
    <row r="40797" customFormat="1" x14ac:dyDescent="0.3"/>
    <row r="40798" customFormat="1" x14ac:dyDescent="0.3"/>
    <row r="40799" customFormat="1" x14ac:dyDescent="0.3"/>
    <row r="40800" customFormat="1" x14ac:dyDescent="0.3"/>
    <row r="40801" customFormat="1" x14ac:dyDescent="0.3"/>
    <row r="40802" customFormat="1" x14ac:dyDescent="0.3"/>
    <row r="40803" customFormat="1" x14ac:dyDescent="0.3"/>
    <row r="40804" customFormat="1" x14ac:dyDescent="0.3"/>
    <row r="40805" customFormat="1" x14ac:dyDescent="0.3"/>
    <row r="40806" customFormat="1" x14ac:dyDescent="0.3"/>
    <row r="40807" customFormat="1" x14ac:dyDescent="0.3"/>
    <row r="40808" customFormat="1" x14ac:dyDescent="0.3"/>
    <row r="40809" customFormat="1" x14ac:dyDescent="0.3"/>
    <row r="40810" customFormat="1" x14ac:dyDescent="0.3"/>
    <row r="40811" customFormat="1" x14ac:dyDescent="0.3"/>
    <row r="40812" customFormat="1" x14ac:dyDescent="0.3"/>
    <row r="40813" customFormat="1" x14ac:dyDescent="0.3"/>
    <row r="40814" customFormat="1" x14ac:dyDescent="0.3"/>
    <row r="40815" customFormat="1" x14ac:dyDescent="0.3"/>
    <row r="40816" customFormat="1" x14ac:dyDescent="0.3"/>
    <row r="40817" customFormat="1" x14ac:dyDescent="0.3"/>
    <row r="40818" customFormat="1" x14ac:dyDescent="0.3"/>
    <row r="40819" customFormat="1" x14ac:dyDescent="0.3"/>
    <row r="40820" customFormat="1" x14ac:dyDescent="0.3"/>
    <row r="40821" customFormat="1" x14ac:dyDescent="0.3"/>
    <row r="40822" customFormat="1" x14ac:dyDescent="0.3"/>
    <row r="40823" customFormat="1" x14ac:dyDescent="0.3"/>
    <row r="40824" customFormat="1" x14ac:dyDescent="0.3"/>
    <row r="40825" customFormat="1" x14ac:dyDescent="0.3"/>
    <row r="40826" customFormat="1" x14ac:dyDescent="0.3"/>
    <row r="40827" customFormat="1" x14ac:dyDescent="0.3"/>
    <row r="40828" customFormat="1" x14ac:dyDescent="0.3"/>
    <row r="40829" customFormat="1" x14ac:dyDescent="0.3"/>
    <row r="40830" customFormat="1" x14ac:dyDescent="0.3"/>
    <row r="40831" customFormat="1" x14ac:dyDescent="0.3"/>
    <row r="40832" customFormat="1" x14ac:dyDescent="0.3"/>
    <row r="40833" customFormat="1" x14ac:dyDescent="0.3"/>
    <row r="40834" customFormat="1" x14ac:dyDescent="0.3"/>
    <row r="40835" customFormat="1" x14ac:dyDescent="0.3"/>
    <row r="40836" customFormat="1" x14ac:dyDescent="0.3"/>
    <row r="40837" customFormat="1" x14ac:dyDescent="0.3"/>
    <row r="40838" customFormat="1" x14ac:dyDescent="0.3"/>
    <row r="40839" customFormat="1" x14ac:dyDescent="0.3"/>
    <row r="40840" customFormat="1" x14ac:dyDescent="0.3"/>
    <row r="40841" customFormat="1" x14ac:dyDescent="0.3"/>
    <row r="40842" customFormat="1" x14ac:dyDescent="0.3"/>
    <row r="40843" customFormat="1" x14ac:dyDescent="0.3"/>
    <row r="40844" customFormat="1" x14ac:dyDescent="0.3"/>
    <row r="40845" customFormat="1" x14ac:dyDescent="0.3"/>
    <row r="40846" customFormat="1" x14ac:dyDescent="0.3"/>
    <row r="40847" customFormat="1" x14ac:dyDescent="0.3"/>
    <row r="40848" customFormat="1" x14ac:dyDescent="0.3"/>
    <row r="40849" customFormat="1" x14ac:dyDescent="0.3"/>
    <row r="40850" customFormat="1" x14ac:dyDescent="0.3"/>
    <row r="40851" customFormat="1" x14ac:dyDescent="0.3"/>
    <row r="40852" customFormat="1" x14ac:dyDescent="0.3"/>
    <row r="40853" customFormat="1" x14ac:dyDescent="0.3"/>
    <row r="40854" customFormat="1" x14ac:dyDescent="0.3"/>
    <row r="40855" customFormat="1" x14ac:dyDescent="0.3"/>
    <row r="40856" customFormat="1" x14ac:dyDescent="0.3"/>
    <row r="40857" customFormat="1" x14ac:dyDescent="0.3"/>
    <row r="40858" customFormat="1" x14ac:dyDescent="0.3"/>
    <row r="40859" customFormat="1" x14ac:dyDescent="0.3"/>
    <row r="40860" customFormat="1" x14ac:dyDescent="0.3"/>
    <row r="40861" customFormat="1" x14ac:dyDescent="0.3"/>
    <row r="40862" customFormat="1" x14ac:dyDescent="0.3"/>
    <row r="40863" customFormat="1" x14ac:dyDescent="0.3"/>
    <row r="40864" customFormat="1" x14ac:dyDescent="0.3"/>
    <row r="40865" customFormat="1" x14ac:dyDescent="0.3"/>
    <row r="40866" customFormat="1" x14ac:dyDescent="0.3"/>
    <row r="40867" customFormat="1" x14ac:dyDescent="0.3"/>
    <row r="40868" customFormat="1" x14ac:dyDescent="0.3"/>
    <row r="40869" customFormat="1" x14ac:dyDescent="0.3"/>
    <row r="40870" customFormat="1" x14ac:dyDescent="0.3"/>
    <row r="40871" customFormat="1" x14ac:dyDescent="0.3"/>
    <row r="40872" customFormat="1" x14ac:dyDescent="0.3"/>
    <row r="40873" customFormat="1" x14ac:dyDescent="0.3"/>
    <row r="40874" customFormat="1" x14ac:dyDescent="0.3"/>
    <row r="40875" customFormat="1" x14ac:dyDescent="0.3"/>
    <row r="40876" customFormat="1" x14ac:dyDescent="0.3"/>
    <row r="40877" customFormat="1" x14ac:dyDescent="0.3"/>
    <row r="40878" customFormat="1" x14ac:dyDescent="0.3"/>
    <row r="40879" customFormat="1" x14ac:dyDescent="0.3"/>
    <row r="40880" customFormat="1" x14ac:dyDescent="0.3"/>
    <row r="40881" customFormat="1" x14ac:dyDescent="0.3"/>
    <row r="40882" customFormat="1" x14ac:dyDescent="0.3"/>
    <row r="40883" customFormat="1" x14ac:dyDescent="0.3"/>
    <row r="40884" customFormat="1" x14ac:dyDescent="0.3"/>
    <row r="40885" customFormat="1" x14ac:dyDescent="0.3"/>
    <row r="40886" customFormat="1" x14ac:dyDescent="0.3"/>
    <row r="40887" customFormat="1" x14ac:dyDescent="0.3"/>
    <row r="40888" customFormat="1" x14ac:dyDescent="0.3"/>
    <row r="40889" customFormat="1" x14ac:dyDescent="0.3"/>
    <row r="40890" customFormat="1" x14ac:dyDescent="0.3"/>
    <row r="40891" customFormat="1" x14ac:dyDescent="0.3"/>
    <row r="40892" customFormat="1" x14ac:dyDescent="0.3"/>
    <row r="40893" customFormat="1" x14ac:dyDescent="0.3"/>
    <row r="40894" customFormat="1" x14ac:dyDescent="0.3"/>
    <row r="40895" customFormat="1" x14ac:dyDescent="0.3"/>
    <row r="40896" customFormat="1" x14ac:dyDescent="0.3"/>
    <row r="40897" customFormat="1" x14ac:dyDescent="0.3"/>
    <row r="40898" customFormat="1" x14ac:dyDescent="0.3"/>
    <row r="40899" customFormat="1" x14ac:dyDescent="0.3"/>
    <row r="40900" customFormat="1" x14ac:dyDescent="0.3"/>
    <row r="40901" customFormat="1" x14ac:dyDescent="0.3"/>
    <row r="40902" customFormat="1" x14ac:dyDescent="0.3"/>
    <row r="40903" customFormat="1" x14ac:dyDescent="0.3"/>
    <row r="40904" customFormat="1" x14ac:dyDescent="0.3"/>
    <row r="40905" customFormat="1" x14ac:dyDescent="0.3"/>
    <row r="40906" customFormat="1" x14ac:dyDescent="0.3"/>
    <row r="40907" customFormat="1" x14ac:dyDescent="0.3"/>
    <row r="40908" customFormat="1" x14ac:dyDescent="0.3"/>
    <row r="40909" customFormat="1" x14ac:dyDescent="0.3"/>
    <row r="40910" customFormat="1" x14ac:dyDescent="0.3"/>
    <row r="40911" customFormat="1" x14ac:dyDescent="0.3"/>
    <row r="40912" customFormat="1" x14ac:dyDescent="0.3"/>
    <row r="40913" customFormat="1" x14ac:dyDescent="0.3"/>
    <row r="40914" customFormat="1" x14ac:dyDescent="0.3"/>
    <row r="40915" customFormat="1" x14ac:dyDescent="0.3"/>
    <row r="40916" customFormat="1" x14ac:dyDescent="0.3"/>
    <row r="40917" customFormat="1" x14ac:dyDescent="0.3"/>
    <row r="40918" customFormat="1" x14ac:dyDescent="0.3"/>
    <row r="40919" customFormat="1" x14ac:dyDescent="0.3"/>
    <row r="40920" customFormat="1" x14ac:dyDescent="0.3"/>
    <row r="40921" customFormat="1" x14ac:dyDescent="0.3"/>
    <row r="40922" customFormat="1" x14ac:dyDescent="0.3"/>
    <row r="40923" customFormat="1" x14ac:dyDescent="0.3"/>
    <row r="40924" customFormat="1" x14ac:dyDescent="0.3"/>
    <row r="40925" customFormat="1" x14ac:dyDescent="0.3"/>
    <row r="40926" customFormat="1" x14ac:dyDescent="0.3"/>
    <row r="40927" customFormat="1" x14ac:dyDescent="0.3"/>
    <row r="40928" customFormat="1" x14ac:dyDescent="0.3"/>
    <row r="40929" customFormat="1" x14ac:dyDescent="0.3"/>
    <row r="40930" customFormat="1" x14ac:dyDescent="0.3"/>
    <row r="40931" customFormat="1" x14ac:dyDescent="0.3"/>
    <row r="40932" customFormat="1" x14ac:dyDescent="0.3"/>
    <row r="40933" customFormat="1" x14ac:dyDescent="0.3"/>
    <row r="40934" customFormat="1" x14ac:dyDescent="0.3"/>
    <row r="40935" customFormat="1" x14ac:dyDescent="0.3"/>
    <row r="40936" customFormat="1" x14ac:dyDescent="0.3"/>
    <row r="40937" customFormat="1" x14ac:dyDescent="0.3"/>
    <row r="40938" customFormat="1" x14ac:dyDescent="0.3"/>
    <row r="40939" customFormat="1" x14ac:dyDescent="0.3"/>
    <row r="40940" customFormat="1" x14ac:dyDescent="0.3"/>
    <row r="40941" customFormat="1" x14ac:dyDescent="0.3"/>
    <row r="40942" customFormat="1" x14ac:dyDescent="0.3"/>
    <row r="40943" customFormat="1" x14ac:dyDescent="0.3"/>
    <row r="40944" customFormat="1" x14ac:dyDescent="0.3"/>
    <row r="40945" customFormat="1" x14ac:dyDescent="0.3"/>
    <row r="40946" customFormat="1" x14ac:dyDescent="0.3"/>
    <row r="40947" customFormat="1" x14ac:dyDescent="0.3"/>
    <row r="40948" customFormat="1" x14ac:dyDescent="0.3"/>
    <row r="40949" customFormat="1" x14ac:dyDescent="0.3"/>
    <row r="40950" customFormat="1" x14ac:dyDescent="0.3"/>
    <row r="40951" customFormat="1" x14ac:dyDescent="0.3"/>
    <row r="40952" customFormat="1" x14ac:dyDescent="0.3"/>
    <row r="40953" customFormat="1" x14ac:dyDescent="0.3"/>
    <row r="40954" customFormat="1" x14ac:dyDescent="0.3"/>
    <row r="40955" customFormat="1" x14ac:dyDescent="0.3"/>
    <row r="40956" customFormat="1" x14ac:dyDescent="0.3"/>
    <row r="40957" customFormat="1" x14ac:dyDescent="0.3"/>
    <row r="40958" customFormat="1" x14ac:dyDescent="0.3"/>
    <row r="40959" customFormat="1" x14ac:dyDescent="0.3"/>
    <row r="40960" customFormat="1" x14ac:dyDescent="0.3"/>
    <row r="40961" customFormat="1" x14ac:dyDescent="0.3"/>
    <row r="40962" customFormat="1" x14ac:dyDescent="0.3"/>
    <row r="40963" customFormat="1" x14ac:dyDescent="0.3"/>
    <row r="40964" customFormat="1" x14ac:dyDescent="0.3"/>
    <row r="40965" customFormat="1" x14ac:dyDescent="0.3"/>
    <row r="40966" customFormat="1" x14ac:dyDescent="0.3"/>
    <row r="40967" customFormat="1" x14ac:dyDescent="0.3"/>
    <row r="40968" customFormat="1" x14ac:dyDescent="0.3"/>
    <row r="40969" customFormat="1" x14ac:dyDescent="0.3"/>
    <row r="40970" customFormat="1" x14ac:dyDescent="0.3"/>
    <row r="40971" customFormat="1" x14ac:dyDescent="0.3"/>
    <row r="40972" customFormat="1" x14ac:dyDescent="0.3"/>
    <row r="40973" customFormat="1" x14ac:dyDescent="0.3"/>
    <row r="40974" customFormat="1" x14ac:dyDescent="0.3"/>
    <row r="40975" customFormat="1" x14ac:dyDescent="0.3"/>
    <row r="40976" customFormat="1" x14ac:dyDescent="0.3"/>
    <row r="40977" customFormat="1" x14ac:dyDescent="0.3"/>
    <row r="40978" customFormat="1" x14ac:dyDescent="0.3"/>
    <row r="40979" customFormat="1" x14ac:dyDescent="0.3"/>
    <row r="40980" customFormat="1" x14ac:dyDescent="0.3"/>
    <row r="40981" customFormat="1" x14ac:dyDescent="0.3"/>
    <row r="40982" customFormat="1" x14ac:dyDescent="0.3"/>
    <row r="40983" customFormat="1" x14ac:dyDescent="0.3"/>
    <row r="40984" customFormat="1" x14ac:dyDescent="0.3"/>
    <row r="40985" customFormat="1" x14ac:dyDescent="0.3"/>
    <row r="40986" customFormat="1" x14ac:dyDescent="0.3"/>
    <row r="40987" customFormat="1" x14ac:dyDescent="0.3"/>
    <row r="40988" customFormat="1" x14ac:dyDescent="0.3"/>
    <row r="40989" customFormat="1" x14ac:dyDescent="0.3"/>
    <row r="40990" customFormat="1" x14ac:dyDescent="0.3"/>
    <row r="40991" customFormat="1" x14ac:dyDescent="0.3"/>
    <row r="40992" customFormat="1" x14ac:dyDescent="0.3"/>
    <row r="40993" customFormat="1" x14ac:dyDescent="0.3"/>
    <row r="40994" customFormat="1" x14ac:dyDescent="0.3"/>
    <row r="40995" customFormat="1" x14ac:dyDescent="0.3"/>
    <row r="40996" customFormat="1" x14ac:dyDescent="0.3"/>
    <row r="40997" customFormat="1" x14ac:dyDescent="0.3"/>
    <row r="40998" customFormat="1" x14ac:dyDescent="0.3"/>
    <row r="40999" customFormat="1" x14ac:dyDescent="0.3"/>
    <row r="41000" customFormat="1" x14ac:dyDescent="0.3"/>
    <row r="41001" customFormat="1" x14ac:dyDescent="0.3"/>
    <row r="41002" customFormat="1" x14ac:dyDescent="0.3"/>
    <row r="41003" customFormat="1" x14ac:dyDescent="0.3"/>
    <row r="41004" customFormat="1" x14ac:dyDescent="0.3"/>
    <row r="41005" customFormat="1" x14ac:dyDescent="0.3"/>
    <row r="41006" customFormat="1" x14ac:dyDescent="0.3"/>
    <row r="41007" customFormat="1" x14ac:dyDescent="0.3"/>
    <row r="41008" customFormat="1" x14ac:dyDescent="0.3"/>
    <row r="41009" customFormat="1" x14ac:dyDescent="0.3"/>
    <row r="41010" customFormat="1" x14ac:dyDescent="0.3"/>
    <row r="41011" customFormat="1" x14ac:dyDescent="0.3"/>
    <row r="41012" customFormat="1" x14ac:dyDescent="0.3"/>
    <row r="41013" customFormat="1" x14ac:dyDescent="0.3"/>
    <row r="41014" customFormat="1" x14ac:dyDescent="0.3"/>
    <row r="41015" customFormat="1" x14ac:dyDescent="0.3"/>
    <row r="41016" customFormat="1" x14ac:dyDescent="0.3"/>
    <row r="41017" customFormat="1" x14ac:dyDescent="0.3"/>
    <row r="41018" customFormat="1" x14ac:dyDescent="0.3"/>
    <row r="41019" customFormat="1" x14ac:dyDescent="0.3"/>
    <row r="41020" customFormat="1" x14ac:dyDescent="0.3"/>
    <row r="41021" customFormat="1" x14ac:dyDescent="0.3"/>
    <row r="41022" customFormat="1" x14ac:dyDescent="0.3"/>
    <row r="41023" customFormat="1" x14ac:dyDescent="0.3"/>
    <row r="41024" customFormat="1" x14ac:dyDescent="0.3"/>
    <row r="41025" customFormat="1" x14ac:dyDescent="0.3"/>
    <row r="41026" customFormat="1" x14ac:dyDescent="0.3"/>
    <row r="41027" customFormat="1" x14ac:dyDescent="0.3"/>
    <row r="41028" customFormat="1" x14ac:dyDescent="0.3"/>
    <row r="41029" customFormat="1" x14ac:dyDescent="0.3"/>
    <row r="41030" customFormat="1" x14ac:dyDescent="0.3"/>
    <row r="41031" customFormat="1" x14ac:dyDescent="0.3"/>
    <row r="41032" customFormat="1" x14ac:dyDescent="0.3"/>
    <row r="41033" customFormat="1" x14ac:dyDescent="0.3"/>
    <row r="41034" customFormat="1" x14ac:dyDescent="0.3"/>
    <row r="41035" customFormat="1" x14ac:dyDescent="0.3"/>
    <row r="41036" customFormat="1" x14ac:dyDescent="0.3"/>
    <row r="41037" customFormat="1" x14ac:dyDescent="0.3"/>
    <row r="41038" customFormat="1" x14ac:dyDescent="0.3"/>
    <row r="41039" customFormat="1" x14ac:dyDescent="0.3"/>
    <row r="41040" customFormat="1" x14ac:dyDescent="0.3"/>
    <row r="41041" customFormat="1" x14ac:dyDescent="0.3"/>
    <row r="41042" customFormat="1" x14ac:dyDescent="0.3"/>
    <row r="41043" customFormat="1" x14ac:dyDescent="0.3"/>
    <row r="41044" customFormat="1" x14ac:dyDescent="0.3"/>
    <row r="41045" customFormat="1" x14ac:dyDescent="0.3"/>
    <row r="41046" customFormat="1" x14ac:dyDescent="0.3"/>
    <row r="41047" customFormat="1" x14ac:dyDescent="0.3"/>
    <row r="41048" customFormat="1" x14ac:dyDescent="0.3"/>
    <row r="41049" customFormat="1" x14ac:dyDescent="0.3"/>
    <row r="41050" customFormat="1" x14ac:dyDescent="0.3"/>
    <row r="41051" customFormat="1" x14ac:dyDescent="0.3"/>
    <row r="41052" customFormat="1" x14ac:dyDescent="0.3"/>
    <row r="41053" customFormat="1" x14ac:dyDescent="0.3"/>
    <row r="41054" customFormat="1" x14ac:dyDescent="0.3"/>
    <row r="41055" customFormat="1" x14ac:dyDescent="0.3"/>
    <row r="41056" customFormat="1" x14ac:dyDescent="0.3"/>
    <row r="41057" customFormat="1" x14ac:dyDescent="0.3"/>
    <row r="41058" customFormat="1" x14ac:dyDescent="0.3"/>
    <row r="41059" customFormat="1" x14ac:dyDescent="0.3"/>
    <row r="41060" customFormat="1" x14ac:dyDescent="0.3"/>
    <row r="41061" customFormat="1" x14ac:dyDescent="0.3"/>
    <row r="41062" customFormat="1" x14ac:dyDescent="0.3"/>
    <row r="41063" customFormat="1" x14ac:dyDescent="0.3"/>
    <row r="41064" customFormat="1" x14ac:dyDescent="0.3"/>
    <row r="41065" customFormat="1" x14ac:dyDescent="0.3"/>
    <row r="41066" customFormat="1" x14ac:dyDescent="0.3"/>
    <row r="41067" customFormat="1" x14ac:dyDescent="0.3"/>
    <row r="41068" customFormat="1" x14ac:dyDescent="0.3"/>
    <row r="41069" customFormat="1" x14ac:dyDescent="0.3"/>
    <row r="41070" customFormat="1" x14ac:dyDescent="0.3"/>
    <row r="41071" customFormat="1" x14ac:dyDescent="0.3"/>
    <row r="41072" customFormat="1" x14ac:dyDescent="0.3"/>
    <row r="41073" customFormat="1" x14ac:dyDescent="0.3"/>
    <row r="41074" customFormat="1" x14ac:dyDescent="0.3"/>
    <row r="41075" customFormat="1" x14ac:dyDescent="0.3"/>
    <row r="41076" customFormat="1" x14ac:dyDescent="0.3"/>
    <row r="41077" customFormat="1" x14ac:dyDescent="0.3"/>
    <row r="41078" customFormat="1" x14ac:dyDescent="0.3"/>
    <row r="41079" customFormat="1" x14ac:dyDescent="0.3"/>
    <row r="41080" customFormat="1" x14ac:dyDescent="0.3"/>
    <row r="41081" customFormat="1" x14ac:dyDescent="0.3"/>
    <row r="41082" customFormat="1" x14ac:dyDescent="0.3"/>
    <row r="41083" customFormat="1" x14ac:dyDescent="0.3"/>
    <row r="41084" customFormat="1" x14ac:dyDescent="0.3"/>
    <row r="41085" customFormat="1" x14ac:dyDescent="0.3"/>
    <row r="41086" customFormat="1" x14ac:dyDescent="0.3"/>
    <row r="41087" customFormat="1" x14ac:dyDescent="0.3"/>
    <row r="41088" customFormat="1" x14ac:dyDescent="0.3"/>
    <row r="41089" customFormat="1" x14ac:dyDescent="0.3"/>
    <row r="41090" customFormat="1" x14ac:dyDescent="0.3"/>
    <row r="41091" customFormat="1" x14ac:dyDescent="0.3"/>
    <row r="41092" customFormat="1" x14ac:dyDescent="0.3"/>
    <row r="41093" customFormat="1" x14ac:dyDescent="0.3"/>
    <row r="41094" customFormat="1" x14ac:dyDescent="0.3"/>
    <row r="41095" customFormat="1" x14ac:dyDescent="0.3"/>
    <row r="41096" customFormat="1" x14ac:dyDescent="0.3"/>
    <row r="41097" customFormat="1" x14ac:dyDescent="0.3"/>
    <row r="41098" customFormat="1" x14ac:dyDescent="0.3"/>
    <row r="41099" customFormat="1" x14ac:dyDescent="0.3"/>
    <row r="41100" customFormat="1" x14ac:dyDescent="0.3"/>
    <row r="41101" customFormat="1" x14ac:dyDescent="0.3"/>
    <row r="41102" customFormat="1" x14ac:dyDescent="0.3"/>
    <row r="41103" customFormat="1" x14ac:dyDescent="0.3"/>
    <row r="41104" customFormat="1" x14ac:dyDescent="0.3"/>
    <row r="41105" customFormat="1" x14ac:dyDescent="0.3"/>
    <row r="41106" customFormat="1" x14ac:dyDescent="0.3"/>
    <row r="41107" customFormat="1" x14ac:dyDescent="0.3"/>
    <row r="41108" customFormat="1" x14ac:dyDescent="0.3"/>
    <row r="41109" customFormat="1" x14ac:dyDescent="0.3"/>
    <row r="41110" customFormat="1" x14ac:dyDescent="0.3"/>
    <row r="41111" customFormat="1" x14ac:dyDescent="0.3"/>
    <row r="41112" customFormat="1" x14ac:dyDescent="0.3"/>
    <row r="41113" customFormat="1" x14ac:dyDescent="0.3"/>
    <row r="41114" customFormat="1" x14ac:dyDescent="0.3"/>
    <row r="41115" customFormat="1" x14ac:dyDescent="0.3"/>
    <row r="41116" customFormat="1" x14ac:dyDescent="0.3"/>
    <row r="41117" customFormat="1" x14ac:dyDescent="0.3"/>
    <row r="41118" customFormat="1" x14ac:dyDescent="0.3"/>
    <row r="41119" customFormat="1" x14ac:dyDescent="0.3"/>
    <row r="41120" customFormat="1" x14ac:dyDescent="0.3"/>
    <row r="41121" customFormat="1" x14ac:dyDescent="0.3"/>
    <row r="41122" customFormat="1" x14ac:dyDescent="0.3"/>
    <row r="41123" customFormat="1" x14ac:dyDescent="0.3"/>
    <row r="41124" customFormat="1" x14ac:dyDescent="0.3"/>
    <row r="41125" customFormat="1" x14ac:dyDescent="0.3"/>
    <row r="41126" customFormat="1" x14ac:dyDescent="0.3"/>
    <row r="41127" customFormat="1" x14ac:dyDescent="0.3"/>
    <row r="41128" customFormat="1" x14ac:dyDescent="0.3"/>
    <row r="41129" customFormat="1" x14ac:dyDescent="0.3"/>
    <row r="41130" customFormat="1" x14ac:dyDescent="0.3"/>
    <row r="41131" customFormat="1" x14ac:dyDescent="0.3"/>
    <row r="41132" customFormat="1" x14ac:dyDescent="0.3"/>
    <row r="41133" customFormat="1" x14ac:dyDescent="0.3"/>
    <row r="41134" customFormat="1" x14ac:dyDescent="0.3"/>
    <row r="41135" customFormat="1" x14ac:dyDescent="0.3"/>
    <row r="41136" customFormat="1" x14ac:dyDescent="0.3"/>
    <row r="41137" customFormat="1" x14ac:dyDescent="0.3"/>
    <row r="41138" customFormat="1" x14ac:dyDescent="0.3"/>
    <row r="41139" customFormat="1" x14ac:dyDescent="0.3"/>
    <row r="41140" customFormat="1" x14ac:dyDescent="0.3"/>
    <row r="41141" customFormat="1" x14ac:dyDescent="0.3"/>
    <row r="41142" customFormat="1" x14ac:dyDescent="0.3"/>
    <row r="41143" customFormat="1" x14ac:dyDescent="0.3"/>
    <row r="41144" customFormat="1" x14ac:dyDescent="0.3"/>
    <row r="41145" customFormat="1" x14ac:dyDescent="0.3"/>
    <row r="41146" customFormat="1" x14ac:dyDescent="0.3"/>
    <row r="41147" customFormat="1" x14ac:dyDescent="0.3"/>
    <row r="41148" customFormat="1" x14ac:dyDescent="0.3"/>
    <row r="41149" customFormat="1" x14ac:dyDescent="0.3"/>
    <row r="41150" customFormat="1" x14ac:dyDescent="0.3"/>
    <row r="41151" customFormat="1" x14ac:dyDescent="0.3"/>
    <row r="41152" customFormat="1" x14ac:dyDescent="0.3"/>
    <row r="41153" customFormat="1" x14ac:dyDescent="0.3"/>
    <row r="41154" customFormat="1" x14ac:dyDescent="0.3"/>
    <row r="41155" customFormat="1" x14ac:dyDescent="0.3"/>
    <row r="41156" customFormat="1" x14ac:dyDescent="0.3"/>
    <row r="41157" customFormat="1" x14ac:dyDescent="0.3"/>
    <row r="41158" customFormat="1" x14ac:dyDescent="0.3"/>
    <row r="41159" customFormat="1" x14ac:dyDescent="0.3"/>
    <row r="41160" customFormat="1" x14ac:dyDescent="0.3"/>
    <row r="41161" customFormat="1" x14ac:dyDescent="0.3"/>
    <row r="41162" customFormat="1" x14ac:dyDescent="0.3"/>
    <row r="41163" customFormat="1" x14ac:dyDescent="0.3"/>
    <row r="41164" customFormat="1" x14ac:dyDescent="0.3"/>
    <row r="41165" customFormat="1" x14ac:dyDescent="0.3"/>
    <row r="41166" customFormat="1" x14ac:dyDescent="0.3"/>
    <row r="41167" customFormat="1" x14ac:dyDescent="0.3"/>
    <row r="41168" customFormat="1" x14ac:dyDescent="0.3"/>
    <row r="41169" customFormat="1" x14ac:dyDescent="0.3"/>
    <row r="41170" customFormat="1" x14ac:dyDescent="0.3"/>
    <row r="41171" customFormat="1" x14ac:dyDescent="0.3"/>
    <row r="41172" customFormat="1" x14ac:dyDescent="0.3"/>
    <row r="41173" customFormat="1" x14ac:dyDescent="0.3"/>
    <row r="41174" customFormat="1" x14ac:dyDescent="0.3"/>
    <row r="41175" customFormat="1" x14ac:dyDescent="0.3"/>
    <row r="41176" customFormat="1" x14ac:dyDescent="0.3"/>
    <row r="41177" customFormat="1" x14ac:dyDescent="0.3"/>
    <row r="41178" customFormat="1" x14ac:dyDescent="0.3"/>
    <row r="41179" customFormat="1" x14ac:dyDescent="0.3"/>
    <row r="41180" customFormat="1" x14ac:dyDescent="0.3"/>
    <row r="41181" customFormat="1" x14ac:dyDescent="0.3"/>
    <row r="41182" customFormat="1" x14ac:dyDescent="0.3"/>
    <row r="41183" customFormat="1" x14ac:dyDescent="0.3"/>
    <row r="41184" customFormat="1" x14ac:dyDescent="0.3"/>
    <row r="41185" customFormat="1" x14ac:dyDescent="0.3"/>
    <row r="41186" customFormat="1" x14ac:dyDescent="0.3"/>
    <row r="41187" customFormat="1" x14ac:dyDescent="0.3"/>
    <row r="41188" customFormat="1" x14ac:dyDescent="0.3"/>
    <row r="41189" customFormat="1" x14ac:dyDescent="0.3"/>
    <row r="41190" customFormat="1" x14ac:dyDescent="0.3"/>
    <row r="41191" customFormat="1" x14ac:dyDescent="0.3"/>
    <row r="41192" customFormat="1" x14ac:dyDescent="0.3"/>
    <row r="41193" customFormat="1" x14ac:dyDescent="0.3"/>
    <row r="41194" customFormat="1" x14ac:dyDescent="0.3"/>
    <row r="41195" customFormat="1" x14ac:dyDescent="0.3"/>
    <row r="41196" customFormat="1" x14ac:dyDescent="0.3"/>
    <row r="41197" customFormat="1" x14ac:dyDescent="0.3"/>
    <row r="41198" customFormat="1" x14ac:dyDescent="0.3"/>
    <row r="41199" customFormat="1" x14ac:dyDescent="0.3"/>
    <row r="41200" customFormat="1" x14ac:dyDescent="0.3"/>
    <row r="41201" customFormat="1" x14ac:dyDescent="0.3"/>
    <row r="41202" customFormat="1" x14ac:dyDescent="0.3"/>
    <row r="41203" customFormat="1" x14ac:dyDescent="0.3"/>
    <row r="41204" customFormat="1" x14ac:dyDescent="0.3"/>
    <row r="41205" customFormat="1" x14ac:dyDescent="0.3"/>
    <row r="41206" customFormat="1" x14ac:dyDescent="0.3"/>
    <row r="41207" customFormat="1" x14ac:dyDescent="0.3"/>
    <row r="41208" customFormat="1" x14ac:dyDescent="0.3"/>
    <row r="41209" customFormat="1" x14ac:dyDescent="0.3"/>
    <row r="41210" customFormat="1" x14ac:dyDescent="0.3"/>
    <row r="41211" customFormat="1" x14ac:dyDescent="0.3"/>
    <row r="41212" customFormat="1" x14ac:dyDescent="0.3"/>
    <row r="41213" customFormat="1" x14ac:dyDescent="0.3"/>
    <row r="41214" customFormat="1" x14ac:dyDescent="0.3"/>
    <row r="41215" customFormat="1" x14ac:dyDescent="0.3"/>
    <row r="41216" customFormat="1" x14ac:dyDescent="0.3"/>
    <row r="41217" customFormat="1" x14ac:dyDescent="0.3"/>
    <row r="41218" customFormat="1" x14ac:dyDescent="0.3"/>
    <row r="41219" customFormat="1" x14ac:dyDescent="0.3"/>
    <row r="41220" customFormat="1" x14ac:dyDescent="0.3"/>
    <row r="41221" customFormat="1" x14ac:dyDescent="0.3"/>
    <row r="41222" customFormat="1" x14ac:dyDescent="0.3"/>
    <row r="41223" customFormat="1" x14ac:dyDescent="0.3"/>
    <row r="41224" customFormat="1" x14ac:dyDescent="0.3"/>
    <row r="41225" customFormat="1" x14ac:dyDescent="0.3"/>
    <row r="41226" customFormat="1" x14ac:dyDescent="0.3"/>
    <row r="41227" customFormat="1" x14ac:dyDescent="0.3"/>
    <row r="41228" customFormat="1" x14ac:dyDescent="0.3"/>
    <row r="41229" customFormat="1" x14ac:dyDescent="0.3"/>
    <row r="41230" customFormat="1" x14ac:dyDescent="0.3"/>
    <row r="41231" customFormat="1" x14ac:dyDescent="0.3"/>
    <row r="41232" customFormat="1" x14ac:dyDescent="0.3"/>
    <row r="41233" customFormat="1" x14ac:dyDescent="0.3"/>
    <row r="41234" customFormat="1" x14ac:dyDescent="0.3"/>
    <row r="41235" customFormat="1" x14ac:dyDescent="0.3"/>
    <row r="41236" customFormat="1" x14ac:dyDescent="0.3"/>
    <row r="41237" customFormat="1" x14ac:dyDescent="0.3"/>
    <row r="41238" customFormat="1" x14ac:dyDescent="0.3"/>
    <row r="41239" customFormat="1" x14ac:dyDescent="0.3"/>
    <row r="41240" customFormat="1" x14ac:dyDescent="0.3"/>
    <row r="41241" customFormat="1" x14ac:dyDescent="0.3"/>
    <row r="41242" customFormat="1" x14ac:dyDescent="0.3"/>
    <row r="41243" customFormat="1" x14ac:dyDescent="0.3"/>
    <row r="41244" customFormat="1" x14ac:dyDescent="0.3"/>
    <row r="41245" customFormat="1" x14ac:dyDescent="0.3"/>
    <row r="41246" customFormat="1" x14ac:dyDescent="0.3"/>
    <row r="41247" customFormat="1" x14ac:dyDescent="0.3"/>
    <row r="41248" customFormat="1" x14ac:dyDescent="0.3"/>
    <row r="41249" customFormat="1" x14ac:dyDescent="0.3"/>
    <row r="41250" customFormat="1" x14ac:dyDescent="0.3"/>
    <row r="41251" customFormat="1" x14ac:dyDescent="0.3"/>
    <row r="41252" customFormat="1" x14ac:dyDescent="0.3"/>
    <row r="41253" customFormat="1" x14ac:dyDescent="0.3"/>
    <row r="41254" customFormat="1" x14ac:dyDescent="0.3"/>
    <row r="41255" customFormat="1" x14ac:dyDescent="0.3"/>
    <row r="41256" customFormat="1" x14ac:dyDescent="0.3"/>
    <row r="41257" customFormat="1" x14ac:dyDescent="0.3"/>
    <row r="41258" customFormat="1" x14ac:dyDescent="0.3"/>
    <row r="41259" customFormat="1" x14ac:dyDescent="0.3"/>
    <row r="41260" customFormat="1" x14ac:dyDescent="0.3"/>
    <row r="41261" customFormat="1" x14ac:dyDescent="0.3"/>
    <row r="41262" customFormat="1" x14ac:dyDescent="0.3"/>
    <row r="41263" customFormat="1" x14ac:dyDescent="0.3"/>
    <row r="41264" customFormat="1" x14ac:dyDescent="0.3"/>
    <row r="41265" customFormat="1" x14ac:dyDescent="0.3"/>
    <row r="41266" customFormat="1" x14ac:dyDescent="0.3"/>
    <row r="41267" customFormat="1" x14ac:dyDescent="0.3"/>
    <row r="41268" customFormat="1" x14ac:dyDescent="0.3"/>
    <row r="41269" customFormat="1" x14ac:dyDescent="0.3"/>
    <row r="41270" customFormat="1" x14ac:dyDescent="0.3"/>
    <row r="41271" customFormat="1" x14ac:dyDescent="0.3"/>
    <row r="41272" customFormat="1" x14ac:dyDescent="0.3"/>
    <row r="41273" customFormat="1" x14ac:dyDescent="0.3"/>
    <row r="41274" customFormat="1" x14ac:dyDescent="0.3"/>
    <row r="41275" customFormat="1" x14ac:dyDescent="0.3"/>
    <row r="41276" customFormat="1" x14ac:dyDescent="0.3"/>
    <row r="41277" customFormat="1" x14ac:dyDescent="0.3"/>
    <row r="41278" customFormat="1" x14ac:dyDescent="0.3"/>
    <row r="41279" customFormat="1" x14ac:dyDescent="0.3"/>
    <row r="41280" customFormat="1" x14ac:dyDescent="0.3"/>
    <row r="41281" customFormat="1" x14ac:dyDescent="0.3"/>
    <row r="41282" customFormat="1" x14ac:dyDescent="0.3"/>
    <row r="41283" customFormat="1" x14ac:dyDescent="0.3"/>
    <row r="41284" customFormat="1" x14ac:dyDescent="0.3"/>
    <row r="41285" customFormat="1" x14ac:dyDescent="0.3"/>
    <row r="41286" customFormat="1" x14ac:dyDescent="0.3"/>
    <row r="41287" customFormat="1" x14ac:dyDescent="0.3"/>
    <row r="41288" customFormat="1" x14ac:dyDescent="0.3"/>
    <row r="41289" customFormat="1" x14ac:dyDescent="0.3"/>
    <row r="41290" customFormat="1" x14ac:dyDescent="0.3"/>
    <row r="41291" customFormat="1" x14ac:dyDescent="0.3"/>
    <row r="41292" customFormat="1" x14ac:dyDescent="0.3"/>
    <row r="41293" customFormat="1" x14ac:dyDescent="0.3"/>
    <row r="41294" customFormat="1" x14ac:dyDescent="0.3"/>
    <row r="41295" customFormat="1" x14ac:dyDescent="0.3"/>
    <row r="41296" customFormat="1" x14ac:dyDescent="0.3"/>
    <row r="41297" customFormat="1" x14ac:dyDescent="0.3"/>
    <row r="41298" customFormat="1" x14ac:dyDescent="0.3"/>
    <row r="41299" customFormat="1" x14ac:dyDescent="0.3"/>
    <row r="41300" customFormat="1" x14ac:dyDescent="0.3"/>
    <row r="41301" customFormat="1" x14ac:dyDescent="0.3"/>
    <row r="41302" customFormat="1" x14ac:dyDescent="0.3"/>
    <row r="41303" customFormat="1" x14ac:dyDescent="0.3"/>
    <row r="41304" customFormat="1" x14ac:dyDescent="0.3"/>
    <row r="41305" customFormat="1" x14ac:dyDescent="0.3"/>
    <row r="41306" customFormat="1" x14ac:dyDescent="0.3"/>
    <row r="41307" customFormat="1" x14ac:dyDescent="0.3"/>
    <row r="41308" customFormat="1" x14ac:dyDescent="0.3"/>
    <row r="41309" customFormat="1" x14ac:dyDescent="0.3"/>
    <row r="41310" customFormat="1" x14ac:dyDescent="0.3"/>
    <row r="41311" customFormat="1" x14ac:dyDescent="0.3"/>
    <row r="41312" customFormat="1" x14ac:dyDescent="0.3"/>
    <row r="41313" customFormat="1" x14ac:dyDescent="0.3"/>
    <row r="41314" customFormat="1" x14ac:dyDescent="0.3"/>
    <row r="41315" customFormat="1" x14ac:dyDescent="0.3"/>
    <row r="41316" customFormat="1" x14ac:dyDescent="0.3"/>
    <row r="41317" customFormat="1" x14ac:dyDescent="0.3"/>
    <row r="41318" customFormat="1" x14ac:dyDescent="0.3"/>
    <row r="41319" customFormat="1" x14ac:dyDescent="0.3"/>
    <row r="41320" customFormat="1" x14ac:dyDescent="0.3"/>
    <row r="41321" customFormat="1" x14ac:dyDescent="0.3"/>
    <row r="41322" customFormat="1" x14ac:dyDescent="0.3"/>
    <row r="41323" customFormat="1" x14ac:dyDescent="0.3"/>
    <row r="41324" customFormat="1" x14ac:dyDescent="0.3"/>
    <row r="41325" customFormat="1" x14ac:dyDescent="0.3"/>
    <row r="41326" customFormat="1" x14ac:dyDescent="0.3"/>
    <row r="41327" customFormat="1" x14ac:dyDescent="0.3"/>
    <row r="41328" customFormat="1" x14ac:dyDescent="0.3"/>
    <row r="41329" customFormat="1" x14ac:dyDescent="0.3"/>
    <row r="41330" customFormat="1" x14ac:dyDescent="0.3"/>
    <row r="41331" customFormat="1" x14ac:dyDescent="0.3"/>
    <row r="41332" customFormat="1" x14ac:dyDescent="0.3"/>
    <row r="41333" customFormat="1" x14ac:dyDescent="0.3"/>
    <row r="41334" customFormat="1" x14ac:dyDescent="0.3"/>
    <row r="41335" customFormat="1" x14ac:dyDescent="0.3"/>
    <row r="41336" customFormat="1" x14ac:dyDescent="0.3"/>
    <row r="41337" customFormat="1" x14ac:dyDescent="0.3"/>
    <row r="41338" customFormat="1" x14ac:dyDescent="0.3"/>
    <row r="41339" customFormat="1" x14ac:dyDescent="0.3"/>
    <row r="41340" customFormat="1" x14ac:dyDescent="0.3"/>
    <row r="41341" customFormat="1" x14ac:dyDescent="0.3"/>
    <row r="41342" customFormat="1" x14ac:dyDescent="0.3"/>
    <row r="41343" customFormat="1" x14ac:dyDescent="0.3"/>
    <row r="41344" customFormat="1" x14ac:dyDescent="0.3"/>
    <row r="41345" customFormat="1" x14ac:dyDescent="0.3"/>
    <row r="41346" customFormat="1" x14ac:dyDescent="0.3"/>
    <row r="41347" customFormat="1" x14ac:dyDescent="0.3"/>
    <row r="41348" customFormat="1" x14ac:dyDescent="0.3"/>
    <row r="41349" customFormat="1" x14ac:dyDescent="0.3"/>
    <row r="41350" customFormat="1" x14ac:dyDescent="0.3"/>
    <row r="41351" customFormat="1" x14ac:dyDescent="0.3"/>
    <row r="41352" customFormat="1" x14ac:dyDescent="0.3"/>
    <row r="41353" customFormat="1" x14ac:dyDescent="0.3"/>
    <row r="41354" customFormat="1" x14ac:dyDescent="0.3"/>
    <row r="41355" customFormat="1" x14ac:dyDescent="0.3"/>
    <row r="41356" customFormat="1" x14ac:dyDescent="0.3"/>
    <row r="41357" customFormat="1" x14ac:dyDescent="0.3"/>
    <row r="41358" customFormat="1" x14ac:dyDescent="0.3"/>
    <row r="41359" customFormat="1" x14ac:dyDescent="0.3"/>
    <row r="41360" customFormat="1" x14ac:dyDescent="0.3"/>
    <row r="41361" customFormat="1" x14ac:dyDescent="0.3"/>
    <row r="41362" customFormat="1" x14ac:dyDescent="0.3"/>
    <row r="41363" customFormat="1" x14ac:dyDescent="0.3"/>
    <row r="41364" customFormat="1" x14ac:dyDescent="0.3"/>
    <row r="41365" customFormat="1" x14ac:dyDescent="0.3"/>
    <row r="41366" customFormat="1" x14ac:dyDescent="0.3"/>
    <row r="41367" customFormat="1" x14ac:dyDescent="0.3"/>
    <row r="41368" customFormat="1" x14ac:dyDescent="0.3"/>
    <row r="41369" customFormat="1" x14ac:dyDescent="0.3"/>
    <row r="41370" customFormat="1" x14ac:dyDescent="0.3"/>
    <row r="41371" customFormat="1" x14ac:dyDescent="0.3"/>
    <row r="41372" customFormat="1" x14ac:dyDescent="0.3"/>
    <row r="41373" customFormat="1" x14ac:dyDescent="0.3"/>
    <row r="41374" customFormat="1" x14ac:dyDescent="0.3"/>
    <row r="41375" customFormat="1" x14ac:dyDescent="0.3"/>
    <row r="41376" customFormat="1" x14ac:dyDescent="0.3"/>
    <row r="41377" customFormat="1" x14ac:dyDescent="0.3"/>
    <row r="41378" customFormat="1" x14ac:dyDescent="0.3"/>
    <row r="41379" customFormat="1" x14ac:dyDescent="0.3"/>
    <row r="41380" customFormat="1" x14ac:dyDescent="0.3"/>
    <row r="41381" customFormat="1" x14ac:dyDescent="0.3"/>
    <row r="41382" customFormat="1" x14ac:dyDescent="0.3"/>
    <row r="41383" customFormat="1" x14ac:dyDescent="0.3"/>
    <row r="41384" customFormat="1" x14ac:dyDescent="0.3"/>
    <row r="41385" customFormat="1" x14ac:dyDescent="0.3"/>
    <row r="41386" customFormat="1" x14ac:dyDescent="0.3"/>
    <row r="41387" customFormat="1" x14ac:dyDescent="0.3"/>
    <row r="41388" customFormat="1" x14ac:dyDescent="0.3"/>
    <row r="41389" customFormat="1" x14ac:dyDescent="0.3"/>
    <row r="41390" customFormat="1" x14ac:dyDescent="0.3"/>
    <row r="41391" customFormat="1" x14ac:dyDescent="0.3"/>
    <row r="41392" customFormat="1" x14ac:dyDescent="0.3"/>
    <row r="41393" customFormat="1" x14ac:dyDescent="0.3"/>
    <row r="41394" customFormat="1" x14ac:dyDescent="0.3"/>
    <row r="41395" customFormat="1" x14ac:dyDescent="0.3"/>
    <row r="41396" customFormat="1" x14ac:dyDescent="0.3"/>
    <row r="41397" customFormat="1" x14ac:dyDescent="0.3"/>
    <row r="41398" customFormat="1" x14ac:dyDescent="0.3"/>
    <row r="41399" customFormat="1" x14ac:dyDescent="0.3"/>
    <row r="41400" customFormat="1" x14ac:dyDescent="0.3"/>
    <row r="41401" customFormat="1" x14ac:dyDescent="0.3"/>
    <row r="41402" customFormat="1" x14ac:dyDescent="0.3"/>
    <row r="41403" customFormat="1" x14ac:dyDescent="0.3"/>
    <row r="41404" customFormat="1" x14ac:dyDescent="0.3"/>
    <row r="41405" customFormat="1" x14ac:dyDescent="0.3"/>
    <row r="41406" customFormat="1" x14ac:dyDescent="0.3"/>
    <row r="41407" customFormat="1" x14ac:dyDescent="0.3"/>
    <row r="41408" customFormat="1" x14ac:dyDescent="0.3"/>
    <row r="41409" customFormat="1" x14ac:dyDescent="0.3"/>
    <row r="41410" customFormat="1" x14ac:dyDescent="0.3"/>
    <row r="41411" customFormat="1" x14ac:dyDescent="0.3"/>
    <row r="41412" customFormat="1" x14ac:dyDescent="0.3"/>
    <row r="41413" customFormat="1" x14ac:dyDescent="0.3"/>
    <row r="41414" customFormat="1" x14ac:dyDescent="0.3"/>
    <row r="41415" customFormat="1" x14ac:dyDescent="0.3"/>
    <row r="41416" customFormat="1" x14ac:dyDescent="0.3"/>
    <row r="41417" customFormat="1" x14ac:dyDescent="0.3"/>
    <row r="41418" customFormat="1" x14ac:dyDescent="0.3"/>
    <row r="41419" customFormat="1" x14ac:dyDescent="0.3"/>
    <row r="41420" customFormat="1" x14ac:dyDescent="0.3"/>
    <row r="41421" customFormat="1" x14ac:dyDescent="0.3"/>
    <row r="41422" customFormat="1" x14ac:dyDescent="0.3"/>
    <row r="41423" customFormat="1" x14ac:dyDescent="0.3"/>
    <row r="41424" customFormat="1" x14ac:dyDescent="0.3"/>
    <row r="41425" customFormat="1" x14ac:dyDescent="0.3"/>
    <row r="41426" customFormat="1" x14ac:dyDescent="0.3"/>
    <row r="41427" customFormat="1" x14ac:dyDescent="0.3"/>
    <row r="41428" customFormat="1" x14ac:dyDescent="0.3"/>
    <row r="41429" customFormat="1" x14ac:dyDescent="0.3"/>
    <row r="41430" customFormat="1" x14ac:dyDescent="0.3"/>
    <row r="41431" customFormat="1" x14ac:dyDescent="0.3"/>
    <row r="41432" customFormat="1" x14ac:dyDescent="0.3"/>
    <row r="41433" customFormat="1" x14ac:dyDescent="0.3"/>
    <row r="41434" customFormat="1" x14ac:dyDescent="0.3"/>
    <row r="41435" customFormat="1" x14ac:dyDescent="0.3"/>
    <row r="41436" customFormat="1" x14ac:dyDescent="0.3"/>
    <row r="41437" customFormat="1" x14ac:dyDescent="0.3"/>
    <row r="41438" customFormat="1" x14ac:dyDescent="0.3"/>
    <row r="41439" customFormat="1" x14ac:dyDescent="0.3"/>
    <row r="41440" customFormat="1" x14ac:dyDescent="0.3"/>
    <row r="41441" customFormat="1" x14ac:dyDescent="0.3"/>
    <row r="41442" customFormat="1" x14ac:dyDescent="0.3"/>
    <row r="41443" customFormat="1" x14ac:dyDescent="0.3"/>
    <row r="41444" customFormat="1" x14ac:dyDescent="0.3"/>
    <row r="41445" customFormat="1" x14ac:dyDescent="0.3"/>
    <row r="41446" customFormat="1" x14ac:dyDescent="0.3"/>
    <row r="41447" customFormat="1" x14ac:dyDescent="0.3"/>
    <row r="41448" customFormat="1" x14ac:dyDescent="0.3"/>
    <row r="41449" customFormat="1" x14ac:dyDescent="0.3"/>
    <row r="41450" customFormat="1" x14ac:dyDescent="0.3"/>
    <row r="41451" customFormat="1" x14ac:dyDescent="0.3"/>
    <row r="41452" customFormat="1" x14ac:dyDescent="0.3"/>
    <row r="41453" customFormat="1" x14ac:dyDescent="0.3"/>
    <row r="41454" customFormat="1" x14ac:dyDescent="0.3"/>
    <row r="41455" customFormat="1" x14ac:dyDescent="0.3"/>
    <row r="41456" customFormat="1" x14ac:dyDescent="0.3"/>
    <row r="41457" customFormat="1" x14ac:dyDescent="0.3"/>
    <row r="41458" customFormat="1" x14ac:dyDescent="0.3"/>
    <row r="41459" customFormat="1" x14ac:dyDescent="0.3"/>
    <row r="41460" customFormat="1" x14ac:dyDescent="0.3"/>
    <row r="41461" customFormat="1" x14ac:dyDescent="0.3"/>
    <row r="41462" customFormat="1" x14ac:dyDescent="0.3"/>
    <row r="41463" customFormat="1" x14ac:dyDescent="0.3"/>
    <row r="41464" customFormat="1" x14ac:dyDescent="0.3"/>
    <row r="41465" customFormat="1" x14ac:dyDescent="0.3"/>
    <row r="41466" customFormat="1" x14ac:dyDescent="0.3"/>
    <row r="41467" customFormat="1" x14ac:dyDescent="0.3"/>
    <row r="41468" customFormat="1" x14ac:dyDescent="0.3"/>
    <row r="41469" customFormat="1" x14ac:dyDescent="0.3"/>
    <row r="41470" customFormat="1" x14ac:dyDescent="0.3"/>
    <row r="41471" customFormat="1" x14ac:dyDescent="0.3"/>
    <row r="41472" customFormat="1" x14ac:dyDescent="0.3"/>
    <row r="41473" customFormat="1" x14ac:dyDescent="0.3"/>
    <row r="41474" customFormat="1" x14ac:dyDescent="0.3"/>
    <row r="41475" customFormat="1" x14ac:dyDescent="0.3"/>
    <row r="41476" customFormat="1" x14ac:dyDescent="0.3"/>
    <row r="41477" customFormat="1" x14ac:dyDescent="0.3"/>
    <row r="41478" customFormat="1" x14ac:dyDescent="0.3"/>
    <row r="41479" customFormat="1" x14ac:dyDescent="0.3"/>
    <row r="41480" customFormat="1" x14ac:dyDescent="0.3"/>
    <row r="41481" customFormat="1" x14ac:dyDescent="0.3"/>
    <row r="41482" customFormat="1" x14ac:dyDescent="0.3"/>
    <row r="41483" customFormat="1" x14ac:dyDescent="0.3"/>
    <row r="41484" customFormat="1" x14ac:dyDescent="0.3"/>
    <row r="41485" customFormat="1" x14ac:dyDescent="0.3"/>
    <row r="41486" customFormat="1" x14ac:dyDescent="0.3"/>
    <row r="41487" customFormat="1" x14ac:dyDescent="0.3"/>
    <row r="41488" customFormat="1" x14ac:dyDescent="0.3"/>
    <row r="41489" customFormat="1" x14ac:dyDescent="0.3"/>
    <row r="41490" customFormat="1" x14ac:dyDescent="0.3"/>
    <row r="41491" customFormat="1" x14ac:dyDescent="0.3"/>
    <row r="41492" customFormat="1" x14ac:dyDescent="0.3"/>
    <row r="41493" customFormat="1" x14ac:dyDescent="0.3"/>
    <row r="41494" customFormat="1" x14ac:dyDescent="0.3"/>
    <row r="41495" customFormat="1" x14ac:dyDescent="0.3"/>
    <row r="41496" customFormat="1" x14ac:dyDescent="0.3"/>
    <row r="41497" customFormat="1" x14ac:dyDescent="0.3"/>
    <row r="41498" customFormat="1" x14ac:dyDescent="0.3"/>
    <row r="41499" customFormat="1" x14ac:dyDescent="0.3"/>
    <row r="41500" customFormat="1" x14ac:dyDescent="0.3"/>
    <row r="41501" customFormat="1" x14ac:dyDescent="0.3"/>
    <row r="41502" customFormat="1" x14ac:dyDescent="0.3"/>
    <row r="41503" customFormat="1" x14ac:dyDescent="0.3"/>
    <row r="41504" customFormat="1" x14ac:dyDescent="0.3"/>
    <row r="41505" customFormat="1" x14ac:dyDescent="0.3"/>
    <row r="41506" customFormat="1" x14ac:dyDescent="0.3"/>
    <row r="41507" customFormat="1" x14ac:dyDescent="0.3"/>
    <row r="41508" customFormat="1" x14ac:dyDescent="0.3"/>
    <row r="41509" customFormat="1" x14ac:dyDescent="0.3"/>
    <row r="41510" customFormat="1" x14ac:dyDescent="0.3"/>
    <row r="41511" customFormat="1" x14ac:dyDescent="0.3"/>
    <row r="41512" customFormat="1" x14ac:dyDescent="0.3"/>
    <row r="41513" customFormat="1" x14ac:dyDescent="0.3"/>
    <row r="41514" customFormat="1" x14ac:dyDescent="0.3"/>
    <row r="41515" customFormat="1" x14ac:dyDescent="0.3"/>
    <row r="41516" customFormat="1" x14ac:dyDescent="0.3"/>
    <row r="41517" customFormat="1" x14ac:dyDescent="0.3"/>
    <row r="41518" customFormat="1" x14ac:dyDescent="0.3"/>
    <row r="41519" customFormat="1" x14ac:dyDescent="0.3"/>
    <row r="41520" customFormat="1" x14ac:dyDescent="0.3"/>
    <row r="41521" customFormat="1" x14ac:dyDescent="0.3"/>
    <row r="41522" customFormat="1" x14ac:dyDescent="0.3"/>
    <row r="41523" customFormat="1" x14ac:dyDescent="0.3"/>
    <row r="41524" customFormat="1" x14ac:dyDescent="0.3"/>
    <row r="41525" customFormat="1" x14ac:dyDescent="0.3"/>
    <row r="41526" customFormat="1" x14ac:dyDescent="0.3"/>
    <row r="41527" customFormat="1" x14ac:dyDescent="0.3"/>
    <row r="41528" customFormat="1" x14ac:dyDescent="0.3"/>
    <row r="41529" customFormat="1" x14ac:dyDescent="0.3"/>
    <row r="41530" customFormat="1" x14ac:dyDescent="0.3"/>
    <row r="41531" customFormat="1" x14ac:dyDescent="0.3"/>
    <row r="41532" customFormat="1" x14ac:dyDescent="0.3"/>
    <row r="41533" customFormat="1" x14ac:dyDescent="0.3"/>
    <row r="41534" customFormat="1" x14ac:dyDescent="0.3"/>
    <row r="41535" customFormat="1" x14ac:dyDescent="0.3"/>
    <row r="41536" customFormat="1" x14ac:dyDescent="0.3"/>
    <row r="41537" customFormat="1" x14ac:dyDescent="0.3"/>
    <row r="41538" customFormat="1" x14ac:dyDescent="0.3"/>
    <row r="41539" customFormat="1" x14ac:dyDescent="0.3"/>
    <row r="41540" customFormat="1" x14ac:dyDescent="0.3"/>
    <row r="41541" customFormat="1" x14ac:dyDescent="0.3"/>
    <row r="41542" customFormat="1" x14ac:dyDescent="0.3"/>
    <row r="41543" customFormat="1" x14ac:dyDescent="0.3"/>
    <row r="41544" customFormat="1" x14ac:dyDescent="0.3"/>
    <row r="41545" customFormat="1" x14ac:dyDescent="0.3"/>
    <row r="41546" customFormat="1" x14ac:dyDescent="0.3"/>
    <row r="41547" customFormat="1" x14ac:dyDescent="0.3"/>
    <row r="41548" customFormat="1" x14ac:dyDescent="0.3"/>
    <row r="41549" customFormat="1" x14ac:dyDescent="0.3"/>
    <row r="41550" customFormat="1" x14ac:dyDescent="0.3"/>
    <row r="41551" customFormat="1" x14ac:dyDescent="0.3"/>
    <row r="41552" customFormat="1" x14ac:dyDescent="0.3"/>
    <row r="41553" customFormat="1" x14ac:dyDescent="0.3"/>
    <row r="41554" customFormat="1" x14ac:dyDescent="0.3"/>
    <row r="41555" customFormat="1" x14ac:dyDescent="0.3"/>
    <row r="41556" customFormat="1" x14ac:dyDescent="0.3"/>
    <row r="41557" customFormat="1" x14ac:dyDescent="0.3"/>
    <row r="41558" customFormat="1" x14ac:dyDescent="0.3"/>
    <row r="41559" customFormat="1" x14ac:dyDescent="0.3"/>
    <row r="41560" customFormat="1" x14ac:dyDescent="0.3"/>
    <row r="41561" customFormat="1" x14ac:dyDescent="0.3"/>
    <row r="41562" customFormat="1" x14ac:dyDescent="0.3"/>
    <row r="41563" customFormat="1" x14ac:dyDescent="0.3"/>
    <row r="41564" customFormat="1" x14ac:dyDescent="0.3"/>
    <row r="41565" customFormat="1" x14ac:dyDescent="0.3"/>
    <row r="41566" customFormat="1" x14ac:dyDescent="0.3"/>
    <row r="41567" customFormat="1" x14ac:dyDescent="0.3"/>
    <row r="41568" customFormat="1" x14ac:dyDescent="0.3"/>
    <row r="41569" customFormat="1" x14ac:dyDescent="0.3"/>
    <row r="41570" customFormat="1" x14ac:dyDescent="0.3"/>
    <row r="41571" customFormat="1" x14ac:dyDescent="0.3"/>
    <row r="41572" customFormat="1" x14ac:dyDescent="0.3"/>
    <row r="41573" customFormat="1" x14ac:dyDescent="0.3"/>
    <row r="41574" customFormat="1" x14ac:dyDescent="0.3"/>
    <row r="41575" customFormat="1" x14ac:dyDescent="0.3"/>
    <row r="41576" customFormat="1" x14ac:dyDescent="0.3"/>
    <row r="41577" customFormat="1" x14ac:dyDescent="0.3"/>
    <row r="41578" customFormat="1" x14ac:dyDescent="0.3"/>
    <row r="41579" customFormat="1" x14ac:dyDescent="0.3"/>
    <row r="41580" customFormat="1" x14ac:dyDescent="0.3"/>
    <row r="41581" customFormat="1" x14ac:dyDescent="0.3"/>
    <row r="41582" customFormat="1" x14ac:dyDescent="0.3"/>
    <row r="41583" customFormat="1" x14ac:dyDescent="0.3"/>
    <row r="41584" customFormat="1" x14ac:dyDescent="0.3"/>
    <row r="41585" customFormat="1" x14ac:dyDescent="0.3"/>
    <row r="41586" customFormat="1" x14ac:dyDescent="0.3"/>
    <row r="41587" customFormat="1" x14ac:dyDescent="0.3"/>
    <row r="41588" customFormat="1" x14ac:dyDescent="0.3"/>
    <row r="41589" customFormat="1" x14ac:dyDescent="0.3"/>
    <row r="41590" customFormat="1" x14ac:dyDescent="0.3"/>
    <row r="41591" customFormat="1" x14ac:dyDescent="0.3"/>
    <row r="41592" customFormat="1" x14ac:dyDescent="0.3"/>
    <row r="41593" customFormat="1" x14ac:dyDescent="0.3"/>
    <row r="41594" customFormat="1" x14ac:dyDescent="0.3"/>
    <row r="41595" customFormat="1" x14ac:dyDescent="0.3"/>
    <row r="41596" customFormat="1" x14ac:dyDescent="0.3"/>
    <row r="41597" customFormat="1" x14ac:dyDescent="0.3"/>
    <row r="41598" customFormat="1" x14ac:dyDescent="0.3"/>
    <row r="41599" customFormat="1" x14ac:dyDescent="0.3"/>
    <row r="41600" customFormat="1" x14ac:dyDescent="0.3"/>
    <row r="41601" customFormat="1" x14ac:dyDescent="0.3"/>
    <row r="41602" customFormat="1" x14ac:dyDescent="0.3"/>
    <row r="41603" customFormat="1" x14ac:dyDescent="0.3"/>
    <row r="41604" customFormat="1" x14ac:dyDescent="0.3"/>
    <row r="41605" customFormat="1" x14ac:dyDescent="0.3"/>
    <row r="41606" customFormat="1" x14ac:dyDescent="0.3"/>
    <row r="41607" customFormat="1" x14ac:dyDescent="0.3"/>
    <row r="41608" customFormat="1" x14ac:dyDescent="0.3"/>
    <row r="41609" customFormat="1" x14ac:dyDescent="0.3"/>
    <row r="41610" customFormat="1" x14ac:dyDescent="0.3"/>
    <row r="41611" customFormat="1" x14ac:dyDescent="0.3"/>
    <row r="41612" customFormat="1" x14ac:dyDescent="0.3"/>
    <row r="41613" customFormat="1" x14ac:dyDescent="0.3"/>
    <row r="41614" customFormat="1" x14ac:dyDescent="0.3"/>
    <row r="41615" customFormat="1" x14ac:dyDescent="0.3"/>
    <row r="41616" customFormat="1" x14ac:dyDescent="0.3"/>
    <row r="41617" customFormat="1" x14ac:dyDescent="0.3"/>
    <row r="41618" customFormat="1" x14ac:dyDescent="0.3"/>
    <row r="41619" customFormat="1" x14ac:dyDescent="0.3"/>
    <row r="41620" customFormat="1" x14ac:dyDescent="0.3"/>
    <row r="41621" customFormat="1" x14ac:dyDescent="0.3"/>
    <row r="41622" customFormat="1" x14ac:dyDescent="0.3"/>
    <row r="41623" customFormat="1" x14ac:dyDescent="0.3"/>
    <row r="41624" customFormat="1" x14ac:dyDescent="0.3"/>
    <row r="41625" customFormat="1" x14ac:dyDescent="0.3"/>
    <row r="41626" customFormat="1" x14ac:dyDescent="0.3"/>
    <row r="41627" customFormat="1" x14ac:dyDescent="0.3"/>
    <row r="41628" customFormat="1" x14ac:dyDescent="0.3"/>
    <row r="41629" customFormat="1" x14ac:dyDescent="0.3"/>
    <row r="41630" customFormat="1" x14ac:dyDescent="0.3"/>
    <row r="41631" customFormat="1" x14ac:dyDescent="0.3"/>
    <row r="41632" customFormat="1" x14ac:dyDescent="0.3"/>
    <row r="41633" customFormat="1" x14ac:dyDescent="0.3"/>
    <row r="41634" customFormat="1" x14ac:dyDescent="0.3"/>
    <row r="41635" customFormat="1" x14ac:dyDescent="0.3"/>
    <row r="41636" customFormat="1" x14ac:dyDescent="0.3"/>
    <row r="41637" customFormat="1" x14ac:dyDescent="0.3"/>
    <row r="41638" customFormat="1" x14ac:dyDescent="0.3"/>
    <row r="41639" customFormat="1" x14ac:dyDescent="0.3"/>
    <row r="41640" customFormat="1" x14ac:dyDescent="0.3"/>
    <row r="41641" customFormat="1" x14ac:dyDescent="0.3"/>
    <row r="41642" customFormat="1" x14ac:dyDescent="0.3"/>
    <row r="41643" customFormat="1" x14ac:dyDescent="0.3"/>
    <row r="41644" customFormat="1" x14ac:dyDescent="0.3"/>
    <row r="41645" customFormat="1" x14ac:dyDescent="0.3"/>
    <row r="41646" customFormat="1" x14ac:dyDescent="0.3"/>
    <row r="41647" customFormat="1" x14ac:dyDescent="0.3"/>
    <row r="41648" customFormat="1" x14ac:dyDescent="0.3"/>
    <row r="41649" customFormat="1" x14ac:dyDescent="0.3"/>
    <row r="41650" customFormat="1" x14ac:dyDescent="0.3"/>
    <row r="41651" customFormat="1" x14ac:dyDescent="0.3"/>
    <row r="41652" customFormat="1" x14ac:dyDescent="0.3"/>
    <row r="41653" customFormat="1" x14ac:dyDescent="0.3"/>
    <row r="41654" customFormat="1" x14ac:dyDescent="0.3"/>
    <row r="41655" customFormat="1" x14ac:dyDescent="0.3"/>
    <row r="41656" customFormat="1" x14ac:dyDescent="0.3"/>
    <row r="41657" customFormat="1" x14ac:dyDescent="0.3"/>
    <row r="41658" customFormat="1" x14ac:dyDescent="0.3"/>
    <row r="41659" customFormat="1" x14ac:dyDescent="0.3"/>
    <row r="41660" customFormat="1" x14ac:dyDescent="0.3"/>
    <row r="41661" customFormat="1" x14ac:dyDescent="0.3"/>
    <row r="41662" customFormat="1" x14ac:dyDescent="0.3"/>
    <row r="41663" customFormat="1" x14ac:dyDescent="0.3"/>
    <row r="41664" customFormat="1" x14ac:dyDescent="0.3"/>
    <row r="41665" customFormat="1" x14ac:dyDescent="0.3"/>
    <row r="41666" customFormat="1" x14ac:dyDescent="0.3"/>
    <row r="41667" customFormat="1" x14ac:dyDescent="0.3"/>
    <row r="41668" customFormat="1" x14ac:dyDescent="0.3"/>
    <row r="41669" customFormat="1" x14ac:dyDescent="0.3"/>
    <row r="41670" customFormat="1" x14ac:dyDescent="0.3"/>
    <row r="41671" customFormat="1" x14ac:dyDescent="0.3"/>
    <row r="41672" customFormat="1" x14ac:dyDescent="0.3"/>
    <row r="41673" customFormat="1" x14ac:dyDescent="0.3"/>
    <row r="41674" customFormat="1" x14ac:dyDescent="0.3"/>
    <row r="41675" customFormat="1" x14ac:dyDescent="0.3"/>
    <row r="41676" customFormat="1" x14ac:dyDescent="0.3"/>
    <row r="41677" customFormat="1" x14ac:dyDescent="0.3"/>
    <row r="41678" customFormat="1" x14ac:dyDescent="0.3"/>
    <row r="41679" customFormat="1" x14ac:dyDescent="0.3"/>
    <row r="41680" customFormat="1" x14ac:dyDescent="0.3"/>
    <row r="41681" customFormat="1" x14ac:dyDescent="0.3"/>
    <row r="41682" customFormat="1" x14ac:dyDescent="0.3"/>
    <row r="41683" customFormat="1" x14ac:dyDescent="0.3"/>
    <row r="41684" customFormat="1" x14ac:dyDescent="0.3"/>
    <row r="41685" customFormat="1" x14ac:dyDescent="0.3"/>
    <row r="41686" customFormat="1" x14ac:dyDescent="0.3"/>
    <row r="41687" customFormat="1" x14ac:dyDescent="0.3"/>
    <row r="41688" customFormat="1" x14ac:dyDescent="0.3"/>
    <row r="41689" customFormat="1" x14ac:dyDescent="0.3"/>
    <row r="41690" customFormat="1" x14ac:dyDescent="0.3"/>
    <row r="41691" customFormat="1" x14ac:dyDescent="0.3"/>
    <row r="41692" customFormat="1" x14ac:dyDescent="0.3"/>
    <row r="41693" customFormat="1" x14ac:dyDescent="0.3"/>
    <row r="41694" customFormat="1" x14ac:dyDescent="0.3"/>
    <row r="41695" customFormat="1" x14ac:dyDescent="0.3"/>
    <row r="41696" customFormat="1" x14ac:dyDescent="0.3"/>
    <row r="41697" customFormat="1" x14ac:dyDescent="0.3"/>
    <row r="41698" customFormat="1" x14ac:dyDescent="0.3"/>
    <row r="41699" customFormat="1" x14ac:dyDescent="0.3"/>
    <row r="41700" customFormat="1" x14ac:dyDescent="0.3"/>
    <row r="41701" customFormat="1" x14ac:dyDescent="0.3"/>
    <row r="41702" customFormat="1" x14ac:dyDescent="0.3"/>
    <row r="41703" customFormat="1" x14ac:dyDescent="0.3"/>
    <row r="41704" customFormat="1" x14ac:dyDescent="0.3"/>
    <row r="41705" customFormat="1" x14ac:dyDescent="0.3"/>
    <row r="41706" customFormat="1" x14ac:dyDescent="0.3"/>
    <row r="41707" customFormat="1" x14ac:dyDescent="0.3"/>
    <row r="41708" customFormat="1" x14ac:dyDescent="0.3"/>
    <row r="41709" customFormat="1" x14ac:dyDescent="0.3"/>
    <row r="41710" customFormat="1" x14ac:dyDescent="0.3"/>
    <row r="41711" customFormat="1" x14ac:dyDescent="0.3"/>
    <row r="41712" customFormat="1" x14ac:dyDescent="0.3"/>
    <row r="41713" customFormat="1" x14ac:dyDescent="0.3"/>
    <row r="41714" customFormat="1" x14ac:dyDescent="0.3"/>
    <row r="41715" customFormat="1" x14ac:dyDescent="0.3"/>
    <row r="41716" customFormat="1" x14ac:dyDescent="0.3"/>
    <row r="41717" customFormat="1" x14ac:dyDescent="0.3"/>
    <row r="41718" customFormat="1" x14ac:dyDescent="0.3"/>
    <row r="41719" customFormat="1" x14ac:dyDescent="0.3"/>
    <row r="41720" customFormat="1" x14ac:dyDescent="0.3"/>
    <row r="41721" customFormat="1" x14ac:dyDescent="0.3"/>
    <row r="41722" customFormat="1" x14ac:dyDescent="0.3"/>
    <row r="41723" customFormat="1" x14ac:dyDescent="0.3"/>
    <row r="41724" customFormat="1" x14ac:dyDescent="0.3"/>
    <row r="41725" customFormat="1" x14ac:dyDescent="0.3"/>
    <row r="41726" customFormat="1" x14ac:dyDescent="0.3"/>
    <row r="41727" customFormat="1" x14ac:dyDescent="0.3"/>
    <row r="41728" customFormat="1" x14ac:dyDescent="0.3"/>
    <row r="41729" customFormat="1" x14ac:dyDescent="0.3"/>
    <row r="41730" customFormat="1" x14ac:dyDescent="0.3"/>
    <row r="41731" customFormat="1" x14ac:dyDescent="0.3"/>
    <row r="41732" customFormat="1" x14ac:dyDescent="0.3"/>
    <row r="41733" customFormat="1" x14ac:dyDescent="0.3"/>
    <row r="41734" customFormat="1" x14ac:dyDescent="0.3"/>
    <row r="41735" customFormat="1" x14ac:dyDescent="0.3"/>
    <row r="41736" customFormat="1" x14ac:dyDescent="0.3"/>
    <row r="41737" customFormat="1" x14ac:dyDescent="0.3"/>
    <row r="41738" customFormat="1" x14ac:dyDescent="0.3"/>
    <row r="41739" customFormat="1" x14ac:dyDescent="0.3"/>
    <row r="41740" customFormat="1" x14ac:dyDescent="0.3"/>
    <row r="41741" customFormat="1" x14ac:dyDescent="0.3"/>
    <row r="41742" customFormat="1" x14ac:dyDescent="0.3"/>
    <row r="41743" customFormat="1" x14ac:dyDescent="0.3"/>
    <row r="41744" customFormat="1" x14ac:dyDescent="0.3"/>
    <row r="41745" customFormat="1" x14ac:dyDescent="0.3"/>
    <row r="41746" customFormat="1" x14ac:dyDescent="0.3"/>
    <row r="41747" customFormat="1" x14ac:dyDescent="0.3"/>
    <row r="41748" customFormat="1" x14ac:dyDescent="0.3"/>
    <row r="41749" customFormat="1" x14ac:dyDescent="0.3"/>
    <row r="41750" customFormat="1" x14ac:dyDescent="0.3"/>
    <row r="41751" customFormat="1" x14ac:dyDescent="0.3"/>
    <row r="41752" customFormat="1" x14ac:dyDescent="0.3"/>
    <row r="41753" customFormat="1" x14ac:dyDescent="0.3"/>
    <row r="41754" customFormat="1" x14ac:dyDescent="0.3"/>
    <row r="41755" customFormat="1" x14ac:dyDescent="0.3"/>
    <row r="41756" customFormat="1" x14ac:dyDescent="0.3"/>
    <row r="41757" customFormat="1" x14ac:dyDescent="0.3"/>
    <row r="41758" customFormat="1" x14ac:dyDescent="0.3"/>
    <row r="41759" customFormat="1" x14ac:dyDescent="0.3"/>
    <row r="41760" customFormat="1" x14ac:dyDescent="0.3"/>
    <row r="41761" customFormat="1" x14ac:dyDescent="0.3"/>
    <row r="41762" customFormat="1" x14ac:dyDescent="0.3"/>
    <row r="41763" customFormat="1" x14ac:dyDescent="0.3"/>
    <row r="41764" customFormat="1" x14ac:dyDescent="0.3"/>
    <row r="41765" customFormat="1" x14ac:dyDescent="0.3"/>
    <row r="41766" customFormat="1" x14ac:dyDescent="0.3"/>
    <row r="41767" customFormat="1" x14ac:dyDescent="0.3"/>
    <row r="41768" customFormat="1" x14ac:dyDescent="0.3"/>
    <row r="41769" customFormat="1" x14ac:dyDescent="0.3"/>
    <row r="41770" customFormat="1" x14ac:dyDescent="0.3"/>
    <row r="41771" customFormat="1" x14ac:dyDescent="0.3"/>
    <row r="41772" customFormat="1" x14ac:dyDescent="0.3"/>
    <row r="41773" customFormat="1" x14ac:dyDescent="0.3"/>
    <row r="41774" customFormat="1" x14ac:dyDescent="0.3"/>
    <row r="41775" customFormat="1" x14ac:dyDescent="0.3"/>
    <row r="41776" customFormat="1" x14ac:dyDescent="0.3"/>
    <row r="41777" customFormat="1" x14ac:dyDescent="0.3"/>
    <row r="41778" customFormat="1" x14ac:dyDescent="0.3"/>
    <row r="41779" customFormat="1" x14ac:dyDescent="0.3"/>
    <row r="41780" customFormat="1" x14ac:dyDescent="0.3"/>
    <row r="41781" customFormat="1" x14ac:dyDescent="0.3"/>
    <row r="41782" customFormat="1" x14ac:dyDescent="0.3"/>
    <row r="41783" customFormat="1" x14ac:dyDescent="0.3"/>
    <row r="41784" customFormat="1" x14ac:dyDescent="0.3"/>
    <row r="41785" customFormat="1" x14ac:dyDescent="0.3"/>
    <row r="41786" customFormat="1" x14ac:dyDescent="0.3"/>
    <row r="41787" customFormat="1" x14ac:dyDescent="0.3"/>
    <row r="41788" customFormat="1" x14ac:dyDescent="0.3"/>
    <row r="41789" customFormat="1" x14ac:dyDescent="0.3"/>
    <row r="41790" customFormat="1" x14ac:dyDescent="0.3"/>
    <row r="41791" customFormat="1" x14ac:dyDescent="0.3"/>
    <row r="41792" customFormat="1" x14ac:dyDescent="0.3"/>
    <row r="41793" customFormat="1" x14ac:dyDescent="0.3"/>
    <row r="41794" customFormat="1" x14ac:dyDescent="0.3"/>
    <row r="41795" customFormat="1" x14ac:dyDescent="0.3"/>
    <row r="41796" customFormat="1" x14ac:dyDescent="0.3"/>
    <row r="41797" customFormat="1" x14ac:dyDescent="0.3"/>
    <row r="41798" customFormat="1" x14ac:dyDescent="0.3"/>
    <row r="41799" customFormat="1" x14ac:dyDescent="0.3"/>
    <row r="41800" customFormat="1" x14ac:dyDescent="0.3"/>
    <row r="41801" customFormat="1" x14ac:dyDescent="0.3"/>
    <row r="41802" customFormat="1" x14ac:dyDescent="0.3"/>
    <row r="41803" customFormat="1" x14ac:dyDescent="0.3"/>
    <row r="41804" customFormat="1" x14ac:dyDescent="0.3"/>
    <row r="41805" customFormat="1" x14ac:dyDescent="0.3"/>
    <row r="41806" customFormat="1" x14ac:dyDescent="0.3"/>
    <row r="41807" customFormat="1" x14ac:dyDescent="0.3"/>
    <row r="41808" customFormat="1" x14ac:dyDescent="0.3"/>
    <row r="41809" customFormat="1" x14ac:dyDescent="0.3"/>
    <row r="41810" customFormat="1" x14ac:dyDescent="0.3"/>
    <row r="41811" customFormat="1" x14ac:dyDescent="0.3"/>
    <row r="41812" customFormat="1" x14ac:dyDescent="0.3"/>
    <row r="41813" customFormat="1" x14ac:dyDescent="0.3"/>
    <row r="41814" customFormat="1" x14ac:dyDescent="0.3"/>
    <row r="41815" customFormat="1" x14ac:dyDescent="0.3"/>
    <row r="41816" customFormat="1" x14ac:dyDescent="0.3"/>
    <row r="41817" customFormat="1" x14ac:dyDescent="0.3"/>
    <row r="41818" customFormat="1" x14ac:dyDescent="0.3"/>
    <row r="41819" customFormat="1" x14ac:dyDescent="0.3"/>
    <row r="41820" customFormat="1" x14ac:dyDescent="0.3"/>
    <row r="41821" customFormat="1" x14ac:dyDescent="0.3"/>
    <row r="41822" customFormat="1" x14ac:dyDescent="0.3"/>
    <row r="41823" customFormat="1" x14ac:dyDescent="0.3"/>
    <row r="41824" customFormat="1" x14ac:dyDescent="0.3"/>
    <row r="41825" customFormat="1" x14ac:dyDescent="0.3"/>
    <row r="41826" customFormat="1" x14ac:dyDescent="0.3"/>
    <row r="41827" customFormat="1" x14ac:dyDescent="0.3"/>
    <row r="41828" customFormat="1" x14ac:dyDescent="0.3"/>
    <row r="41829" customFormat="1" x14ac:dyDescent="0.3"/>
    <row r="41830" customFormat="1" x14ac:dyDescent="0.3"/>
    <row r="41831" customFormat="1" x14ac:dyDescent="0.3"/>
    <row r="41832" customFormat="1" x14ac:dyDescent="0.3"/>
    <row r="41833" customFormat="1" x14ac:dyDescent="0.3"/>
    <row r="41834" customFormat="1" x14ac:dyDescent="0.3"/>
    <row r="41835" customFormat="1" x14ac:dyDescent="0.3"/>
    <row r="41836" customFormat="1" x14ac:dyDescent="0.3"/>
    <row r="41837" customFormat="1" x14ac:dyDescent="0.3"/>
    <row r="41838" customFormat="1" x14ac:dyDescent="0.3"/>
    <row r="41839" customFormat="1" x14ac:dyDescent="0.3"/>
    <row r="41840" customFormat="1" x14ac:dyDescent="0.3"/>
    <row r="41841" customFormat="1" x14ac:dyDescent="0.3"/>
    <row r="41842" customFormat="1" x14ac:dyDescent="0.3"/>
    <row r="41843" customFormat="1" x14ac:dyDescent="0.3"/>
    <row r="41844" customFormat="1" x14ac:dyDescent="0.3"/>
    <row r="41845" customFormat="1" x14ac:dyDescent="0.3"/>
    <row r="41846" customFormat="1" x14ac:dyDescent="0.3"/>
    <row r="41847" customFormat="1" x14ac:dyDescent="0.3"/>
    <row r="41848" customFormat="1" x14ac:dyDescent="0.3"/>
    <row r="41849" customFormat="1" x14ac:dyDescent="0.3"/>
    <row r="41850" customFormat="1" x14ac:dyDescent="0.3"/>
    <row r="41851" customFormat="1" x14ac:dyDescent="0.3"/>
    <row r="41852" customFormat="1" x14ac:dyDescent="0.3"/>
    <row r="41853" customFormat="1" x14ac:dyDescent="0.3"/>
    <row r="41854" customFormat="1" x14ac:dyDescent="0.3"/>
    <row r="41855" customFormat="1" x14ac:dyDescent="0.3"/>
    <row r="41856" customFormat="1" x14ac:dyDescent="0.3"/>
    <row r="41857" customFormat="1" x14ac:dyDescent="0.3"/>
    <row r="41858" customFormat="1" x14ac:dyDescent="0.3"/>
    <row r="41859" customFormat="1" x14ac:dyDescent="0.3"/>
    <row r="41860" customFormat="1" x14ac:dyDescent="0.3"/>
    <row r="41861" customFormat="1" x14ac:dyDescent="0.3"/>
    <row r="41862" customFormat="1" x14ac:dyDescent="0.3"/>
    <row r="41863" customFormat="1" x14ac:dyDescent="0.3"/>
    <row r="41864" customFormat="1" x14ac:dyDescent="0.3"/>
    <row r="41865" customFormat="1" x14ac:dyDescent="0.3"/>
    <row r="41866" customFormat="1" x14ac:dyDescent="0.3"/>
    <row r="41867" customFormat="1" x14ac:dyDescent="0.3"/>
    <row r="41868" customFormat="1" x14ac:dyDescent="0.3"/>
    <row r="41869" customFormat="1" x14ac:dyDescent="0.3"/>
    <row r="41870" customFormat="1" x14ac:dyDescent="0.3"/>
    <row r="41871" customFormat="1" x14ac:dyDescent="0.3"/>
    <row r="41872" customFormat="1" x14ac:dyDescent="0.3"/>
    <row r="41873" customFormat="1" x14ac:dyDescent="0.3"/>
    <row r="41874" customFormat="1" x14ac:dyDescent="0.3"/>
    <row r="41875" customFormat="1" x14ac:dyDescent="0.3"/>
    <row r="41876" customFormat="1" x14ac:dyDescent="0.3"/>
    <row r="41877" customFormat="1" x14ac:dyDescent="0.3"/>
    <row r="41878" customFormat="1" x14ac:dyDescent="0.3"/>
    <row r="41879" customFormat="1" x14ac:dyDescent="0.3"/>
    <row r="41880" customFormat="1" x14ac:dyDescent="0.3"/>
    <row r="41881" customFormat="1" x14ac:dyDescent="0.3"/>
    <row r="41882" customFormat="1" x14ac:dyDescent="0.3"/>
    <row r="41883" customFormat="1" x14ac:dyDescent="0.3"/>
    <row r="41884" customFormat="1" x14ac:dyDescent="0.3"/>
    <row r="41885" customFormat="1" x14ac:dyDescent="0.3"/>
    <row r="41886" customFormat="1" x14ac:dyDescent="0.3"/>
    <row r="41887" customFormat="1" x14ac:dyDescent="0.3"/>
    <row r="41888" customFormat="1" x14ac:dyDescent="0.3"/>
    <row r="41889" customFormat="1" x14ac:dyDescent="0.3"/>
    <row r="41890" customFormat="1" x14ac:dyDescent="0.3"/>
    <row r="41891" customFormat="1" x14ac:dyDescent="0.3"/>
    <row r="41892" customFormat="1" x14ac:dyDescent="0.3"/>
    <row r="41893" customFormat="1" x14ac:dyDescent="0.3"/>
    <row r="41894" customFormat="1" x14ac:dyDescent="0.3"/>
    <row r="41895" customFormat="1" x14ac:dyDescent="0.3"/>
    <row r="41896" customFormat="1" x14ac:dyDescent="0.3"/>
    <row r="41897" customFormat="1" x14ac:dyDescent="0.3"/>
    <row r="41898" customFormat="1" x14ac:dyDescent="0.3"/>
    <row r="41899" customFormat="1" x14ac:dyDescent="0.3"/>
    <row r="41900" customFormat="1" x14ac:dyDescent="0.3"/>
    <row r="41901" customFormat="1" x14ac:dyDescent="0.3"/>
    <row r="41902" customFormat="1" x14ac:dyDescent="0.3"/>
    <row r="41903" customFormat="1" x14ac:dyDescent="0.3"/>
    <row r="41904" customFormat="1" x14ac:dyDescent="0.3"/>
    <row r="41905" customFormat="1" x14ac:dyDescent="0.3"/>
    <row r="41906" customFormat="1" x14ac:dyDescent="0.3"/>
    <row r="41907" customFormat="1" x14ac:dyDescent="0.3"/>
    <row r="41908" customFormat="1" x14ac:dyDescent="0.3"/>
    <row r="41909" customFormat="1" x14ac:dyDescent="0.3"/>
    <row r="41910" customFormat="1" x14ac:dyDescent="0.3"/>
    <row r="41911" customFormat="1" x14ac:dyDescent="0.3"/>
    <row r="41912" customFormat="1" x14ac:dyDescent="0.3"/>
    <row r="41913" customFormat="1" x14ac:dyDescent="0.3"/>
    <row r="41914" customFormat="1" x14ac:dyDescent="0.3"/>
    <row r="41915" customFormat="1" x14ac:dyDescent="0.3"/>
    <row r="41916" customFormat="1" x14ac:dyDescent="0.3"/>
    <row r="41917" customFormat="1" x14ac:dyDescent="0.3"/>
    <row r="41918" customFormat="1" x14ac:dyDescent="0.3"/>
    <row r="41919" customFormat="1" x14ac:dyDescent="0.3"/>
    <row r="41920" customFormat="1" x14ac:dyDescent="0.3"/>
    <row r="41921" customFormat="1" x14ac:dyDescent="0.3"/>
    <row r="41922" customFormat="1" x14ac:dyDescent="0.3"/>
    <row r="41923" customFormat="1" x14ac:dyDescent="0.3"/>
    <row r="41924" customFormat="1" x14ac:dyDescent="0.3"/>
    <row r="41925" customFormat="1" x14ac:dyDescent="0.3"/>
    <row r="41926" customFormat="1" x14ac:dyDescent="0.3"/>
    <row r="41927" customFormat="1" x14ac:dyDescent="0.3"/>
    <row r="41928" customFormat="1" x14ac:dyDescent="0.3"/>
    <row r="41929" customFormat="1" x14ac:dyDescent="0.3"/>
    <row r="41930" customFormat="1" x14ac:dyDescent="0.3"/>
    <row r="41931" customFormat="1" x14ac:dyDescent="0.3"/>
    <row r="41932" customFormat="1" x14ac:dyDescent="0.3"/>
    <row r="41933" customFormat="1" x14ac:dyDescent="0.3"/>
    <row r="41934" customFormat="1" x14ac:dyDescent="0.3"/>
    <row r="41935" customFormat="1" x14ac:dyDescent="0.3"/>
    <row r="41936" customFormat="1" x14ac:dyDescent="0.3"/>
    <row r="41937" customFormat="1" x14ac:dyDescent="0.3"/>
    <row r="41938" customFormat="1" x14ac:dyDescent="0.3"/>
    <row r="41939" customFormat="1" x14ac:dyDescent="0.3"/>
    <row r="41940" customFormat="1" x14ac:dyDescent="0.3"/>
    <row r="41941" customFormat="1" x14ac:dyDescent="0.3"/>
    <row r="41942" customFormat="1" x14ac:dyDescent="0.3"/>
    <row r="41943" customFormat="1" x14ac:dyDescent="0.3"/>
    <row r="41944" customFormat="1" x14ac:dyDescent="0.3"/>
    <row r="41945" customFormat="1" x14ac:dyDescent="0.3"/>
    <row r="41946" customFormat="1" x14ac:dyDescent="0.3"/>
    <row r="41947" customFormat="1" x14ac:dyDescent="0.3"/>
    <row r="41948" customFormat="1" x14ac:dyDescent="0.3"/>
    <row r="41949" customFormat="1" x14ac:dyDescent="0.3"/>
    <row r="41950" customFormat="1" x14ac:dyDescent="0.3"/>
    <row r="41951" customFormat="1" x14ac:dyDescent="0.3"/>
    <row r="41952" customFormat="1" x14ac:dyDescent="0.3"/>
    <row r="41953" customFormat="1" x14ac:dyDescent="0.3"/>
    <row r="41954" customFormat="1" x14ac:dyDescent="0.3"/>
    <row r="41955" customFormat="1" x14ac:dyDescent="0.3"/>
    <row r="41956" customFormat="1" x14ac:dyDescent="0.3"/>
    <row r="41957" customFormat="1" x14ac:dyDescent="0.3"/>
    <row r="41958" customFormat="1" x14ac:dyDescent="0.3"/>
    <row r="41959" customFormat="1" x14ac:dyDescent="0.3"/>
    <row r="41960" customFormat="1" x14ac:dyDescent="0.3"/>
    <row r="41961" customFormat="1" x14ac:dyDescent="0.3"/>
    <row r="41962" customFormat="1" x14ac:dyDescent="0.3"/>
    <row r="41963" customFormat="1" x14ac:dyDescent="0.3"/>
    <row r="41964" customFormat="1" x14ac:dyDescent="0.3"/>
    <row r="41965" customFormat="1" x14ac:dyDescent="0.3"/>
    <row r="41966" customFormat="1" x14ac:dyDescent="0.3"/>
    <row r="41967" customFormat="1" x14ac:dyDescent="0.3"/>
    <row r="41968" customFormat="1" x14ac:dyDescent="0.3"/>
    <row r="41969" customFormat="1" x14ac:dyDescent="0.3"/>
    <row r="41970" customFormat="1" x14ac:dyDescent="0.3"/>
    <row r="41971" customFormat="1" x14ac:dyDescent="0.3"/>
    <row r="41972" customFormat="1" x14ac:dyDescent="0.3"/>
    <row r="41973" customFormat="1" x14ac:dyDescent="0.3"/>
    <row r="41974" customFormat="1" x14ac:dyDescent="0.3"/>
    <row r="41975" customFormat="1" x14ac:dyDescent="0.3"/>
    <row r="41976" customFormat="1" x14ac:dyDescent="0.3"/>
    <row r="41977" customFormat="1" x14ac:dyDescent="0.3"/>
    <row r="41978" customFormat="1" x14ac:dyDescent="0.3"/>
    <row r="41979" customFormat="1" x14ac:dyDescent="0.3"/>
    <row r="41980" customFormat="1" x14ac:dyDescent="0.3"/>
    <row r="41981" customFormat="1" x14ac:dyDescent="0.3"/>
    <row r="41982" customFormat="1" x14ac:dyDescent="0.3"/>
    <row r="41983" customFormat="1" x14ac:dyDescent="0.3"/>
    <row r="41984" customFormat="1" x14ac:dyDescent="0.3"/>
    <row r="41985" customFormat="1" x14ac:dyDescent="0.3"/>
    <row r="41986" customFormat="1" x14ac:dyDescent="0.3"/>
    <row r="41987" customFormat="1" x14ac:dyDescent="0.3"/>
    <row r="41988" customFormat="1" x14ac:dyDescent="0.3"/>
    <row r="41989" customFormat="1" x14ac:dyDescent="0.3"/>
    <row r="41990" customFormat="1" x14ac:dyDescent="0.3"/>
    <row r="41991" customFormat="1" x14ac:dyDescent="0.3"/>
    <row r="41992" customFormat="1" x14ac:dyDescent="0.3"/>
    <row r="41993" customFormat="1" x14ac:dyDescent="0.3"/>
    <row r="41994" customFormat="1" x14ac:dyDescent="0.3"/>
    <row r="41995" customFormat="1" x14ac:dyDescent="0.3"/>
    <row r="41996" customFormat="1" x14ac:dyDescent="0.3"/>
    <row r="41997" customFormat="1" x14ac:dyDescent="0.3"/>
    <row r="41998" customFormat="1" x14ac:dyDescent="0.3"/>
    <row r="41999" customFormat="1" x14ac:dyDescent="0.3"/>
    <row r="42000" customFormat="1" x14ac:dyDescent="0.3"/>
    <row r="42001" customFormat="1" x14ac:dyDescent="0.3"/>
    <row r="42002" customFormat="1" x14ac:dyDescent="0.3"/>
    <row r="42003" customFormat="1" x14ac:dyDescent="0.3"/>
    <row r="42004" customFormat="1" x14ac:dyDescent="0.3"/>
    <row r="42005" customFormat="1" x14ac:dyDescent="0.3"/>
    <row r="42006" customFormat="1" x14ac:dyDescent="0.3"/>
    <row r="42007" customFormat="1" x14ac:dyDescent="0.3"/>
    <row r="42008" customFormat="1" x14ac:dyDescent="0.3"/>
    <row r="42009" customFormat="1" x14ac:dyDescent="0.3"/>
    <row r="42010" customFormat="1" x14ac:dyDescent="0.3"/>
    <row r="42011" customFormat="1" x14ac:dyDescent="0.3"/>
    <row r="42012" customFormat="1" x14ac:dyDescent="0.3"/>
    <row r="42013" customFormat="1" x14ac:dyDescent="0.3"/>
    <row r="42014" customFormat="1" x14ac:dyDescent="0.3"/>
    <row r="42015" customFormat="1" x14ac:dyDescent="0.3"/>
    <row r="42016" customFormat="1" x14ac:dyDescent="0.3"/>
    <row r="42017" customFormat="1" x14ac:dyDescent="0.3"/>
    <row r="42018" customFormat="1" x14ac:dyDescent="0.3"/>
    <row r="42019" customFormat="1" x14ac:dyDescent="0.3"/>
    <row r="42020" customFormat="1" x14ac:dyDescent="0.3"/>
    <row r="42021" customFormat="1" x14ac:dyDescent="0.3"/>
    <row r="42022" customFormat="1" x14ac:dyDescent="0.3"/>
    <row r="42023" customFormat="1" x14ac:dyDescent="0.3"/>
    <row r="42024" customFormat="1" x14ac:dyDescent="0.3"/>
    <row r="42025" customFormat="1" x14ac:dyDescent="0.3"/>
    <row r="42026" customFormat="1" x14ac:dyDescent="0.3"/>
    <row r="42027" customFormat="1" x14ac:dyDescent="0.3"/>
    <row r="42028" customFormat="1" x14ac:dyDescent="0.3"/>
    <row r="42029" customFormat="1" x14ac:dyDescent="0.3"/>
    <row r="42030" customFormat="1" x14ac:dyDescent="0.3"/>
    <row r="42031" customFormat="1" x14ac:dyDescent="0.3"/>
    <row r="42032" customFormat="1" x14ac:dyDescent="0.3"/>
    <row r="42033" customFormat="1" x14ac:dyDescent="0.3"/>
    <row r="42034" customFormat="1" x14ac:dyDescent="0.3"/>
    <row r="42035" customFormat="1" x14ac:dyDescent="0.3"/>
    <row r="42036" customFormat="1" x14ac:dyDescent="0.3"/>
    <row r="42037" customFormat="1" x14ac:dyDescent="0.3"/>
    <row r="42038" customFormat="1" x14ac:dyDescent="0.3"/>
    <row r="42039" customFormat="1" x14ac:dyDescent="0.3"/>
    <row r="42040" customFormat="1" x14ac:dyDescent="0.3"/>
    <row r="42041" customFormat="1" x14ac:dyDescent="0.3"/>
    <row r="42042" customFormat="1" x14ac:dyDescent="0.3"/>
    <row r="42043" customFormat="1" x14ac:dyDescent="0.3"/>
    <row r="42044" customFormat="1" x14ac:dyDescent="0.3"/>
    <row r="42045" customFormat="1" x14ac:dyDescent="0.3"/>
    <row r="42046" customFormat="1" x14ac:dyDescent="0.3"/>
    <row r="42047" customFormat="1" x14ac:dyDescent="0.3"/>
    <row r="42048" customFormat="1" x14ac:dyDescent="0.3"/>
    <row r="42049" customFormat="1" x14ac:dyDescent="0.3"/>
    <row r="42050" customFormat="1" x14ac:dyDescent="0.3"/>
    <row r="42051" customFormat="1" x14ac:dyDescent="0.3"/>
    <row r="42052" customFormat="1" x14ac:dyDescent="0.3"/>
    <row r="42053" customFormat="1" x14ac:dyDescent="0.3"/>
    <row r="42054" customFormat="1" x14ac:dyDescent="0.3"/>
    <row r="42055" customFormat="1" x14ac:dyDescent="0.3"/>
    <row r="42056" customFormat="1" x14ac:dyDescent="0.3"/>
    <row r="42057" customFormat="1" x14ac:dyDescent="0.3"/>
    <row r="42058" customFormat="1" x14ac:dyDescent="0.3"/>
    <row r="42059" customFormat="1" x14ac:dyDescent="0.3"/>
    <row r="42060" customFormat="1" x14ac:dyDescent="0.3"/>
    <row r="42061" customFormat="1" x14ac:dyDescent="0.3"/>
    <row r="42062" customFormat="1" x14ac:dyDescent="0.3"/>
    <row r="42063" customFormat="1" x14ac:dyDescent="0.3"/>
    <row r="42064" customFormat="1" x14ac:dyDescent="0.3"/>
    <row r="42065" customFormat="1" x14ac:dyDescent="0.3"/>
    <row r="42066" customFormat="1" x14ac:dyDescent="0.3"/>
    <row r="42067" customFormat="1" x14ac:dyDescent="0.3"/>
    <row r="42068" customFormat="1" x14ac:dyDescent="0.3"/>
    <row r="42069" customFormat="1" x14ac:dyDescent="0.3"/>
    <row r="42070" customFormat="1" x14ac:dyDescent="0.3"/>
    <row r="42071" customFormat="1" x14ac:dyDescent="0.3"/>
    <row r="42072" customFormat="1" x14ac:dyDescent="0.3"/>
    <row r="42073" customFormat="1" x14ac:dyDescent="0.3"/>
    <row r="42074" customFormat="1" x14ac:dyDescent="0.3"/>
    <row r="42075" customFormat="1" x14ac:dyDescent="0.3"/>
    <row r="42076" customFormat="1" x14ac:dyDescent="0.3"/>
    <row r="42077" customFormat="1" x14ac:dyDescent="0.3"/>
    <row r="42078" customFormat="1" x14ac:dyDescent="0.3"/>
    <row r="42079" customFormat="1" x14ac:dyDescent="0.3"/>
    <row r="42080" customFormat="1" x14ac:dyDescent="0.3"/>
    <row r="42081" customFormat="1" x14ac:dyDescent="0.3"/>
    <row r="42082" customFormat="1" x14ac:dyDescent="0.3"/>
    <row r="42083" customFormat="1" x14ac:dyDescent="0.3"/>
    <row r="42084" customFormat="1" x14ac:dyDescent="0.3"/>
    <row r="42085" customFormat="1" x14ac:dyDescent="0.3"/>
    <row r="42086" customFormat="1" x14ac:dyDescent="0.3"/>
    <row r="42087" customFormat="1" x14ac:dyDescent="0.3"/>
    <row r="42088" customFormat="1" x14ac:dyDescent="0.3"/>
    <row r="42089" customFormat="1" x14ac:dyDescent="0.3"/>
    <row r="42090" customFormat="1" x14ac:dyDescent="0.3"/>
    <row r="42091" customFormat="1" x14ac:dyDescent="0.3"/>
    <row r="42092" customFormat="1" x14ac:dyDescent="0.3"/>
    <row r="42093" customFormat="1" x14ac:dyDescent="0.3"/>
    <row r="42094" customFormat="1" x14ac:dyDescent="0.3"/>
    <row r="42095" customFormat="1" x14ac:dyDescent="0.3"/>
    <row r="42096" customFormat="1" x14ac:dyDescent="0.3"/>
    <row r="42097" customFormat="1" x14ac:dyDescent="0.3"/>
    <row r="42098" customFormat="1" x14ac:dyDescent="0.3"/>
    <row r="42099" customFormat="1" x14ac:dyDescent="0.3"/>
    <row r="42100" customFormat="1" x14ac:dyDescent="0.3"/>
    <row r="42101" customFormat="1" x14ac:dyDescent="0.3"/>
    <row r="42102" customFormat="1" x14ac:dyDescent="0.3"/>
    <row r="42103" customFormat="1" x14ac:dyDescent="0.3"/>
    <row r="42104" customFormat="1" x14ac:dyDescent="0.3"/>
    <row r="42105" customFormat="1" x14ac:dyDescent="0.3"/>
    <row r="42106" customFormat="1" x14ac:dyDescent="0.3"/>
    <row r="42107" customFormat="1" x14ac:dyDescent="0.3"/>
    <row r="42108" customFormat="1" x14ac:dyDescent="0.3"/>
    <row r="42109" customFormat="1" x14ac:dyDescent="0.3"/>
    <row r="42110" customFormat="1" x14ac:dyDescent="0.3"/>
    <row r="42111" customFormat="1" x14ac:dyDescent="0.3"/>
    <row r="42112" customFormat="1" x14ac:dyDescent="0.3"/>
    <row r="42113" customFormat="1" x14ac:dyDescent="0.3"/>
    <row r="42114" customFormat="1" x14ac:dyDescent="0.3"/>
    <row r="42115" customFormat="1" x14ac:dyDescent="0.3"/>
    <row r="42116" customFormat="1" x14ac:dyDescent="0.3"/>
    <row r="42117" customFormat="1" x14ac:dyDescent="0.3"/>
    <row r="42118" customFormat="1" x14ac:dyDescent="0.3"/>
    <row r="42119" customFormat="1" x14ac:dyDescent="0.3"/>
    <row r="42120" customFormat="1" x14ac:dyDescent="0.3"/>
    <row r="42121" customFormat="1" x14ac:dyDescent="0.3"/>
    <row r="42122" customFormat="1" x14ac:dyDescent="0.3"/>
    <row r="42123" customFormat="1" x14ac:dyDescent="0.3"/>
    <row r="42124" customFormat="1" x14ac:dyDescent="0.3"/>
    <row r="42125" customFormat="1" x14ac:dyDescent="0.3"/>
    <row r="42126" customFormat="1" x14ac:dyDescent="0.3"/>
    <row r="42127" customFormat="1" x14ac:dyDescent="0.3"/>
    <row r="42128" customFormat="1" x14ac:dyDescent="0.3"/>
    <row r="42129" customFormat="1" x14ac:dyDescent="0.3"/>
    <row r="42130" customFormat="1" x14ac:dyDescent="0.3"/>
    <row r="42131" customFormat="1" x14ac:dyDescent="0.3"/>
    <row r="42132" customFormat="1" x14ac:dyDescent="0.3"/>
    <row r="42133" customFormat="1" x14ac:dyDescent="0.3"/>
    <row r="42134" customFormat="1" x14ac:dyDescent="0.3"/>
    <row r="42135" customFormat="1" x14ac:dyDescent="0.3"/>
    <row r="42136" customFormat="1" x14ac:dyDescent="0.3"/>
    <row r="42137" customFormat="1" x14ac:dyDescent="0.3"/>
    <row r="42138" customFormat="1" x14ac:dyDescent="0.3"/>
    <row r="42139" customFormat="1" x14ac:dyDescent="0.3"/>
    <row r="42140" customFormat="1" x14ac:dyDescent="0.3"/>
    <row r="42141" customFormat="1" x14ac:dyDescent="0.3"/>
    <row r="42142" customFormat="1" x14ac:dyDescent="0.3"/>
    <row r="42143" customFormat="1" x14ac:dyDescent="0.3"/>
    <row r="42144" customFormat="1" x14ac:dyDescent="0.3"/>
    <row r="42145" customFormat="1" x14ac:dyDescent="0.3"/>
    <row r="42146" customFormat="1" x14ac:dyDescent="0.3"/>
    <row r="42147" customFormat="1" x14ac:dyDescent="0.3"/>
    <row r="42148" customFormat="1" x14ac:dyDescent="0.3"/>
    <row r="42149" customFormat="1" x14ac:dyDescent="0.3"/>
    <row r="42150" customFormat="1" x14ac:dyDescent="0.3"/>
    <row r="42151" customFormat="1" x14ac:dyDescent="0.3"/>
    <row r="42152" customFormat="1" x14ac:dyDescent="0.3"/>
    <row r="42153" customFormat="1" x14ac:dyDescent="0.3"/>
    <row r="42154" customFormat="1" x14ac:dyDescent="0.3"/>
    <row r="42155" customFormat="1" x14ac:dyDescent="0.3"/>
    <row r="42156" customFormat="1" x14ac:dyDescent="0.3"/>
    <row r="42157" customFormat="1" x14ac:dyDescent="0.3"/>
    <row r="42158" customFormat="1" x14ac:dyDescent="0.3"/>
    <row r="42159" customFormat="1" x14ac:dyDescent="0.3"/>
    <row r="42160" customFormat="1" x14ac:dyDescent="0.3"/>
    <row r="42161" customFormat="1" x14ac:dyDescent="0.3"/>
    <row r="42162" customFormat="1" x14ac:dyDescent="0.3"/>
    <row r="42163" customFormat="1" x14ac:dyDescent="0.3"/>
    <row r="42164" customFormat="1" x14ac:dyDescent="0.3"/>
    <row r="42165" customFormat="1" x14ac:dyDescent="0.3"/>
    <row r="42166" customFormat="1" x14ac:dyDescent="0.3"/>
    <row r="42167" customFormat="1" x14ac:dyDescent="0.3"/>
    <row r="42168" customFormat="1" x14ac:dyDescent="0.3"/>
    <row r="42169" customFormat="1" x14ac:dyDescent="0.3"/>
    <row r="42170" customFormat="1" x14ac:dyDescent="0.3"/>
    <row r="42171" customFormat="1" x14ac:dyDescent="0.3"/>
    <row r="42172" customFormat="1" x14ac:dyDescent="0.3"/>
    <row r="42173" customFormat="1" x14ac:dyDescent="0.3"/>
    <row r="42174" customFormat="1" x14ac:dyDescent="0.3"/>
    <row r="42175" customFormat="1" x14ac:dyDescent="0.3"/>
    <row r="42176" customFormat="1" x14ac:dyDescent="0.3"/>
    <row r="42177" customFormat="1" x14ac:dyDescent="0.3"/>
    <row r="42178" customFormat="1" x14ac:dyDescent="0.3"/>
    <row r="42179" customFormat="1" x14ac:dyDescent="0.3"/>
    <row r="42180" customFormat="1" x14ac:dyDescent="0.3"/>
    <row r="42181" customFormat="1" x14ac:dyDescent="0.3"/>
    <row r="42182" customFormat="1" x14ac:dyDescent="0.3"/>
    <row r="42183" customFormat="1" x14ac:dyDescent="0.3"/>
    <row r="42184" customFormat="1" x14ac:dyDescent="0.3"/>
    <row r="42185" customFormat="1" x14ac:dyDescent="0.3"/>
    <row r="42186" customFormat="1" x14ac:dyDescent="0.3"/>
    <row r="42187" customFormat="1" x14ac:dyDescent="0.3"/>
    <row r="42188" customFormat="1" x14ac:dyDescent="0.3"/>
    <row r="42189" customFormat="1" x14ac:dyDescent="0.3"/>
    <row r="42190" customFormat="1" x14ac:dyDescent="0.3"/>
    <row r="42191" customFormat="1" x14ac:dyDescent="0.3"/>
    <row r="42192" customFormat="1" x14ac:dyDescent="0.3"/>
    <row r="42193" customFormat="1" x14ac:dyDescent="0.3"/>
    <row r="42194" customFormat="1" x14ac:dyDescent="0.3"/>
    <row r="42195" customFormat="1" x14ac:dyDescent="0.3"/>
    <row r="42196" customFormat="1" x14ac:dyDescent="0.3"/>
    <row r="42197" customFormat="1" x14ac:dyDescent="0.3"/>
    <row r="42198" customFormat="1" x14ac:dyDescent="0.3"/>
    <row r="42199" customFormat="1" x14ac:dyDescent="0.3"/>
    <row r="42200" customFormat="1" x14ac:dyDescent="0.3"/>
    <row r="42201" customFormat="1" x14ac:dyDescent="0.3"/>
    <row r="42202" customFormat="1" x14ac:dyDescent="0.3"/>
    <row r="42203" customFormat="1" x14ac:dyDescent="0.3"/>
    <row r="42204" customFormat="1" x14ac:dyDescent="0.3"/>
    <row r="42205" customFormat="1" x14ac:dyDescent="0.3"/>
    <row r="42206" customFormat="1" x14ac:dyDescent="0.3"/>
    <row r="42207" customFormat="1" x14ac:dyDescent="0.3"/>
    <row r="42208" customFormat="1" x14ac:dyDescent="0.3"/>
    <row r="42209" customFormat="1" x14ac:dyDescent="0.3"/>
    <row r="42210" customFormat="1" x14ac:dyDescent="0.3"/>
    <row r="42211" customFormat="1" x14ac:dyDescent="0.3"/>
    <row r="42212" customFormat="1" x14ac:dyDescent="0.3"/>
    <row r="42213" customFormat="1" x14ac:dyDescent="0.3"/>
    <row r="42214" customFormat="1" x14ac:dyDescent="0.3"/>
    <row r="42215" customFormat="1" x14ac:dyDescent="0.3"/>
    <row r="42216" customFormat="1" x14ac:dyDescent="0.3"/>
    <row r="42217" customFormat="1" x14ac:dyDescent="0.3"/>
    <row r="42218" customFormat="1" x14ac:dyDescent="0.3"/>
    <row r="42219" customFormat="1" x14ac:dyDescent="0.3"/>
    <row r="42220" customFormat="1" x14ac:dyDescent="0.3"/>
    <row r="42221" customFormat="1" x14ac:dyDescent="0.3"/>
    <row r="42222" customFormat="1" x14ac:dyDescent="0.3"/>
    <row r="42223" customFormat="1" x14ac:dyDescent="0.3"/>
    <row r="42224" customFormat="1" x14ac:dyDescent="0.3"/>
    <row r="42225" customFormat="1" x14ac:dyDescent="0.3"/>
    <row r="42226" customFormat="1" x14ac:dyDescent="0.3"/>
    <row r="42227" customFormat="1" x14ac:dyDescent="0.3"/>
    <row r="42228" customFormat="1" x14ac:dyDescent="0.3"/>
    <row r="42229" customFormat="1" x14ac:dyDescent="0.3"/>
    <row r="42230" customFormat="1" x14ac:dyDescent="0.3"/>
    <row r="42231" customFormat="1" x14ac:dyDescent="0.3"/>
    <row r="42232" customFormat="1" x14ac:dyDescent="0.3"/>
    <row r="42233" customFormat="1" x14ac:dyDescent="0.3"/>
    <row r="42234" customFormat="1" x14ac:dyDescent="0.3"/>
    <row r="42235" customFormat="1" x14ac:dyDescent="0.3"/>
    <row r="42236" customFormat="1" x14ac:dyDescent="0.3"/>
    <row r="42237" customFormat="1" x14ac:dyDescent="0.3"/>
    <row r="42238" customFormat="1" x14ac:dyDescent="0.3"/>
    <row r="42239" customFormat="1" x14ac:dyDescent="0.3"/>
    <row r="42240" customFormat="1" x14ac:dyDescent="0.3"/>
    <row r="42241" customFormat="1" x14ac:dyDescent="0.3"/>
    <row r="42242" customFormat="1" x14ac:dyDescent="0.3"/>
    <row r="42243" customFormat="1" x14ac:dyDescent="0.3"/>
    <row r="42244" customFormat="1" x14ac:dyDescent="0.3"/>
    <row r="42245" customFormat="1" x14ac:dyDescent="0.3"/>
    <row r="42246" customFormat="1" x14ac:dyDescent="0.3"/>
    <row r="42247" customFormat="1" x14ac:dyDescent="0.3"/>
    <row r="42248" customFormat="1" x14ac:dyDescent="0.3"/>
    <row r="42249" customFormat="1" x14ac:dyDescent="0.3"/>
    <row r="42250" customFormat="1" x14ac:dyDescent="0.3"/>
    <row r="42251" customFormat="1" x14ac:dyDescent="0.3"/>
    <row r="42252" customFormat="1" x14ac:dyDescent="0.3"/>
    <row r="42253" customFormat="1" x14ac:dyDescent="0.3"/>
    <row r="42254" customFormat="1" x14ac:dyDescent="0.3"/>
    <row r="42255" customFormat="1" x14ac:dyDescent="0.3"/>
    <row r="42256" customFormat="1" x14ac:dyDescent="0.3"/>
    <row r="42257" customFormat="1" x14ac:dyDescent="0.3"/>
    <row r="42258" customFormat="1" x14ac:dyDescent="0.3"/>
    <row r="42259" customFormat="1" x14ac:dyDescent="0.3"/>
    <row r="42260" customFormat="1" x14ac:dyDescent="0.3"/>
    <row r="42261" customFormat="1" x14ac:dyDescent="0.3"/>
    <row r="42262" customFormat="1" x14ac:dyDescent="0.3"/>
    <row r="42263" customFormat="1" x14ac:dyDescent="0.3"/>
    <row r="42264" customFormat="1" x14ac:dyDescent="0.3"/>
    <row r="42265" customFormat="1" x14ac:dyDescent="0.3"/>
    <row r="42266" customFormat="1" x14ac:dyDescent="0.3"/>
    <row r="42267" customFormat="1" x14ac:dyDescent="0.3"/>
    <row r="42268" customFormat="1" x14ac:dyDescent="0.3"/>
    <row r="42269" customFormat="1" x14ac:dyDescent="0.3"/>
    <row r="42270" customFormat="1" x14ac:dyDescent="0.3"/>
    <row r="42271" customFormat="1" x14ac:dyDescent="0.3"/>
    <row r="42272" customFormat="1" x14ac:dyDescent="0.3"/>
    <row r="42273" customFormat="1" x14ac:dyDescent="0.3"/>
    <row r="42274" customFormat="1" x14ac:dyDescent="0.3"/>
    <row r="42275" customFormat="1" x14ac:dyDescent="0.3"/>
    <row r="42276" customFormat="1" x14ac:dyDescent="0.3"/>
    <row r="42277" customFormat="1" x14ac:dyDescent="0.3"/>
    <row r="42278" customFormat="1" x14ac:dyDescent="0.3"/>
    <row r="42279" customFormat="1" x14ac:dyDescent="0.3"/>
    <row r="42280" customFormat="1" x14ac:dyDescent="0.3"/>
    <row r="42281" customFormat="1" x14ac:dyDescent="0.3"/>
    <row r="42282" customFormat="1" x14ac:dyDescent="0.3"/>
    <row r="42283" customFormat="1" x14ac:dyDescent="0.3"/>
    <row r="42284" customFormat="1" x14ac:dyDescent="0.3"/>
    <row r="42285" customFormat="1" x14ac:dyDescent="0.3"/>
    <row r="42286" customFormat="1" x14ac:dyDescent="0.3"/>
    <row r="42287" customFormat="1" x14ac:dyDescent="0.3"/>
    <row r="42288" customFormat="1" x14ac:dyDescent="0.3"/>
    <row r="42289" customFormat="1" x14ac:dyDescent="0.3"/>
    <row r="42290" customFormat="1" x14ac:dyDescent="0.3"/>
    <row r="42291" customFormat="1" x14ac:dyDescent="0.3"/>
    <row r="42292" customFormat="1" x14ac:dyDescent="0.3"/>
    <row r="42293" customFormat="1" x14ac:dyDescent="0.3"/>
    <row r="42294" customFormat="1" x14ac:dyDescent="0.3"/>
    <row r="42295" customFormat="1" x14ac:dyDescent="0.3"/>
    <row r="42296" customFormat="1" x14ac:dyDescent="0.3"/>
    <row r="42297" customFormat="1" x14ac:dyDescent="0.3"/>
    <row r="42298" customFormat="1" x14ac:dyDescent="0.3"/>
    <row r="42299" customFormat="1" x14ac:dyDescent="0.3"/>
    <row r="42300" customFormat="1" x14ac:dyDescent="0.3"/>
    <row r="42301" customFormat="1" x14ac:dyDescent="0.3"/>
    <row r="42302" customFormat="1" x14ac:dyDescent="0.3"/>
    <row r="42303" customFormat="1" x14ac:dyDescent="0.3"/>
    <row r="42304" customFormat="1" x14ac:dyDescent="0.3"/>
    <row r="42305" customFormat="1" x14ac:dyDescent="0.3"/>
    <row r="42306" customFormat="1" x14ac:dyDescent="0.3"/>
    <row r="42307" customFormat="1" x14ac:dyDescent="0.3"/>
    <row r="42308" customFormat="1" x14ac:dyDescent="0.3"/>
    <row r="42309" customFormat="1" x14ac:dyDescent="0.3"/>
    <row r="42310" customFormat="1" x14ac:dyDescent="0.3"/>
    <row r="42311" customFormat="1" x14ac:dyDescent="0.3"/>
    <row r="42312" customFormat="1" x14ac:dyDescent="0.3"/>
    <row r="42313" customFormat="1" x14ac:dyDescent="0.3"/>
    <row r="42314" customFormat="1" x14ac:dyDescent="0.3"/>
    <row r="42315" customFormat="1" x14ac:dyDescent="0.3"/>
    <row r="42316" customFormat="1" x14ac:dyDescent="0.3"/>
    <row r="42317" customFormat="1" x14ac:dyDescent="0.3"/>
    <row r="42318" customFormat="1" x14ac:dyDescent="0.3"/>
    <row r="42319" customFormat="1" x14ac:dyDescent="0.3"/>
    <row r="42320" customFormat="1" x14ac:dyDescent="0.3"/>
    <row r="42321" customFormat="1" x14ac:dyDescent="0.3"/>
    <row r="42322" customFormat="1" x14ac:dyDescent="0.3"/>
    <row r="42323" customFormat="1" x14ac:dyDescent="0.3"/>
    <row r="42324" customFormat="1" x14ac:dyDescent="0.3"/>
    <row r="42325" customFormat="1" x14ac:dyDescent="0.3"/>
    <row r="42326" customFormat="1" x14ac:dyDescent="0.3"/>
    <row r="42327" customFormat="1" x14ac:dyDescent="0.3"/>
    <row r="42328" customFormat="1" x14ac:dyDescent="0.3"/>
    <row r="42329" customFormat="1" x14ac:dyDescent="0.3"/>
    <row r="42330" customFormat="1" x14ac:dyDescent="0.3"/>
    <row r="42331" customFormat="1" x14ac:dyDescent="0.3"/>
    <row r="42332" customFormat="1" x14ac:dyDescent="0.3"/>
    <row r="42333" customFormat="1" x14ac:dyDescent="0.3"/>
    <row r="42334" customFormat="1" x14ac:dyDescent="0.3"/>
    <row r="42335" customFormat="1" x14ac:dyDescent="0.3"/>
    <row r="42336" customFormat="1" x14ac:dyDescent="0.3"/>
    <row r="42337" customFormat="1" x14ac:dyDescent="0.3"/>
    <row r="42338" customFormat="1" x14ac:dyDescent="0.3"/>
    <row r="42339" customFormat="1" x14ac:dyDescent="0.3"/>
    <row r="42340" customFormat="1" x14ac:dyDescent="0.3"/>
    <row r="42341" customFormat="1" x14ac:dyDescent="0.3"/>
    <row r="42342" customFormat="1" x14ac:dyDescent="0.3"/>
    <row r="42343" customFormat="1" x14ac:dyDescent="0.3"/>
    <row r="42344" customFormat="1" x14ac:dyDescent="0.3"/>
    <row r="42345" customFormat="1" x14ac:dyDescent="0.3"/>
    <row r="42346" customFormat="1" x14ac:dyDescent="0.3"/>
    <row r="42347" customFormat="1" x14ac:dyDescent="0.3"/>
    <row r="42348" customFormat="1" x14ac:dyDescent="0.3"/>
    <row r="42349" customFormat="1" x14ac:dyDescent="0.3"/>
    <row r="42350" customFormat="1" x14ac:dyDescent="0.3"/>
    <row r="42351" customFormat="1" x14ac:dyDescent="0.3"/>
    <row r="42352" customFormat="1" x14ac:dyDescent="0.3"/>
    <row r="42353" customFormat="1" x14ac:dyDescent="0.3"/>
    <row r="42354" customFormat="1" x14ac:dyDescent="0.3"/>
    <row r="42355" customFormat="1" x14ac:dyDescent="0.3"/>
    <row r="42356" customFormat="1" x14ac:dyDescent="0.3"/>
    <row r="42357" customFormat="1" x14ac:dyDescent="0.3"/>
    <row r="42358" customFormat="1" x14ac:dyDescent="0.3"/>
    <row r="42359" customFormat="1" x14ac:dyDescent="0.3"/>
    <row r="42360" customFormat="1" x14ac:dyDescent="0.3"/>
    <row r="42361" customFormat="1" x14ac:dyDescent="0.3"/>
    <row r="42362" customFormat="1" x14ac:dyDescent="0.3"/>
    <row r="42363" customFormat="1" x14ac:dyDescent="0.3"/>
    <row r="42364" customFormat="1" x14ac:dyDescent="0.3"/>
    <row r="42365" customFormat="1" x14ac:dyDescent="0.3"/>
    <row r="42366" customFormat="1" x14ac:dyDescent="0.3"/>
    <row r="42367" customFormat="1" x14ac:dyDescent="0.3"/>
    <row r="42368" customFormat="1" x14ac:dyDescent="0.3"/>
    <row r="42369" customFormat="1" x14ac:dyDescent="0.3"/>
    <row r="42370" customFormat="1" x14ac:dyDescent="0.3"/>
    <row r="42371" customFormat="1" x14ac:dyDescent="0.3"/>
    <row r="42372" customFormat="1" x14ac:dyDescent="0.3"/>
    <row r="42373" customFormat="1" x14ac:dyDescent="0.3"/>
    <row r="42374" customFormat="1" x14ac:dyDescent="0.3"/>
    <row r="42375" customFormat="1" x14ac:dyDescent="0.3"/>
    <row r="42376" customFormat="1" x14ac:dyDescent="0.3"/>
    <row r="42377" customFormat="1" x14ac:dyDescent="0.3"/>
    <row r="42378" customFormat="1" x14ac:dyDescent="0.3"/>
    <row r="42379" customFormat="1" x14ac:dyDescent="0.3"/>
    <row r="42380" customFormat="1" x14ac:dyDescent="0.3"/>
    <row r="42381" customFormat="1" x14ac:dyDescent="0.3"/>
    <row r="42382" customFormat="1" x14ac:dyDescent="0.3"/>
    <row r="42383" customFormat="1" x14ac:dyDescent="0.3"/>
    <row r="42384" customFormat="1" x14ac:dyDescent="0.3"/>
    <row r="42385" customFormat="1" x14ac:dyDescent="0.3"/>
    <row r="42386" customFormat="1" x14ac:dyDescent="0.3"/>
    <row r="42387" customFormat="1" x14ac:dyDescent="0.3"/>
    <row r="42388" customFormat="1" x14ac:dyDescent="0.3"/>
    <row r="42389" customFormat="1" x14ac:dyDescent="0.3"/>
    <row r="42390" customFormat="1" x14ac:dyDescent="0.3"/>
    <row r="42391" customFormat="1" x14ac:dyDescent="0.3"/>
    <row r="42392" customFormat="1" x14ac:dyDescent="0.3"/>
    <row r="42393" customFormat="1" x14ac:dyDescent="0.3"/>
    <row r="42394" customFormat="1" x14ac:dyDescent="0.3"/>
    <row r="42395" customFormat="1" x14ac:dyDescent="0.3"/>
    <row r="42396" customFormat="1" x14ac:dyDescent="0.3"/>
    <row r="42397" customFormat="1" x14ac:dyDescent="0.3"/>
    <row r="42398" customFormat="1" x14ac:dyDescent="0.3"/>
    <row r="42399" customFormat="1" x14ac:dyDescent="0.3"/>
    <row r="42400" customFormat="1" x14ac:dyDescent="0.3"/>
    <row r="42401" customFormat="1" x14ac:dyDescent="0.3"/>
    <row r="42402" customFormat="1" x14ac:dyDescent="0.3"/>
    <row r="42403" customFormat="1" x14ac:dyDescent="0.3"/>
    <row r="42404" customFormat="1" x14ac:dyDescent="0.3"/>
    <row r="42405" customFormat="1" x14ac:dyDescent="0.3"/>
    <row r="42406" customFormat="1" x14ac:dyDescent="0.3"/>
    <row r="42407" customFormat="1" x14ac:dyDescent="0.3"/>
    <row r="42408" customFormat="1" x14ac:dyDescent="0.3"/>
    <row r="42409" customFormat="1" x14ac:dyDescent="0.3"/>
    <row r="42410" customFormat="1" x14ac:dyDescent="0.3"/>
    <row r="42411" customFormat="1" x14ac:dyDescent="0.3"/>
    <row r="42412" customFormat="1" x14ac:dyDescent="0.3"/>
    <row r="42413" customFormat="1" x14ac:dyDescent="0.3"/>
    <row r="42414" customFormat="1" x14ac:dyDescent="0.3"/>
    <row r="42415" customFormat="1" x14ac:dyDescent="0.3"/>
    <row r="42416" customFormat="1" x14ac:dyDescent="0.3"/>
    <row r="42417" customFormat="1" x14ac:dyDescent="0.3"/>
    <row r="42418" customFormat="1" x14ac:dyDescent="0.3"/>
    <row r="42419" customFormat="1" x14ac:dyDescent="0.3"/>
    <row r="42420" customFormat="1" x14ac:dyDescent="0.3"/>
    <row r="42421" customFormat="1" x14ac:dyDescent="0.3"/>
    <row r="42422" customFormat="1" x14ac:dyDescent="0.3"/>
    <row r="42423" customFormat="1" x14ac:dyDescent="0.3"/>
    <row r="42424" customFormat="1" x14ac:dyDescent="0.3"/>
    <row r="42425" customFormat="1" x14ac:dyDescent="0.3"/>
    <row r="42426" customFormat="1" x14ac:dyDescent="0.3"/>
    <row r="42427" customFormat="1" x14ac:dyDescent="0.3"/>
    <row r="42428" customFormat="1" x14ac:dyDescent="0.3"/>
    <row r="42429" customFormat="1" x14ac:dyDescent="0.3"/>
    <row r="42430" customFormat="1" x14ac:dyDescent="0.3"/>
    <row r="42431" customFormat="1" x14ac:dyDescent="0.3"/>
    <row r="42432" customFormat="1" x14ac:dyDescent="0.3"/>
    <row r="42433" customFormat="1" x14ac:dyDescent="0.3"/>
    <row r="42434" customFormat="1" x14ac:dyDescent="0.3"/>
    <row r="42435" customFormat="1" x14ac:dyDescent="0.3"/>
    <row r="42436" customFormat="1" x14ac:dyDescent="0.3"/>
    <row r="42437" customFormat="1" x14ac:dyDescent="0.3"/>
    <row r="42438" customFormat="1" x14ac:dyDescent="0.3"/>
    <row r="42439" customFormat="1" x14ac:dyDescent="0.3"/>
    <row r="42440" customFormat="1" x14ac:dyDescent="0.3"/>
    <row r="42441" customFormat="1" x14ac:dyDescent="0.3"/>
    <row r="42442" customFormat="1" x14ac:dyDescent="0.3"/>
    <row r="42443" customFormat="1" x14ac:dyDescent="0.3"/>
    <row r="42444" customFormat="1" x14ac:dyDescent="0.3"/>
    <row r="42445" customFormat="1" x14ac:dyDescent="0.3"/>
    <row r="42446" customFormat="1" x14ac:dyDescent="0.3"/>
    <row r="42447" customFormat="1" x14ac:dyDescent="0.3"/>
    <row r="42448" customFormat="1" x14ac:dyDescent="0.3"/>
    <row r="42449" customFormat="1" x14ac:dyDescent="0.3"/>
    <row r="42450" customFormat="1" x14ac:dyDescent="0.3"/>
    <row r="42451" customFormat="1" x14ac:dyDescent="0.3"/>
    <row r="42452" customFormat="1" x14ac:dyDescent="0.3"/>
    <row r="42453" customFormat="1" x14ac:dyDescent="0.3"/>
    <row r="42454" customFormat="1" x14ac:dyDescent="0.3"/>
    <row r="42455" customFormat="1" x14ac:dyDescent="0.3"/>
    <row r="42456" customFormat="1" x14ac:dyDescent="0.3"/>
    <row r="42457" customFormat="1" x14ac:dyDescent="0.3"/>
    <row r="42458" customFormat="1" x14ac:dyDescent="0.3"/>
    <row r="42459" customFormat="1" x14ac:dyDescent="0.3"/>
    <row r="42460" customFormat="1" x14ac:dyDescent="0.3"/>
    <row r="42461" customFormat="1" x14ac:dyDescent="0.3"/>
    <row r="42462" customFormat="1" x14ac:dyDescent="0.3"/>
    <row r="42463" customFormat="1" x14ac:dyDescent="0.3"/>
    <row r="42464" customFormat="1" x14ac:dyDescent="0.3"/>
    <row r="42465" customFormat="1" x14ac:dyDescent="0.3"/>
    <row r="42466" customFormat="1" x14ac:dyDescent="0.3"/>
    <row r="42467" customFormat="1" x14ac:dyDescent="0.3"/>
    <row r="42468" customFormat="1" x14ac:dyDescent="0.3"/>
    <row r="42469" customFormat="1" x14ac:dyDescent="0.3"/>
    <row r="42470" customFormat="1" x14ac:dyDescent="0.3"/>
    <row r="42471" customFormat="1" x14ac:dyDescent="0.3"/>
    <row r="42472" customFormat="1" x14ac:dyDescent="0.3"/>
    <row r="42473" customFormat="1" x14ac:dyDescent="0.3"/>
    <row r="42474" customFormat="1" x14ac:dyDescent="0.3"/>
    <row r="42475" customFormat="1" x14ac:dyDescent="0.3"/>
    <row r="42476" customFormat="1" x14ac:dyDescent="0.3"/>
    <row r="42477" customFormat="1" x14ac:dyDescent="0.3"/>
    <row r="42478" customFormat="1" x14ac:dyDescent="0.3"/>
    <row r="42479" customFormat="1" x14ac:dyDescent="0.3"/>
    <row r="42480" customFormat="1" x14ac:dyDescent="0.3"/>
    <row r="42481" customFormat="1" x14ac:dyDescent="0.3"/>
    <row r="42482" customFormat="1" x14ac:dyDescent="0.3"/>
    <row r="42483" customFormat="1" x14ac:dyDescent="0.3"/>
    <row r="42484" customFormat="1" x14ac:dyDescent="0.3"/>
    <row r="42485" customFormat="1" x14ac:dyDescent="0.3"/>
    <row r="42486" customFormat="1" x14ac:dyDescent="0.3"/>
    <row r="42487" customFormat="1" x14ac:dyDescent="0.3"/>
    <row r="42488" customFormat="1" x14ac:dyDescent="0.3"/>
    <row r="42489" customFormat="1" x14ac:dyDescent="0.3"/>
    <row r="42490" customFormat="1" x14ac:dyDescent="0.3"/>
    <row r="42491" customFormat="1" x14ac:dyDescent="0.3"/>
    <row r="42492" customFormat="1" x14ac:dyDescent="0.3"/>
    <row r="42493" customFormat="1" x14ac:dyDescent="0.3"/>
    <row r="42494" customFormat="1" x14ac:dyDescent="0.3"/>
    <row r="42495" customFormat="1" x14ac:dyDescent="0.3"/>
    <row r="42496" customFormat="1" x14ac:dyDescent="0.3"/>
    <row r="42497" customFormat="1" x14ac:dyDescent="0.3"/>
    <row r="42498" customFormat="1" x14ac:dyDescent="0.3"/>
    <row r="42499" customFormat="1" x14ac:dyDescent="0.3"/>
    <row r="42500" customFormat="1" x14ac:dyDescent="0.3"/>
    <row r="42501" customFormat="1" x14ac:dyDescent="0.3"/>
    <row r="42502" customFormat="1" x14ac:dyDescent="0.3"/>
    <row r="42503" customFormat="1" x14ac:dyDescent="0.3"/>
    <row r="42504" customFormat="1" x14ac:dyDescent="0.3"/>
    <row r="42505" customFormat="1" x14ac:dyDescent="0.3"/>
    <row r="42506" customFormat="1" x14ac:dyDescent="0.3"/>
    <row r="42507" customFormat="1" x14ac:dyDescent="0.3"/>
    <row r="42508" customFormat="1" x14ac:dyDescent="0.3"/>
    <row r="42509" customFormat="1" x14ac:dyDescent="0.3"/>
    <row r="42510" customFormat="1" x14ac:dyDescent="0.3"/>
    <row r="42511" customFormat="1" x14ac:dyDescent="0.3"/>
    <row r="42512" customFormat="1" x14ac:dyDescent="0.3"/>
    <row r="42513" customFormat="1" x14ac:dyDescent="0.3"/>
    <row r="42514" customFormat="1" x14ac:dyDescent="0.3"/>
    <row r="42515" customFormat="1" x14ac:dyDescent="0.3"/>
    <row r="42516" customFormat="1" x14ac:dyDescent="0.3"/>
    <row r="42517" customFormat="1" x14ac:dyDescent="0.3"/>
    <row r="42518" customFormat="1" x14ac:dyDescent="0.3"/>
    <row r="42519" customFormat="1" x14ac:dyDescent="0.3"/>
    <row r="42520" customFormat="1" x14ac:dyDescent="0.3"/>
    <row r="42521" customFormat="1" x14ac:dyDescent="0.3"/>
    <row r="42522" customFormat="1" x14ac:dyDescent="0.3"/>
    <row r="42523" customFormat="1" x14ac:dyDescent="0.3"/>
    <row r="42524" customFormat="1" x14ac:dyDescent="0.3"/>
    <row r="42525" customFormat="1" x14ac:dyDescent="0.3"/>
    <row r="42526" customFormat="1" x14ac:dyDescent="0.3"/>
    <row r="42527" customFormat="1" x14ac:dyDescent="0.3"/>
    <row r="42528" customFormat="1" x14ac:dyDescent="0.3"/>
    <row r="42529" customFormat="1" x14ac:dyDescent="0.3"/>
    <row r="42530" customFormat="1" x14ac:dyDescent="0.3"/>
    <row r="42531" customFormat="1" x14ac:dyDescent="0.3"/>
    <row r="42532" customFormat="1" x14ac:dyDescent="0.3"/>
    <row r="42533" customFormat="1" x14ac:dyDescent="0.3"/>
    <row r="42534" customFormat="1" x14ac:dyDescent="0.3"/>
    <row r="42535" customFormat="1" x14ac:dyDescent="0.3"/>
    <row r="42536" customFormat="1" x14ac:dyDescent="0.3"/>
    <row r="42537" customFormat="1" x14ac:dyDescent="0.3"/>
    <row r="42538" customFormat="1" x14ac:dyDescent="0.3"/>
    <row r="42539" customFormat="1" x14ac:dyDescent="0.3"/>
    <row r="42540" customFormat="1" x14ac:dyDescent="0.3"/>
    <row r="42541" customFormat="1" x14ac:dyDescent="0.3"/>
    <row r="42542" customFormat="1" x14ac:dyDescent="0.3"/>
    <row r="42543" customFormat="1" x14ac:dyDescent="0.3"/>
    <row r="42544" customFormat="1" x14ac:dyDescent="0.3"/>
    <row r="42545" customFormat="1" x14ac:dyDescent="0.3"/>
    <row r="42546" customFormat="1" x14ac:dyDescent="0.3"/>
    <row r="42547" customFormat="1" x14ac:dyDescent="0.3"/>
    <row r="42548" customFormat="1" x14ac:dyDescent="0.3"/>
    <row r="42549" customFormat="1" x14ac:dyDescent="0.3"/>
    <row r="42550" customFormat="1" x14ac:dyDescent="0.3"/>
    <row r="42551" customFormat="1" x14ac:dyDescent="0.3"/>
    <row r="42552" customFormat="1" x14ac:dyDescent="0.3"/>
    <row r="42553" customFormat="1" x14ac:dyDescent="0.3"/>
    <row r="42554" customFormat="1" x14ac:dyDescent="0.3"/>
    <row r="42555" customFormat="1" x14ac:dyDescent="0.3"/>
    <row r="42556" customFormat="1" x14ac:dyDescent="0.3"/>
    <row r="42557" customFormat="1" x14ac:dyDescent="0.3"/>
    <row r="42558" customFormat="1" x14ac:dyDescent="0.3"/>
    <row r="42559" customFormat="1" x14ac:dyDescent="0.3"/>
    <row r="42560" customFormat="1" x14ac:dyDescent="0.3"/>
    <row r="42561" customFormat="1" x14ac:dyDescent="0.3"/>
    <row r="42562" customFormat="1" x14ac:dyDescent="0.3"/>
    <row r="42563" customFormat="1" x14ac:dyDescent="0.3"/>
    <row r="42564" customFormat="1" x14ac:dyDescent="0.3"/>
    <row r="42565" customFormat="1" x14ac:dyDescent="0.3"/>
    <row r="42566" customFormat="1" x14ac:dyDescent="0.3"/>
    <row r="42567" customFormat="1" x14ac:dyDescent="0.3"/>
    <row r="42568" customFormat="1" x14ac:dyDescent="0.3"/>
    <row r="42569" customFormat="1" x14ac:dyDescent="0.3"/>
    <row r="42570" customFormat="1" x14ac:dyDescent="0.3"/>
    <row r="42571" customFormat="1" x14ac:dyDescent="0.3"/>
    <row r="42572" customFormat="1" x14ac:dyDescent="0.3"/>
    <row r="42573" customFormat="1" x14ac:dyDescent="0.3"/>
    <row r="42574" customFormat="1" x14ac:dyDescent="0.3"/>
    <row r="42575" customFormat="1" x14ac:dyDescent="0.3"/>
    <row r="42576" customFormat="1" x14ac:dyDescent="0.3"/>
    <row r="42577" customFormat="1" x14ac:dyDescent="0.3"/>
    <row r="42578" customFormat="1" x14ac:dyDescent="0.3"/>
    <row r="42579" customFormat="1" x14ac:dyDescent="0.3"/>
    <row r="42580" customFormat="1" x14ac:dyDescent="0.3"/>
    <row r="42581" customFormat="1" x14ac:dyDescent="0.3"/>
    <row r="42582" customFormat="1" x14ac:dyDescent="0.3"/>
    <row r="42583" customFormat="1" x14ac:dyDescent="0.3"/>
    <row r="42584" customFormat="1" x14ac:dyDescent="0.3"/>
    <row r="42585" customFormat="1" x14ac:dyDescent="0.3"/>
    <row r="42586" customFormat="1" x14ac:dyDescent="0.3"/>
    <row r="42587" customFormat="1" x14ac:dyDescent="0.3"/>
    <row r="42588" customFormat="1" x14ac:dyDescent="0.3"/>
    <row r="42589" customFormat="1" x14ac:dyDescent="0.3"/>
    <row r="42590" customFormat="1" x14ac:dyDescent="0.3"/>
    <row r="42591" customFormat="1" x14ac:dyDescent="0.3"/>
    <row r="42592" customFormat="1" x14ac:dyDescent="0.3"/>
    <row r="42593" customFormat="1" x14ac:dyDescent="0.3"/>
    <row r="42594" customFormat="1" x14ac:dyDescent="0.3"/>
    <row r="42595" customFormat="1" x14ac:dyDescent="0.3"/>
    <row r="42596" customFormat="1" x14ac:dyDescent="0.3"/>
    <row r="42597" customFormat="1" x14ac:dyDescent="0.3"/>
    <row r="42598" customFormat="1" x14ac:dyDescent="0.3"/>
    <row r="42599" customFormat="1" x14ac:dyDescent="0.3"/>
    <row r="42600" customFormat="1" x14ac:dyDescent="0.3"/>
    <row r="42601" customFormat="1" x14ac:dyDescent="0.3"/>
    <row r="42602" customFormat="1" x14ac:dyDescent="0.3"/>
    <row r="42603" customFormat="1" x14ac:dyDescent="0.3"/>
    <row r="42604" customFormat="1" x14ac:dyDescent="0.3"/>
    <row r="42605" customFormat="1" x14ac:dyDescent="0.3"/>
    <row r="42606" customFormat="1" x14ac:dyDescent="0.3"/>
    <row r="42607" customFormat="1" x14ac:dyDescent="0.3"/>
    <row r="42608" customFormat="1" x14ac:dyDescent="0.3"/>
    <row r="42609" customFormat="1" x14ac:dyDescent="0.3"/>
    <row r="42610" customFormat="1" x14ac:dyDescent="0.3"/>
    <row r="42611" customFormat="1" x14ac:dyDescent="0.3"/>
    <row r="42612" customFormat="1" x14ac:dyDescent="0.3"/>
    <row r="42613" customFormat="1" x14ac:dyDescent="0.3"/>
    <row r="42614" customFormat="1" x14ac:dyDescent="0.3"/>
    <row r="42615" customFormat="1" x14ac:dyDescent="0.3"/>
    <row r="42616" customFormat="1" x14ac:dyDescent="0.3"/>
    <row r="42617" customFormat="1" x14ac:dyDescent="0.3"/>
    <row r="42618" customFormat="1" x14ac:dyDescent="0.3"/>
    <row r="42619" customFormat="1" x14ac:dyDescent="0.3"/>
    <row r="42620" customFormat="1" x14ac:dyDescent="0.3"/>
    <row r="42621" customFormat="1" x14ac:dyDescent="0.3"/>
    <row r="42622" customFormat="1" x14ac:dyDescent="0.3"/>
    <row r="42623" customFormat="1" x14ac:dyDescent="0.3"/>
    <row r="42624" customFormat="1" x14ac:dyDescent="0.3"/>
    <row r="42625" customFormat="1" x14ac:dyDescent="0.3"/>
    <row r="42626" customFormat="1" x14ac:dyDescent="0.3"/>
    <row r="42627" customFormat="1" x14ac:dyDescent="0.3"/>
    <row r="42628" customFormat="1" x14ac:dyDescent="0.3"/>
    <row r="42629" customFormat="1" x14ac:dyDescent="0.3"/>
    <row r="42630" customFormat="1" x14ac:dyDescent="0.3"/>
    <row r="42631" customFormat="1" x14ac:dyDescent="0.3"/>
    <row r="42632" customFormat="1" x14ac:dyDescent="0.3"/>
    <row r="42633" customFormat="1" x14ac:dyDescent="0.3"/>
    <row r="42634" customFormat="1" x14ac:dyDescent="0.3"/>
    <row r="42635" customFormat="1" x14ac:dyDescent="0.3"/>
    <row r="42636" customFormat="1" x14ac:dyDescent="0.3"/>
    <row r="42637" customFormat="1" x14ac:dyDescent="0.3"/>
    <row r="42638" customFormat="1" x14ac:dyDescent="0.3"/>
    <row r="42639" customFormat="1" x14ac:dyDescent="0.3"/>
    <row r="42640" customFormat="1" x14ac:dyDescent="0.3"/>
    <row r="42641" customFormat="1" x14ac:dyDescent="0.3"/>
    <row r="42642" customFormat="1" x14ac:dyDescent="0.3"/>
    <row r="42643" customFormat="1" x14ac:dyDescent="0.3"/>
    <row r="42644" customFormat="1" x14ac:dyDescent="0.3"/>
    <row r="42645" customFormat="1" x14ac:dyDescent="0.3"/>
    <row r="42646" customFormat="1" x14ac:dyDescent="0.3"/>
    <row r="42647" customFormat="1" x14ac:dyDescent="0.3"/>
    <row r="42648" customFormat="1" x14ac:dyDescent="0.3"/>
    <row r="42649" customFormat="1" x14ac:dyDescent="0.3"/>
    <row r="42650" customFormat="1" x14ac:dyDescent="0.3"/>
    <row r="42651" customFormat="1" x14ac:dyDescent="0.3"/>
    <row r="42652" customFormat="1" x14ac:dyDescent="0.3"/>
    <row r="42653" customFormat="1" x14ac:dyDescent="0.3"/>
    <row r="42654" customFormat="1" x14ac:dyDescent="0.3"/>
    <row r="42655" customFormat="1" x14ac:dyDescent="0.3"/>
    <row r="42656" customFormat="1" x14ac:dyDescent="0.3"/>
    <row r="42657" customFormat="1" x14ac:dyDescent="0.3"/>
    <row r="42658" customFormat="1" x14ac:dyDescent="0.3"/>
    <row r="42659" customFormat="1" x14ac:dyDescent="0.3"/>
    <row r="42660" customFormat="1" x14ac:dyDescent="0.3"/>
    <row r="42661" customFormat="1" x14ac:dyDescent="0.3"/>
    <row r="42662" customFormat="1" x14ac:dyDescent="0.3"/>
    <row r="42663" customFormat="1" x14ac:dyDescent="0.3"/>
    <row r="42664" customFormat="1" x14ac:dyDescent="0.3"/>
    <row r="42665" customFormat="1" x14ac:dyDescent="0.3"/>
    <row r="42666" customFormat="1" x14ac:dyDescent="0.3"/>
    <row r="42667" customFormat="1" x14ac:dyDescent="0.3"/>
    <row r="42668" customFormat="1" x14ac:dyDescent="0.3"/>
    <row r="42669" customFormat="1" x14ac:dyDescent="0.3"/>
    <row r="42670" customFormat="1" x14ac:dyDescent="0.3"/>
    <row r="42671" customFormat="1" x14ac:dyDescent="0.3"/>
    <row r="42672" customFormat="1" x14ac:dyDescent="0.3"/>
    <row r="42673" customFormat="1" x14ac:dyDescent="0.3"/>
    <row r="42674" customFormat="1" x14ac:dyDescent="0.3"/>
    <row r="42675" customFormat="1" x14ac:dyDescent="0.3"/>
    <row r="42676" customFormat="1" x14ac:dyDescent="0.3"/>
    <row r="42677" customFormat="1" x14ac:dyDescent="0.3"/>
    <row r="42678" customFormat="1" x14ac:dyDescent="0.3"/>
    <row r="42679" customFormat="1" x14ac:dyDescent="0.3"/>
    <row r="42680" customFormat="1" x14ac:dyDescent="0.3"/>
    <row r="42681" customFormat="1" x14ac:dyDescent="0.3"/>
    <row r="42682" customFormat="1" x14ac:dyDescent="0.3"/>
    <row r="42683" customFormat="1" x14ac:dyDescent="0.3"/>
    <row r="42684" customFormat="1" x14ac:dyDescent="0.3"/>
    <row r="42685" customFormat="1" x14ac:dyDescent="0.3"/>
    <row r="42686" customFormat="1" x14ac:dyDescent="0.3"/>
    <row r="42687" customFormat="1" x14ac:dyDescent="0.3"/>
    <row r="42688" customFormat="1" x14ac:dyDescent="0.3"/>
    <row r="42689" customFormat="1" x14ac:dyDescent="0.3"/>
    <row r="42690" customFormat="1" x14ac:dyDescent="0.3"/>
    <row r="42691" customFormat="1" x14ac:dyDescent="0.3"/>
    <row r="42692" customFormat="1" x14ac:dyDescent="0.3"/>
    <row r="42693" customFormat="1" x14ac:dyDescent="0.3"/>
    <row r="42694" customFormat="1" x14ac:dyDescent="0.3"/>
    <row r="42695" customFormat="1" x14ac:dyDescent="0.3"/>
    <row r="42696" customFormat="1" x14ac:dyDescent="0.3"/>
    <row r="42697" customFormat="1" x14ac:dyDescent="0.3"/>
    <row r="42698" customFormat="1" x14ac:dyDescent="0.3"/>
    <row r="42699" customFormat="1" x14ac:dyDescent="0.3"/>
    <row r="42700" customFormat="1" x14ac:dyDescent="0.3"/>
    <row r="42701" customFormat="1" x14ac:dyDescent="0.3"/>
    <row r="42702" customFormat="1" x14ac:dyDescent="0.3"/>
    <row r="42703" customFormat="1" x14ac:dyDescent="0.3"/>
    <row r="42704" customFormat="1" x14ac:dyDescent="0.3"/>
    <row r="42705" customFormat="1" x14ac:dyDescent="0.3"/>
    <row r="42706" customFormat="1" x14ac:dyDescent="0.3"/>
    <row r="42707" customFormat="1" x14ac:dyDescent="0.3"/>
    <row r="42708" customFormat="1" x14ac:dyDescent="0.3"/>
    <row r="42709" customFormat="1" x14ac:dyDescent="0.3"/>
    <row r="42710" customFormat="1" x14ac:dyDescent="0.3"/>
    <row r="42711" customFormat="1" x14ac:dyDescent="0.3"/>
    <row r="42712" customFormat="1" x14ac:dyDescent="0.3"/>
    <row r="42713" customFormat="1" x14ac:dyDescent="0.3"/>
    <row r="42714" customFormat="1" x14ac:dyDescent="0.3"/>
    <row r="42715" customFormat="1" x14ac:dyDescent="0.3"/>
    <row r="42716" customFormat="1" x14ac:dyDescent="0.3"/>
    <row r="42717" customFormat="1" x14ac:dyDescent="0.3"/>
    <row r="42718" customFormat="1" x14ac:dyDescent="0.3"/>
    <row r="42719" customFormat="1" x14ac:dyDescent="0.3"/>
    <row r="42720" customFormat="1" x14ac:dyDescent="0.3"/>
    <row r="42721" customFormat="1" x14ac:dyDescent="0.3"/>
    <row r="42722" customFormat="1" x14ac:dyDescent="0.3"/>
    <row r="42723" customFormat="1" x14ac:dyDescent="0.3"/>
    <row r="42724" customFormat="1" x14ac:dyDescent="0.3"/>
    <row r="42725" customFormat="1" x14ac:dyDescent="0.3"/>
    <row r="42726" customFormat="1" x14ac:dyDescent="0.3"/>
    <row r="42727" customFormat="1" x14ac:dyDescent="0.3"/>
    <row r="42728" customFormat="1" x14ac:dyDescent="0.3"/>
    <row r="42729" customFormat="1" x14ac:dyDescent="0.3"/>
    <row r="42730" customFormat="1" x14ac:dyDescent="0.3"/>
    <row r="42731" customFormat="1" x14ac:dyDescent="0.3"/>
    <row r="42732" customFormat="1" x14ac:dyDescent="0.3"/>
    <row r="42733" customFormat="1" x14ac:dyDescent="0.3"/>
    <row r="42734" customFormat="1" x14ac:dyDescent="0.3"/>
    <row r="42735" customFormat="1" x14ac:dyDescent="0.3"/>
    <row r="42736" customFormat="1" x14ac:dyDescent="0.3"/>
    <row r="42737" customFormat="1" x14ac:dyDescent="0.3"/>
    <row r="42738" customFormat="1" x14ac:dyDescent="0.3"/>
    <row r="42739" customFormat="1" x14ac:dyDescent="0.3"/>
    <row r="42740" customFormat="1" x14ac:dyDescent="0.3"/>
    <row r="42741" customFormat="1" x14ac:dyDescent="0.3"/>
    <row r="42742" customFormat="1" x14ac:dyDescent="0.3"/>
    <row r="42743" customFormat="1" x14ac:dyDescent="0.3"/>
    <row r="42744" customFormat="1" x14ac:dyDescent="0.3"/>
    <row r="42745" customFormat="1" x14ac:dyDescent="0.3"/>
    <row r="42746" customFormat="1" x14ac:dyDescent="0.3"/>
    <row r="42747" customFormat="1" x14ac:dyDescent="0.3"/>
    <row r="42748" customFormat="1" x14ac:dyDescent="0.3"/>
    <row r="42749" customFormat="1" x14ac:dyDescent="0.3"/>
    <row r="42750" customFormat="1" x14ac:dyDescent="0.3"/>
    <row r="42751" customFormat="1" x14ac:dyDescent="0.3"/>
    <row r="42752" customFormat="1" x14ac:dyDescent="0.3"/>
    <row r="42753" customFormat="1" x14ac:dyDescent="0.3"/>
    <row r="42754" customFormat="1" x14ac:dyDescent="0.3"/>
    <row r="42755" customFormat="1" x14ac:dyDescent="0.3"/>
    <row r="42756" customFormat="1" x14ac:dyDescent="0.3"/>
    <row r="42757" customFormat="1" x14ac:dyDescent="0.3"/>
    <row r="42758" customFormat="1" x14ac:dyDescent="0.3"/>
    <row r="42759" customFormat="1" x14ac:dyDescent="0.3"/>
    <row r="42760" customFormat="1" x14ac:dyDescent="0.3"/>
    <row r="42761" customFormat="1" x14ac:dyDescent="0.3"/>
    <row r="42762" customFormat="1" x14ac:dyDescent="0.3"/>
    <row r="42763" customFormat="1" x14ac:dyDescent="0.3"/>
    <row r="42764" customFormat="1" x14ac:dyDescent="0.3"/>
    <row r="42765" customFormat="1" x14ac:dyDescent="0.3"/>
    <row r="42766" customFormat="1" x14ac:dyDescent="0.3"/>
    <row r="42767" customFormat="1" x14ac:dyDescent="0.3"/>
    <row r="42768" customFormat="1" x14ac:dyDescent="0.3"/>
    <row r="42769" customFormat="1" x14ac:dyDescent="0.3"/>
    <row r="42770" customFormat="1" x14ac:dyDescent="0.3"/>
    <row r="42771" customFormat="1" x14ac:dyDescent="0.3"/>
    <row r="42772" customFormat="1" x14ac:dyDescent="0.3"/>
    <row r="42773" customFormat="1" x14ac:dyDescent="0.3"/>
    <row r="42774" customFormat="1" x14ac:dyDescent="0.3"/>
    <row r="42775" customFormat="1" x14ac:dyDescent="0.3"/>
    <row r="42776" customFormat="1" x14ac:dyDescent="0.3"/>
    <row r="42777" customFormat="1" x14ac:dyDescent="0.3"/>
    <row r="42778" customFormat="1" x14ac:dyDescent="0.3"/>
    <row r="42779" customFormat="1" x14ac:dyDescent="0.3"/>
    <row r="42780" customFormat="1" x14ac:dyDescent="0.3"/>
    <row r="42781" customFormat="1" x14ac:dyDescent="0.3"/>
    <row r="42782" customFormat="1" x14ac:dyDescent="0.3"/>
    <row r="42783" customFormat="1" x14ac:dyDescent="0.3"/>
    <row r="42784" customFormat="1" x14ac:dyDescent="0.3"/>
    <row r="42785" customFormat="1" x14ac:dyDescent="0.3"/>
    <row r="42786" customFormat="1" x14ac:dyDescent="0.3"/>
    <row r="42787" customFormat="1" x14ac:dyDescent="0.3"/>
    <row r="42788" customFormat="1" x14ac:dyDescent="0.3"/>
    <row r="42789" customFormat="1" x14ac:dyDescent="0.3"/>
    <row r="42790" customFormat="1" x14ac:dyDescent="0.3"/>
    <row r="42791" customFormat="1" x14ac:dyDescent="0.3"/>
    <row r="42792" customFormat="1" x14ac:dyDescent="0.3"/>
    <row r="42793" customFormat="1" x14ac:dyDescent="0.3"/>
    <row r="42794" customFormat="1" x14ac:dyDescent="0.3"/>
    <row r="42795" customFormat="1" x14ac:dyDescent="0.3"/>
    <row r="42796" customFormat="1" x14ac:dyDescent="0.3"/>
    <row r="42797" customFormat="1" x14ac:dyDescent="0.3"/>
    <row r="42798" customFormat="1" x14ac:dyDescent="0.3"/>
    <row r="42799" customFormat="1" x14ac:dyDescent="0.3"/>
    <row r="42800" customFormat="1" x14ac:dyDescent="0.3"/>
    <row r="42801" customFormat="1" x14ac:dyDescent="0.3"/>
    <row r="42802" customFormat="1" x14ac:dyDescent="0.3"/>
    <row r="42803" customFormat="1" x14ac:dyDescent="0.3"/>
    <row r="42804" customFormat="1" x14ac:dyDescent="0.3"/>
    <row r="42805" customFormat="1" x14ac:dyDescent="0.3"/>
    <row r="42806" customFormat="1" x14ac:dyDescent="0.3"/>
    <row r="42807" customFormat="1" x14ac:dyDescent="0.3"/>
    <row r="42808" customFormat="1" x14ac:dyDescent="0.3"/>
    <row r="42809" customFormat="1" x14ac:dyDescent="0.3"/>
    <row r="42810" customFormat="1" x14ac:dyDescent="0.3"/>
    <row r="42811" customFormat="1" x14ac:dyDescent="0.3"/>
    <row r="42812" customFormat="1" x14ac:dyDescent="0.3"/>
    <row r="42813" customFormat="1" x14ac:dyDescent="0.3"/>
    <row r="42814" customFormat="1" x14ac:dyDescent="0.3"/>
    <row r="42815" customFormat="1" x14ac:dyDescent="0.3"/>
    <row r="42816" customFormat="1" x14ac:dyDescent="0.3"/>
    <row r="42817" customFormat="1" x14ac:dyDescent="0.3"/>
    <row r="42818" customFormat="1" x14ac:dyDescent="0.3"/>
    <row r="42819" customFormat="1" x14ac:dyDescent="0.3"/>
    <row r="42820" customFormat="1" x14ac:dyDescent="0.3"/>
    <row r="42821" customFormat="1" x14ac:dyDescent="0.3"/>
    <row r="42822" customFormat="1" x14ac:dyDescent="0.3"/>
    <row r="42823" customFormat="1" x14ac:dyDescent="0.3"/>
    <row r="42824" customFormat="1" x14ac:dyDescent="0.3"/>
    <row r="42825" customFormat="1" x14ac:dyDescent="0.3"/>
    <row r="42826" customFormat="1" x14ac:dyDescent="0.3"/>
    <row r="42827" customFormat="1" x14ac:dyDescent="0.3"/>
    <row r="42828" customFormat="1" x14ac:dyDescent="0.3"/>
    <row r="42829" customFormat="1" x14ac:dyDescent="0.3"/>
    <row r="42830" customFormat="1" x14ac:dyDescent="0.3"/>
    <row r="42831" customFormat="1" x14ac:dyDescent="0.3"/>
    <row r="42832" customFormat="1" x14ac:dyDescent="0.3"/>
    <row r="42833" customFormat="1" x14ac:dyDescent="0.3"/>
    <row r="42834" customFormat="1" x14ac:dyDescent="0.3"/>
    <row r="42835" customFormat="1" x14ac:dyDescent="0.3"/>
    <row r="42836" customFormat="1" x14ac:dyDescent="0.3"/>
    <row r="42837" customFormat="1" x14ac:dyDescent="0.3"/>
    <row r="42838" customFormat="1" x14ac:dyDescent="0.3"/>
    <row r="42839" customFormat="1" x14ac:dyDescent="0.3"/>
    <row r="42840" customFormat="1" x14ac:dyDescent="0.3"/>
    <row r="42841" customFormat="1" x14ac:dyDescent="0.3"/>
    <row r="42842" customFormat="1" x14ac:dyDescent="0.3"/>
    <row r="42843" customFormat="1" x14ac:dyDescent="0.3"/>
    <row r="42844" customFormat="1" x14ac:dyDescent="0.3"/>
    <row r="42845" customFormat="1" x14ac:dyDescent="0.3"/>
    <row r="42846" customFormat="1" x14ac:dyDescent="0.3"/>
    <row r="42847" customFormat="1" x14ac:dyDescent="0.3"/>
    <row r="42848" customFormat="1" x14ac:dyDescent="0.3"/>
    <row r="42849" customFormat="1" x14ac:dyDescent="0.3"/>
    <row r="42850" customFormat="1" x14ac:dyDescent="0.3"/>
    <row r="42851" customFormat="1" x14ac:dyDescent="0.3"/>
    <row r="42852" customFormat="1" x14ac:dyDescent="0.3"/>
    <row r="42853" customFormat="1" x14ac:dyDescent="0.3"/>
    <row r="42854" customFormat="1" x14ac:dyDescent="0.3"/>
    <row r="42855" customFormat="1" x14ac:dyDescent="0.3"/>
    <row r="42856" customFormat="1" x14ac:dyDescent="0.3"/>
    <row r="42857" customFormat="1" x14ac:dyDescent="0.3"/>
    <row r="42858" customFormat="1" x14ac:dyDescent="0.3"/>
    <row r="42859" customFormat="1" x14ac:dyDescent="0.3"/>
    <row r="42860" customFormat="1" x14ac:dyDescent="0.3"/>
    <row r="42861" customFormat="1" x14ac:dyDescent="0.3"/>
    <row r="42862" customFormat="1" x14ac:dyDescent="0.3"/>
    <row r="42863" customFormat="1" x14ac:dyDescent="0.3"/>
    <row r="42864" customFormat="1" x14ac:dyDescent="0.3"/>
    <row r="42865" customFormat="1" x14ac:dyDescent="0.3"/>
    <row r="42866" customFormat="1" x14ac:dyDescent="0.3"/>
    <row r="42867" customFormat="1" x14ac:dyDescent="0.3"/>
    <row r="42868" customFormat="1" x14ac:dyDescent="0.3"/>
    <row r="42869" customFormat="1" x14ac:dyDescent="0.3"/>
    <row r="42870" customFormat="1" x14ac:dyDescent="0.3"/>
    <row r="42871" customFormat="1" x14ac:dyDescent="0.3"/>
    <row r="42872" customFormat="1" x14ac:dyDescent="0.3"/>
    <row r="42873" customFormat="1" x14ac:dyDescent="0.3"/>
    <row r="42874" customFormat="1" x14ac:dyDescent="0.3"/>
    <row r="42875" customFormat="1" x14ac:dyDescent="0.3"/>
    <row r="42876" customFormat="1" x14ac:dyDescent="0.3"/>
    <row r="42877" customFormat="1" x14ac:dyDescent="0.3"/>
    <row r="42878" customFormat="1" x14ac:dyDescent="0.3"/>
    <row r="42879" customFormat="1" x14ac:dyDescent="0.3"/>
    <row r="42880" customFormat="1" x14ac:dyDescent="0.3"/>
    <row r="42881" customFormat="1" x14ac:dyDescent="0.3"/>
    <row r="42882" customFormat="1" x14ac:dyDescent="0.3"/>
    <row r="42883" customFormat="1" x14ac:dyDescent="0.3"/>
    <row r="42884" customFormat="1" x14ac:dyDescent="0.3"/>
    <row r="42885" customFormat="1" x14ac:dyDescent="0.3"/>
    <row r="42886" customFormat="1" x14ac:dyDescent="0.3"/>
    <row r="42887" customFormat="1" x14ac:dyDescent="0.3"/>
    <row r="42888" customFormat="1" x14ac:dyDescent="0.3"/>
    <row r="42889" customFormat="1" x14ac:dyDescent="0.3"/>
    <row r="42890" customFormat="1" x14ac:dyDescent="0.3"/>
    <row r="42891" customFormat="1" x14ac:dyDescent="0.3"/>
    <row r="42892" customFormat="1" x14ac:dyDescent="0.3"/>
    <row r="42893" customFormat="1" x14ac:dyDescent="0.3"/>
    <row r="42894" customFormat="1" x14ac:dyDescent="0.3"/>
    <row r="42895" customFormat="1" x14ac:dyDescent="0.3"/>
    <row r="42896" customFormat="1" x14ac:dyDescent="0.3"/>
    <row r="42897" customFormat="1" x14ac:dyDescent="0.3"/>
    <row r="42898" customFormat="1" x14ac:dyDescent="0.3"/>
    <row r="42899" customFormat="1" x14ac:dyDescent="0.3"/>
    <row r="42900" customFormat="1" x14ac:dyDescent="0.3"/>
    <row r="42901" customFormat="1" x14ac:dyDescent="0.3"/>
    <row r="42902" customFormat="1" x14ac:dyDescent="0.3"/>
    <row r="42903" customFormat="1" x14ac:dyDescent="0.3"/>
    <row r="42904" customFormat="1" x14ac:dyDescent="0.3"/>
    <row r="42905" customFormat="1" x14ac:dyDescent="0.3"/>
    <row r="42906" customFormat="1" x14ac:dyDescent="0.3"/>
    <row r="42907" customFormat="1" x14ac:dyDescent="0.3"/>
    <row r="42908" customFormat="1" x14ac:dyDescent="0.3"/>
    <row r="42909" customFormat="1" x14ac:dyDescent="0.3"/>
    <row r="42910" customFormat="1" x14ac:dyDescent="0.3"/>
    <row r="42911" customFormat="1" x14ac:dyDescent="0.3"/>
    <row r="42912" customFormat="1" x14ac:dyDescent="0.3"/>
    <row r="42913" customFormat="1" x14ac:dyDescent="0.3"/>
    <row r="42914" customFormat="1" x14ac:dyDescent="0.3"/>
    <row r="42915" customFormat="1" x14ac:dyDescent="0.3"/>
    <row r="42916" customFormat="1" x14ac:dyDescent="0.3"/>
    <row r="42917" customFormat="1" x14ac:dyDescent="0.3"/>
    <row r="42918" customFormat="1" x14ac:dyDescent="0.3"/>
    <row r="42919" customFormat="1" x14ac:dyDescent="0.3"/>
    <row r="42920" customFormat="1" x14ac:dyDescent="0.3"/>
    <row r="42921" customFormat="1" x14ac:dyDescent="0.3"/>
    <row r="42922" customFormat="1" x14ac:dyDescent="0.3"/>
    <row r="42923" customFormat="1" x14ac:dyDescent="0.3"/>
    <row r="42924" customFormat="1" x14ac:dyDescent="0.3"/>
    <row r="42925" customFormat="1" x14ac:dyDescent="0.3"/>
    <row r="42926" customFormat="1" x14ac:dyDescent="0.3"/>
    <row r="42927" customFormat="1" x14ac:dyDescent="0.3"/>
    <row r="42928" customFormat="1" x14ac:dyDescent="0.3"/>
    <row r="42929" customFormat="1" x14ac:dyDescent="0.3"/>
    <row r="42930" customFormat="1" x14ac:dyDescent="0.3"/>
    <row r="42931" customFormat="1" x14ac:dyDescent="0.3"/>
    <row r="42932" customFormat="1" x14ac:dyDescent="0.3"/>
    <row r="42933" customFormat="1" x14ac:dyDescent="0.3"/>
    <row r="42934" customFormat="1" x14ac:dyDescent="0.3"/>
    <row r="42935" customFormat="1" x14ac:dyDescent="0.3"/>
    <row r="42936" customFormat="1" x14ac:dyDescent="0.3"/>
    <row r="42937" customFormat="1" x14ac:dyDescent="0.3"/>
    <row r="42938" customFormat="1" x14ac:dyDescent="0.3"/>
    <row r="42939" customFormat="1" x14ac:dyDescent="0.3"/>
    <row r="42940" customFormat="1" x14ac:dyDescent="0.3"/>
    <row r="42941" customFormat="1" x14ac:dyDescent="0.3"/>
    <row r="42942" customFormat="1" x14ac:dyDescent="0.3"/>
    <row r="42943" customFormat="1" x14ac:dyDescent="0.3"/>
    <row r="42944" customFormat="1" x14ac:dyDescent="0.3"/>
    <row r="42945" customFormat="1" x14ac:dyDescent="0.3"/>
    <row r="42946" customFormat="1" x14ac:dyDescent="0.3"/>
    <row r="42947" customFormat="1" x14ac:dyDescent="0.3"/>
    <row r="42948" customFormat="1" x14ac:dyDescent="0.3"/>
    <row r="42949" customFormat="1" x14ac:dyDescent="0.3"/>
    <row r="42950" customFormat="1" x14ac:dyDescent="0.3"/>
    <row r="42951" customFormat="1" x14ac:dyDescent="0.3"/>
    <row r="42952" customFormat="1" x14ac:dyDescent="0.3"/>
    <row r="42953" customFormat="1" x14ac:dyDescent="0.3"/>
    <row r="42954" customFormat="1" x14ac:dyDescent="0.3"/>
    <row r="42955" customFormat="1" x14ac:dyDescent="0.3"/>
    <row r="42956" customFormat="1" x14ac:dyDescent="0.3"/>
    <row r="42957" customFormat="1" x14ac:dyDescent="0.3"/>
    <row r="42958" customFormat="1" x14ac:dyDescent="0.3"/>
    <row r="42959" customFormat="1" x14ac:dyDescent="0.3"/>
    <row r="42960" customFormat="1" x14ac:dyDescent="0.3"/>
    <row r="42961" customFormat="1" x14ac:dyDescent="0.3"/>
    <row r="42962" customFormat="1" x14ac:dyDescent="0.3"/>
    <row r="42963" customFormat="1" x14ac:dyDescent="0.3"/>
    <row r="42964" customFormat="1" x14ac:dyDescent="0.3"/>
    <row r="42965" customFormat="1" x14ac:dyDescent="0.3"/>
    <row r="42966" customFormat="1" x14ac:dyDescent="0.3"/>
    <row r="42967" customFormat="1" x14ac:dyDescent="0.3"/>
    <row r="42968" customFormat="1" x14ac:dyDescent="0.3"/>
    <row r="42969" customFormat="1" x14ac:dyDescent="0.3"/>
    <row r="42970" customFormat="1" x14ac:dyDescent="0.3"/>
    <row r="42971" customFormat="1" x14ac:dyDescent="0.3"/>
    <row r="42972" customFormat="1" x14ac:dyDescent="0.3"/>
    <row r="42973" customFormat="1" x14ac:dyDescent="0.3"/>
    <row r="42974" customFormat="1" x14ac:dyDescent="0.3"/>
    <row r="42975" customFormat="1" x14ac:dyDescent="0.3"/>
    <row r="42976" customFormat="1" x14ac:dyDescent="0.3"/>
    <row r="42977" customFormat="1" x14ac:dyDescent="0.3"/>
    <row r="42978" customFormat="1" x14ac:dyDescent="0.3"/>
    <row r="42979" customFormat="1" x14ac:dyDescent="0.3"/>
    <row r="42980" customFormat="1" x14ac:dyDescent="0.3"/>
    <row r="42981" customFormat="1" x14ac:dyDescent="0.3"/>
    <row r="42982" customFormat="1" x14ac:dyDescent="0.3"/>
    <row r="42983" customFormat="1" x14ac:dyDescent="0.3"/>
    <row r="42984" customFormat="1" x14ac:dyDescent="0.3"/>
    <row r="42985" customFormat="1" x14ac:dyDescent="0.3"/>
    <row r="42986" customFormat="1" x14ac:dyDescent="0.3"/>
    <row r="42987" customFormat="1" x14ac:dyDescent="0.3"/>
    <row r="42988" customFormat="1" x14ac:dyDescent="0.3"/>
    <row r="42989" customFormat="1" x14ac:dyDescent="0.3"/>
    <row r="42990" customFormat="1" x14ac:dyDescent="0.3"/>
    <row r="42991" customFormat="1" x14ac:dyDescent="0.3"/>
    <row r="42992" customFormat="1" x14ac:dyDescent="0.3"/>
    <row r="42993" customFormat="1" x14ac:dyDescent="0.3"/>
    <row r="42994" customFormat="1" x14ac:dyDescent="0.3"/>
    <row r="42995" customFormat="1" x14ac:dyDescent="0.3"/>
    <row r="42996" customFormat="1" x14ac:dyDescent="0.3"/>
    <row r="42997" customFormat="1" x14ac:dyDescent="0.3"/>
    <row r="42998" customFormat="1" x14ac:dyDescent="0.3"/>
    <row r="42999" customFormat="1" x14ac:dyDescent="0.3"/>
    <row r="43000" customFormat="1" x14ac:dyDescent="0.3"/>
    <row r="43001" customFormat="1" x14ac:dyDescent="0.3"/>
    <row r="43002" customFormat="1" x14ac:dyDescent="0.3"/>
    <row r="43003" customFormat="1" x14ac:dyDescent="0.3"/>
    <row r="43004" customFormat="1" x14ac:dyDescent="0.3"/>
    <row r="43005" customFormat="1" x14ac:dyDescent="0.3"/>
    <row r="43006" customFormat="1" x14ac:dyDescent="0.3"/>
    <row r="43007" customFormat="1" x14ac:dyDescent="0.3"/>
    <row r="43008" customFormat="1" x14ac:dyDescent="0.3"/>
    <row r="43009" customFormat="1" x14ac:dyDescent="0.3"/>
    <row r="43010" customFormat="1" x14ac:dyDescent="0.3"/>
    <row r="43011" customFormat="1" x14ac:dyDescent="0.3"/>
    <row r="43012" customFormat="1" x14ac:dyDescent="0.3"/>
    <row r="43013" customFormat="1" x14ac:dyDescent="0.3"/>
    <row r="43014" customFormat="1" x14ac:dyDescent="0.3"/>
    <row r="43015" customFormat="1" x14ac:dyDescent="0.3"/>
    <row r="43016" customFormat="1" x14ac:dyDescent="0.3"/>
    <row r="43017" customFormat="1" x14ac:dyDescent="0.3"/>
    <row r="43018" customFormat="1" x14ac:dyDescent="0.3"/>
    <row r="43019" customFormat="1" x14ac:dyDescent="0.3"/>
    <row r="43020" customFormat="1" x14ac:dyDescent="0.3"/>
    <row r="43021" customFormat="1" x14ac:dyDescent="0.3"/>
    <row r="43022" customFormat="1" x14ac:dyDescent="0.3"/>
    <row r="43023" customFormat="1" x14ac:dyDescent="0.3"/>
    <row r="43024" customFormat="1" x14ac:dyDescent="0.3"/>
    <row r="43025" customFormat="1" x14ac:dyDescent="0.3"/>
    <row r="43026" customFormat="1" x14ac:dyDescent="0.3"/>
    <row r="43027" customFormat="1" x14ac:dyDescent="0.3"/>
    <row r="43028" customFormat="1" x14ac:dyDescent="0.3"/>
    <row r="43029" customFormat="1" x14ac:dyDescent="0.3"/>
    <row r="43030" customFormat="1" x14ac:dyDescent="0.3"/>
    <row r="43031" customFormat="1" x14ac:dyDescent="0.3"/>
    <row r="43032" customFormat="1" x14ac:dyDescent="0.3"/>
    <row r="43033" customFormat="1" x14ac:dyDescent="0.3"/>
    <row r="43034" customFormat="1" x14ac:dyDescent="0.3"/>
    <row r="43035" customFormat="1" x14ac:dyDescent="0.3"/>
    <row r="43036" customFormat="1" x14ac:dyDescent="0.3"/>
    <row r="43037" customFormat="1" x14ac:dyDescent="0.3"/>
    <row r="43038" customFormat="1" x14ac:dyDescent="0.3"/>
    <row r="43039" customFormat="1" x14ac:dyDescent="0.3"/>
    <row r="43040" customFormat="1" x14ac:dyDescent="0.3"/>
    <row r="43041" customFormat="1" x14ac:dyDescent="0.3"/>
    <row r="43042" customFormat="1" x14ac:dyDescent="0.3"/>
    <row r="43043" customFormat="1" x14ac:dyDescent="0.3"/>
    <row r="43044" customFormat="1" x14ac:dyDescent="0.3"/>
    <row r="43045" customFormat="1" x14ac:dyDescent="0.3"/>
    <row r="43046" customFormat="1" x14ac:dyDescent="0.3"/>
    <row r="43047" customFormat="1" x14ac:dyDescent="0.3"/>
    <row r="43048" customFormat="1" x14ac:dyDescent="0.3"/>
    <row r="43049" customFormat="1" x14ac:dyDescent="0.3"/>
    <row r="43050" customFormat="1" x14ac:dyDescent="0.3"/>
    <row r="43051" customFormat="1" x14ac:dyDescent="0.3"/>
    <row r="43052" customFormat="1" x14ac:dyDescent="0.3"/>
    <row r="43053" customFormat="1" x14ac:dyDescent="0.3"/>
    <row r="43054" customFormat="1" x14ac:dyDescent="0.3"/>
    <row r="43055" customFormat="1" x14ac:dyDescent="0.3"/>
    <row r="43056" customFormat="1" x14ac:dyDescent="0.3"/>
    <row r="43057" customFormat="1" x14ac:dyDescent="0.3"/>
    <row r="43058" customFormat="1" x14ac:dyDescent="0.3"/>
    <row r="43059" customFormat="1" x14ac:dyDescent="0.3"/>
    <row r="43060" customFormat="1" x14ac:dyDescent="0.3"/>
    <row r="43061" customFormat="1" x14ac:dyDescent="0.3"/>
    <row r="43062" customFormat="1" x14ac:dyDescent="0.3"/>
    <row r="43063" customFormat="1" x14ac:dyDescent="0.3"/>
    <row r="43064" customFormat="1" x14ac:dyDescent="0.3"/>
    <row r="43065" customFormat="1" x14ac:dyDescent="0.3"/>
    <row r="43066" customFormat="1" x14ac:dyDescent="0.3"/>
    <row r="43067" customFormat="1" x14ac:dyDescent="0.3"/>
    <row r="43068" customFormat="1" x14ac:dyDescent="0.3"/>
    <row r="43069" customFormat="1" x14ac:dyDescent="0.3"/>
    <row r="43070" customFormat="1" x14ac:dyDescent="0.3"/>
    <row r="43071" customFormat="1" x14ac:dyDescent="0.3"/>
    <row r="43072" customFormat="1" x14ac:dyDescent="0.3"/>
    <row r="43073" customFormat="1" x14ac:dyDescent="0.3"/>
    <row r="43074" customFormat="1" x14ac:dyDescent="0.3"/>
    <row r="43075" customFormat="1" x14ac:dyDescent="0.3"/>
    <row r="43076" customFormat="1" x14ac:dyDescent="0.3"/>
    <row r="43077" customFormat="1" x14ac:dyDescent="0.3"/>
    <row r="43078" customFormat="1" x14ac:dyDescent="0.3"/>
    <row r="43079" customFormat="1" x14ac:dyDescent="0.3"/>
    <row r="43080" customFormat="1" x14ac:dyDescent="0.3"/>
    <row r="43081" customFormat="1" x14ac:dyDescent="0.3"/>
    <row r="43082" customFormat="1" x14ac:dyDescent="0.3"/>
    <row r="43083" customFormat="1" x14ac:dyDescent="0.3"/>
    <row r="43084" customFormat="1" x14ac:dyDescent="0.3"/>
    <row r="43085" customFormat="1" x14ac:dyDescent="0.3"/>
    <row r="43086" customFormat="1" x14ac:dyDescent="0.3"/>
    <row r="43087" customFormat="1" x14ac:dyDescent="0.3"/>
    <row r="43088" customFormat="1" x14ac:dyDescent="0.3"/>
    <row r="43089" customFormat="1" x14ac:dyDescent="0.3"/>
    <row r="43090" customFormat="1" x14ac:dyDescent="0.3"/>
    <row r="43091" customFormat="1" x14ac:dyDescent="0.3"/>
    <row r="43092" customFormat="1" x14ac:dyDescent="0.3"/>
    <row r="43093" customFormat="1" x14ac:dyDescent="0.3"/>
    <row r="43094" customFormat="1" x14ac:dyDescent="0.3"/>
    <row r="43095" customFormat="1" x14ac:dyDescent="0.3"/>
    <row r="43096" customFormat="1" x14ac:dyDescent="0.3"/>
    <row r="43097" customFormat="1" x14ac:dyDescent="0.3"/>
    <row r="43098" customFormat="1" x14ac:dyDescent="0.3"/>
    <row r="43099" customFormat="1" x14ac:dyDescent="0.3"/>
    <row r="43100" customFormat="1" x14ac:dyDescent="0.3"/>
    <row r="43101" customFormat="1" x14ac:dyDescent="0.3"/>
    <row r="43102" customFormat="1" x14ac:dyDescent="0.3"/>
    <row r="43103" customFormat="1" x14ac:dyDescent="0.3"/>
    <row r="43104" customFormat="1" x14ac:dyDescent="0.3"/>
    <row r="43105" customFormat="1" x14ac:dyDescent="0.3"/>
    <row r="43106" customFormat="1" x14ac:dyDescent="0.3"/>
    <row r="43107" customFormat="1" x14ac:dyDescent="0.3"/>
    <row r="43108" customFormat="1" x14ac:dyDescent="0.3"/>
    <row r="43109" customFormat="1" x14ac:dyDescent="0.3"/>
    <row r="43110" customFormat="1" x14ac:dyDescent="0.3"/>
    <row r="43111" customFormat="1" x14ac:dyDescent="0.3"/>
    <row r="43112" customFormat="1" x14ac:dyDescent="0.3"/>
    <row r="43113" customFormat="1" x14ac:dyDescent="0.3"/>
    <row r="43114" customFormat="1" x14ac:dyDescent="0.3"/>
    <row r="43115" customFormat="1" x14ac:dyDescent="0.3"/>
    <row r="43116" customFormat="1" x14ac:dyDescent="0.3"/>
    <row r="43117" customFormat="1" x14ac:dyDescent="0.3"/>
    <row r="43118" customFormat="1" x14ac:dyDescent="0.3"/>
    <row r="43119" customFormat="1" x14ac:dyDescent="0.3"/>
    <row r="43120" customFormat="1" x14ac:dyDescent="0.3"/>
    <row r="43121" customFormat="1" x14ac:dyDescent="0.3"/>
    <row r="43122" customFormat="1" x14ac:dyDescent="0.3"/>
    <row r="43123" customFormat="1" x14ac:dyDescent="0.3"/>
    <row r="43124" customFormat="1" x14ac:dyDescent="0.3"/>
    <row r="43125" customFormat="1" x14ac:dyDescent="0.3"/>
    <row r="43126" customFormat="1" x14ac:dyDescent="0.3"/>
    <row r="43127" customFormat="1" x14ac:dyDescent="0.3"/>
    <row r="43128" customFormat="1" x14ac:dyDescent="0.3"/>
    <row r="43129" customFormat="1" x14ac:dyDescent="0.3"/>
    <row r="43130" customFormat="1" x14ac:dyDescent="0.3"/>
    <row r="43131" customFormat="1" x14ac:dyDescent="0.3"/>
    <row r="43132" customFormat="1" x14ac:dyDescent="0.3"/>
    <row r="43133" customFormat="1" x14ac:dyDescent="0.3"/>
    <row r="43134" customFormat="1" x14ac:dyDescent="0.3"/>
    <row r="43135" customFormat="1" x14ac:dyDescent="0.3"/>
    <row r="43136" customFormat="1" x14ac:dyDescent="0.3"/>
    <row r="43137" customFormat="1" x14ac:dyDescent="0.3"/>
    <row r="43138" customFormat="1" x14ac:dyDescent="0.3"/>
    <row r="43139" customFormat="1" x14ac:dyDescent="0.3"/>
    <row r="43140" customFormat="1" x14ac:dyDescent="0.3"/>
    <row r="43141" customFormat="1" x14ac:dyDescent="0.3"/>
    <row r="43142" customFormat="1" x14ac:dyDescent="0.3"/>
    <row r="43143" customFormat="1" x14ac:dyDescent="0.3"/>
    <row r="43144" customFormat="1" x14ac:dyDescent="0.3"/>
    <row r="43145" customFormat="1" x14ac:dyDescent="0.3"/>
    <row r="43146" customFormat="1" x14ac:dyDescent="0.3"/>
    <row r="43147" customFormat="1" x14ac:dyDescent="0.3"/>
    <row r="43148" customFormat="1" x14ac:dyDescent="0.3"/>
    <row r="43149" customFormat="1" x14ac:dyDescent="0.3"/>
    <row r="43150" customFormat="1" x14ac:dyDescent="0.3"/>
    <row r="43151" customFormat="1" x14ac:dyDescent="0.3"/>
    <row r="43152" customFormat="1" x14ac:dyDescent="0.3"/>
    <row r="43153" customFormat="1" x14ac:dyDescent="0.3"/>
    <row r="43154" customFormat="1" x14ac:dyDescent="0.3"/>
    <row r="43155" customFormat="1" x14ac:dyDescent="0.3"/>
    <row r="43156" customFormat="1" x14ac:dyDescent="0.3"/>
    <row r="43157" customFormat="1" x14ac:dyDescent="0.3"/>
    <row r="43158" customFormat="1" x14ac:dyDescent="0.3"/>
    <row r="43159" customFormat="1" x14ac:dyDescent="0.3"/>
    <row r="43160" customFormat="1" x14ac:dyDescent="0.3"/>
    <row r="43161" customFormat="1" x14ac:dyDescent="0.3"/>
    <row r="43162" customFormat="1" x14ac:dyDescent="0.3"/>
    <row r="43163" customFormat="1" x14ac:dyDescent="0.3"/>
    <row r="43164" customFormat="1" x14ac:dyDescent="0.3"/>
    <row r="43165" customFormat="1" x14ac:dyDescent="0.3"/>
    <row r="43166" customFormat="1" x14ac:dyDescent="0.3"/>
    <row r="43167" customFormat="1" x14ac:dyDescent="0.3"/>
    <row r="43168" customFormat="1" x14ac:dyDescent="0.3"/>
    <row r="43169" customFormat="1" x14ac:dyDescent="0.3"/>
    <row r="43170" customFormat="1" x14ac:dyDescent="0.3"/>
    <row r="43171" customFormat="1" x14ac:dyDescent="0.3"/>
    <row r="43172" customFormat="1" x14ac:dyDescent="0.3"/>
    <row r="43173" customFormat="1" x14ac:dyDescent="0.3"/>
    <row r="43174" customFormat="1" x14ac:dyDescent="0.3"/>
    <row r="43175" customFormat="1" x14ac:dyDescent="0.3"/>
    <row r="43176" customFormat="1" x14ac:dyDescent="0.3"/>
    <row r="43177" customFormat="1" x14ac:dyDescent="0.3"/>
    <row r="43178" customFormat="1" x14ac:dyDescent="0.3"/>
    <row r="43179" customFormat="1" x14ac:dyDescent="0.3"/>
    <row r="43180" customFormat="1" x14ac:dyDescent="0.3"/>
    <row r="43181" customFormat="1" x14ac:dyDescent="0.3"/>
    <row r="43182" customFormat="1" x14ac:dyDescent="0.3"/>
    <row r="43183" customFormat="1" x14ac:dyDescent="0.3"/>
    <row r="43184" customFormat="1" x14ac:dyDescent="0.3"/>
    <row r="43185" customFormat="1" x14ac:dyDescent="0.3"/>
    <row r="43186" customFormat="1" x14ac:dyDescent="0.3"/>
    <row r="43187" customFormat="1" x14ac:dyDescent="0.3"/>
    <row r="43188" customFormat="1" x14ac:dyDescent="0.3"/>
    <row r="43189" customFormat="1" x14ac:dyDescent="0.3"/>
    <row r="43190" customFormat="1" x14ac:dyDescent="0.3"/>
    <row r="43191" customFormat="1" x14ac:dyDescent="0.3"/>
    <row r="43192" customFormat="1" x14ac:dyDescent="0.3"/>
    <row r="43193" customFormat="1" x14ac:dyDescent="0.3"/>
    <row r="43194" customFormat="1" x14ac:dyDescent="0.3"/>
    <row r="43195" customFormat="1" x14ac:dyDescent="0.3"/>
    <row r="43196" customFormat="1" x14ac:dyDescent="0.3"/>
    <row r="43197" customFormat="1" x14ac:dyDescent="0.3"/>
    <row r="43198" customFormat="1" x14ac:dyDescent="0.3"/>
    <row r="43199" customFormat="1" x14ac:dyDescent="0.3"/>
    <row r="43200" customFormat="1" x14ac:dyDescent="0.3"/>
    <row r="43201" customFormat="1" x14ac:dyDescent="0.3"/>
    <row r="43202" customFormat="1" x14ac:dyDescent="0.3"/>
    <row r="43203" customFormat="1" x14ac:dyDescent="0.3"/>
    <row r="43204" customFormat="1" x14ac:dyDescent="0.3"/>
    <row r="43205" customFormat="1" x14ac:dyDescent="0.3"/>
    <row r="43206" customFormat="1" x14ac:dyDescent="0.3"/>
    <row r="43207" customFormat="1" x14ac:dyDescent="0.3"/>
    <row r="43208" customFormat="1" x14ac:dyDescent="0.3"/>
    <row r="43209" customFormat="1" x14ac:dyDescent="0.3"/>
    <row r="43210" customFormat="1" x14ac:dyDescent="0.3"/>
    <row r="43211" customFormat="1" x14ac:dyDescent="0.3"/>
    <row r="43212" customFormat="1" x14ac:dyDescent="0.3"/>
    <row r="43213" customFormat="1" x14ac:dyDescent="0.3"/>
    <row r="43214" customFormat="1" x14ac:dyDescent="0.3"/>
    <row r="43215" customFormat="1" x14ac:dyDescent="0.3"/>
    <row r="43216" customFormat="1" x14ac:dyDescent="0.3"/>
    <row r="43217" customFormat="1" x14ac:dyDescent="0.3"/>
    <row r="43218" customFormat="1" x14ac:dyDescent="0.3"/>
    <row r="43219" customFormat="1" x14ac:dyDescent="0.3"/>
    <row r="43220" customFormat="1" x14ac:dyDescent="0.3"/>
    <row r="43221" customFormat="1" x14ac:dyDescent="0.3"/>
    <row r="43222" customFormat="1" x14ac:dyDescent="0.3"/>
    <row r="43223" customFormat="1" x14ac:dyDescent="0.3"/>
    <row r="43224" customFormat="1" x14ac:dyDescent="0.3"/>
    <row r="43225" customFormat="1" x14ac:dyDescent="0.3"/>
    <row r="43226" customFormat="1" x14ac:dyDescent="0.3"/>
    <row r="43227" customFormat="1" x14ac:dyDescent="0.3"/>
    <row r="43228" customFormat="1" x14ac:dyDescent="0.3"/>
    <row r="43229" customFormat="1" x14ac:dyDescent="0.3"/>
    <row r="43230" customFormat="1" x14ac:dyDescent="0.3"/>
    <row r="43231" customFormat="1" x14ac:dyDescent="0.3"/>
    <row r="43232" customFormat="1" x14ac:dyDescent="0.3"/>
    <row r="43233" customFormat="1" x14ac:dyDescent="0.3"/>
    <row r="43234" customFormat="1" x14ac:dyDescent="0.3"/>
    <row r="43235" customFormat="1" x14ac:dyDescent="0.3"/>
    <row r="43236" customFormat="1" x14ac:dyDescent="0.3"/>
    <row r="43237" customFormat="1" x14ac:dyDescent="0.3"/>
    <row r="43238" customFormat="1" x14ac:dyDescent="0.3"/>
    <row r="43239" customFormat="1" x14ac:dyDescent="0.3"/>
    <row r="43240" customFormat="1" x14ac:dyDescent="0.3"/>
    <row r="43241" customFormat="1" x14ac:dyDescent="0.3"/>
    <row r="43242" customFormat="1" x14ac:dyDescent="0.3"/>
    <row r="43243" customFormat="1" x14ac:dyDescent="0.3"/>
    <row r="43244" customFormat="1" x14ac:dyDescent="0.3"/>
    <row r="43245" customFormat="1" x14ac:dyDescent="0.3"/>
    <row r="43246" customFormat="1" x14ac:dyDescent="0.3"/>
    <row r="43247" customFormat="1" x14ac:dyDescent="0.3"/>
    <row r="43248" customFormat="1" x14ac:dyDescent="0.3"/>
    <row r="43249" customFormat="1" x14ac:dyDescent="0.3"/>
    <row r="43250" customFormat="1" x14ac:dyDescent="0.3"/>
    <row r="43251" customFormat="1" x14ac:dyDescent="0.3"/>
    <row r="43252" customFormat="1" x14ac:dyDescent="0.3"/>
    <row r="43253" customFormat="1" x14ac:dyDescent="0.3"/>
    <row r="43254" customFormat="1" x14ac:dyDescent="0.3"/>
    <row r="43255" customFormat="1" x14ac:dyDescent="0.3"/>
    <row r="43256" customFormat="1" x14ac:dyDescent="0.3"/>
    <row r="43257" customFormat="1" x14ac:dyDescent="0.3"/>
    <row r="43258" customFormat="1" x14ac:dyDescent="0.3"/>
    <row r="43259" customFormat="1" x14ac:dyDescent="0.3"/>
    <row r="43260" customFormat="1" x14ac:dyDescent="0.3"/>
    <row r="43261" customFormat="1" x14ac:dyDescent="0.3"/>
    <row r="43262" customFormat="1" x14ac:dyDescent="0.3"/>
    <row r="43263" customFormat="1" x14ac:dyDescent="0.3"/>
    <row r="43264" customFormat="1" x14ac:dyDescent="0.3"/>
    <row r="43265" customFormat="1" x14ac:dyDescent="0.3"/>
    <row r="43266" customFormat="1" x14ac:dyDescent="0.3"/>
    <row r="43267" customFormat="1" x14ac:dyDescent="0.3"/>
    <row r="43268" customFormat="1" x14ac:dyDescent="0.3"/>
    <row r="43269" customFormat="1" x14ac:dyDescent="0.3"/>
    <row r="43270" customFormat="1" x14ac:dyDescent="0.3"/>
    <row r="43271" customFormat="1" x14ac:dyDescent="0.3"/>
    <row r="43272" customFormat="1" x14ac:dyDescent="0.3"/>
    <row r="43273" customFormat="1" x14ac:dyDescent="0.3"/>
    <row r="43274" customFormat="1" x14ac:dyDescent="0.3"/>
    <row r="43275" customFormat="1" x14ac:dyDescent="0.3"/>
    <row r="43276" customFormat="1" x14ac:dyDescent="0.3"/>
    <row r="43277" customFormat="1" x14ac:dyDescent="0.3"/>
    <row r="43278" customFormat="1" x14ac:dyDescent="0.3"/>
    <row r="43279" customFormat="1" x14ac:dyDescent="0.3"/>
    <row r="43280" customFormat="1" x14ac:dyDescent="0.3"/>
    <row r="43281" customFormat="1" x14ac:dyDescent="0.3"/>
    <row r="43282" customFormat="1" x14ac:dyDescent="0.3"/>
    <row r="43283" customFormat="1" x14ac:dyDescent="0.3"/>
    <row r="43284" customFormat="1" x14ac:dyDescent="0.3"/>
    <row r="43285" customFormat="1" x14ac:dyDescent="0.3"/>
    <row r="43286" customFormat="1" x14ac:dyDescent="0.3"/>
    <row r="43287" customFormat="1" x14ac:dyDescent="0.3"/>
    <row r="43288" customFormat="1" x14ac:dyDescent="0.3"/>
    <row r="43289" customFormat="1" x14ac:dyDescent="0.3"/>
    <row r="43290" customFormat="1" x14ac:dyDescent="0.3"/>
    <row r="43291" customFormat="1" x14ac:dyDescent="0.3"/>
    <row r="43292" customFormat="1" x14ac:dyDescent="0.3"/>
    <row r="43293" customFormat="1" x14ac:dyDescent="0.3"/>
    <row r="43294" customFormat="1" x14ac:dyDescent="0.3"/>
    <row r="43295" customFormat="1" x14ac:dyDescent="0.3"/>
    <row r="43296" customFormat="1" x14ac:dyDescent="0.3"/>
    <row r="43297" customFormat="1" x14ac:dyDescent="0.3"/>
    <row r="43298" customFormat="1" x14ac:dyDescent="0.3"/>
    <row r="43299" customFormat="1" x14ac:dyDescent="0.3"/>
    <row r="43300" customFormat="1" x14ac:dyDescent="0.3"/>
    <row r="43301" customFormat="1" x14ac:dyDescent="0.3"/>
    <row r="43302" customFormat="1" x14ac:dyDescent="0.3"/>
    <row r="43303" customFormat="1" x14ac:dyDescent="0.3"/>
    <row r="43304" customFormat="1" x14ac:dyDescent="0.3"/>
    <row r="43305" customFormat="1" x14ac:dyDescent="0.3"/>
    <row r="43306" customFormat="1" x14ac:dyDescent="0.3"/>
    <row r="43307" customFormat="1" x14ac:dyDescent="0.3"/>
    <row r="43308" customFormat="1" x14ac:dyDescent="0.3"/>
    <row r="43309" customFormat="1" x14ac:dyDescent="0.3"/>
    <row r="43310" customFormat="1" x14ac:dyDescent="0.3"/>
    <row r="43311" customFormat="1" x14ac:dyDescent="0.3"/>
    <row r="43312" customFormat="1" x14ac:dyDescent="0.3"/>
    <row r="43313" customFormat="1" x14ac:dyDescent="0.3"/>
    <row r="43314" customFormat="1" x14ac:dyDescent="0.3"/>
    <row r="43315" customFormat="1" x14ac:dyDescent="0.3"/>
    <row r="43316" customFormat="1" x14ac:dyDescent="0.3"/>
    <row r="43317" customFormat="1" x14ac:dyDescent="0.3"/>
    <row r="43318" customFormat="1" x14ac:dyDescent="0.3"/>
    <row r="43319" customFormat="1" x14ac:dyDescent="0.3"/>
    <row r="43320" customFormat="1" x14ac:dyDescent="0.3"/>
    <row r="43321" customFormat="1" x14ac:dyDescent="0.3"/>
    <row r="43322" customFormat="1" x14ac:dyDescent="0.3"/>
    <row r="43323" customFormat="1" x14ac:dyDescent="0.3"/>
    <row r="43324" customFormat="1" x14ac:dyDescent="0.3"/>
    <row r="43325" customFormat="1" x14ac:dyDescent="0.3"/>
    <row r="43326" customFormat="1" x14ac:dyDescent="0.3"/>
    <row r="43327" customFormat="1" x14ac:dyDescent="0.3"/>
    <row r="43328" customFormat="1" x14ac:dyDescent="0.3"/>
    <row r="43329" customFormat="1" x14ac:dyDescent="0.3"/>
    <row r="43330" customFormat="1" x14ac:dyDescent="0.3"/>
    <row r="43331" customFormat="1" x14ac:dyDescent="0.3"/>
    <row r="43332" customFormat="1" x14ac:dyDescent="0.3"/>
    <row r="43333" customFormat="1" x14ac:dyDescent="0.3"/>
    <row r="43334" customFormat="1" x14ac:dyDescent="0.3"/>
    <row r="43335" customFormat="1" x14ac:dyDescent="0.3"/>
    <row r="43336" customFormat="1" x14ac:dyDescent="0.3"/>
    <row r="43337" customFormat="1" x14ac:dyDescent="0.3"/>
    <row r="43338" customFormat="1" x14ac:dyDescent="0.3"/>
    <row r="43339" customFormat="1" x14ac:dyDescent="0.3"/>
    <row r="43340" customFormat="1" x14ac:dyDescent="0.3"/>
    <row r="43341" customFormat="1" x14ac:dyDescent="0.3"/>
    <row r="43342" customFormat="1" x14ac:dyDescent="0.3"/>
    <row r="43343" customFormat="1" x14ac:dyDescent="0.3"/>
    <row r="43344" customFormat="1" x14ac:dyDescent="0.3"/>
    <row r="43345" customFormat="1" x14ac:dyDescent="0.3"/>
    <row r="43346" customFormat="1" x14ac:dyDescent="0.3"/>
    <row r="43347" customFormat="1" x14ac:dyDescent="0.3"/>
    <row r="43348" customFormat="1" x14ac:dyDescent="0.3"/>
    <row r="43349" customFormat="1" x14ac:dyDescent="0.3"/>
    <row r="43350" customFormat="1" x14ac:dyDescent="0.3"/>
    <row r="43351" customFormat="1" x14ac:dyDescent="0.3"/>
    <row r="43352" customFormat="1" x14ac:dyDescent="0.3"/>
    <row r="43353" customFormat="1" x14ac:dyDescent="0.3"/>
    <row r="43354" customFormat="1" x14ac:dyDescent="0.3"/>
    <row r="43355" customFormat="1" x14ac:dyDescent="0.3"/>
    <row r="43356" customFormat="1" x14ac:dyDescent="0.3"/>
    <row r="43357" customFormat="1" x14ac:dyDescent="0.3"/>
    <row r="43358" customFormat="1" x14ac:dyDescent="0.3"/>
    <row r="43359" customFormat="1" x14ac:dyDescent="0.3"/>
    <row r="43360" customFormat="1" x14ac:dyDescent="0.3"/>
    <row r="43361" customFormat="1" x14ac:dyDescent="0.3"/>
    <row r="43362" customFormat="1" x14ac:dyDescent="0.3"/>
    <row r="43363" customFormat="1" x14ac:dyDescent="0.3"/>
    <row r="43364" customFormat="1" x14ac:dyDescent="0.3"/>
    <row r="43365" customFormat="1" x14ac:dyDescent="0.3"/>
    <row r="43366" customFormat="1" x14ac:dyDescent="0.3"/>
    <row r="43367" customFormat="1" x14ac:dyDescent="0.3"/>
    <row r="43368" customFormat="1" x14ac:dyDescent="0.3"/>
    <row r="43369" customFormat="1" x14ac:dyDescent="0.3"/>
    <row r="43370" customFormat="1" x14ac:dyDescent="0.3"/>
    <row r="43371" customFormat="1" x14ac:dyDescent="0.3"/>
    <row r="43372" customFormat="1" x14ac:dyDescent="0.3"/>
    <row r="43373" customFormat="1" x14ac:dyDescent="0.3"/>
    <row r="43374" customFormat="1" x14ac:dyDescent="0.3"/>
    <row r="43375" customFormat="1" x14ac:dyDescent="0.3"/>
    <row r="43376" customFormat="1" x14ac:dyDescent="0.3"/>
    <row r="43377" customFormat="1" x14ac:dyDescent="0.3"/>
    <row r="43378" customFormat="1" x14ac:dyDescent="0.3"/>
    <row r="43379" customFormat="1" x14ac:dyDescent="0.3"/>
    <row r="43380" customFormat="1" x14ac:dyDescent="0.3"/>
    <row r="43381" customFormat="1" x14ac:dyDescent="0.3"/>
    <row r="43382" customFormat="1" x14ac:dyDescent="0.3"/>
    <row r="43383" customFormat="1" x14ac:dyDescent="0.3"/>
    <row r="43384" customFormat="1" x14ac:dyDescent="0.3"/>
    <row r="43385" customFormat="1" x14ac:dyDescent="0.3"/>
    <row r="43386" customFormat="1" x14ac:dyDescent="0.3"/>
    <row r="43387" customFormat="1" x14ac:dyDescent="0.3"/>
    <row r="43388" customFormat="1" x14ac:dyDescent="0.3"/>
    <row r="43389" customFormat="1" x14ac:dyDescent="0.3"/>
    <row r="43390" customFormat="1" x14ac:dyDescent="0.3"/>
    <row r="43391" customFormat="1" x14ac:dyDescent="0.3"/>
    <row r="43392" customFormat="1" x14ac:dyDescent="0.3"/>
    <row r="43393" customFormat="1" x14ac:dyDescent="0.3"/>
    <row r="43394" customFormat="1" x14ac:dyDescent="0.3"/>
    <row r="43395" customFormat="1" x14ac:dyDescent="0.3"/>
    <row r="43396" customFormat="1" x14ac:dyDescent="0.3"/>
    <row r="43397" customFormat="1" x14ac:dyDescent="0.3"/>
    <row r="43398" customFormat="1" x14ac:dyDescent="0.3"/>
    <row r="43399" customFormat="1" x14ac:dyDescent="0.3"/>
    <row r="43400" customFormat="1" x14ac:dyDescent="0.3"/>
    <row r="43401" customFormat="1" x14ac:dyDescent="0.3"/>
    <row r="43402" customFormat="1" x14ac:dyDescent="0.3"/>
    <row r="43403" customFormat="1" x14ac:dyDescent="0.3"/>
    <row r="43404" customFormat="1" x14ac:dyDescent="0.3"/>
    <row r="43405" customFormat="1" x14ac:dyDescent="0.3"/>
    <row r="43406" customFormat="1" x14ac:dyDescent="0.3"/>
    <row r="43407" customFormat="1" x14ac:dyDescent="0.3"/>
    <row r="43408" customFormat="1" x14ac:dyDescent="0.3"/>
    <row r="43409" customFormat="1" x14ac:dyDescent="0.3"/>
    <row r="43410" customFormat="1" x14ac:dyDescent="0.3"/>
    <row r="43411" customFormat="1" x14ac:dyDescent="0.3"/>
    <row r="43412" customFormat="1" x14ac:dyDescent="0.3"/>
    <row r="43413" customFormat="1" x14ac:dyDescent="0.3"/>
    <row r="43414" customFormat="1" x14ac:dyDescent="0.3"/>
    <row r="43415" customFormat="1" x14ac:dyDescent="0.3"/>
    <row r="43416" customFormat="1" x14ac:dyDescent="0.3"/>
    <row r="43417" customFormat="1" x14ac:dyDescent="0.3"/>
    <row r="43418" customFormat="1" x14ac:dyDescent="0.3"/>
    <row r="43419" customFormat="1" x14ac:dyDescent="0.3"/>
    <row r="43420" customFormat="1" x14ac:dyDescent="0.3"/>
    <row r="43421" customFormat="1" x14ac:dyDescent="0.3"/>
    <row r="43422" customFormat="1" x14ac:dyDescent="0.3"/>
    <row r="43423" customFormat="1" x14ac:dyDescent="0.3"/>
    <row r="43424" customFormat="1" x14ac:dyDescent="0.3"/>
    <row r="43425" customFormat="1" x14ac:dyDescent="0.3"/>
    <row r="43426" customFormat="1" x14ac:dyDescent="0.3"/>
    <row r="43427" customFormat="1" x14ac:dyDescent="0.3"/>
    <row r="43428" customFormat="1" x14ac:dyDescent="0.3"/>
    <row r="43429" customFormat="1" x14ac:dyDescent="0.3"/>
    <row r="43430" customFormat="1" x14ac:dyDescent="0.3"/>
    <row r="43431" customFormat="1" x14ac:dyDescent="0.3"/>
    <row r="43432" customFormat="1" x14ac:dyDescent="0.3"/>
    <row r="43433" customFormat="1" x14ac:dyDescent="0.3"/>
    <row r="43434" customFormat="1" x14ac:dyDescent="0.3"/>
    <row r="43435" customFormat="1" x14ac:dyDescent="0.3"/>
    <row r="43436" customFormat="1" x14ac:dyDescent="0.3"/>
    <row r="43437" customFormat="1" x14ac:dyDescent="0.3"/>
    <row r="43438" customFormat="1" x14ac:dyDescent="0.3"/>
    <row r="43439" customFormat="1" x14ac:dyDescent="0.3"/>
    <row r="43440" customFormat="1" x14ac:dyDescent="0.3"/>
    <row r="43441" customFormat="1" x14ac:dyDescent="0.3"/>
    <row r="43442" customFormat="1" x14ac:dyDescent="0.3"/>
    <row r="43443" customFormat="1" x14ac:dyDescent="0.3"/>
    <row r="43444" customFormat="1" x14ac:dyDescent="0.3"/>
    <row r="43445" customFormat="1" x14ac:dyDescent="0.3"/>
    <row r="43446" customFormat="1" x14ac:dyDescent="0.3"/>
    <row r="43447" customFormat="1" x14ac:dyDescent="0.3"/>
    <row r="43448" customFormat="1" x14ac:dyDescent="0.3"/>
    <row r="43449" customFormat="1" x14ac:dyDescent="0.3"/>
    <row r="43450" customFormat="1" x14ac:dyDescent="0.3"/>
    <row r="43451" customFormat="1" x14ac:dyDescent="0.3"/>
    <row r="43452" customFormat="1" x14ac:dyDescent="0.3"/>
    <row r="43453" customFormat="1" x14ac:dyDescent="0.3"/>
    <row r="43454" customFormat="1" x14ac:dyDescent="0.3"/>
    <row r="43455" customFormat="1" x14ac:dyDescent="0.3"/>
    <row r="43456" customFormat="1" x14ac:dyDescent="0.3"/>
    <row r="43457" customFormat="1" x14ac:dyDescent="0.3"/>
    <row r="43458" customFormat="1" x14ac:dyDescent="0.3"/>
    <row r="43459" customFormat="1" x14ac:dyDescent="0.3"/>
    <row r="43460" customFormat="1" x14ac:dyDescent="0.3"/>
    <row r="43461" customFormat="1" x14ac:dyDescent="0.3"/>
    <row r="43462" customFormat="1" x14ac:dyDescent="0.3"/>
    <row r="43463" customFormat="1" x14ac:dyDescent="0.3"/>
    <row r="43464" customFormat="1" x14ac:dyDescent="0.3"/>
    <row r="43465" customFormat="1" x14ac:dyDescent="0.3"/>
    <row r="43466" customFormat="1" x14ac:dyDescent="0.3"/>
    <row r="43467" customFormat="1" x14ac:dyDescent="0.3"/>
    <row r="43468" customFormat="1" x14ac:dyDescent="0.3"/>
    <row r="43469" customFormat="1" x14ac:dyDescent="0.3"/>
    <row r="43470" customFormat="1" x14ac:dyDescent="0.3"/>
    <row r="43471" customFormat="1" x14ac:dyDescent="0.3"/>
    <row r="43472" customFormat="1" x14ac:dyDescent="0.3"/>
    <row r="43473" customFormat="1" x14ac:dyDescent="0.3"/>
    <row r="43474" customFormat="1" x14ac:dyDescent="0.3"/>
    <row r="43475" customFormat="1" x14ac:dyDescent="0.3"/>
    <row r="43476" customFormat="1" x14ac:dyDescent="0.3"/>
    <row r="43477" customFormat="1" x14ac:dyDescent="0.3"/>
    <row r="43478" customFormat="1" x14ac:dyDescent="0.3"/>
    <row r="43479" customFormat="1" x14ac:dyDescent="0.3"/>
    <row r="43480" customFormat="1" x14ac:dyDescent="0.3"/>
    <row r="43481" customFormat="1" x14ac:dyDescent="0.3"/>
    <row r="43482" customFormat="1" x14ac:dyDescent="0.3"/>
    <row r="43483" customFormat="1" x14ac:dyDescent="0.3"/>
    <row r="43484" customFormat="1" x14ac:dyDescent="0.3"/>
    <row r="43485" customFormat="1" x14ac:dyDescent="0.3"/>
    <row r="43486" customFormat="1" x14ac:dyDescent="0.3"/>
    <row r="43487" customFormat="1" x14ac:dyDescent="0.3"/>
    <row r="43488" customFormat="1" x14ac:dyDescent="0.3"/>
    <row r="43489" customFormat="1" x14ac:dyDescent="0.3"/>
    <row r="43490" customFormat="1" x14ac:dyDescent="0.3"/>
    <row r="43491" customFormat="1" x14ac:dyDescent="0.3"/>
    <row r="43492" customFormat="1" x14ac:dyDescent="0.3"/>
    <row r="43493" customFormat="1" x14ac:dyDescent="0.3"/>
    <row r="43494" customFormat="1" x14ac:dyDescent="0.3"/>
    <row r="43495" customFormat="1" x14ac:dyDescent="0.3"/>
    <row r="43496" customFormat="1" x14ac:dyDescent="0.3"/>
    <row r="43497" customFormat="1" x14ac:dyDescent="0.3"/>
    <row r="43498" customFormat="1" x14ac:dyDescent="0.3"/>
    <row r="43499" customFormat="1" x14ac:dyDescent="0.3"/>
    <row r="43500" customFormat="1" x14ac:dyDescent="0.3"/>
    <row r="43501" customFormat="1" x14ac:dyDescent="0.3"/>
    <row r="43502" customFormat="1" x14ac:dyDescent="0.3"/>
    <row r="43503" customFormat="1" x14ac:dyDescent="0.3"/>
    <row r="43504" customFormat="1" x14ac:dyDescent="0.3"/>
    <row r="43505" customFormat="1" x14ac:dyDescent="0.3"/>
    <row r="43506" customFormat="1" x14ac:dyDescent="0.3"/>
    <row r="43507" customFormat="1" x14ac:dyDescent="0.3"/>
    <row r="43508" customFormat="1" x14ac:dyDescent="0.3"/>
    <row r="43509" customFormat="1" x14ac:dyDescent="0.3"/>
    <row r="43510" customFormat="1" x14ac:dyDescent="0.3"/>
    <row r="43511" customFormat="1" x14ac:dyDescent="0.3"/>
    <row r="43512" customFormat="1" x14ac:dyDescent="0.3"/>
    <row r="43513" customFormat="1" x14ac:dyDescent="0.3"/>
    <row r="43514" customFormat="1" x14ac:dyDescent="0.3"/>
    <row r="43515" customFormat="1" x14ac:dyDescent="0.3"/>
    <row r="43516" customFormat="1" x14ac:dyDescent="0.3"/>
    <row r="43517" customFormat="1" x14ac:dyDescent="0.3"/>
    <row r="43518" customFormat="1" x14ac:dyDescent="0.3"/>
    <row r="43519" customFormat="1" x14ac:dyDescent="0.3"/>
    <row r="43520" customFormat="1" x14ac:dyDescent="0.3"/>
    <row r="43521" customFormat="1" x14ac:dyDescent="0.3"/>
    <row r="43522" customFormat="1" x14ac:dyDescent="0.3"/>
    <row r="43523" customFormat="1" x14ac:dyDescent="0.3"/>
    <row r="43524" customFormat="1" x14ac:dyDescent="0.3"/>
    <row r="43525" customFormat="1" x14ac:dyDescent="0.3"/>
    <row r="43526" customFormat="1" x14ac:dyDescent="0.3"/>
    <row r="43527" customFormat="1" x14ac:dyDescent="0.3"/>
    <row r="43528" customFormat="1" x14ac:dyDescent="0.3"/>
    <row r="43529" customFormat="1" x14ac:dyDescent="0.3"/>
    <row r="43530" customFormat="1" x14ac:dyDescent="0.3"/>
    <row r="43531" customFormat="1" x14ac:dyDescent="0.3"/>
    <row r="43532" customFormat="1" x14ac:dyDescent="0.3"/>
    <row r="43533" customFormat="1" x14ac:dyDescent="0.3"/>
    <row r="43534" customFormat="1" x14ac:dyDescent="0.3"/>
    <row r="43535" customFormat="1" x14ac:dyDescent="0.3"/>
    <row r="43536" customFormat="1" x14ac:dyDescent="0.3"/>
    <row r="43537" customFormat="1" x14ac:dyDescent="0.3"/>
    <row r="43538" customFormat="1" x14ac:dyDescent="0.3"/>
    <row r="43539" customFormat="1" x14ac:dyDescent="0.3"/>
    <row r="43540" customFormat="1" x14ac:dyDescent="0.3"/>
    <row r="43541" customFormat="1" x14ac:dyDescent="0.3"/>
    <row r="43542" customFormat="1" x14ac:dyDescent="0.3"/>
    <row r="43543" customFormat="1" x14ac:dyDescent="0.3"/>
    <row r="43544" customFormat="1" x14ac:dyDescent="0.3"/>
    <row r="43545" customFormat="1" x14ac:dyDescent="0.3"/>
    <row r="43546" customFormat="1" x14ac:dyDescent="0.3"/>
    <row r="43547" customFormat="1" x14ac:dyDescent="0.3"/>
    <row r="43548" customFormat="1" x14ac:dyDescent="0.3"/>
    <row r="43549" customFormat="1" x14ac:dyDescent="0.3"/>
    <row r="43550" customFormat="1" x14ac:dyDescent="0.3"/>
    <row r="43551" customFormat="1" x14ac:dyDescent="0.3"/>
    <row r="43552" customFormat="1" x14ac:dyDescent="0.3"/>
    <row r="43553" customFormat="1" x14ac:dyDescent="0.3"/>
    <row r="43554" customFormat="1" x14ac:dyDescent="0.3"/>
    <row r="43555" customFormat="1" x14ac:dyDescent="0.3"/>
    <row r="43556" customFormat="1" x14ac:dyDescent="0.3"/>
    <row r="43557" customFormat="1" x14ac:dyDescent="0.3"/>
    <row r="43558" customFormat="1" x14ac:dyDescent="0.3"/>
    <row r="43559" customFormat="1" x14ac:dyDescent="0.3"/>
    <row r="43560" customFormat="1" x14ac:dyDescent="0.3"/>
    <row r="43561" customFormat="1" x14ac:dyDescent="0.3"/>
    <row r="43562" customFormat="1" x14ac:dyDescent="0.3"/>
    <row r="43563" customFormat="1" x14ac:dyDescent="0.3"/>
    <row r="43564" customFormat="1" x14ac:dyDescent="0.3"/>
    <row r="43565" customFormat="1" x14ac:dyDescent="0.3"/>
    <row r="43566" customFormat="1" x14ac:dyDescent="0.3"/>
    <row r="43567" customFormat="1" x14ac:dyDescent="0.3"/>
    <row r="43568" customFormat="1" x14ac:dyDescent="0.3"/>
    <row r="43569" customFormat="1" x14ac:dyDescent="0.3"/>
    <row r="43570" customFormat="1" x14ac:dyDescent="0.3"/>
    <row r="43571" customFormat="1" x14ac:dyDescent="0.3"/>
    <row r="43572" customFormat="1" x14ac:dyDescent="0.3"/>
    <row r="43573" customFormat="1" x14ac:dyDescent="0.3"/>
    <row r="43574" customFormat="1" x14ac:dyDescent="0.3"/>
    <row r="43575" customFormat="1" x14ac:dyDescent="0.3"/>
    <row r="43576" customFormat="1" x14ac:dyDescent="0.3"/>
    <row r="43577" customFormat="1" x14ac:dyDescent="0.3"/>
    <row r="43578" customFormat="1" x14ac:dyDescent="0.3"/>
    <row r="43579" customFormat="1" x14ac:dyDescent="0.3"/>
    <row r="43580" customFormat="1" x14ac:dyDescent="0.3"/>
    <row r="43581" customFormat="1" x14ac:dyDescent="0.3"/>
    <row r="43582" customFormat="1" x14ac:dyDescent="0.3"/>
    <row r="43583" customFormat="1" x14ac:dyDescent="0.3"/>
    <row r="43584" customFormat="1" x14ac:dyDescent="0.3"/>
    <row r="43585" customFormat="1" x14ac:dyDescent="0.3"/>
    <row r="43586" customFormat="1" x14ac:dyDescent="0.3"/>
    <row r="43587" customFormat="1" x14ac:dyDescent="0.3"/>
    <row r="43588" customFormat="1" x14ac:dyDescent="0.3"/>
    <row r="43589" customFormat="1" x14ac:dyDescent="0.3"/>
    <row r="43590" customFormat="1" x14ac:dyDescent="0.3"/>
    <row r="43591" customFormat="1" x14ac:dyDescent="0.3"/>
    <row r="43592" customFormat="1" x14ac:dyDescent="0.3"/>
    <row r="43593" customFormat="1" x14ac:dyDescent="0.3"/>
    <row r="43594" customFormat="1" x14ac:dyDescent="0.3"/>
    <row r="43595" customFormat="1" x14ac:dyDescent="0.3"/>
    <row r="43596" customFormat="1" x14ac:dyDescent="0.3"/>
    <row r="43597" customFormat="1" x14ac:dyDescent="0.3"/>
    <row r="43598" customFormat="1" x14ac:dyDescent="0.3"/>
    <row r="43599" customFormat="1" x14ac:dyDescent="0.3"/>
    <row r="43600" customFormat="1" x14ac:dyDescent="0.3"/>
    <row r="43601" customFormat="1" x14ac:dyDescent="0.3"/>
    <row r="43602" customFormat="1" x14ac:dyDescent="0.3"/>
    <row r="43603" customFormat="1" x14ac:dyDescent="0.3"/>
    <row r="43604" customFormat="1" x14ac:dyDescent="0.3"/>
    <row r="43605" customFormat="1" x14ac:dyDescent="0.3"/>
    <row r="43606" customFormat="1" x14ac:dyDescent="0.3"/>
    <row r="43607" customFormat="1" x14ac:dyDescent="0.3"/>
    <row r="43608" customFormat="1" x14ac:dyDescent="0.3"/>
    <row r="43609" customFormat="1" x14ac:dyDescent="0.3"/>
    <row r="43610" customFormat="1" x14ac:dyDescent="0.3"/>
    <row r="43611" customFormat="1" x14ac:dyDescent="0.3"/>
    <row r="43612" customFormat="1" x14ac:dyDescent="0.3"/>
    <row r="43613" customFormat="1" x14ac:dyDescent="0.3"/>
    <row r="43614" customFormat="1" x14ac:dyDescent="0.3"/>
    <row r="43615" customFormat="1" x14ac:dyDescent="0.3"/>
    <row r="43616" customFormat="1" x14ac:dyDescent="0.3"/>
    <row r="43617" customFormat="1" x14ac:dyDescent="0.3"/>
    <row r="43618" customFormat="1" x14ac:dyDescent="0.3"/>
    <row r="43619" customFormat="1" x14ac:dyDescent="0.3"/>
    <row r="43620" customFormat="1" x14ac:dyDescent="0.3"/>
    <row r="43621" customFormat="1" x14ac:dyDescent="0.3"/>
    <row r="43622" customFormat="1" x14ac:dyDescent="0.3"/>
    <row r="43623" customFormat="1" x14ac:dyDescent="0.3"/>
    <row r="43624" customFormat="1" x14ac:dyDescent="0.3"/>
    <row r="43625" customFormat="1" x14ac:dyDescent="0.3"/>
    <row r="43626" customFormat="1" x14ac:dyDescent="0.3"/>
    <row r="43627" customFormat="1" x14ac:dyDescent="0.3"/>
    <row r="43628" customFormat="1" x14ac:dyDescent="0.3"/>
    <row r="43629" customFormat="1" x14ac:dyDescent="0.3"/>
    <row r="43630" customFormat="1" x14ac:dyDescent="0.3"/>
    <row r="43631" customFormat="1" x14ac:dyDescent="0.3"/>
    <row r="43632" customFormat="1" x14ac:dyDescent="0.3"/>
    <row r="43633" customFormat="1" x14ac:dyDescent="0.3"/>
    <row r="43634" customFormat="1" x14ac:dyDescent="0.3"/>
    <row r="43635" customFormat="1" x14ac:dyDescent="0.3"/>
    <row r="43636" customFormat="1" x14ac:dyDescent="0.3"/>
    <row r="43637" customFormat="1" x14ac:dyDescent="0.3"/>
    <row r="43638" customFormat="1" x14ac:dyDescent="0.3"/>
    <row r="43639" customFormat="1" x14ac:dyDescent="0.3"/>
    <row r="43640" customFormat="1" x14ac:dyDescent="0.3"/>
    <row r="43641" customFormat="1" x14ac:dyDescent="0.3"/>
    <row r="43642" customFormat="1" x14ac:dyDescent="0.3"/>
    <row r="43643" customFormat="1" x14ac:dyDescent="0.3"/>
    <row r="43644" customFormat="1" x14ac:dyDescent="0.3"/>
    <row r="43645" customFormat="1" x14ac:dyDescent="0.3"/>
    <row r="43646" customFormat="1" x14ac:dyDescent="0.3"/>
    <row r="43647" customFormat="1" x14ac:dyDescent="0.3"/>
    <row r="43648" customFormat="1" x14ac:dyDescent="0.3"/>
    <row r="43649" customFormat="1" x14ac:dyDescent="0.3"/>
    <row r="43650" customFormat="1" x14ac:dyDescent="0.3"/>
    <row r="43651" customFormat="1" x14ac:dyDescent="0.3"/>
    <row r="43652" customFormat="1" x14ac:dyDescent="0.3"/>
    <row r="43653" customFormat="1" x14ac:dyDescent="0.3"/>
    <row r="43654" customFormat="1" x14ac:dyDescent="0.3"/>
    <row r="43655" customFormat="1" x14ac:dyDescent="0.3"/>
    <row r="43656" customFormat="1" x14ac:dyDescent="0.3"/>
    <row r="43657" customFormat="1" x14ac:dyDescent="0.3"/>
    <row r="43658" customFormat="1" x14ac:dyDescent="0.3"/>
    <row r="43659" customFormat="1" x14ac:dyDescent="0.3"/>
    <row r="43660" customFormat="1" x14ac:dyDescent="0.3"/>
    <row r="43661" customFormat="1" x14ac:dyDescent="0.3"/>
    <row r="43662" customFormat="1" x14ac:dyDescent="0.3"/>
    <row r="43663" customFormat="1" x14ac:dyDescent="0.3"/>
    <row r="43664" customFormat="1" x14ac:dyDescent="0.3"/>
    <row r="43665" customFormat="1" x14ac:dyDescent="0.3"/>
    <row r="43666" customFormat="1" x14ac:dyDescent="0.3"/>
    <row r="43667" customFormat="1" x14ac:dyDescent="0.3"/>
    <row r="43668" customFormat="1" x14ac:dyDescent="0.3"/>
    <row r="43669" customFormat="1" x14ac:dyDescent="0.3"/>
    <row r="43670" customFormat="1" x14ac:dyDescent="0.3"/>
    <row r="43671" customFormat="1" x14ac:dyDescent="0.3"/>
    <row r="43672" customFormat="1" x14ac:dyDescent="0.3"/>
    <row r="43673" customFormat="1" x14ac:dyDescent="0.3"/>
    <row r="43674" customFormat="1" x14ac:dyDescent="0.3"/>
    <row r="43675" customFormat="1" x14ac:dyDescent="0.3"/>
    <row r="43676" customFormat="1" x14ac:dyDescent="0.3"/>
    <row r="43677" customFormat="1" x14ac:dyDescent="0.3"/>
    <row r="43678" customFormat="1" x14ac:dyDescent="0.3"/>
    <row r="43679" customFormat="1" x14ac:dyDescent="0.3"/>
    <row r="43680" customFormat="1" x14ac:dyDescent="0.3"/>
    <row r="43681" customFormat="1" x14ac:dyDescent="0.3"/>
    <row r="43682" customFormat="1" x14ac:dyDescent="0.3"/>
    <row r="43683" customFormat="1" x14ac:dyDescent="0.3"/>
    <row r="43684" customFormat="1" x14ac:dyDescent="0.3"/>
    <row r="43685" customFormat="1" x14ac:dyDescent="0.3"/>
    <row r="43686" customFormat="1" x14ac:dyDescent="0.3"/>
    <row r="43687" customFormat="1" x14ac:dyDescent="0.3"/>
    <row r="43688" customFormat="1" x14ac:dyDescent="0.3"/>
    <row r="43689" customFormat="1" x14ac:dyDescent="0.3"/>
    <row r="43690" customFormat="1" x14ac:dyDescent="0.3"/>
    <row r="43691" customFormat="1" x14ac:dyDescent="0.3"/>
    <row r="43692" customFormat="1" x14ac:dyDescent="0.3"/>
    <row r="43693" customFormat="1" x14ac:dyDescent="0.3"/>
    <row r="43694" customFormat="1" x14ac:dyDescent="0.3"/>
    <row r="43695" customFormat="1" x14ac:dyDescent="0.3"/>
    <row r="43696" customFormat="1" x14ac:dyDescent="0.3"/>
    <row r="43697" customFormat="1" x14ac:dyDescent="0.3"/>
    <row r="43698" customFormat="1" x14ac:dyDescent="0.3"/>
    <row r="43699" customFormat="1" x14ac:dyDescent="0.3"/>
    <row r="43700" customFormat="1" x14ac:dyDescent="0.3"/>
    <row r="43701" customFormat="1" x14ac:dyDescent="0.3"/>
    <row r="43702" customFormat="1" x14ac:dyDescent="0.3"/>
    <row r="43703" customFormat="1" x14ac:dyDescent="0.3"/>
    <row r="43704" customFormat="1" x14ac:dyDescent="0.3"/>
    <row r="43705" customFormat="1" x14ac:dyDescent="0.3"/>
    <row r="43706" customFormat="1" x14ac:dyDescent="0.3"/>
    <row r="43707" customFormat="1" x14ac:dyDescent="0.3"/>
    <row r="43708" customFormat="1" x14ac:dyDescent="0.3"/>
    <row r="43709" customFormat="1" x14ac:dyDescent="0.3"/>
    <row r="43710" customFormat="1" x14ac:dyDescent="0.3"/>
    <row r="43711" customFormat="1" x14ac:dyDescent="0.3"/>
    <row r="43712" customFormat="1" x14ac:dyDescent="0.3"/>
    <row r="43713" customFormat="1" x14ac:dyDescent="0.3"/>
    <row r="43714" customFormat="1" x14ac:dyDescent="0.3"/>
    <row r="43715" customFormat="1" x14ac:dyDescent="0.3"/>
    <row r="43716" customFormat="1" x14ac:dyDescent="0.3"/>
    <row r="43717" customFormat="1" x14ac:dyDescent="0.3"/>
    <row r="43718" customFormat="1" x14ac:dyDescent="0.3"/>
    <row r="43719" customFormat="1" x14ac:dyDescent="0.3"/>
    <row r="43720" customFormat="1" x14ac:dyDescent="0.3"/>
    <row r="43721" customFormat="1" x14ac:dyDescent="0.3"/>
    <row r="43722" customFormat="1" x14ac:dyDescent="0.3"/>
    <row r="43723" customFormat="1" x14ac:dyDescent="0.3"/>
    <row r="43724" customFormat="1" x14ac:dyDescent="0.3"/>
    <row r="43725" customFormat="1" x14ac:dyDescent="0.3"/>
    <row r="43726" customFormat="1" x14ac:dyDescent="0.3"/>
    <row r="43727" customFormat="1" x14ac:dyDescent="0.3"/>
    <row r="43728" customFormat="1" x14ac:dyDescent="0.3"/>
    <row r="43729" customFormat="1" x14ac:dyDescent="0.3"/>
    <row r="43730" customFormat="1" x14ac:dyDescent="0.3"/>
    <row r="43731" customFormat="1" x14ac:dyDescent="0.3"/>
    <row r="43732" customFormat="1" x14ac:dyDescent="0.3"/>
    <row r="43733" customFormat="1" x14ac:dyDescent="0.3"/>
    <row r="43734" customFormat="1" x14ac:dyDescent="0.3"/>
    <row r="43735" customFormat="1" x14ac:dyDescent="0.3"/>
    <row r="43736" customFormat="1" x14ac:dyDescent="0.3"/>
    <row r="43737" customFormat="1" x14ac:dyDescent="0.3"/>
    <row r="43738" customFormat="1" x14ac:dyDescent="0.3"/>
    <row r="43739" customFormat="1" x14ac:dyDescent="0.3"/>
    <row r="43740" customFormat="1" x14ac:dyDescent="0.3"/>
    <row r="43741" customFormat="1" x14ac:dyDescent="0.3"/>
    <row r="43742" customFormat="1" x14ac:dyDescent="0.3"/>
    <row r="43743" customFormat="1" x14ac:dyDescent="0.3"/>
    <row r="43744" customFormat="1" x14ac:dyDescent="0.3"/>
    <row r="43745" customFormat="1" x14ac:dyDescent="0.3"/>
    <row r="43746" customFormat="1" x14ac:dyDescent="0.3"/>
    <row r="43747" customFormat="1" x14ac:dyDescent="0.3"/>
    <row r="43748" customFormat="1" x14ac:dyDescent="0.3"/>
    <row r="43749" customFormat="1" x14ac:dyDescent="0.3"/>
    <row r="43750" customFormat="1" x14ac:dyDescent="0.3"/>
    <row r="43751" customFormat="1" x14ac:dyDescent="0.3"/>
    <row r="43752" customFormat="1" x14ac:dyDescent="0.3"/>
    <row r="43753" customFormat="1" x14ac:dyDescent="0.3"/>
    <row r="43754" customFormat="1" x14ac:dyDescent="0.3"/>
    <row r="43755" customFormat="1" x14ac:dyDescent="0.3"/>
    <row r="43756" customFormat="1" x14ac:dyDescent="0.3"/>
    <row r="43757" customFormat="1" x14ac:dyDescent="0.3"/>
    <row r="43758" customFormat="1" x14ac:dyDescent="0.3"/>
    <row r="43759" customFormat="1" x14ac:dyDescent="0.3"/>
    <row r="43760" customFormat="1" x14ac:dyDescent="0.3"/>
    <row r="43761" customFormat="1" x14ac:dyDescent="0.3"/>
    <row r="43762" customFormat="1" x14ac:dyDescent="0.3"/>
    <row r="43763" customFormat="1" x14ac:dyDescent="0.3"/>
    <row r="43764" customFormat="1" x14ac:dyDescent="0.3"/>
    <row r="43765" customFormat="1" x14ac:dyDescent="0.3"/>
    <row r="43766" customFormat="1" x14ac:dyDescent="0.3"/>
    <row r="43767" customFormat="1" x14ac:dyDescent="0.3"/>
    <row r="43768" customFormat="1" x14ac:dyDescent="0.3"/>
    <row r="43769" customFormat="1" x14ac:dyDescent="0.3"/>
    <row r="43770" customFormat="1" x14ac:dyDescent="0.3"/>
    <row r="43771" customFormat="1" x14ac:dyDescent="0.3"/>
    <row r="43772" customFormat="1" x14ac:dyDescent="0.3"/>
    <row r="43773" customFormat="1" x14ac:dyDescent="0.3"/>
    <row r="43774" customFormat="1" x14ac:dyDescent="0.3"/>
    <row r="43775" customFormat="1" x14ac:dyDescent="0.3"/>
    <row r="43776" customFormat="1" x14ac:dyDescent="0.3"/>
    <row r="43777" customFormat="1" x14ac:dyDescent="0.3"/>
    <row r="43778" customFormat="1" x14ac:dyDescent="0.3"/>
    <row r="43779" customFormat="1" x14ac:dyDescent="0.3"/>
    <row r="43780" customFormat="1" x14ac:dyDescent="0.3"/>
    <row r="43781" customFormat="1" x14ac:dyDescent="0.3"/>
    <row r="43782" customFormat="1" x14ac:dyDescent="0.3"/>
    <row r="43783" customFormat="1" x14ac:dyDescent="0.3"/>
    <row r="43784" customFormat="1" x14ac:dyDescent="0.3"/>
    <row r="43785" customFormat="1" x14ac:dyDescent="0.3"/>
    <row r="43786" customFormat="1" x14ac:dyDescent="0.3"/>
    <row r="43787" customFormat="1" x14ac:dyDescent="0.3"/>
    <row r="43788" customFormat="1" x14ac:dyDescent="0.3"/>
    <row r="43789" customFormat="1" x14ac:dyDescent="0.3"/>
    <row r="43790" customFormat="1" x14ac:dyDescent="0.3"/>
    <row r="43791" customFormat="1" x14ac:dyDescent="0.3"/>
    <row r="43792" customFormat="1" x14ac:dyDescent="0.3"/>
    <row r="43793" customFormat="1" x14ac:dyDescent="0.3"/>
    <row r="43794" customFormat="1" x14ac:dyDescent="0.3"/>
    <row r="43795" customFormat="1" x14ac:dyDescent="0.3"/>
    <row r="43796" customFormat="1" x14ac:dyDescent="0.3"/>
    <row r="43797" customFormat="1" x14ac:dyDescent="0.3"/>
    <row r="43798" customFormat="1" x14ac:dyDescent="0.3"/>
    <row r="43799" customFormat="1" x14ac:dyDescent="0.3"/>
    <row r="43800" customFormat="1" x14ac:dyDescent="0.3"/>
    <row r="43801" customFormat="1" x14ac:dyDescent="0.3"/>
    <row r="43802" customFormat="1" x14ac:dyDescent="0.3"/>
    <row r="43803" customFormat="1" x14ac:dyDescent="0.3"/>
    <row r="43804" customFormat="1" x14ac:dyDescent="0.3"/>
    <row r="43805" customFormat="1" x14ac:dyDescent="0.3"/>
    <row r="43806" customFormat="1" x14ac:dyDescent="0.3"/>
    <row r="43807" customFormat="1" x14ac:dyDescent="0.3"/>
    <row r="43808" customFormat="1" x14ac:dyDescent="0.3"/>
    <row r="43809" customFormat="1" x14ac:dyDescent="0.3"/>
    <row r="43810" customFormat="1" x14ac:dyDescent="0.3"/>
    <row r="43811" customFormat="1" x14ac:dyDescent="0.3"/>
    <row r="43812" customFormat="1" x14ac:dyDescent="0.3"/>
    <row r="43813" customFormat="1" x14ac:dyDescent="0.3"/>
    <row r="43814" customFormat="1" x14ac:dyDescent="0.3"/>
    <row r="43815" customFormat="1" x14ac:dyDescent="0.3"/>
    <row r="43816" customFormat="1" x14ac:dyDescent="0.3"/>
    <row r="43817" customFormat="1" x14ac:dyDescent="0.3"/>
    <row r="43818" customFormat="1" x14ac:dyDescent="0.3"/>
    <row r="43819" customFormat="1" x14ac:dyDescent="0.3"/>
    <row r="43820" customFormat="1" x14ac:dyDescent="0.3"/>
    <row r="43821" customFormat="1" x14ac:dyDescent="0.3"/>
    <row r="43822" customFormat="1" x14ac:dyDescent="0.3"/>
    <row r="43823" customFormat="1" x14ac:dyDescent="0.3"/>
    <row r="43824" customFormat="1" x14ac:dyDescent="0.3"/>
    <row r="43825" customFormat="1" x14ac:dyDescent="0.3"/>
    <row r="43826" customFormat="1" x14ac:dyDescent="0.3"/>
    <row r="43827" customFormat="1" x14ac:dyDescent="0.3"/>
    <row r="43828" customFormat="1" x14ac:dyDescent="0.3"/>
    <row r="43829" customFormat="1" x14ac:dyDescent="0.3"/>
    <row r="43830" customFormat="1" x14ac:dyDescent="0.3"/>
    <row r="43831" customFormat="1" x14ac:dyDescent="0.3"/>
    <row r="43832" customFormat="1" x14ac:dyDescent="0.3"/>
    <row r="43833" customFormat="1" x14ac:dyDescent="0.3"/>
    <row r="43834" customFormat="1" x14ac:dyDescent="0.3"/>
    <row r="43835" customFormat="1" x14ac:dyDescent="0.3"/>
    <row r="43836" customFormat="1" x14ac:dyDescent="0.3"/>
    <row r="43837" customFormat="1" x14ac:dyDescent="0.3"/>
    <row r="43838" customFormat="1" x14ac:dyDescent="0.3"/>
    <row r="43839" customFormat="1" x14ac:dyDescent="0.3"/>
    <row r="43840" customFormat="1" x14ac:dyDescent="0.3"/>
    <row r="43841" customFormat="1" x14ac:dyDescent="0.3"/>
    <row r="43842" customFormat="1" x14ac:dyDescent="0.3"/>
    <row r="43843" customFormat="1" x14ac:dyDescent="0.3"/>
    <row r="43844" customFormat="1" x14ac:dyDescent="0.3"/>
    <row r="43845" customFormat="1" x14ac:dyDescent="0.3"/>
    <row r="43846" customFormat="1" x14ac:dyDescent="0.3"/>
    <row r="43847" customFormat="1" x14ac:dyDescent="0.3"/>
    <row r="43848" customFormat="1" x14ac:dyDescent="0.3"/>
    <row r="43849" customFormat="1" x14ac:dyDescent="0.3"/>
    <row r="43850" customFormat="1" x14ac:dyDescent="0.3"/>
    <row r="43851" customFormat="1" x14ac:dyDescent="0.3"/>
    <row r="43852" customFormat="1" x14ac:dyDescent="0.3"/>
    <row r="43853" customFormat="1" x14ac:dyDescent="0.3"/>
    <row r="43854" customFormat="1" x14ac:dyDescent="0.3"/>
    <row r="43855" customFormat="1" x14ac:dyDescent="0.3"/>
    <row r="43856" customFormat="1" x14ac:dyDescent="0.3"/>
    <row r="43857" customFormat="1" x14ac:dyDescent="0.3"/>
    <row r="43858" customFormat="1" x14ac:dyDescent="0.3"/>
    <row r="43859" customFormat="1" x14ac:dyDescent="0.3"/>
    <row r="43860" customFormat="1" x14ac:dyDescent="0.3"/>
    <row r="43861" customFormat="1" x14ac:dyDescent="0.3"/>
    <row r="43862" customFormat="1" x14ac:dyDescent="0.3"/>
    <row r="43863" customFormat="1" x14ac:dyDescent="0.3"/>
    <row r="43864" customFormat="1" x14ac:dyDescent="0.3"/>
    <row r="43865" customFormat="1" x14ac:dyDescent="0.3"/>
    <row r="43866" customFormat="1" x14ac:dyDescent="0.3"/>
    <row r="43867" customFormat="1" x14ac:dyDescent="0.3"/>
    <row r="43868" customFormat="1" x14ac:dyDescent="0.3"/>
    <row r="43869" customFormat="1" x14ac:dyDescent="0.3"/>
    <row r="43870" customFormat="1" x14ac:dyDescent="0.3"/>
    <row r="43871" customFormat="1" x14ac:dyDescent="0.3"/>
    <row r="43872" customFormat="1" x14ac:dyDescent="0.3"/>
    <row r="43873" customFormat="1" x14ac:dyDescent="0.3"/>
    <row r="43874" customFormat="1" x14ac:dyDescent="0.3"/>
    <row r="43875" customFormat="1" x14ac:dyDescent="0.3"/>
    <row r="43876" customFormat="1" x14ac:dyDescent="0.3"/>
    <row r="43877" customFormat="1" x14ac:dyDescent="0.3"/>
    <row r="43878" customFormat="1" x14ac:dyDescent="0.3"/>
    <row r="43879" customFormat="1" x14ac:dyDescent="0.3"/>
    <row r="43880" customFormat="1" x14ac:dyDescent="0.3"/>
    <row r="43881" customFormat="1" x14ac:dyDescent="0.3"/>
    <row r="43882" customFormat="1" x14ac:dyDescent="0.3"/>
    <row r="43883" customFormat="1" x14ac:dyDescent="0.3"/>
    <row r="43884" customFormat="1" x14ac:dyDescent="0.3"/>
    <row r="43885" customFormat="1" x14ac:dyDescent="0.3"/>
    <row r="43886" customFormat="1" x14ac:dyDescent="0.3"/>
    <row r="43887" customFormat="1" x14ac:dyDescent="0.3"/>
    <row r="43888" customFormat="1" x14ac:dyDescent="0.3"/>
    <row r="43889" customFormat="1" x14ac:dyDescent="0.3"/>
    <row r="43890" customFormat="1" x14ac:dyDescent="0.3"/>
    <row r="43891" customFormat="1" x14ac:dyDescent="0.3"/>
    <row r="43892" customFormat="1" x14ac:dyDescent="0.3"/>
    <row r="43893" customFormat="1" x14ac:dyDescent="0.3"/>
    <row r="43894" customFormat="1" x14ac:dyDescent="0.3"/>
    <row r="43895" customFormat="1" x14ac:dyDescent="0.3"/>
    <row r="43896" customFormat="1" x14ac:dyDescent="0.3"/>
    <row r="43897" customFormat="1" x14ac:dyDescent="0.3"/>
    <row r="43898" customFormat="1" x14ac:dyDescent="0.3"/>
    <row r="43899" customFormat="1" x14ac:dyDescent="0.3"/>
    <row r="43900" customFormat="1" x14ac:dyDescent="0.3"/>
    <row r="43901" customFormat="1" x14ac:dyDescent="0.3"/>
    <row r="43902" customFormat="1" x14ac:dyDescent="0.3"/>
    <row r="43903" customFormat="1" x14ac:dyDescent="0.3"/>
    <row r="43904" customFormat="1" x14ac:dyDescent="0.3"/>
    <row r="43905" customFormat="1" x14ac:dyDescent="0.3"/>
    <row r="43906" customFormat="1" x14ac:dyDescent="0.3"/>
    <row r="43907" customFormat="1" x14ac:dyDescent="0.3"/>
    <row r="43908" customFormat="1" x14ac:dyDescent="0.3"/>
    <row r="43909" customFormat="1" x14ac:dyDescent="0.3"/>
    <row r="43910" customFormat="1" x14ac:dyDescent="0.3"/>
    <row r="43911" customFormat="1" x14ac:dyDescent="0.3"/>
    <row r="43912" customFormat="1" x14ac:dyDescent="0.3"/>
    <row r="43913" customFormat="1" x14ac:dyDescent="0.3"/>
    <row r="43914" customFormat="1" x14ac:dyDescent="0.3"/>
    <row r="43915" customFormat="1" x14ac:dyDescent="0.3"/>
    <row r="43916" customFormat="1" x14ac:dyDescent="0.3"/>
    <row r="43917" customFormat="1" x14ac:dyDescent="0.3"/>
    <row r="43918" customFormat="1" x14ac:dyDescent="0.3"/>
    <row r="43919" customFormat="1" x14ac:dyDescent="0.3"/>
    <row r="43920" customFormat="1" x14ac:dyDescent="0.3"/>
    <row r="43921" customFormat="1" x14ac:dyDescent="0.3"/>
    <row r="43922" customFormat="1" x14ac:dyDescent="0.3"/>
    <row r="43923" customFormat="1" x14ac:dyDescent="0.3"/>
    <row r="43924" customFormat="1" x14ac:dyDescent="0.3"/>
    <row r="43925" customFormat="1" x14ac:dyDescent="0.3"/>
    <row r="43926" customFormat="1" x14ac:dyDescent="0.3"/>
    <row r="43927" customFormat="1" x14ac:dyDescent="0.3"/>
    <row r="43928" customFormat="1" x14ac:dyDescent="0.3"/>
    <row r="43929" customFormat="1" x14ac:dyDescent="0.3"/>
    <row r="43930" customFormat="1" x14ac:dyDescent="0.3"/>
    <row r="43931" customFormat="1" x14ac:dyDescent="0.3"/>
    <row r="43932" customFormat="1" x14ac:dyDescent="0.3"/>
    <row r="43933" customFormat="1" x14ac:dyDescent="0.3"/>
    <row r="43934" customFormat="1" x14ac:dyDescent="0.3"/>
    <row r="43935" customFormat="1" x14ac:dyDescent="0.3"/>
    <row r="43936" customFormat="1" x14ac:dyDescent="0.3"/>
    <row r="43937" customFormat="1" x14ac:dyDescent="0.3"/>
    <row r="43938" customFormat="1" x14ac:dyDescent="0.3"/>
    <row r="43939" customFormat="1" x14ac:dyDescent="0.3"/>
    <row r="43940" customFormat="1" x14ac:dyDescent="0.3"/>
    <row r="43941" customFormat="1" x14ac:dyDescent="0.3"/>
    <row r="43942" customFormat="1" x14ac:dyDescent="0.3"/>
    <row r="43943" customFormat="1" x14ac:dyDescent="0.3"/>
    <row r="43944" customFormat="1" x14ac:dyDescent="0.3"/>
    <row r="43945" customFormat="1" x14ac:dyDescent="0.3"/>
    <row r="43946" customFormat="1" x14ac:dyDescent="0.3"/>
    <row r="43947" customFormat="1" x14ac:dyDescent="0.3"/>
    <row r="43948" customFormat="1" x14ac:dyDescent="0.3"/>
    <row r="43949" customFormat="1" x14ac:dyDescent="0.3"/>
    <row r="43950" customFormat="1" x14ac:dyDescent="0.3"/>
    <row r="43951" customFormat="1" x14ac:dyDescent="0.3"/>
    <row r="43952" customFormat="1" x14ac:dyDescent="0.3"/>
    <row r="43953" customFormat="1" x14ac:dyDescent="0.3"/>
    <row r="43954" customFormat="1" x14ac:dyDescent="0.3"/>
    <row r="43955" customFormat="1" x14ac:dyDescent="0.3"/>
    <row r="43956" customFormat="1" x14ac:dyDescent="0.3"/>
    <row r="43957" customFormat="1" x14ac:dyDescent="0.3"/>
    <row r="43958" customFormat="1" x14ac:dyDescent="0.3"/>
    <row r="43959" customFormat="1" x14ac:dyDescent="0.3"/>
    <row r="43960" customFormat="1" x14ac:dyDescent="0.3"/>
    <row r="43961" customFormat="1" x14ac:dyDescent="0.3"/>
    <row r="43962" customFormat="1" x14ac:dyDescent="0.3"/>
    <row r="43963" customFormat="1" x14ac:dyDescent="0.3"/>
    <row r="43964" customFormat="1" x14ac:dyDescent="0.3"/>
    <row r="43965" customFormat="1" x14ac:dyDescent="0.3"/>
    <row r="43966" customFormat="1" x14ac:dyDescent="0.3"/>
    <row r="43967" customFormat="1" x14ac:dyDescent="0.3"/>
    <row r="43968" customFormat="1" x14ac:dyDescent="0.3"/>
    <row r="43969" customFormat="1" x14ac:dyDescent="0.3"/>
    <row r="43970" customFormat="1" x14ac:dyDescent="0.3"/>
    <row r="43971" customFormat="1" x14ac:dyDescent="0.3"/>
    <row r="43972" customFormat="1" x14ac:dyDescent="0.3"/>
    <row r="43973" customFormat="1" x14ac:dyDescent="0.3"/>
    <row r="43974" customFormat="1" x14ac:dyDescent="0.3"/>
    <row r="43975" customFormat="1" x14ac:dyDescent="0.3"/>
    <row r="43976" customFormat="1" x14ac:dyDescent="0.3"/>
    <row r="43977" customFormat="1" x14ac:dyDescent="0.3"/>
    <row r="43978" customFormat="1" x14ac:dyDescent="0.3"/>
    <row r="43979" customFormat="1" x14ac:dyDescent="0.3"/>
    <row r="43980" customFormat="1" x14ac:dyDescent="0.3"/>
    <row r="43981" customFormat="1" x14ac:dyDescent="0.3"/>
    <row r="43982" customFormat="1" x14ac:dyDescent="0.3"/>
    <row r="43983" customFormat="1" x14ac:dyDescent="0.3"/>
    <row r="43984" customFormat="1" x14ac:dyDescent="0.3"/>
    <row r="43985" customFormat="1" x14ac:dyDescent="0.3"/>
    <row r="43986" customFormat="1" x14ac:dyDescent="0.3"/>
    <row r="43987" customFormat="1" x14ac:dyDescent="0.3"/>
    <row r="43988" customFormat="1" x14ac:dyDescent="0.3"/>
    <row r="43989" customFormat="1" x14ac:dyDescent="0.3"/>
    <row r="43990" customFormat="1" x14ac:dyDescent="0.3"/>
    <row r="43991" customFormat="1" x14ac:dyDescent="0.3"/>
    <row r="43992" customFormat="1" x14ac:dyDescent="0.3"/>
    <row r="43993" customFormat="1" x14ac:dyDescent="0.3"/>
    <row r="43994" customFormat="1" x14ac:dyDescent="0.3"/>
    <row r="43995" customFormat="1" x14ac:dyDescent="0.3"/>
    <row r="43996" customFormat="1" x14ac:dyDescent="0.3"/>
    <row r="43997" customFormat="1" x14ac:dyDescent="0.3"/>
    <row r="43998" customFormat="1" x14ac:dyDescent="0.3"/>
    <row r="43999" customFormat="1" x14ac:dyDescent="0.3"/>
    <row r="44000" customFormat="1" x14ac:dyDescent="0.3"/>
    <row r="44001" customFormat="1" x14ac:dyDescent="0.3"/>
    <row r="44002" customFormat="1" x14ac:dyDescent="0.3"/>
    <row r="44003" customFormat="1" x14ac:dyDescent="0.3"/>
    <row r="44004" customFormat="1" x14ac:dyDescent="0.3"/>
    <row r="44005" customFormat="1" x14ac:dyDescent="0.3"/>
    <row r="44006" customFormat="1" x14ac:dyDescent="0.3"/>
    <row r="44007" customFormat="1" x14ac:dyDescent="0.3"/>
    <row r="44008" customFormat="1" x14ac:dyDescent="0.3"/>
    <row r="44009" customFormat="1" x14ac:dyDescent="0.3"/>
    <row r="44010" customFormat="1" x14ac:dyDescent="0.3"/>
    <row r="44011" customFormat="1" x14ac:dyDescent="0.3"/>
    <row r="44012" customFormat="1" x14ac:dyDescent="0.3"/>
    <row r="44013" customFormat="1" x14ac:dyDescent="0.3"/>
    <row r="44014" customFormat="1" x14ac:dyDescent="0.3"/>
    <row r="44015" customFormat="1" x14ac:dyDescent="0.3"/>
    <row r="44016" customFormat="1" x14ac:dyDescent="0.3"/>
    <row r="44017" customFormat="1" x14ac:dyDescent="0.3"/>
    <row r="44018" customFormat="1" x14ac:dyDescent="0.3"/>
    <row r="44019" customFormat="1" x14ac:dyDescent="0.3"/>
    <row r="44020" customFormat="1" x14ac:dyDescent="0.3"/>
    <row r="44021" customFormat="1" x14ac:dyDescent="0.3"/>
    <row r="44022" customFormat="1" x14ac:dyDescent="0.3"/>
    <row r="44023" customFormat="1" x14ac:dyDescent="0.3"/>
    <row r="44024" customFormat="1" x14ac:dyDescent="0.3"/>
    <row r="44025" customFormat="1" x14ac:dyDescent="0.3"/>
    <row r="44026" customFormat="1" x14ac:dyDescent="0.3"/>
    <row r="44027" customFormat="1" x14ac:dyDescent="0.3"/>
    <row r="44028" customFormat="1" x14ac:dyDescent="0.3"/>
    <row r="44029" customFormat="1" x14ac:dyDescent="0.3"/>
    <row r="44030" customFormat="1" x14ac:dyDescent="0.3"/>
    <row r="44031" customFormat="1" x14ac:dyDescent="0.3"/>
    <row r="44032" customFormat="1" x14ac:dyDescent="0.3"/>
    <row r="44033" customFormat="1" x14ac:dyDescent="0.3"/>
    <row r="44034" customFormat="1" x14ac:dyDescent="0.3"/>
    <row r="44035" customFormat="1" x14ac:dyDescent="0.3"/>
    <row r="44036" customFormat="1" x14ac:dyDescent="0.3"/>
    <row r="44037" customFormat="1" x14ac:dyDescent="0.3"/>
    <row r="44038" customFormat="1" x14ac:dyDescent="0.3"/>
    <row r="44039" customFormat="1" x14ac:dyDescent="0.3"/>
    <row r="44040" customFormat="1" x14ac:dyDescent="0.3"/>
    <row r="44041" customFormat="1" x14ac:dyDescent="0.3"/>
    <row r="44042" customFormat="1" x14ac:dyDescent="0.3"/>
    <row r="44043" customFormat="1" x14ac:dyDescent="0.3"/>
    <row r="44044" customFormat="1" x14ac:dyDescent="0.3"/>
    <row r="44045" customFormat="1" x14ac:dyDescent="0.3"/>
    <row r="44046" customFormat="1" x14ac:dyDescent="0.3"/>
    <row r="44047" customFormat="1" x14ac:dyDescent="0.3"/>
    <row r="44048" customFormat="1" x14ac:dyDescent="0.3"/>
    <row r="44049" customFormat="1" x14ac:dyDescent="0.3"/>
    <row r="44050" customFormat="1" x14ac:dyDescent="0.3"/>
    <row r="44051" customFormat="1" x14ac:dyDescent="0.3"/>
    <row r="44052" customFormat="1" x14ac:dyDescent="0.3"/>
    <row r="44053" customFormat="1" x14ac:dyDescent="0.3"/>
    <row r="44054" customFormat="1" x14ac:dyDescent="0.3"/>
    <row r="44055" customFormat="1" x14ac:dyDescent="0.3"/>
    <row r="44056" customFormat="1" x14ac:dyDescent="0.3"/>
    <row r="44057" customFormat="1" x14ac:dyDescent="0.3"/>
    <row r="44058" customFormat="1" x14ac:dyDescent="0.3"/>
    <row r="44059" customFormat="1" x14ac:dyDescent="0.3"/>
    <row r="44060" customFormat="1" x14ac:dyDescent="0.3"/>
    <row r="44061" customFormat="1" x14ac:dyDescent="0.3"/>
    <row r="44062" customFormat="1" x14ac:dyDescent="0.3"/>
    <row r="44063" customFormat="1" x14ac:dyDescent="0.3"/>
    <row r="44064" customFormat="1" x14ac:dyDescent="0.3"/>
    <row r="44065" customFormat="1" x14ac:dyDescent="0.3"/>
    <row r="44066" customFormat="1" x14ac:dyDescent="0.3"/>
    <row r="44067" customFormat="1" x14ac:dyDescent="0.3"/>
    <row r="44068" customFormat="1" x14ac:dyDescent="0.3"/>
    <row r="44069" customFormat="1" x14ac:dyDescent="0.3"/>
    <row r="44070" customFormat="1" x14ac:dyDescent="0.3"/>
    <row r="44071" customFormat="1" x14ac:dyDescent="0.3"/>
    <row r="44072" customFormat="1" x14ac:dyDescent="0.3"/>
    <row r="44073" customFormat="1" x14ac:dyDescent="0.3"/>
    <row r="44074" customFormat="1" x14ac:dyDescent="0.3"/>
    <row r="44075" customFormat="1" x14ac:dyDescent="0.3"/>
    <row r="44076" customFormat="1" x14ac:dyDescent="0.3"/>
    <row r="44077" customFormat="1" x14ac:dyDescent="0.3"/>
    <row r="44078" customFormat="1" x14ac:dyDescent="0.3"/>
    <row r="44079" customFormat="1" x14ac:dyDescent="0.3"/>
    <row r="44080" customFormat="1" x14ac:dyDescent="0.3"/>
    <row r="44081" customFormat="1" x14ac:dyDescent="0.3"/>
    <row r="44082" customFormat="1" x14ac:dyDescent="0.3"/>
    <row r="44083" customFormat="1" x14ac:dyDescent="0.3"/>
    <row r="44084" customFormat="1" x14ac:dyDescent="0.3"/>
    <row r="44085" customFormat="1" x14ac:dyDescent="0.3"/>
    <row r="44086" customFormat="1" x14ac:dyDescent="0.3"/>
    <row r="44087" customFormat="1" x14ac:dyDescent="0.3"/>
    <row r="44088" customFormat="1" x14ac:dyDescent="0.3"/>
    <row r="44089" customFormat="1" x14ac:dyDescent="0.3"/>
    <row r="44090" customFormat="1" x14ac:dyDescent="0.3"/>
    <row r="44091" customFormat="1" x14ac:dyDescent="0.3"/>
    <row r="44092" customFormat="1" x14ac:dyDescent="0.3"/>
    <row r="44093" customFormat="1" x14ac:dyDescent="0.3"/>
    <row r="44094" customFormat="1" x14ac:dyDescent="0.3"/>
    <row r="44095" customFormat="1" x14ac:dyDescent="0.3"/>
    <row r="44096" customFormat="1" x14ac:dyDescent="0.3"/>
    <row r="44097" customFormat="1" x14ac:dyDescent="0.3"/>
    <row r="44098" customFormat="1" x14ac:dyDescent="0.3"/>
    <row r="44099" customFormat="1" x14ac:dyDescent="0.3"/>
    <row r="44100" customFormat="1" x14ac:dyDescent="0.3"/>
    <row r="44101" customFormat="1" x14ac:dyDescent="0.3"/>
    <row r="44102" customFormat="1" x14ac:dyDescent="0.3"/>
    <row r="44103" customFormat="1" x14ac:dyDescent="0.3"/>
    <row r="44104" customFormat="1" x14ac:dyDescent="0.3"/>
    <row r="44105" customFormat="1" x14ac:dyDescent="0.3"/>
    <row r="44106" customFormat="1" x14ac:dyDescent="0.3"/>
    <row r="44107" customFormat="1" x14ac:dyDescent="0.3"/>
    <row r="44108" customFormat="1" x14ac:dyDescent="0.3"/>
    <row r="44109" customFormat="1" x14ac:dyDescent="0.3"/>
    <row r="44110" customFormat="1" x14ac:dyDescent="0.3"/>
    <row r="44111" customFormat="1" x14ac:dyDescent="0.3"/>
    <row r="44112" customFormat="1" x14ac:dyDescent="0.3"/>
    <row r="44113" customFormat="1" x14ac:dyDescent="0.3"/>
    <row r="44114" customFormat="1" x14ac:dyDescent="0.3"/>
    <row r="44115" customFormat="1" x14ac:dyDescent="0.3"/>
    <row r="44116" customFormat="1" x14ac:dyDescent="0.3"/>
    <row r="44117" customFormat="1" x14ac:dyDescent="0.3"/>
    <row r="44118" customFormat="1" x14ac:dyDescent="0.3"/>
    <row r="44119" customFormat="1" x14ac:dyDescent="0.3"/>
    <row r="44120" customFormat="1" x14ac:dyDescent="0.3"/>
    <row r="44121" customFormat="1" x14ac:dyDescent="0.3"/>
    <row r="44122" customFormat="1" x14ac:dyDescent="0.3"/>
    <row r="44123" customFormat="1" x14ac:dyDescent="0.3"/>
    <row r="44124" customFormat="1" x14ac:dyDescent="0.3"/>
    <row r="44125" customFormat="1" x14ac:dyDescent="0.3"/>
    <row r="44126" customFormat="1" x14ac:dyDescent="0.3"/>
    <row r="44127" customFormat="1" x14ac:dyDescent="0.3"/>
    <row r="44128" customFormat="1" x14ac:dyDescent="0.3"/>
    <row r="44129" customFormat="1" x14ac:dyDescent="0.3"/>
    <row r="44130" customFormat="1" x14ac:dyDescent="0.3"/>
    <row r="44131" customFormat="1" x14ac:dyDescent="0.3"/>
    <row r="44132" customFormat="1" x14ac:dyDescent="0.3"/>
    <row r="44133" customFormat="1" x14ac:dyDescent="0.3"/>
    <row r="44134" customFormat="1" x14ac:dyDescent="0.3"/>
    <row r="44135" customFormat="1" x14ac:dyDescent="0.3"/>
    <row r="44136" customFormat="1" x14ac:dyDescent="0.3"/>
    <row r="44137" customFormat="1" x14ac:dyDescent="0.3"/>
    <row r="44138" customFormat="1" x14ac:dyDescent="0.3"/>
    <row r="44139" customFormat="1" x14ac:dyDescent="0.3"/>
    <row r="44140" customFormat="1" x14ac:dyDescent="0.3"/>
    <row r="44141" customFormat="1" x14ac:dyDescent="0.3"/>
    <row r="44142" customFormat="1" x14ac:dyDescent="0.3"/>
    <row r="44143" customFormat="1" x14ac:dyDescent="0.3"/>
    <row r="44144" customFormat="1" x14ac:dyDescent="0.3"/>
    <row r="44145" customFormat="1" x14ac:dyDescent="0.3"/>
    <row r="44146" customFormat="1" x14ac:dyDescent="0.3"/>
    <row r="44147" customFormat="1" x14ac:dyDescent="0.3"/>
    <row r="44148" customFormat="1" x14ac:dyDescent="0.3"/>
    <row r="44149" customFormat="1" x14ac:dyDescent="0.3"/>
    <row r="44150" customFormat="1" x14ac:dyDescent="0.3"/>
    <row r="44151" customFormat="1" x14ac:dyDescent="0.3"/>
    <row r="44152" customFormat="1" x14ac:dyDescent="0.3"/>
    <row r="44153" customFormat="1" x14ac:dyDescent="0.3"/>
    <row r="44154" customFormat="1" x14ac:dyDescent="0.3"/>
    <row r="44155" customFormat="1" x14ac:dyDescent="0.3"/>
    <row r="44156" customFormat="1" x14ac:dyDescent="0.3"/>
    <row r="44157" customFormat="1" x14ac:dyDescent="0.3"/>
    <row r="44158" customFormat="1" x14ac:dyDescent="0.3"/>
    <row r="44159" customFormat="1" x14ac:dyDescent="0.3"/>
    <row r="44160" customFormat="1" x14ac:dyDescent="0.3"/>
    <row r="44161" customFormat="1" x14ac:dyDescent="0.3"/>
    <row r="44162" customFormat="1" x14ac:dyDescent="0.3"/>
    <row r="44163" customFormat="1" x14ac:dyDescent="0.3"/>
    <row r="44164" customFormat="1" x14ac:dyDescent="0.3"/>
    <row r="44165" customFormat="1" x14ac:dyDescent="0.3"/>
    <row r="44166" customFormat="1" x14ac:dyDescent="0.3"/>
    <row r="44167" customFormat="1" x14ac:dyDescent="0.3"/>
    <row r="44168" customFormat="1" x14ac:dyDescent="0.3"/>
    <row r="44169" customFormat="1" x14ac:dyDescent="0.3"/>
    <row r="44170" customFormat="1" x14ac:dyDescent="0.3"/>
    <row r="44171" customFormat="1" x14ac:dyDescent="0.3"/>
    <row r="44172" customFormat="1" x14ac:dyDescent="0.3"/>
    <row r="44173" customFormat="1" x14ac:dyDescent="0.3"/>
    <row r="44174" customFormat="1" x14ac:dyDescent="0.3"/>
    <row r="44175" customFormat="1" x14ac:dyDescent="0.3"/>
    <row r="44176" customFormat="1" x14ac:dyDescent="0.3"/>
    <row r="44177" customFormat="1" x14ac:dyDescent="0.3"/>
    <row r="44178" customFormat="1" x14ac:dyDescent="0.3"/>
    <row r="44179" customFormat="1" x14ac:dyDescent="0.3"/>
    <row r="44180" customFormat="1" x14ac:dyDescent="0.3"/>
    <row r="44181" customFormat="1" x14ac:dyDescent="0.3"/>
    <row r="44182" customFormat="1" x14ac:dyDescent="0.3"/>
    <row r="44183" customFormat="1" x14ac:dyDescent="0.3"/>
    <row r="44184" customFormat="1" x14ac:dyDescent="0.3"/>
    <row r="44185" customFormat="1" x14ac:dyDescent="0.3"/>
    <row r="44186" customFormat="1" x14ac:dyDescent="0.3"/>
    <row r="44187" customFormat="1" x14ac:dyDescent="0.3"/>
    <row r="44188" customFormat="1" x14ac:dyDescent="0.3"/>
    <row r="44189" customFormat="1" x14ac:dyDescent="0.3"/>
    <row r="44190" customFormat="1" x14ac:dyDescent="0.3"/>
    <row r="44191" customFormat="1" x14ac:dyDescent="0.3"/>
    <row r="44192" customFormat="1" x14ac:dyDescent="0.3"/>
    <row r="44193" customFormat="1" x14ac:dyDescent="0.3"/>
    <row r="44194" customFormat="1" x14ac:dyDescent="0.3"/>
    <row r="44195" customFormat="1" x14ac:dyDescent="0.3"/>
    <row r="44196" customFormat="1" x14ac:dyDescent="0.3"/>
    <row r="44197" customFormat="1" x14ac:dyDescent="0.3"/>
    <row r="44198" customFormat="1" x14ac:dyDescent="0.3"/>
    <row r="44199" customFormat="1" x14ac:dyDescent="0.3"/>
    <row r="44200" customFormat="1" x14ac:dyDescent="0.3"/>
    <row r="44201" customFormat="1" x14ac:dyDescent="0.3"/>
    <row r="44202" customFormat="1" x14ac:dyDescent="0.3"/>
    <row r="44203" customFormat="1" x14ac:dyDescent="0.3"/>
    <row r="44204" customFormat="1" x14ac:dyDescent="0.3"/>
    <row r="44205" customFormat="1" x14ac:dyDescent="0.3"/>
    <row r="44206" customFormat="1" x14ac:dyDescent="0.3"/>
    <row r="44207" customFormat="1" x14ac:dyDescent="0.3"/>
    <row r="44208" customFormat="1" x14ac:dyDescent="0.3"/>
    <row r="44209" customFormat="1" x14ac:dyDescent="0.3"/>
    <row r="44210" customFormat="1" x14ac:dyDescent="0.3"/>
    <row r="44211" customFormat="1" x14ac:dyDescent="0.3"/>
    <row r="44212" customFormat="1" x14ac:dyDescent="0.3"/>
    <row r="44213" customFormat="1" x14ac:dyDescent="0.3"/>
    <row r="44214" customFormat="1" x14ac:dyDescent="0.3"/>
    <row r="44215" customFormat="1" x14ac:dyDescent="0.3"/>
    <row r="44216" customFormat="1" x14ac:dyDescent="0.3"/>
    <row r="44217" customFormat="1" x14ac:dyDescent="0.3"/>
    <row r="44218" customFormat="1" x14ac:dyDescent="0.3"/>
    <row r="44219" customFormat="1" x14ac:dyDescent="0.3"/>
    <row r="44220" customFormat="1" x14ac:dyDescent="0.3"/>
    <row r="44221" customFormat="1" x14ac:dyDescent="0.3"/>
    <row r="44222" customFormat="1" x14ac:dyDescent="0.3"/>
    <row r="44223" customFormat="1" x14ac:dyDescent="0.3"/>
    <row r="44224" customFormat="1" x14ac:dyDescent="0.3"/>
    <row r="44225" customFormat="1" x14ac:dyDescent="0.3"/>
    <row r="44226" customFormat="1" x14ac:dyDescent="0.3"/>
    <row r="44227" customFormat="1" x14ac:dyDescent="0.3"/>
    <row r="44228" customFormat="1" x14ac:dyDescent="0.3"/>
    <row r="44229" customFormat="1" x14ac:dyDescent="0.3"/>
    <row r="44230" customFormat="1" x14ac:dyDescent="0.3"/>
    <row r="44231" customFormat="1" x14ac:dyDescent="0.3"/>
    <row r="44232" customFormat="1" x14ac:dyDescent="0.3"/>
    <row r="44233" customFormat="1" x14ac:dyDescent="0.3"/>
    <row r="44234" customFormat="1" x14ac:dyDescent="0.3"/>
    <row r="44235" customFormat="1" x14ac:dyDescent="0.3"/>
    <row r="44236" customFormat="1" x14ac:dyDescent="0.3"/>
    <row r="44237" customFormat="1" x14ac:dyDescent="0.3"/>
    <row r="44238" customFormat="1" x14ac:dyDescent="0.3"/>
    <row r="44239" customFormat="1" x14ac:dyDescent="0.3"/>
    <row r="44240" customFormat="1" x14ac:dyDescent="0.3"/>
    <row r="44241" customFormat="1" x14ac:dyDescent="0.3"/>
    <row r="44242" customFormat="1" x14ac:dyDescent="0.3"/>
    <row r="44243" customFormat="1" x14ac:dyDescent="0.3"/>
    <row r="44244" customFormat="1" x14ac:dyDescent="0.3"/>
    <row r="44245" customFormat="1" x14ac:dyDescent="0.3"/>
    <row r="44246" customFormat="1" x14ac:dyDescent="0.3"/>
    <row r="44247" customFormat="1" x14ac:dyDescent="0.3"/>
    <row r="44248" customFormat="1" x14ac:dyDescent="0.3"/>
    <row r="44249" customFormat="1" x14ac:dyDescent="0.3"/>
    <row r="44250" customFormat="1" x14ac:dyDescent="0.3"/>
    <row r="44251" customFormat="1" x14ac:dyDescent="0.3"/>
    <row r="44252" customFormat="1" x14ac:dyDescent="0.3"/>
    <row r="44253" customFormat="1" x14ac:dyDescent="0.3"/>
    <row r="44254" customFormat="1" x14ac:dyDescent="0.3"/>
    <row r="44255" customFormat="1" x14ac:dyDescent="0.3"/>
    <row r="44256" customFormat="1" x14ac:dyDescent="0.3"/>
    <row r="44257" customFormat="1" x14ac:dyDescent="0.3"/>
    <row r="44258" customFormat="1" x14ac:dyDescent="0.3"/>
    <row r="44259" customFormat="1" x14ac:dyDescent="0.3"/>
    <row r="44260" customFormat="1" x14ac:dyDescent="0.3"/>
    <row r="44261" customFormat="1" x14ac:dyDescent="0.3"/>
    <row r="44262" customFormat="1" x14ac:dyDescent="0.3"/>
    <row r="44263" customFormat="1" x14ac:dyDescent="0.3"/>
    <row r="44264" customFormat="1" x14ac:dyDescent="0.3"/>
    <row r="44265" customFormat="1" x14ac:dyDescent="0.3"/>
    <row r="44266" customFormat="1" x14ac:dyDescent="0.3"/>
    <row r="44267" customFormat="1" x14ac:dyDescent="0.3"/>
    <row r="44268" customFormat="1" x14ac:dyDescent="0.3"/>
    <row r="44269" customFormat="1" x14ac:dyDescent="0.3"/>
    <row r="44270" customFormat="1" x14ac:dyDescent="0.3"/>
    <row r="44271" customFormat="1" x14ac:dyDescent="0.3"/>
    <row r="44272" customFormat="1" x14ac:dyDescent="0.3"/>
    <row r="44273" customFormat="1" x14ac:dyDescent="0.3"/>
    <row r="44274" customFormat="1" x14ac:dyDescent="0.3"/>
    <row r="44275" customFormat="1" x14ac:dyDescent="0.3"/>
    <row r="44276" customFormat="1" x14ac:dyDescent="0.3"/>
    <row r="44277" customFormat="1" x14ac:dyDescent="0.3"/>
    <row r="44278" customFormat="1" x14ac:dyDescent="0.3"/>
    <row r="44279" customFormat="1" x14ac:dyDescent="0.3"/>
    <row r="44280" customFormat="1" x14ac:dyDescent="0.3"/>
    <row r="44281" customFormat="1" x14ac:dyDescent="0.3"/>
    <row r="44282" customFormat="1" x14ac:dyDescent="0.3"/>
    <row r="44283" customFormat="1" x14ac:dyDescent="0.3"/>
    <row r="44284" customFormat="1" x14ac:dyDescent="0.3"/>
    <row r="44285" customFormat="1" x14ac:dyDescent="0.3"/>
    <row r="44286" customFormat="1" x14ac:dyDescent="0.3"/>
    <row r="44287" customFormat="1" x14ac:dyDescent="0.3"/>
    <row r="44288" customFormat="1" x14ac:dyDescent="0.3"/>
    <row r="44289" customFormat="1" x14ac:dyDescent="0.3"/>
    <row r="44290" customFormat="1" x14ac:dyDescent="0.3"/>
    <row r="44291" customFormat="1" x14ac:dyDescent="0.3"/>
    <row r="44292" customFormat="1" x14ac:dyDescent="0.3"/>
    <row r="44293" customFormat="1" x14ac:dyDescent="0.3"/>
    <row r="44294" customFormat="1" x14ac:dyDescent="0.3"/>
    <row r="44295" customFormat="1" x14ac:dyDescent="0.3"/>
    <row r="44296" customFormat="1" x14ac:dyDescent="0.3"/>
    <row r="44297" customFormat="1" x14ac:dyDescent="0.3"/>
    <row r="44298" customFormat="1" x14ac:dyDescent="0.3"/>
    <row r="44299" customFormat="1" x14ac:dyDescent="0.3"/>
    <row r="44300" customFormat="1" x14ac:dyDescent="0.3"/>
    <row r="44301" customFormat="1" x14ac:dyDescent="0.3"/>
    <row r="44302" customFormat="1" x14ac:dyDescent="0.3"/>
    <row r="44303" customFormat="1" x14ac:dyDescent="0.3"/>
    <row r="44304" customFormat="1" x14ac:dyDescent="0.3"/>
    <row r="44305" customFormat="1" x14ac:dyDescent="0.3"/>
    <row r="44306" customFormat="1" x14ac:dyDescent="0.3"/>
    <row r="44307" customFormat="1" x14ac:dyDescent="0.3"/>
    <row r="44308" customFormat="1" x14ac:dyDescent="0.3"/>
    <row r="44309" customFormat="1" x14ac:dyDescent="0.3"/>
    <row r="44310" customFormat="1" x14ac:dyDescent="0.3"/>
    <row r="44311" customFormat="1" x14ac:dyDescent="0.3"/>
    <row r="44312" customFormat="1" x14ac:dyDescent="0.3"/>
    <row r="44313" customFormat="1" x14ac:dyDescent="0.3"/>
    <row r="44314" customFormat="1" x14ac:dyDescent="0.3"/>
    <row r="44315" customFormat="1" x14ac:dyDescent="0.3"/>
    <row r="44316" customFormat="1" x14ac:dyDescent="0.3"/>
    <row r="44317" customFormat="1" x14ac:dyDescent="0.3"/>
    <row r="44318" customFormat="1" x14ac:dyDescent="0.3"/>
    <row r="44319" customFormat="1" x14ac:dyDescent="0.3"/>
    <row r="44320" customFormat="1" x14ac:dyDescent="0.3"/>
    <row r="44321" customFormat="1" x14ac:dyDescent="0.3"/>
    <row r="44322" customFormat="1" x14ac:dyDescent="0.3"/>
    <row r="44323" customFormat="1" x14ac:dyDescent="0.3"/>
    <row r="44324" customFormat="1" x14ac:dyDescent="0.3"/>
    <row r="44325" customFormat="1" x14ac:dyDescent="0.3"/>
    <row r="44326" customFormat="1" x14ac:dyDescent="0.3"/>
    <row r="44327" customFormat="1" x14ac:dyDescent="0.3"/>
    <row r="44328" customFormat="1" x14ac:dyDescent="0.3"/>
    <row r="44329" customFormat="1" x14ac:dyDescent="0.3"/>
    <row r="44330" customFormat="1" x14ac:dyDescent="0.3"/>
    <row r="44331" customFormat="1" x14ac:dyDescent="0.3"/>
    <row r="44332" customFormat="1" x14ac:dyDescent="0.3"/>
    <row r="44333" customFormat="1" x14ac:dyDescent="0.3"/>
    <row r="44334" customFormat="1" x14ac:dyDescent="0.3"/>
    <row r="44335" customFormat="1" x14ac:dyDescent="0.3"/>
    <row r="44336" customFormat="1" x14ac:dyDescent="0.3"/>
    <row r="44337" customFormat="1" x14ac:dyDescent="0.3"/>
    <row r="44338" customFormat="1" x14ac:dyDescent="0.3"/>
    <row r="44339" customFormat="1" x14ac:dyDescent="0.3"/>
    <row r="44340" customFormat="1" x14ac:dyDescent="0.3"/>
    <row r="44341" customFormat="1" x14ac:dyDescent="0.3"/>
    <row r="44342" customFormat="1" x14ac:dyDescent="0.3"/>
    <row r="44343" customFormat="1" x14ac:dyDescent="0.3"/>
    <row r="44344" customFormat="1" x14ac:dyDescent="0.3"/>
    <row r="44345" customFormat="1" x14ac:dyDescent="0.3"/>
    <row r="44346" customFormat="1" x14ac:dyDescent="0.3"/>
    <row r="44347" customFormat="1" x14ac:dyDescent="0.3"/>
    <row r="44348" customFormat="1" x14ac:dyDescent="0.3"/>
    <row r="44349" customFormat="1" x14ac:dyDescent="0.3"/>
    <row r="44350" customFormat="1" x14ac:dyDescent="0.3"/>
    <row r="44351" customFormat="1" x14ac:dyDescent="0.3"/>
    <row r="44352" customFormat="1" x14ac:dyDescent="0.3"/>
    <row r="44353" customFormat="1" x14ac:dyDescent="0.3"/>
    <row r="44354" customFormat="1" x14ac:dyDescent="0.3"/>
    <row r="44355" customFormat="1" x14ac:dyDescent="0.3"/>
    <row r="44356" customFormat="1" x14ac:dyDescent="0.3"/>
    <row r="44357" customFormat="1" x14ac:dyDescent="0.3"/>
    <row r="44358" customFormat="1" x14ac:dyDescent="0.3"/>
    <row r="44359" customFormat="1" x14ac:dyDescent="0.3"/>
    <row r="44360" customFormat="1" x14ac:dyDescent="0.3"/>
    <row r="44361" customFormat="1" x14ac:dyDescent="0.3"/>
    <row r="44362" customFormat="1" x14ac:dyDescent="0.3"/>
    <row r="44363" customFormat="1" x14ac:dyDescent="0.3"/>
    <row r="44364" customFormat="1" x14ac:dyDescent="0.3"/>
    <row r="44365" customFormat="1" x14ac:dyDescent="0.3"/>
    <row r="44366" customFormat="1" x14ac:dyDescent="0.3"/>
    <row r="44367" customFormat="1" x14ac:dyDescent="0.3"/>
    <row r="44368" customFormat="1" x14ac:dyDescent="0.3"/>
    <row r="44369" customFormat="1" x14ac:dyDescent="0.3"/>
    <row r="44370" customFormat="1" x14ac:dyDescent="0.3"/>
    <row r="44371" customFormat="1" x14ac:dyDescent="0.3"/>
    <row r="44372" customFormat="1" x14ac:dyDescent="0.3"/>
    <row r="44373" customFormat="1" x14ac:dyDescent="0.3"/>
    <row r="44374" customFormat="1" x14ac:dyDescent="0.3"/>
    <row r="44375" customFormat="1" x14ac:dyDescent="0.3"/>
    <row r="44376" customFormat="1" x14ac:dyDescent="0.3"/>
    <row r="44377" customFormat="1" x14ac:dyDescent="0.3"/>
    <row r="44378" customFormat="1" x14ac:dyDescent="0.3"/>
    <row r="44379" customFormat="1" x14ac:dyDescent="0.3"/>
    <row r="44380" customFormat="1" x14ac:dyDescent="0.3"/>
    <row r="44381" customFormat="1" x14ac:dyDescent="0.3"/>
    <row r="44382" customFormat="1" x14ac:dyDescent="0.3"/>
    <row r="44383" customFormat="1" x14ac:dyDescent="0.3"/>
    <row r="44384" customFormat="1" x14ac:dyDescent="0.3"/>
    <row r="44385" customFormat="1" x14ac:dyDescent="0.3"/>
    <row r="44386" customFormat="1" x14ac:dyDescent="0.3"/>
    <row r="44387" customFormat="1" x14ac:dyDescent="0.3"/>
    <row r="44388" customFormat="1" x14ac:dyDescent="0.3"/>
    <row r="44389" customFormat="1" x14ac:dyDescent="0.3"/>
    <row r="44390" customFormat="1" x14ac:dyDescent="0.3"/>
    <row r="44391" customFormat="1" x14ac:dyDescent="0.3"/>
    <row r="44392" customFormat="1" x14ac:dyDescent="0.3"/>
    <row r="44393" customFormat="1" x14ac:dyDescent="0.3"/>
    <row r="44394" customFormat="1" x14ac:dyDescent="0.3"/>
    <row r="44395" customFormat="1" x14ac:dyDescent="0.3"/>
    <row r="44396" customFormat="1" x14ac:dyDescent="0.3"/>
    <row r="44397" customFormat="1" x14ac:dyDescent="0.3"/>
    <row r="44398" customFormat="1" x14ac:dyDescent="0.3"/>
    <row r="44399" customFormat="1" x14ac:dyDescent="0.3"/>
    <row r="44400" customFormat="1" x14ac:dyDescent="0.3"/>
    <row r="44401" customFormat="1" x14ac:dyDescent="0.3"/>
    <row r="44402" customFormat="1" x14ac:dyDescent="0.3"/>
    <row r="44403" customFormat="1" x14ac:dyDescent="0.3"/>
    <row r="44404" customFormat="1" x14ac:dyDescent="0.3"/>
    <row r="44405" customFormat="1" x14ac:dyDescent="0.3"/>
    <row r="44406" customFormat="1" x14ac:dyDescent="0.3"/>
    <row r="44407" customFormat="1" x14ac:dyDescent="0.3"/>
    <row r="44408" customFormat="1" x14ac:dyDescent="0.3"/>
    <row r="44409" customFormat="1" x14ac:dyDescent="0.3"/>
    <row r="44410" customFormat="1" x14ac:dyDescent="0.3"/>
    <row r="44411" customFormat="1" x14ac:dyDescent="0.3"/>
    <row r="44412" customFormat="1" x14ac:dyDescent="0.3"/>
    <row r="44413" customFormat="1" x14ac:dyDescent="0.3"/>
    <row r="44414" customFormat="1" x14ac:dyDescent="0.3"/>
    <row r="44415" customFormat="1" x14ac:dyDescent="0.3"/>
    <row r="44416" customFormat="1" x14ac:dyDescent="0.3"/>
    <row r="44417" customFormat="1" x14ac:dyDescent="0.3"/>
    <row r="44418" customFormat="1" x14ac:dyDescent="0.3"/>
    <row r="44419" customFormat="1" x14ac:dyDescent="0.3"/>
    <row r="44420" customFormat="1" x14ac:dyDescent="0.3"/>
    <row r="44421" customFormat="1" x14ac:dyDescent="0.3"/>
    <row r="44422" customFormat="1" x14ac:dyDescent="0.3"/>
    <row r="44423" customFormat="1" x14ac:dyDescent="0.3"/>
    <row r="44424" customFormat="1" x14ac:dyDescent="0.3"/>
    <row r="44425" customFormat="1" x14ac:dyDescent="0.3"/>
    <row r="44426" customFormat="1" x14ac:dyDescent="0.3"/>
    <row r="44427" customFormat="1" x14ac:dyDescent="0.3"/>
    <row r="44428" customFormat="1" x14ac:dyDescent="0.3"/>
    <row r="44429" customFormat="1" x14ac:dyDescent="0.3"/>
    <row r="44430" customFormat="1" x14ac:dyDescent="0.3"/>
    <row r="44431" customFormat="1" x14ac:dyDescent="0.3"/>
    <row r="44432" customFormat="1" x14ac:dyDescent="0.3"/>
    <row r="44433" customFormat="1" x14ac:dyDescent="0.3"/>
    <row r="44434" customFormat="1" x14ac:dyDescent="0.3"/>
    <row r="44435" customFormat="1" x14ac:dyDescent="0.3"/>
    <row r="44436" customFormat="1" x14ac:dyDescent="0.3"/>
    <row r="44437" customFormat="1" x14ac:dyDescent="0.3"/>
    <row r="44438" customFormat="1" x14ac:dyDescent="0.3"/>
    <row r="44439" customFormat="1" x14ac:dyDescent="0.3"/>
    <row r="44440" customFormat="1" x14ac:dyDescent="0.3"/>
    <row r="44441" customFormat="1" x14ac:dyDescent="0.3"/>
    <row r="44442" customFormat="1" x14ac:dyDescent="0.3"/>
    <row r="44443" customFormat="1" x14ac:dyDescent="0.3"/>
    <row r="44444" customFormat="1" x14ac:dyDescent="0.3"/>
    <row r="44445" customFormat="1" x14ac:dyDescent="0.3"/>
    <row r="44446" customFormat="1" x14ac:dyDescent="0.3"/>
    <row r="44447" customFormat="1" x14ac:dyDescent="0.3"/>
    <row r="44448" customFormat="1" x14ac:dyDescent="0.3"/>
    <row r="44449" customFormat="1" x14ac:dyDescent="0.3"/>
    <row r="44450" customFormat="1" x14ac:dyDescent="0.3"/>
    <row r="44451" customFormat="1" x14ac:dyDescent="0.3"/>
    <row r="44452" customFormat="1" x14ac:dyDescent="0.3"/>
    <row r="44453" customFormat="1" x14ac:dyDescent="0.3"/>
    <row r="44454" customFormat="1" x14ac:dyDescent="0.3"/>
    <row r="44455" customFormat="1" x14ac:dyDescent="0.3"/>
    <row r="44456" customFormat="1" x14ac:dyDescent="0.3"/>
    <row r="44457" customFormat="1" x14ac:dyDescent="0.3"/>
    <row r="44458" customFormat="1" x14ac:dyDescent="0.3"/>
    <row r="44459" customFormat="1" x14ac:dyDescent="0.3"/>
    <row r="44460" customFormat="1" x14ac:dyDescent="0.3"/>
    <row r="44461" customFormat="1" x14ac:dyDescent="0.3"/>
    <row r="44462" customFormat="1" x14ac:dyDescent="0.3"/>
    <row r="44463" customFormat="1" x14ac:dyDescent="0.3"/>
    <row r="44464" customFormat="1" x14ac:dyDescent="0.3"/>
    <row r="44465" customFormat="1" x14ac:dyDescent="0.3"/>
    <row r="44466" customFormat="1" x14ac:dyDescent="0.3"/>
    <row r="44467" customFormat="1" x14ac:dyDescent="0.3"/>
    <row r="44468" customFormat="1" x14ac:dyDescent="0.3"/>
    <row r="44469" customFormat="1" x14ac:dyDescent="0.3"/>
    <row r="44470" customFormat="1" x14ac:dyDescent="0.3"/>
    <row r="44471" customFormat="1" x14ac:dyDescent="0.3"/>
    <row r="44472" customFormat="1" x14ac:dyDescent="0.3"/>
    <row r="44473" customFormat="1" x14ac:dyDescent="0.3"/>
    <row r="44474" customFormat="1" x14ac:dyDescent="0.3"/>
    <row r="44475" customFormat="1" x14ac:dyDescent="0.3"/>
    <row r="44476" customFormat="1" x14ac:dyDescent="0.3"/>
    <row r="44477" customFormat="1" x14ac:dyDescent="0.3"/>
    <row r="44478" customFormat="1" x14ac:dyDescent="0.3"/>
    <row r="44479" customFormat="1" x14ac:dyDescent="0.3"/>
    <row r="44480" customFormat="1" x14ac:dyDescent="0.3"/>
    <row r="44481" customFormat="1" x14ac:dyDescent="0.3"/>
    <row r="44482" customFormat="1" x14ac:dyDescent="0.3"/>
    <row r="44483" customFormat="1" x14ac:dyDescent="0.3"/>
    <row r="44484" customFormat="1" x14ac:dyDescent="0.3"/>
    <row r="44485" customFormat="1" x14ac:dyDescent="0.3"/>
    <row r="44486" customFormat="1" x14ac:dyDescent="0.3"/>
    <row r="44487" customFormat="1" x14ac:dyDescent="0.3"/>
    <row r="44488" customFormat="1" x14ac:dyDescent="0.3"/>
    <row r="44489" customFormat="1" x14ac:dyDescent="0.3"/>
    <row r="44490" customFormat="1" x14ac:dyDescent="0.3"/>
    <row r="44491" customFormat="1" x14ac:dyDescent="0.3"/>
    <row r="44492" customFormat="1" x14ac:dyDescent="0.3"/>
    <row r="44493" customFormat="1" x14ac:dyDescent="0.3"/>
    <row r="44494" customFormat="1" x14ac:dyDescent="0.3"/>
    <row r="44495" customFormat="1" x14ac:dyDescent="0.3"/>
    <row r="44496" customFormat="1" x14ac:dyDescent="0.3"/>
    <row r="44497" customFormat="1" x14ac:dyDescent="0.3"/>
    <row r="44498" customFormat="1" x14ac:dyDescent="0.3"/>
    <row r="44499" customFormat="1" x14ac:dyDescent="0.3"/>
    <row r="44500" customFormat="1" x14ac:dyDescent="0.3"/>
    <row r="44501" customFormat="1" x14ac:dyDescent="0.3"/>
    <row r="44502" customFormat="1" x14ac:dyDescent="0.3"/>
    <row r="44503" customFormat="1" x14ac:dyDescent="0.3"/>
    <row r="44504" customFormat="1" x14ac:dyDescent="0.3"/>
    <row r="44505" customFormat="1" x14ac:dyDescent="0.3"/>
    <row r="44506" customFormat="1" x14ac:dyDescent="0.3"/>
    <row r="44507" customFormat="1" x14ac:dyDescent="0.3"/>
    <row r="44508" customFormat="1" x14ac:dyDescent="0.3"/>
    <row r="44509" customFormat="1" x14ac:dyDescent="0.3"/>
    <row r="44510" customFormat="1" x14ac:dyDescent="0.3"/>
    <row r="44511" customFormat="1" x14ac:dyDescent="0.3"/>
    <row r="44512" customFormat="1" x14ac:dyDescent="0.3"/>
    <row r="44513" customFormat="1" x14ac:dyDescent="0.3"/>
    <row r="44514" customFormat="1" x14ac:dyDescent="0.3"/>
    <row r="44515" customFormat="1" x14ac:dyDescent="0.3"/>
    <row r="44516" customFormat="1" x14ac:dyDescent="0.3"/>
    <row r="44517" customFormat="1" x14ac:dyDescent="0.3"/>
    <row r="44518" customFormat="1" x14ac:dyDescent="0.3"/>
    <row r="44519" customFormat="1" x14ac:dyDescent="0.3"/>
    <row r="44520" customFormat="1" x14ac:dyDescent="0.3"/>
    <row r="44521" customFormat="1" x14ac:dyDescent="0.3"/>
    <row r="44522" customFormat="1" x14ac:dyDescent="0.3"/>
    <row r="44523" customFormat="1" x14ac:dyDescent="0.3"/>
    <row r="44524" customFormat="1" x14ac:dyDescent="0.3"/>
    <row r="44525" customFormat="1" x14ac:dyDescent="0.3"/>
    <row r="44526" customFormat="1" x14ac:dyDescent="0.3"/>
    <row r="44527" customFormat="1" x14ac:dyDescent="0.3"/>
    <row r="44528" customFormat="1" x14ac:dyDescent="0.3"/>
    <row r="44529" customFormat="1" x14ac:dyDescent="0.3"/>
    <row r="44530" customFormat="1" x14ac:dyDescent="0.3"/>
    <row r="44531" customFormat="1" x14ac:dyDescent="0.3"/>
    <row r="44532" customFormat="1" x14ac:dyDescent="0.3"/>
    <row r="44533" customFormat="1" x14ac:dyDescent="0.3"/>
    <row r="44534" customFormat="1" x14ac:dyDescent="0.3"/>
    <row r="44535" customFormat="1" x14ac:dyDescent="0.3"/>
    <row r="44536" customFormat="1" x14ac:dyDescent="0.3"/>
    <row r="44537" customFormat="1" x14ac:dyDescent="0.3"/>
    <row r="44538" customFormat="1" x14ac:dyDescent="0.3"/>
    <row r="44539" customFormat="1" x14ac:dyDescent="0.3"/>
    <row r="44540" customFormat="1" x14ac:dyDescent="0.3"/>
    <row r="44541" customFormat="1" x14ac:dyDescent="0.3"/>
    <row r="44542" customFormat="1" x14ac:dyDescent="0.3"/>
    <row r="44543" customFormat="1" x14ac:dyDescent="0.3"/>
    <row r="44544" customFormat="1" x14ac:dyDescent="0.3"/>
    <row r="44545" customFormat="1" x14ac:dyDescent="0.3"/>
    <row r="44546" customFormat="1" x14ac:dyDescent="0.3"/>
    <row r="44547" customFormat="1" x14ac:dyDescent="0.3"/>
    <row r="44548" customFormat="1" x14ac:dyDescent="0.3"/>
    <row r="44549" customFormat="1" x14ac:dyDescent="0.3"/>
    <row r="44550" customFormat="1" x14ac:dyDescent="0.3"/>
    <row r="44551" customFormat="1" x14ac:dyDescent="0.3"/>
    <row r="44552" customFormat="1" x14ac:dyDescent="0.3"/>
    <row r="44553" customFormat="1" x14ac:dyDescent="0.3"/>
    <row r="44554" customFormat="1" x14ac:dyDescent="0.3"/>
    <row r="44555" customFormat="1" x14ac:dyDescent="0.3"/>
    <row r="44556" customFormat="1" x14ac:dyDescent="0.3"/>
    <row r="44557" customFormat="1" x14ac:dyDescent="0.3"/>
    <row r="44558" customFormat="1" x14ac:dyDescent="0.3"/>
    <row r="44559" customFormat="1" x14ac:dyDescent="0.3"/>
    <row r="44560" customFormat="1" x14ac:dyDescent="0.3"/>
    <row r="44561" customFormat="1" x14ac:dyDescent="0.3"/>
    <row r="44562" customFormat="1" x14ac:dyDescent="0.3"/>
    <row r="44563" customFormat="1" x14ac:dyDescent="0.3"/>
    <row r="44564" customFormat="1" x14ac:dyDescent="0.3"/>
    <row r="44565" customFormat="1" x14ac:dyDescent="0.3"/>
    <row r="44566" customFormat="1" x14ac:dyDescent="0.3"/>
    <row r="44567" customFormat="1" x14ac:dyDescent="0.3"/>
    <row r="44568" customFormat="1" x14ac:dyDescent="0.3"/>
    <row r="44569" customFormat="1" x14ac:dyDescent="0.3"/>
    <row r="44570" customFormat="1" x14ac:dyDescent="0.3"/>
    <row r="44571" customFormat="1" x14ac:dyDescent="0.3"/>
    <row r="44572" customFormat="1" x14ac:dyDescent="0.3"/>
    <row r="44573" customFormat="1" x14ac:dyDescent="0.3"/>
    <row r="44574" customFormat="1" x14ac:dyDescent="0.3"/>
    <row r="44575" customFormat="1" x14ac:dyDescent="0.3"/>
    <row r="44576" customFormat="1" x14ac:dyDescent="0.3"/>
    <row r="44577" customFormat="1" x14ac:dyDescent="0.3"/>
    <row r="44578" customFormat="1" x14ac:dyDescent="0.3"/>
    <row r="44579" customFormat="1" x14ac:dyDescent="0.3"/>
    <row r="44580" customFormat="1" x14ac:dyDescent="0.3"/>
    <row r="44581" customFormat="1" x14ac:dyDescent="0.3"/>
    <row r="44582" customFormat="1" x14ac:dyDescent="0.3"/>
    <row r="44583" customFormat="1" x14ac:dyDescent="0.3"/>
    <row r="44584" customFormat="1" x14ac:dyDescent="0.3"/>
    <row r="44585" customFormat="1" x14ac:dyDescent="0.3"/>
    <row r="44586" customFormat="1" x14ac:dyDescent="0.3"/>
    <row r="44587" customFormat="1" x14ac:dyDescent="0.3"/>
    <row r="44588" customFormat="1" x14ac:dyDescent="0.3"/>
    <row r="44589" customFormat="1" x14ac:dyDescent="0.3"/>
    <row r="44590" customFormat="1" x14ac:dyDescent="0.3"/>
    <row r="44591" customFormat="1" x14ac:dyDescent="0.3"/>
    <row r="44592" customFormat="1" x14ac:dyDescent="0.3"/>
    <row r="44593" customFormat="1" x14ac:dyDescent="0.3"/>
    <row r="44594" customFormat="1" x14ac:dyDescent="0.3"/>
    <row r="44595" customFormat="1" x14ac:dyDescent="0.3"/>
    <row r="44596" customFormat="1" x14ac:dyDescent="0.3"/>
    <row r="44597" customFormat="1" x14ac:dyDescent="0.3"/>
    <row r="44598" customFormat="1" x14ac:dyDescent="0.3"/>
    <row r="44599" customFormat="1" x14ac:dyDescent="0.3"/>
    <row r="44600" customFormat="1" x14ac:dyDescent="0.3"/>
    <row r="44601" customFormat="1" x14ac:dyDescent="0.3"/>
    <row r="44602" customFormat="1" x14ac:dyDescent="0.3"/>
    <row r="44603" customFormat="1" x14ac:dyDescent="0.3"/>
    <row r="44604" customFormat="1" x14ac:dyDescent="0.3"/>
    <row r="44605" customFormat="1" x14ac:dyDescent="0.3"/>
    <row r="44606" customFormat="1" x14ac:dyDescent="0.3"/>
    <row r="44607" customFormat="1" x14ac:dyDescent="0.3"/>
    <row r="44608" customFormat="1" x14ac:dyDescent="0.3"/>
    <row r="44609" customFormat="1" x14ac:dyDescent="0.3"/>
    <row r="44610" customFormat="1" x14ac:dyDescent="0.3"/>
    <row r="44611" customFormat="1" x14ac:dyDescent="0.3"/>
    <row r="44612" customFormat="1" x14ac:dyDescent="0.3"/>
    <row r="44613" customFormat="1" x14ac:dyDescent="0.3"/>
    <row r="44614" customFormat="1" x14ac:dyDescent="0.3"/>
    <row r="44615" customFormat="1" x14ac:dyDescent="0.3"/>
    <row r="44616" customFormat="1" x14ac:dyDescent="0.3"/>
    <row r="44617" customFormat="1" x14ac:dyDescent="0.3"/>
    <row r="44618" customFormat="1" x14ac:dyDescent="0.3"/>
    <row r="44619" customFormat="1" x14ac:dyDescent="0.3"/>
    <row r="44620" customFormat="1" x14ac:dyDescent="0.3"/>
    <row r="44621" customFormat="1" x14ac:dyDescent="0.3"/>
    <row r="44622" customFormat="1" x14ac:dyDescent="0.3"/>
    <row r="44623" customFormat="1" x14ac:dyDescent="0.3"/>
    <row r="44624" customFormat="1" x14ac:dyDescent="0.3"/>
    <row r="44625" customFormat="1" x14ac:dyDescent="0.3"/>
    <row r="44626" customFormat="1" x14ac:dyDescent="0.3"/>
    <row r="44627" customFormat="1" x14ac:dyDescent="0.3"/>
    <row r="44628" customFormat="1" x14ac:dyDescent="0.3"/>
    <row r="44629" customFormat="1" x14ac:dyDescent="0.3"/>
    <row r="44630" customFormat="1" x14ac:dyDescent="0.3"/>
    <row r="44631" customFormat="1" x14ac:dyDescent="0.3"/>
    <row r="44632" customFormat="1" x14ac:dyDescent="0.3"/>
    <row r="44633" customFormat="1" x14ac:dyDescent="0.3"/>
    <row r="44634" customFormat="1" x14ac:dyDescent="0.3"/>
    <row r="44635" customFormat="1" x14ac:dyDescent="0.3"/>
    <row r="44636" customFormat="1" x14ac:dyDescent="0.3"/>
    <row r="44637" customFormat="1" x14ac:dyDescent="0.3"/>
    <row r="44638" customFormat="1" x14ac:dyDescent="0.3"/>
    <row r="44639" customFormat="1" x14ac:dyDescent="0.3"/>
    <row r="44640" customFormat="1" x14ac:dyDescent="0.3"/>
    <row r="44641" customFormat="1" x14ac:dyDescent="0.3"/>
    <row r="44642" customFormat="1" x14ac:dyDescent="0.3"/>
    <row r="44643" customFormat="1" x14ac:dyDescent="0.3"/>
    <row r="44644" customFormat="1" x14ac:dyDescent="0.3"/>
    <row r="44645" customFormat="1" x14ac:dyDescent="0.3"/>
    <row r="44646" customFormat="1" x14ac:dyDescent="0.3"/>
    <row r="44647" customFormat="1" x14ac:dyDescent="0.3"/>
    <row r="44648" customFormat="1" x14ac:dyDescent="0.3"/>
    <row r="44649" customFormat="1" x14ac:dyDescent="0.3"/>
    <row r="44650" customFormat="1" x14ac:dyDescent="0.3"/>
    <row r="44651" customFormat="1" x14ac:dyDescent="0.3"/>
    <row r="44652" customFormat="1" x14ac:dyDescent="0.3"/>
    <row r="44653" customFormat="1" x14ac:dyDescent="0.3"/>
    <row r="44654" customFormat="1" x14ac:dyDescent="0.3"/>
    <row r="44655" customFormat="1" x14ac:dyDescent="0.3"/>
    <row r="44656" customFormat="1" x14ac:dyDescent="0.3"/>
    <row r="44657" customFormat="1" x14ac:dyDescent="0.3"/>
    <row r="44658" customFormat="1" x14ac:dyDescent="0.3"/>
    <row r="44659" customFormat="1" x14ac:dyDescent="0.3"/>
    <row r="44660" customFormat="1" x14ac:dyDescent="0.3"/>
    <row r="44661" customFormat="1" x14ac:dyDescent="0.3"/>
    <row r="44662" customFormat="1" x14ac:dyDescent="0.3"/>
    <row r="44663" customFormat="1" x14ac:dyDescent="0.3"/>
    <row r="44664" customFormat="1" x14ac:dyDescent="0.3"/>
    <row r="44665" customFormat="1" x14ac:dyDescent="0.3"/>
    <row r="44666" customFormat="1" x14ac:dyDescent="0.3"/>
    <row r="44667" customFormat="1" x14ac:dyDescent="0.3"/>
    <row r="44668" customFormat="1" x14ac:dyDescent="0.3"/>
    <row r="44669" customFormat="1" x14ac:dyDescent="0.3"/>
    <row r="44670" customFormat="1" x14ac:dyDescent="0.3"/>
    <row r="44671" customFormat="1" x14ac:dyDescent="0.3"/>
    <row r="44672" customFormat="1" x14ac:dyDescent="0.3"/>
    <row r="44673" customFormat="1" x14ac:dyDescent="0.3"/>
    <row r="44674" customFormat="1" x14ac:dyDescent="0.3"/>
    <row r="44675" customFormat="1" x14ac:dyDescent="0.3"/>
    <row r="44676" customFormat="1" x14ac:dyDescent="0.3"/>
    <row r="44677" customFormat="1" x14ac:dyDescent="0.3"/>
    <row r="44678" customFormat="1" x14ac:dyDescent="0.3"/>
    <row r="44679" customFormat="1" x14ac:dyDescent="0.3"/>
    <row r="44680" customFormat="1" x14ac:dyDescent="0.3"/>
    <row r="44681" customFormat="1" x14ac:dyDescent="0.3"/>
    <row r="44682" customFormat="1" x14ac:dyDescent="0.3"/>
    <row r="44683" customFormat="1" x14ac:dyDescent="0.3"/>
    <row r="44684" customFormat="1" x14ac:dyDescent="0.3"/>
    <row r="44685" customFormat="1" x14ac:dyDescent="0.3"/>
    <row r="44686" customFormat="1" x14ac:dyDescent="0.3"/>
    <row r="44687" customFormat="1" x14ac:dyDescent="0.3"/>
    <row r="44688" customFormat="1" x14ac:dyDescent="0.3"/>
    <row r="44689" customFormat="1" x14ac:dyDescent="0.3"/>
    <row r="44690" customFormat="1" x14ac:dyDescent="0.3"/>
    <row r="44691" customFormat="1" x14ac:dyDescent="0.3"/>
    <row r="44692" customFormat="1" x14ac:dyDescent="0.3"/>
    <row r="44693" customFormat="1" x14ac:dyDescent="0.3"/>
    <row r="44694" customFormat="1" x14ac:dyDescent="0.3"/>
    <row r="44695" customFormat="1" x14ac:dyDescent="0.3"/>
    <row r="44696" customFormat="1" x14ac:dyDescent="0.3"/>
    <row r="44697" customFormat="1" x14ac:dyDescent="0.3"/>
    <row r="44698" customFormat="1" x14ac:dyDescent="0.3"/>
    <row r="44699" customFormat="1" x14ac:dyDescent="0.3"/>
    <row r="44700" customFormat="1" x14ac:dyDescent="0.3"/>
    <row r="44701" customFormat="1" x14ac:dyDescent="0.3"/>
    <row r="44702" customFormat="1" x14ac:dyDescent="0.3"/>
    <row r="44703" customFormat="1" x14ac:dyDescent="0.3"/>
    <row r="44704" customFormat="1" x14ac:dyDescent="0.3"/>
    <row r="44705" customFormat="1" x14ac:dyDescent="0.3"/>
    <row r="44706" customFormat="1" x14ac:dyDescent="0.3"/>
    <row r="44707" customFormat="1" x14ac:dyDescent="0.3"/>
    <row r="44708" customFormat="1" x14ac:dyDescent="0.3"/>
    <row r="44709" customFormat="1" x14ac:dyDescent="0.3"/>
    <row r="44710" customFormat="1" x14ac:dyDescent="0.3"/>
    <row r="44711" customFormat="1" x14ac:dyDescent="0.3"/>
    <row r="44712" customFormat="1" x14ac:dyDescent="0.3"/>
    <row r="44713" customFormat="1" x14ac:dyDescent="0.3"/>
    <row r="44714" customFormat="1" x14ac:dyDescent="0.3"/>
    <row r="44715" customFormat="1" x14ac:dyDescent="0.3"/>
    <row r="44716" customFormat="1" x14ac:dyDescent="0.3"/>
    <row r="44717" customFormat="1" x14ac:dyDescent="0.3"/>
    <row r="44718" customFormat="1" x14ac:dyDescent="0.3"/>
    <row r="44719" customFormat="1" x14ac:dyDescent="0.3"/>
    <row r="44720" customFormat="1" x14ac:dyDescent="0.3"/>
    <row r="44721" customFormat="1" x14ac:dyDescent="0.3"/>
    <row r="44722" customFormat="1" x14ac:dyDescent="0.3"/>
    <row r="44723" customFormat="1" x14ac:dyDescent="0.3"/>
    <row r="44724" customFormat="1" x14ac:dyDescent="0.3"/>
    <row r="44725" customFormat="1" x14ac:dyDescent="0.3"/>
    <row r="44726" customFormat="1" x14ac:dyDescent="0.3"/>
    <row r="44727" customFormat="1" x14ac:dyDescent="0.3"/>
    <row r="44728" customFormat="1" x14ac:dyDescent="0.3"/>
    <row r="44729" customFormat="1" x14ac:dyDescent="0.3"/>
    <row r="44730" customFormat="1" x14ac:dyDescent="0.3"/>
    <row r="44731" customFormat="1" x14ac:dyDescent="0.3"/>
    <row r="44732" customFormat="1" x14ac:dyDescent="0.3"/>
    <row r="44733" customFormat="1" x14ac:dyDescent="0.3"/>
    <row r="44734" customFormat="1" x14ac:dyDescent="0.3"/>
    <row r="44735" customFormat="1" x14ac:dyDescent="0.3"/>
    <row r="44736" customFormat="1" x14ac:dyDescent="0.3"/>
    <row r="44737" customFormat="1" x14ac:dyDescent="0.3"/>
    <row r="44738" customFormat="1" x14ac:dyDescent="0.3"/>
    <row r="44739" customFormat="1" x14ac:dyDescent="0.3"/>
    <row r="44740" customFormat="1" x14ac:dyDescent="0.3"/>
    <row r="44741" customFormat="1" x14ac:dyDescent="0.3"/>
    <row r="44742" customFormat="1" x14ac:dyDescent="0.3"/>
    <row r="44743" customFormat="1" x14ac:dyDescent="0.3"/>
    <row r="44744" customFormat="1" x14ac:dyDescent="0.3"/>
    <row r="44745" customFormat="1" x14ac:dyDescent="0.3"/>
    <row r="44746" customFormat="1" x14ac:dyDescent="0.3"/>
    <row r="44747" customFormat="1" x14ac:dyDescent="0.3"/>
    <row r="44748" customFormat="1" x14ac:dyDescent="0.3"/>
    <row r="44749" customFormat="1" x14ac:dyDescent="0.3"/>
    <row r="44750" customFormat="1" x14ac:dyDescent="0.3"/>
    <row r="44751" customFormat="1" x14ac:dyDescent="0.3"/>
    <row r="44752" customFormat="1" x14ac:dyDescent="0.3"/>
    <row r="44753" customFormat="1" x14ac:dyDescent="0.3"/>
    <row r="44754" customFormat="1" x14ac:dyDescent="0.3"/>
    <row r="44755" customFormat="1" x14ac:dyDescent="0.3"/>
    <row r="44756" customFormat="1" x14ac:dyDescent="0.3"/>
    <row r="44757" customFormat="1" x14ac:dyDescent="0.3"/>
    <row r="44758" customFormat="1" x14ac:dyDescent="0.3"/>
    <row r="44759" customFormat="1" x14ac:dyDescent="0.3"/>
    <row r="44760" customFormat="1" x14ac:dyDescent="0.3"/>
    <row r="44761" customFormat="1" x14ac:dyDescent="0.3"/>
    <row r="44762" customFormat="1" x14ac:dyDescent="0.3"/>
    <row r="44763" customFormat="1" x14ac:dyDescent="0.3"/>
    <row r="44764" customFormat="1" x14ac:dyDescent="0.3"/>
    <row r="44765" customFormat="1" x14ac:dyDescent="0.3"/>
    <row r="44766" customFormat="1" x14ac:dyDescent="0.3"/>
    <row r="44767" customFormat="1" x14ac:dyDescent="0.3"/>
    <row r="44768" customFormat="1" x14ac:dyDescent="0.3"/>
    <row r="44769" customFormat="1" x14ac:dyDescent="0.3"/>
    <row r="44770" customFormat="1" x14ac:dyDescent="0.3"/>
    <row r="44771" customFormat="1" x14ac:dyDescent="0.3"/>
    <row r="44772" customFormat="1" x14ac:dyDescent="0.3"/>
    <row r="44773" customFormat="1" x14ac:dyDescent="0.3"/>
    <row r="44774" customFormat="1" x14ac:dyDescent="0.3"/>
    <row r="44775" customFormat="1" x14ac:dyDescent="0.3"/>
    <row r="44776" customFormat="1" x14ac:dyDescent="0.3"/>
    <row r="44777" customFormat="1" x14ac:dyDescent="0.3"/>
    <row r="44778" customFormat="1" x14ac:dyDescent="0.3"/>
    <row r="44779" customFormat="1" x14ac:dyDescent="0.3"/>
    <row r="44780" customFormat="1" x14ac:dyDescent="0.3"/>
    <row r="44781" customFormat="1" x14ac:dyDescent="0.3"/>
    <row r="44782" customFormat="1" x14ac:dyDescent="0.3"/>
    <row r="44783" customFormat="1" x14ac:dyDescent="0.3"/>
    <row r="44784" customFormat="1" x14ac:dyDescent="0.3"/>
    <row r="44785" customFormat="1" x14ac:dyDescent="0.3"/>
    <row r="44786" customFormat="1" x14ac:dyDescent="0.3"/>
    <row r="44787" customFormat="1" x14ac:dyDescent="0.3"/>
    <row r="44788" customFormat="1" x14ac:dyDescent="0.3"/>
    <row r="44789" customFormat="1" x14ac:dyDescent="0.3"/>
    <row r="44790" customFormat="1" x14ac:dyDescent="0.3"/>
    <row r="44791" customFormat="1" x14ac:dyDescent="0.3"/>
    <row r="44792" customFormat="1" x14ac:dyDescent="0.3"/>
    <row r="44793" customFormat="1" x14ac:dyDescent="0.3"/>
    <row r="44794" customFormat="1" x14ac:dyDescent="0.3"/>
    <row r="44795" customFormat="1" x14ac:dyDescent="0.3"/>
    <row r="44796" customFormat="1" x14ac:dyDescent="0.3"/>
    <row r="44797" customFormat="1" x14ac:dyDescent="0.3"/>
    <row r="44798" customFormat="1" x14ac:dyDescent="0.3"/>
    <row r="44799" customFormat="1" x14ac:dyDescent="0.3"/>
    <row r="44800" customFormat="1" x14ac:dyDescent="0.3"/>
    <row r="44801" customFormat="1" x14ac:dyDescent="0.3"/>
    <row r="44802" customFormat="1" x14ac:dyDescent="0.3"/>
    <row r="44803" customFormat="1" x14ac:dyDescent="0.3"/>
    <row r="44804" customFormat="1" x14ac:dyDescent="0.3"/>
    <row r="44805" customFormat="1" x14ac:dyDescent="0.3"/>
    <row r="44806" customFormat="1" x14ac:dyDescent="0.3"/>
    <row r="44807" customFormat="1" x14ac:dyDescent="0.3"/>
    <row r="44808" customFormat="1" x14ac:dyDescent="0.3"/>
    <row r="44809" customFormat="1" x14ac:dyDescent="0.3"/>
    <row r="44810" customFormat="1" x14ac:dyDescent="0.3"/>
    <row r="44811" customFormat="1" x14ac:dyDescent="0.3"/>
    <row r="44812" customFormat="1" x14ac:dyDescent="0.3"/>
    <row r="44813" customFormat="1" x14ac:dyDescent="0.3"/>
    <row r="44814" customFormat="1" x14ac:dyDescent="0.3"/>
    <row r="44815" customFormat="1" x14ac:dyDescent="0.3"/>
    <row r="44816" customFormat="1" x14ac:dyDescent="0.3"/>
    <row r="44817" customFormat="1" x14ac:dyDescent="0.3"/>
    <row r="44818" customFormat="1" x14ac:dyDescent="0.3"/>
    <row r="44819" customFormat="1" x14ac:dyDescent="0.3"/>
    <row r="44820" customFormat="1" x14ac:dyDescent="0.3"/>
    <row r="44821" customFormat="1" x14ac:dyDescent="0.3"/>
    <row r="44822" customFormat="1" x14ac:dyDescent="0.3"/>
    <row r="44823" customFormat="1" x14ac:dyDescent="0.3"/>
    <row r="44824" customFormat="1" x14ac:dyDescent="0.3"/>
    <row r="44825" customFormat="1" x14ac:dyDescent="0.3"/>
    <row r="44826" customFormat="1" x14ac:dyDescent="0.3"/>
    <row r="44827" customFormat="1" x14ac:dyDescent="0.3"/>
    <row r="44828" customFormat="1" x14ac:dyDescent="0.3"/>
    <row r="44829" customFormat="1" x14ac:dyDescent="0.3"/>
    <row r="44830" customFormat="1" x14ac:dyDescent="0.3"/>
    <row r="44831" customFormat="1" x14ac:dyDescent="0.3"/>
    <row r="44832" customFormat="1" x14ac:dyDescent="0.3"/>
    <row r="44833" customFormat="1" x14ac:dyDescent="0.3"/>
    <row r="44834" customFormat="1" x14ac:dyDescent="0.3"/>
    <row r="44835" customFormat="1" x14ac:dyDescent="0.3"/>
    <row r="44836" customFormat="1" x14ac:dyDescent="0.3"/>
    <row r="44837" customFormat="1" x14ac:dyDescent="0.3"/>
    <row r="44838" customFormat="1" x14ac:dyDescent="0.3"/>
    <row r="44839" customFormat="1" x14ac:dyDescent="0.3"/>
    <row r="44840" customFormat="1" x14ac:dyDescent="0.3"/>
    <row r="44841" customFormat="1" x14ac:dyDescent="0.3"/>
    <row r="44842" customFormat="1" x14ac:dyDescent="0.3"/>
    <row r="44843" customFormat="1" x14ac:dyDescent="0.3"/>
    <row r="44844" customFormat="1" x14ac:dyDescent="0.3"/>
    <row r="44845" customFormat="1" x14ac:dyDescent="0.3"/>
    <row r="44846" customFormat="1" x14ac:dyDescent="0.3"/>
    <row r="44847" customFormat="1" x14ac:dyDescent="0.3"/>
    <row r="44848" customFormat="1" x14ac:dyDescent="0.3"/>
    <row r="44849" customFormat="1" x14ac:dyDescent="0.3"/>
    <row r="44850" customFormat="1" x14ac:dyDescent="0.3"/>
    <row r="44851" customFormat="1" x14ac:dyDescent="0.3"/>
    <row r="44852" customFormat="1" x14ac:dyDescent="0.3"/>
    <row r="44853" customFormat="1" x14ac:dyDescent="0.3"/>
    <row r="44854" customFormat="1" x14ac:dyDescent="0.3"/>
    <row r="44855" customFormat="1" x14ac:dyDescent="0.3"/>
    <row r="44856" customFormat="1" x14ac:dyDescent="0.3"/>
    <row r="44857" customFormat="1" x14ac:dyDescent="0.3"/>
    <row r="44858" customFormat="1" x14ac:dyDescent="0.3"/>
    <row r="44859" customFormat="1" x14ac:dyDescent="0.3"/>
    <row r="44860" customFormat="1" x14ac:dyDescent="0.3"/>
    <row r="44861" customFormat="1" x14ac:dyDescent="0.3"/>
    <row r="44862" customFormat="1" x14ac:dyDescent="0.3"/>
    <row r="44863" customFormat="1" x14ac:dyDescent="0.3"/>
    <row r="44864" customFormat="1" x14ac:dyDescent="0.3"/>
    <row r="44865" customFormat="1" x14ac:dyDescent="0.3"/>
    <row r="44866" customFormat="1" x14ac:dyDescent="0.3"/>
    <row r="44867" customFormat="1" x14ac:dyDescent="0.3"/>
    <row r="44868" customFormat="1" x14ac:dyDescent="0.3"/>
    <row r="44869" customFormat="1" x14ac:dyDescent="0.3"/>
    <row r="44870" customFormat="1" x14ac:dyDescent="0.3"/>
    <row r="44871" customFormat="1" x14ac:dyDescent="0.3"/>
    <row r="44872" customFormat="1" x14ac:dyDescent="0.3"/>
    <row r="44873" customFormat="1" x14ac:dyDescent="0.3"/>
    <row r="44874" customFormat="1" x14ac:dyDescent="0.3"/>
    <row r="44875" customFormat="1" x14ac:dyDescent="0.3"/>
    <row r="44876" customFormat="1" x14ac:dyDescent="0.3"/>
    <row r="44877" customFormat="1" x14ac:dyDescent="0.3"/>
    <row r="44878" customFormat="1" x14ac:dyDescent="0.3"/>
    <row r="44879" customFormat="1" x14ac:dyDescent="0.3"/>
    <row r="44880" customFormat="1" x14ac:dyDescent="0.3"/>
    <row r="44881" customFormat="1" x14ac:dyDescent="0.3"/>
    <row r="44882" customFormat="1" x14ac:dyDescent="0.3"/>
    <row r="44883" customFormat="1" x14ac:dyDescent="0.3"/>
    <row r="44884" customFormat="1" x14ac:dyDescent="0.3"/>
    <row r="44885" customFormat="1" x14ac:dyDescent="0.3"/>
    <row r="44886" customFormat="1" x14ac:dyDescent="0.3"/>
    <row r="44887" customFormat="1" x14ac:dyDescent="0.3"/>
    <row r="44888" customFormat="1" x14ac:dyDescent="0.3"/>
    <row r="44889" customFormat="1" x14ac:dyDescent="0.3"/>
    <row r="44890" customFormat="1" x14ac:dyDescent="0.3"/>
    <row r="44891" customFormat="1" x14ac:dyDescent="0.3"/>
    <row r="44892" customFormat="1" x14ac:dyDescent="0.3"/>
    <row r="44893" customFormat="1" x14ac:dyDescent="0.3"/>
    <row r="44894" customFormat="1" x14ac:dyDescent="0.3"/>
    <row r="44895" customFormat="1" x14ac:dyDescent="0.3"/>
    <row r="44896" customFormat="1" x14ac:dyDescent="0.3"/>
    <row r="44897" customFormat="1" x14ac:dyDescent="0.3"/>
    <row r="44898" customFormat="1" x14ac:dyDescent="0.3"/>
    <row r="44899" customFormat="1" x14ac:dyDescent="0.3"/>
    <row r="44900" customFormat="1" x14ac:dyDescent="0.3"/>
    <row r="44901" customFormat="1" x14ac:dyDescent="0.3"/>
    <row r="44902" customFormat="1" x14ac:dyDescent="0.3"/>
    <row r="44903" customFormat="1" x14ac:dyDescent="0.3"/>
    <row r="44904" customFormat="1" x14ac:dyDescent="0.3"/>
    <row r="44905" customFormat="1" x14ac:dyDescent="0.3"/>
    <row r="44906" customFormat="1" x14ac:dyDescent="0.3"/>
    <row r="44907" customFormat="1" x14ac:dyDescent="0.3"/>
    <row r="44908" customFormat="1" x14ac:dyDescent="0.3"/>
    <row r="44909" customFormat="1" x14ac:dyDescent="0.3"/>
    <row r="44910" customFormat="1" x14ac:dyDescent="0.3"/>
    <row r="44911" customFormat="1" x14ac:dyDescent="0.3"/>
    <row r="44912" customFormat="1" x14ac:dyDescent="0.3"/>
    <row r="44913" customFormat="1" x14ac:dyDescent="0.3"/>
    <row r="44914" customFormat="1" x14ac:dyDescent="0.3"/>
    <row r="44915" customFormat="1" x14ac:dyDescent="0.3"/>
    <row r="44916" customFormat="1" x14ac:dyDescent="0.3"/>
    <row r="44917" customFormat="1" x14ac:dyDescent="0.3"/>
    <row r="44918" customFormat="1" x14ac:dyDescent="0.3"/>
    <row r="44919" customFormat="1" x14ac:dyDescent="0.3"/>
    <row r="44920" customFormat="1" x14ac:dyDescent="0.3"/>
    <row r="44921" customFormat="1" x14ac:dyDescent="0.3"/>
    <row r="44922" customFormat="1" x14ac:dyDescent="0.3"/>
    <row r="44923" customFormat="1" x14ac:dyDescent="0.3"/>
    <row r="44924" customFormat="1" x14ac:dyDescent="0.3"/>
    <row r="44925" customFormat="1" x14ac:dyDescent="0.3"/>
    <row r="44926" customFormat="1" x14ac:dyDescent="0.3"/>
    <row r="44927" customFormat="1" x14ac:dyDescent="0.3"/>
    <row r="44928" customFormat="1" x14ac:dyDescent="0.3"/>
    <row r="44929" customFormat="1" x14ac:dyDescent="0.3"/>
    <row r="44930" customFormat="1" x14ac:dyDescent="0.3"/>
    <row r="44931" customFormat="1" x14ac:dyDescent="0.3"/>
    <row r="44932" customFormat="1" x14ac:dyDescent="0.3"/>
    <row r="44933" customFormat="1" x14ac:dyDescent="0.3"/>
    <row r="44934" customFormat="1" x14ac:dyDescent="0.3"/>
    <row r="44935" customFormat="1" x14ac:dyDescent="0.3"/>
    <row r="44936" customFormat="1" x14ac:dyDescent="0.3"/>
    <row r="44937" customFormat="1" x14ac:dyDescent="0.3"/>
    <row r="44938" customFormat="1" x14ac:dyDescent="0.3"/>
    <row r="44939" customFormat="1" x14ac:dyDescent="0.3"/>
    <row r="44940" customFormat="1" x14ac:dyDescent="0.3"/>
    <row r="44941" customFormat="1" x14ac:dyDescent="0.3"/>
    <row r="44942" customFormat="1" x14ac:dyDescent="0.3"/>
    <row r="44943" customFormat="1" x14ac:dyDescent="0.3"/>
    <row r="44944" customFormat="1" x14ac:dyDescent="0.3"/>
    <row r="44945" customFormat="1" x14ac:dyDescent="0.3"/>
    <row r="44946" customFormat="1" x14ac:dyDescent="0.3"/>
    <row r="44947" customFormat="1" x14ac:dyDescent="0.3"/>
    <row r="44948" customFormat="1" x14ac:dyDescent="0.3"/>
    <row r="44949" customFormat="1" x14ac:dyDescent="0.3"/>
    <row r="44950" customFormat="1" x14ac:dyDescent="0.3"/>
    <row r="44951" customFormat="1" x14ac:dyDescent="0.3"/>
    <row r="44952" customFormat="1" x14ac:dyDescent="0.3"/>
    <row r="44953" customFormat="1" x14ac:dyDescent="0.3"/>
    <row r="44954" customFormat="1" x14ac:dyDescent="0.3"/>
    <row r="44955" customFormat="1" x14ac:dyDescent="0.3"/>
    <row r="44956" customFormat="1" x14ac:dyDescent="0.3"/>
    <row r="44957" customFormat="1" x14ac:dyDescent="0.3"/>
    <row r="44958" customFormat="1" x14ac:dyDescent="0.3"/>
    <row r="44959" customFormat="1" x14ac:dyDescent="0.3"/>
    <row r="44960" customFormat="1" x14ac:dyDescent="0.3"/>
    <row r="44961" customFormat="1" x14ac:dyDescent="0.3"/>
    <row r="44962" customFormat="1" x14ac:dyDescent="0.3"/>
    <row r="44963" customFormat="1" x14ac:dyDescent="0.3"/>
    <row r="44964" customFormat="1" x14ac:dyDescent="0.3"/>
    <row r="44965" customFormat="1" x14ac:dyDescent="0.3"/>
    <row r="44966" customFormat="1" x14ac:dyDescent="0.3"/>
    <row r="44967" customFormat="1" x14ac:dyDescent="0.3"/>
    <row r="44968" customFormat="1" x14ac:dyDescent="0.3"/>
    <row r="44969" customFormat="1" x14ac:dyDescent="0.3"/>
    <row r="44970" customFormat="1" x14ac:dyDescent="0.3"/>
    <row r="44971" customFormat="1" x14ac:dyDescent="0.3"/>
    <row r="44972" customFormat="1" x14ac:dyDescent="0.3"/>
    <row r="44973" customFormat="1" x14ac:dyDescent="0.3"/>
    <row r="44974" customFormat="1" x14ac:dyDescent="0.3"/>
    <row r="44975" customFormat="1" x14ac:dyDescent="0.3"/>
    <row r="44976" customFormat="1" x14ac:dyDescent="0.3"/>
    <row r="44977" customFormat="1" x14ac:dyDescent="0.3"/>
    <row r="44978" customFormat="1" x14ac:dyDescent="0.3"/>
    <row r="44979" customFormat="1" x14ac:dyDescent="0.3"/>
    <row r="44980" customFormat="1" x14ac:dyDescent="0.3"/>
    <row r="44981" customFormat="1" x14ac:dyDescent="0.3"/>
    <row r="44982" customFormat="1" x14ac:dyDescent="0.3"/>
    <row r="44983" customFormat="1" x14ac:dyDescent="0.3"/>
    <row r="44984" customFormat="1" x14ac:dyDescent="0.3"/>
    <row r="44985" customFormat="1" x14ac:dyDescent="0.3"/>
    <row r="44986" customFormat="1" x14ac:dyDescent="0.3"/>
    <row r="44987" customFormat="1" x14ac:dyDescent="0.3"/>
    <row r="44988" customFormat="1" x14ac:dyDescent="0.3"/>
    <row r="44989" customFormat="1" x14ac:dyDescent="0.3"/>
    <row r="44990" customFormat="1" x14ac:dyDescent="0.3"/>
    <row r="44991" customFormat="1" x14ac:dyDescent="0.3"/>
    <row r="44992" customFormat="1" x14ac:dyDescent="0.3"/>
    <row r="44993" customFormat="1" x14ac:dyDescent="0.3"/>
    <row r="44994" customFormat="1" x14ac:dyDescent="0.3"/>
    <row r="44995" customFormat="1" x14ac:dyDescent="0.3"/>
    <row r="44996" customFormat="1" x14ac:dyDescent="0.3"/>
    <row r="44997" customFormat="1" x14ac:dyDescent="0.3"/>
    <row r="44998" customFormat="1" x14ac:dyDescent="0.3"/>
    <row r="44999" customFormat="1" x14ac:dyDescent="0.3"/>
    <row r="45000" customFormat="1" x14ac:dyDescent="0.3"/>
    <row r="45001" customFormat="1" x14ac:dyDescent="0.3"/>
    <row r="45002" customFormat="1" x14ac:dyDescent="0.3"/>
    <row r="45003" customFormat="1" x14ac:dyDescent="0.3"/>
    <row r="45004" customFormat="1" x14ac:dyDescent="0.3"/>
    <row r="45005" customFormat="1" x14ac:dyDescent="0.3"/>
    <row r="45006" customFormat="1" x14ac:dyDescent="0.3"/>
    <row r="45007" customFormat="1" x14ac:dyDescent="0.3"/>
    <row r="45008" customFormat="1" x14ac:dyDescent="0.3"/>
    <row r="45009" customFormat="1" x14ac:dyDescent="0.3"/>
    <row r="45010" customFormat="1" x14ac:dyDescent="0.3"/>
    <row r="45011" customFormat="1" x14ac:dyDescent="0.3"/>
    <row r="45012" customFormat="1" x14ac:dyDescent="0.3"/>
    <row r="45013" customFormat="1" x14ac:dyDescent="0.3"/>
    <row r="45014" customFormat="1" x14ac:dyDescent="0.3"/>
    <row r="45015" customFormat="1" x14ac:dyDescent="0.3"/>
    <row r="45016" customFormat="1" x14ac:dyDescent="0.3"/>
    <row r="45017" customFormat="1" x14ac:dyDescent="0.3"/>
    <row r="45018" customFormat="1" x14ac:dyDescent="0.3"/>
    <row r="45019" customFormat="1" x14ac:dyDescent="0.3"/>
    <row r="45020" customFormat="1" x14ac:dyDescent="0.3"/>
    <row r="45021" customFormat="1" x14ac:dyDescent="0.3"/>
    <row r="45022" customFormat="1" x14ac:dyDescent="0.3"/>
    <row r="45023" customFormat="1" x14ac:dyDescent="0.3"/>
    <row r="45024" customFormat="1" x14ac:dyDescent="0.3"/>
    <row r="45025" customFormat="1" x14ac:dyDescent="0.3"/>
    <row r="45026" customFormat="1" x14ac:dyDescent="0.3"/>
    <row r="45027" customFormat="1" x14ac:dyDescent="0.3"/>
    <row r="45028" customFormat="1" x14ac:dyDescent="0.3"/>
    <row r="45029" customFormat="1" x14ac:dyDescent="0.3"/>
    <row r="45030" customFormat="1" x14ac:dyDescent="0.3"/>
    <row r="45031" customFormat="1" x14ac:dyDescent="0.3"/>
    <row r="45032" customFormat="1" x14ac:dyDescent="0.3"/>
    <row r="45033" customFormat="1" x14ac:dyDescent="0.3"/>
    <row r="45034" customFormat="1" x14ac:dyDescent="0.3"/>
    <row r="45035" customFormat="1" x14ac:dyDescent="0.3"/>
    <row r="45036" customFormat="1" x14ac:dyDescent="0.3"/>
    <row r="45037" customFormat="1" x14ac:dyDescent="0.3"/>
    <row r="45038" customFormat="1" x14ac:dyDescent="0.3"/>
    <row r="45039" customFormat="1" x14ac:dyDescent="0.3"/>
    <row r="45040" customFormat="1" x14ac:dyDescent="0.3"/>
    <row r="45041" customFormat="1" x14ac:dyDescent="0.3"/>
    <row r="45042" customFormat="1" x14ac:dyDescent="0.3"/>
    <row r="45043" customFormat="1" x14ac:dyDescent="0.3"/>
    <row r="45044" customFormat="1" x14ac:dyDescent="0.3"/>
    <row r="45045" customFormat="1" x14ac:dyDescent="0.3"/>
    <row r="45046" customFormat="1" x14ac:dyDescent="0.3"/>
    <row r="45047" customFormat="1" x14ac:dyDescent="0.3"/>
    <row r="45048" customFormat="1" x14ac:dyDescent="0.3"/>
    <row r="45049" customFormat="1" x14ac:dyDescent="0.3"/>
    <row r="45050" customFormat="1" x14ac:dyDescent="0.3"/>
    <row r="45051" customFormat="1" x14ac:dyDescent="0.3"/>
    <row r="45052" customFormat="1" x14ac:dyDescent="0.3"/>
    <row r="45053" customFormat="1" x14ac:dyDescent="0.3"/>
    <row r="45054" customFormat="1" x14ac:dyDescent="0.3"/>
    <row r="45055" customFormat="1" x14ac:dyDescent="0.3"/>
    <row r="45056" customFormat="1" x14ac:dyDescent="0.3"/>
    <row r="45057" customFormat="1" x14ac:dyDescent="0.3"/>
    <row r="45058" customFormat="1" x14ac:dyDescent="0.3"/>
    <row r="45059" customFormat="1" x14ac:dyDescent="0.3"/>
    <row r="45060" customFormat="1" x14ac:dyDescent="0.3"/>
    <row r="45061" customFormat="1" x14ac:dyDescent="0.3"/>
    <row r="45062" customFormat="1" x14ac:dyDescent="0.3"/>
    <row r="45063" customFormat="1" x14ac:dyDescent="0.3"/>
    <row r="45064" customFormat="1" x14ac:dyDescent="0.3"/>
    <row r="45065" customFormat="1" x14ac:dyDescent="0.3"/>
    <row r="45066" customFormat="1" x14ac:dyDescent="0.3"/>
    <row r="45067" customFormat="1" x14ac:dyDescent="0.3"/>
    <row r="45068" customFormat="1" x14ac:dyDescent="0.3"/>
    <row r="45069" customFormat="1" x14ac:dyDescent="0.3"/>
    <row r="45070" customFormat="1" x14ac:dyDescent="0.3"/>
    <row r="45071" customFormat="1" x14ac:dyDescent="0.3"/>
    <row r="45072" customFormat="1" x14ac:dyDescent="0.3"/>
    <row r="45073" customFormat="1" x14ac:dyDescent="0.3"/>
    <row r="45074" customFormat="1" x14ac:dyDescent="0.3"/>
    <row r="45075" customFormat="1" x14ac:dyDescent="0.3"/>
    <row r="45076" customFormat="1" x14ac:dyDescent="0.3"/>
    <row r="45077" customFormat="1" x14ac:dyDescent="0.3"/>
    <row r="45078" customFormat="1" x14ac:dyDescent="0.3"/>
    <row r="45079" customFormat="1" x14ac:dyDescent="0.3"/>
    <row r="45080" customFormat="1" x14ac:dyDescent="0.3"/>
    <row r="45081" customFormat="1" x14ac:dyDescent="0.3"/>
    <row r="45082" customFormat="1" x14ac:dyDescent="0.3"/>
    <row r="45083" customFormat="1" x14ac:dyDescent="0.3"/>
    <row r="45084" customFormat="1" x14ac:dyDescent="0.3"/>
    <row r="45085" customFormat="1" x14ac:dyDescent="0.3"/>
    <row r="45086" customFormat="1" x14ac:dyDescent="0.3"/>
    <row r="45087" customFormat="1" x14ac:dyDescent="0.3"/>
    <row r="45088" customFormat="1" x14ac:dyDescent="0.3"/>
    <row r="45089" customFormat="1" x14ac:dyDescent="0.3"/>
    <row r="45090" customFormat="1" x14ac:dyDescent="0.3"/>
    <row r="45091" customFormat="1" x14ac:dyDescent="0.3"/>
    <row r="45092" customFormat="1" x14ac:dyDescent="0.3"/>
    <row r="45093" customFormat="1" x14ac:dyDescent="0.3"/>
    <row r="45094" customFormat="1" x14ac:dyDescent="0.3"/>
    <row r="45095" customFormat="1" x14ac:dyDescent="0.3"/>
    <row r="45096" customFormat="1" x14ac:dyDescent="0.3"/>
    <row r="45097" customFormat="1" x14ac:dyDescent="0.3"/>
    <row r="45098" customFormat="1" x14ac:dyDescent="0.3"/>
    <row r="45099" customFormat="1" x14ac:dyDescent="0.3"/>
    <row r="45100" customFormat="1" x14ac:dyDescent="0.3"/>
    <row r="45101" customFormat="1" x14ac:dyDescent="0.3"/>
    <row r="45102" customFormat="1" x14ac:dyDescent="0.3"/>
    <row r="45103" customFormat="1" x14ac:dyDescent="0.3"/>
    <row r="45104" customFormat="1" x14ac:dyDescent="0.3"/>
    <row r="45105" customFormat="1" x14ac:dyDescent="0.3"/>
    <row r="45106" customFormat="1" x14ac:dyDescent="0.3"/>
    <row r="45107" customFormat="1" x14ac:dyDescent="0.3"/>
    <row r="45108" customFormat="1" x14ac:dyDescent="0.3"/>
    <row r="45109" customFormat="1" x14ac:dyDescent="0.3"/>
    <row r="45110" customFormat="1" x14ac:dyDescent="0.3"/>
    <row r="45111" customFormat="1" x14ac:dyDescent="0.3"/>
    <row r="45112" customFormat="1" x14ac:dyDescent="0.3"/>
    <row r="45113" customFormat="1" x14ac:dyDescent="0.3"/>
    <row r="45114" customFormat="1" x14ac:dyDescent="0.3"/>
    <row r="45115" customFormat="1" x14ac:dyDescent="0.3"/>
    <row r="45116" customFormat="1" x14ac:dyDescent="0.3"/>
    <row r="45117" customFormat="1" x14ac:dyDescent="0.3"/>
    <row r="45118" customFormat="1" x14ac:dyDescent="0.3"/>
    <row r="45119" customFormat="1" x14ac:dyDescent="0.3"/>
    <row r="45120" customFormat="1" x14ac:dyDescent="0.3"/>
    <row r="45121" customFormat="1" x14ac:dyDescent="0.3"/>
    <row r="45122" customFormat="1" x14ac:dyDescent="0.3"/>
    <row r="45123" customFormat="1" x14ac:dyDescent="0.3"/>
    <row r="45124" customFormat="1" x14ac:dyDescent="0.3"/>
    <row r="45125" customFormat="1" x14ac:dyDescent="0.3"/>
    <row r="45126" customFormat="1" x14ac:dyDescent="0.3"/>
    <row r="45127" customFormat="1" x14ac:dyDescent="0.3"/>
    <row r="45128" customFormat="1" x14ac:dyDescent="0.3"/>
    <row r="45129" customFormat="1" x14ac:dyDescent="0.3"/>
    <row r="45130" customFormat="1" x14ac:dyDescent="0.3"/>
    <row r="45131" customFormat="1" x14ac:dyDescent="0.3"/>
    <row r="45132" customFormat="1" x14ac:dyDescent="0.3"/>
    <row r="45133" customFormat="1" x14ac:dyDescent="0.3"/>
    <row r="45134" customFormat="1" x14ac:dyDescent="0.3"/>
    <row r="45135" customFormat="1" x14ac:dyDescent="0.3"/>
    <row r="45136" customFormat="1" x14ac:dyDescent="0.3"/>
    <row r="45137" customFormat="1" x14ac:dyDescent="0.3"/>
    <row r="45138" customFormat="1" x14ac:dyDescent="0.3"/>
    <row r="45139" customFormat="1" x14ac:dyDescent="0.3"/>
    <row r="45140" customFormat="1" x14ac:dyDescent="0.3"/>
    <row r="45141" customFormat="1" x14ac:dyDescent="0.3"/>
    <row r="45142" customFormat="1" x14ac:dyDescent="0.3"/>
    <row r="45143" customFormat="1" x14ac:dyDescent="0.3"/>
    <row r="45144" customFormat="1" x14ac:dyDescent="0.3"/>
    <row r="45145" customFormat="1" x14ac:dyDescent="0.3"/>
    <row r="45146" customFormat="1" x14ac:dyDescent="0.3"/>
    <row r="45147" customFormat="1" x14ac:dyDescent="0.3"/>
    <row r="45148" customFormat="1" x14ac:dyDescent="0.3"/>
    <row r="45149" customFormat="1" x14ac:dyDescent="0.3"/>
    <row r="45150" customFormat="1" x14ac:dyDescent="0.3"/>
    <row r="45151" customFormat="1" x14ac:dyDescent="0.3"/>
    <row r="45152" customFormat="1" x14ac:dyDescent="0.3"/>
    <row r="45153" customFormat="1" x14ac:dyDescent="0.3"/>
    <row r="45154" customFormat="1" x14ac:dyDescent="0.3"/>
    <row r="45155" customFormat="1" x14ac:dyDescent="0.3"/>
    <row r="45156" customFormat="1" x14ac:dyDescent="0.3"/>
    <row r="45157" customFormat="1" x14ac:dyDescent="0.3"/>
    <row r="45158" customFormat="1" x14ac:dyDescent="0.3"/>
    <row r="45159" customFormat="1" x14ac:dyDescent="0.3"/>
    <row r="45160" customFormat="1" x14ac:dyDescent="0.3"/>
    <row r="45161" customFormat="1" x14ac:dyDescent="0.3"/>
    <row r="45162" customFormat="1" x14ac:dyDescent="0.3"/>
    <row r="45163" customFormat="1" x14ac:dyDescent="0.3"/>
    <row r="45164" customFormat="1" x14ac:dyDescent="0.3"/>
    <row r="45165" customFormat="1" x14ac:dyDescent="0.3"/>
    <row r="45166" customFormat="1" x14ac:dyDescent="0.3"/>
    <row r="45167" customFormat="1" x14ac:dyDescent="0.3"/>
    <row r="45168" customFormat="1" x14ac:dyDescent="0.3"/>
    <row r="45169" customFormat="1" x14ac:dyDescent="0.3"/>
    <row r="45170" customFormat="1" x14ac:dyDescent="0.3"/>
    <row r="45171" customFormat="1" x14ac:dyDescent="0.3"/>
    <row r="45172" customFormat="1" x14ac:dyDescent="0.3"/>
    <row r="45173" customFormat="1" x14ac:dyDescent="0.3"/>
    <row r="45174" customFormat="1" x14ac:dyDescent="0.3"/>
    <row r="45175" customFormat="1" x14ac:dyDescent="0.3"/>
    <row r="45176" customFormat="1" x14ac:dyDescent="0.3"/>
    <row r="45177" customFormat="1" x14ac:dyDescent="0.3"/>
    <row r="45178" customFormat="1" x14ac:dyDescent="0.3"/>
    <row r="45179" customFormat="1" x14ac:dyDescent="0.3"/>
    <row r="45180" customFormat="1" x14ac:dyDescent="0.3"/>
    <row r="45181" customFormat="1" x14ac:dyDescent="0.3"/>
    <row r="45182" customFormat="1" x14ac:dyDescent="0.3"/>
    <row r="45183" customFormat="1" x14ac:dyDescent="0.3"/>
    <row r="45184" customFormat="1" x14ac:dyDescent="0.3"/>
    <row r="45185" customFormat="1" x14ac:dyDescent="0.3"/>
    <row r="45186" customFormat="1" x14ac:dyDescent="0.3"/>
    <row r="45187" customFormat="1" x14ac:dyDescent="0.3"/>
    <row r="45188" customFormat="1" x14ac:dyDescent="0.3"/>
    <row r="45189" customFormat="1" x14ac:dyDescent="0.3"/>
    <row r="45190" customFormat="1" x14ac:dyDescent="0.3"/>
    <row r="45191" customFormat="1" x14ac:dyDescent="0.3"/>
    <row r="45192" customFormat="1" x14ac:dyDescent="0.3"/>
    <row r="45193" customFormat="1" x14ac:dyDescent="0.3"/>
    <row r="45194" customFormat="1" x14ac:dyDescent="0.3"/>
    <row r="45195" customFormat="1" x14ac:dyDescent="0.3"/>
    <row r="45196" customFormat="1" x14ac:dyDescent="0.3"/>
    <row r="45197" customFormat="1" x14ac:dyDescent="0.3"/>
    <row r="45198" customFormat="1" x14ac:dyDescent="0.3"/>
    <row r="45199" customFormat="1" x14ac:dyDescent="0.3"/>
    <row r="45200" customFormat="1" x14ac:dyDescent="0.3"/>
    <row r="45201" customFormat="1" x14ac:dyDescent="0.3"/>
    <row r="45202" customFormat="1" x14ac:dyDescent="0.3"/>
    <row r="45203" customFormat="1" x14ac:dyDescent="0.3"/>
    <row r="45204" customFormat="1" x14ac:dyDescent="0.3"/>
    <row r="45205" customFormat="1" x14ac:dyDescent="0.3"/>
    <row r="45206" customFormat="1" x14ac:dyDescent="0.3"/>
    <row r="45207" customFormat="1" x14ac:dyDescent="0.3"/>
    <row r="45208" customFormat="1" x14ac:dyDescent="0.3"/>
    <row r="45209" customFormat="1" x14ac:dyDescent="0.3"/>
    <row r="45210" customFormat="1" x14ac:dyDescent="0.3"/>
    <row r="45211" customFormat="1" x14ac:dyDescent="0.3"/>
    <row r="45212" customFormat="1" x14ac:dyDescent="0.3"/>
    <row r="45213" customFormat="1" x14ac:dyDescent="0.3"/>
    <row r="45214" customFormat="1" x14ac:dyDescent="0.3"/>
    <row r="45215" customFormat="1" x14ac:dyDescent="0.3"/>
    <row r="45216" customFormat="1" x14ac:dyDescent="0.3"/>
    <row r="45217" customFormat="1" x14ac:dyDescent="0.3"/>
    <row r="45218" customFormat="1" x14ac:dyDescent="0.3"/>
    <row r="45219" customFormat="1" x14ac:dyDescent="0.3"/>
    <row r="45220" customFormat="1" x14ac:dyDescent="0.3"/>
    <row r="45221" customFormat="1" x14ac:dyDescent="0.3"/>
    <row r="45222" customFormat="1" x14ac:dyDescent="0.3"/>
    <row r="45223" customFormat="1" x14ac:dyDescent="0.3"/>
    <row r="45224" customFormat="1" x14ac:dyDescent="0.3"/>
    <row r="45225" customFormat="1" x14ac:dyDescent="0.3"/>
    <row r="45226" customFormat="1" x14ac:dyDescent="0.3"/>
    <row r="45227" customFormat="1" x14ac:dyDescent="0.3"/>
    <row r="45228" customFormat="1" x14ac:dyDescent="0.3"/>
    <row r="45229" customFormat="1" x14ac:dyDescent="0.3"/>
    <row r="45230" customFormat="1" x14ac:dyDescent="0.3"/>
    <row r="45231" customFormat="1" x14ac:dyDescent="0.3"/>
    <row r="45232" customFormat="1" x14ac:dyDescent="0.3"/>
    <row r="45233" customFormat="1" x14ac:dyDescent="0.3"/>
    <row r="45234" customFormat="1" x14ac:dyDescent="0.3"/>
    <row r="45235" customFormat="1" x14ac:dyDescent="0.3"/>
    <row r="45236" customFormat="1" x14ac:dyDescent="0.3"/>
    <row r="45237" customFormat="1" x14ac:dyDescent="0.3"/>
    <row r="45238" customFormat="1" x14ac:dyDescent="0.3"/>
    <row r="45239" customFormat="1" x14ac:dyDescent="0.3"/>
    <row r="45240" customFormat="1" x14ac:dyDescent="0.3"/>
    <row r="45241" customFormat="1" x14ac:dyDescent="0.3"/>
    <row r="45242" customFormat="1" x14ac:dyDescent="0.3"/>
    <row r="45243" customFormat="1" x14ac:dyDescent="0.3"/>
    <row r="45244" customFormat="1" x14ac:dyDescent="0.3"/>
    <row r="45245" customFormat="1" x14ac:dyDescent="0.3"/>
    <row r="45246" customFormat="1" x14ac:dyDescent="0.3"/>
    <row r="45247" customFormat="1" x14ac:dyDescent="0.3"/>
    <row r="45248" customFormat="1" x14ac:dyDescent="0.3"/>
    <row r="45249" customFormat="1" x14ac:dyDescent="0.3"/>
    <row r="45250" customFormat="1" x14ac:dyDescent="0.3"/>
    <row r="45251" customFormat="1" x14ac:dyDescent="0.3"/>
    <row r="45252" customFormat="1" x14ac:dyDescent="0.3"/>
    <row r="45253" customFormat="1" x14ac:dyDescent="0.3"/>
    <row r="45254" customFormat="1" x14ac:dyDescent="0.3"/>
    <row r="45255" customFormat="1" x14ac:dyDescent="0.3"/>
    <row r="45256" customFormat="1" x14ac:dyDescent="0.3"/>
    <row r="45257" customFormat="1" x14ac:dyDescent="0.3"/>
    <row r="45258" customFormat="1" x14ac:dyDescent="0.3"/>
    <row r="45259" customFormat="1" x14ac:dyDescent="0.3"/>
    <row r="45260" customFormat="1" x14ac:dyDescent="0.3"/>
    <row r="45261" customFormat="1" x14ac:dyDescent="0.3"/>
    <row r="45262" customFormat="1" x14ac:dyDescent="0.3"/>
    <row r="45263" customFormat="1" x14ac:dyDescent="0.3"/>
    <row r="45264" customFormat="1" x14ac:dyDescent="0.3"/>
    <row r="45265" customFormat="1" x14ac:dyDescent="0.3"/>
    <row r="45266" customFormat="1" x14ac:dyDescent="0.3"/>
    <row r="45267" customFormat="1" x14ac:dyDescent="0.3"/>
    <row r="45268" customFormat="1" x14ac:dyDescent="0.3"/>
    <row r="45269" customFormat="1" x14ac:dyDescent="0.3"/>
    <row r="45270" customFormat="1" x14ac:dyDescent="0.3"/>
    <row r="45271" customFormat="1" x14ac:dyDescent="0.3"/>
    <row r="45272" customFormat="1" x14ac:dyDescent="0.3"/>
    <row r="45273" customFormat="1" x14ac:dyDescent="0.3"/>
    <row r="45274" customFormat="1" x14ac:dyDescent="0.3"/>
    <row r="45275" customFormat="1" x14ac:dyDescent="0.3"/>
    <row r="45276" customFormat="1" x14ac:dyDescent="0.3"/>
    <row r="45277" customFormat="1" x14ac:dyDescent="0.3"/>
    <row r="45278" customFormat="1" x14ac:dyDescent="0.3"/>
    <row r="45279" customFormat="1" x14ac:dyDescent="0.3"/>
    <row r="45280" customFormat="1" x14ac:dyDescent="0.3"/>
    <row r="45281" customFormat="1" x14ac:dyDescent="0.3"/>
    <row r="45282" customFormat="1" x14ac:dyDescent="0.3"/>
    <row r="45283" customFormat="1" x14ac:dyDescent="0.3"/>
    <row r="45284" customFormat="1" x14ac:dyDescent="0.3"/>
    <row r="45285" customFormat="1" x14ac:dyDescent="0.3"/>
    <row r="45286" customFormat="1" x14ac:dyDescent="0.3"/>
    <row r="45287" customFormat="1" x14ac:dyDescent="0.3"/>
    <row r="45288" customFormat="1" x14ac:dyDescent="0.3"/>
    <row r="45289" customFormat="1" x14ac:dyDescent="0.3"/>
    <row r="45290" customFormat="1" x14ac:dyDescent="0.3"/>
    <row r="45291" customFormat="1" x14ac:dyDescent="0.3"/>
    <row r="45292" customFormat="1" x14ac:dyDescent="0.3"/>
    <row r="45293" customFormat="1" x14ac:dyDescent="0.3"/>
    <row r="45294" customFormat="1" x14ac:dyDescent="0.3"/>
    <row r="45295" customFormat="1" x14ac:dyDescent="0.3"/>
    <row r="45296" customFormat="1" x14ac:dyDescent="0.3"/>
    <row r="45297" customFormat="1" x14ac:dyDescent="0.3"/>
    <row r="45298" customFormat="1" x14ac:dyDescent="0.3"/>
    <row r="45299" customFormat="1" x14ac:dyDescent="0.3"/>
    <row r="45300" customFormat="1" x14ac:dyDescent="0.3"/>
    <row r="45301" customFormat="1" x14ac:dyDescent="0.3"/>
    <row r="45302" customFormat="1" x14ac:dyDescent="0.3"/>
    <row r="45303" customFormat="1" x14ac:dyDescent="0.3"/>
    <row r="45304" customFormat="1" x14ac:dyDescent="0.3"/>
    <row r="45305" customFormat="1" x14ac:dyDescent="0.3"/>
    <row r="45306" customFormat="1" x14ac:dyDescent="0.3"/>
    <row r="45307" customFormat="1" x14ac:dyDescent="0.3"/>
    <row r="45308" customFormat="1" x14ac:dyDescent="0.3"/>
    <row r="45309" customFormat="1" x14ac:dyDescent="0.3"/>
    <row r="45310" customFormat="1" x14ac:dyDescent="0.3"/>
    <row r="45311" customFormat="1" x14ac:dyDescent="0.3"/>
    <row r="45312" customFormat="1" x14ac:dyDescent="0.3"/>
    <row r="45313" customFormat="1" x14ac:dyDescent="0.3"/>
    <row r="45314" customFormat="1" x14ac:dyDescent="0.3"/>
    <row r="45315" customFormat="1" x14ac:dyDescent="0.3"/>
    <row r="45316" customFormat="1" x14ac:dyDescent="0.3"/>
    <row r="45317" customFormat="1" x14ac:dyDescent="0.3"/>
    <row r="45318" customFormat="1" x14ac:dyDescent="0.3"/>
    <row r="45319" customFormat="1" x14ac:dyDescent="0.3"/>
    <row r="45320" customFormat="1" x14ac:dyDescent="0.3"/>
    <row r="45321" customFormat="1" x14ac:dyDescent="0.3"/>
    <row r="45322" customFormat="1" x14ac:dyDescent="0.3"/>
    <row r="45323" customFormat="1" x14ac:dyDescent="0.3"/>
    <row r="45324" customFormat="1" x14ac:dyDescent="0.3"/>
    <row r="45325" customFormat="1" x14ac:dyDescent="0.3"/>
    <row r="45326" customFormat="1" x14ac:dyDescent="0.3"/>
    <row r="45327" customFormat="1" x14ac:dyDescent="0.3"/>
    <row r="45328" customFormat="1" x14ac:dyDescent="0.3"/>
    <row r="45329" customFormat="1" x14ac:dyDescent="0.3"/>
    <row r="45330" customFormat="1" x14ac:dyDescent="0.3"/>
    <row r="45331" customFormat="1" x14ac:dyDescent="0.3"/>
    <row r="45332" customFormat="1" x14ac:dyDescent="0.3"/>
    <row r="45333" customFormat="1" x14ac:dyDescent="0.3"/>
    <row r="45334" customFormat="1" x14ac:dyDescent="0.3"/>
    <row r="45335" customFormat="1" x14ac:dyDescent="0.3"/>
    <row r="45336" customFormat="1" x14ac:dyDescent="0.3"/>
    <row r="45337" customFormat="1" x14ac:dyDescent="0.3"/>
    <row r="45338" customFormat="1" x14ac:dyDescent="0.3"/>
    <row r="45339" customFormat="1" x14ac:dyDescent="0.3"/>
    <row r="45340" customFormat="1" x14ac:dyDescent="0.3"/>
    <row r="45341" customFormat="1" x14ac:dyDescent="0.3"/>
    <row r="45342" customFormat="1" x14ac:dyDescent="0.3"/>
    <row r="45343" customFormat="1" x14ac:dyDescent="0.3"/>
    <row r="45344" customFormat="1" x14ac:dyDescent="0.3"/>
    <row r="45345" customFormat="1" x14ac:dyDescent="0.3"/>
    <row r="45346" customFormat="1" x14ac:dyDescent="0.3"/>
    <row r="45347" customFormat="1" x14ac:dyDescent="0.3"/>
    <row r="45348" customFormat="1" x14ac:dyDescent="0.3"/>
    <row r="45349" customFormat="1" x14ac:dyDescent="0.3"/>
    <row r="45350" customFormat="1" x14ac:dyDescent="0.3"/>
    <row r="45351" customFormat="1" x14ac:dyDescent="0.3"/>
    <row r="45352" customFormat="1" x14ac:dyDescent="0.3"/>
    <row r="45353" customFormat="1" x14ac:dyDescent="0.3"/>
    <row r="45354" customFormat="1" x14ac:dyDescent="0.3"/>
    <row r="45355" customFormat="1" x14ac:dyDescent="0.3"/>
    <row r="45356" customFormat="1" x14ac:dyDescent="0.3"/>
    <row r="45357" customFormat="1" x14ac:dyDescent="0.3"/>
    <row r="45358" customFormat="1" x14ac:dyDescent="0.3"/>
    <row r="45359" customFormat="1" x14ac:dyDescent="0.3"/>
    <row r="45360" customFormat="1" x14ac:dyDescent="0.3"/>
    <row r="45361" customFormat="1" x14ac:dyDescent="0.3"/>
    <row r="45362" customFormat="1" x14ac:dyDescent="0.3"/>
    <row r="45363" customFormat="1" x14ac:dyDescent="0.3"/>
    <row r="45364" customFormat="1" x14ac:dyDescent="0.3"/>
    <row r="45365" customFormat="1" x14ac:dyDescent="0.3"/>
    <row r="45366" customFormat="1" x14ac:dyDescent="0.3"/>
    <row r="45367" customFormat="1" x14ac:dyDescent="0.3"/>
    <row r="45368" customFormat="1" x14ac:dyDescent="0.3"/>
    <row r="45369" customFormat="1" x14ac:dyDescent="0.3"/>
    <row r="45370" customFormat="1" x14ac:dyDescent="0.3"/>
    <row r="45371" customFormat="1" x14ac:dyDescent="0.3"/>
    <row r="45372" customFormat="1" x14ac:dyDescent="0.3"/>
    <row r="45373" customFormat="1" x14ac:dyDescent="0.3"/>
    <row r="45374" customFormat="1" x14ac:dyDescent="0.3"/>
    <row r="45375" customFormat="1" x14ac:dyDescent="0.3"/>
    <row r="45376" customFormat="1" x14ac:dyDescent="0.3"/>
    <row r="45377" customFormat="1" x14ac:dyDescent="0.3"/>
    <row r="45378" customFormat="1" x14ac:dyDescent="0.3"/>
    <row r="45379" customFormat="1" x14ac:dyDescent="0.3"/>
    <row r="45380" customFormat="1" x14ac:dyDescent="0.3"/>
    <row r="45381" customFormat="1" x14ac:dyDescent="0.3"/>
    <row r="45382" customFormat="1" x14ac:dyDescent="0.3"/>
    <row r="45383" customFormat="1" x14ac:dyDescent="0.3"/>
    <row r="45384" customFormat="1" x14ac:dyDescent="0.3"/>
    <row r="45385" customFormat="1" x14ac:dyDescent="0.3"/>
    <row r="45386" customFormat="1" x14ac:dyDescent="0.3"/>
    <row r="45387" customFormat="1" x14ac:dyDescent="0.3"/>
    <row r="45388" customFormat="1" x14ac:dyDescent="0.3"/>
    <row r="45389" customFormat="1" x14ac:dyDescent="0.3"/>
    <row r="45390" customFormat="1" x14ac:dyDescent="0.3"/>
    <row r="45391" customFormat="1" x14ac:dyDescent="0.3"/>
    <row r="45392" customFormat="1" x14ac:dyDescent="0.3"/>
    <row r="45393" customFormat="1" x14ac:dyDescent="0.3"/>
    <row r="45394" customFormat="1" x14ac:dyDescent="0.3"/>
    <row r="45395" customFormat="1" x14ac:dyDescent="0.3"/>
    <row r="45396" customFormat="1" x14ac:dyDescent="0.3"/>
    <row r="45397" customFormat="1" x14ac:dyDescent="0.3"/>
    <row r="45398" customFormat="1" x14ac:dyDescent="0.3"/>
    <row r="45399" customFormat="1" x14ac:dyDescent="0.3"/>
    <row r="45400" customFormat="1" x14ac:dyDescent="0.3"/>
    <row r="45401" customFormat="1" x14ac:dyDescent="0.3"/>
    <row r="45402" customFormat="1" x14ac:dyDescent="0.3"/>
    <row r="45403" customFormat="1" x14ac:dyDescent="0.3"/>
    <row r="45404" customFormat="1" x14ac:dyDescent="0.3"/>
    <row r="45405" customFormat="1" x14ac:dyDescent="0.3"/>
    <row r="45406" customFormat="1" x14ac:dyDescent="0.3"/>
    <row r="45407" customFormat="1" x14ac:dyDescent="0.3"/>
    <row r="45408" customFormat="1" x14ac:dyDescent="0.3"/>
    <row r="45409" customFormat="1" x14ac:dyDescent="0.3"/>
    <row r="45410" customFormat="1" x14ac:dyDescent="0.3"/>
    <row r="45411" customFormat="1" x14ac:dyDescent="0.3"/>
    <row r="45412" customFormat="1" x14ac:dyDescent="0.3"/>
    <row r="45413" customFormat="1" x14ac:dyDescent="0.3"/>
    <row r="45414" customFormat="1" x14ac:dyDescent="0.3"/>
    <row r="45415" customFormat="1" x14ac:dyDescent="0.3"/>
    <row r="45416" customFormat="1" x14ac:dyDescent="0.3"/>
    <row r="45417" customFormat="1" x14ac:dyDescent="0.3"/>
    <row r="45418" customFormat="1" x14ac:dyDescent="0.3"/>
    <row r="45419" customFormat="1" x14ac:dyDescent="0.3"/>
    <row r="45420" customFormat="1" x14ac:dyDescent="0.3"/>
    <row r="45421" customFormat="1" x14ac:dyDescent="0.3"/>
    <row r="45422" customFormat="1" x14ac:dyDescent="0.3"/>
    <row r="45423" customFormat="1" x14ac:dyDescent="0.3"/>
    <row r="45424" customFormat="1" x14ac:dyDescent="0.3"/>
    <row r="45425" customFormat="1" x14ac:dyDescent="0.3"/>
    <row r="45426" customFormat="1" x14ac:dyDescent="0.3"/>
    <row r="45427" customFormat="1" x14ac:dyDescent="0.3"/>
    <row r="45428" customFormat="1" x14ac:dyDescent="0.3"/>
    <row r="45429" customFormat="1" x14ac:dyDescent="0.3"/>
    <row r="45430" customFormat="1" x14ac:dyDescent="0.3"/>
    <row r="45431" customFormat="1" x14ac:dyDescent="0.3"/>
    <row r="45432" customFormat="1" x14ac:dyDescent="0.3"/>
    <row r="45433" customFormat="1" x14ac:dyDescent="0.3"/>
    <row r="45434" customFormat="1" x14ac:dyDescent="0.3"/>
    <row r="45435" customFormat="1" x14ac:dyDescent="0.3"/>
    <row r="45436" customFormat="1" x14ac:dyDescent="0.3"/>
    <row r="45437" customFormat="1" x14ac:dyDescent="0.3"/>
    <row r="45438" customFormat="1" x14ac:dyDescent="0.3"/>
    <row r="45439" customFormat="1" x14ac:dyDescent="0.3"/>
    <row r="45440" customFormat="1" x14ac:dyDescent="0.3"/>
    <row r="45441" customFormat="1" x14ac:dyDescent="0.3"/>
    <row r="45442" customFormat="1" x14ac:dyDescent="0.3"/>
    <row r="45443" customFormat="1" x14ac:dyDescent="0.3"/>
    <row r="45444" customFormat="1" x14ac:dyDescent="0.3"/>
    <row r="45445" customFormat="1" x14ac:dyDescent="0.3"/>
    <row r="45446" customFormat="1" x14ac:dyDescent="0.3"/>
    <row r="45447" customFormat="1" x14ac:dyDescent="0.3"/>
    <row r="45448" customFormat="1" x14ac:dyDescent="0.3"/>
    <row r="45449" customFormat="1" x14ac:dyDescent="0.3"/>
    <row r="45450" customFormat="1" x14ac:dyDescent="0.3"/>
    <row r="45451" customFormat="1" x14ac:dyDescent="0.3"/>
    <row r="45452" customFormat="1" x14ac:dyDescent="0.3"/>
    <row r="45453" customFormat="1" x14ac:dyDescent="0.3"/>
    <row r="45454" customFormat="1" x14ac:dyDescent="0.3"/>
    <row r="45455" customFormat="1" x14ac:dyDescent="0.3"/>
    <row r="45456" customFormat="1" x14ac:dyDescent="0.3"/>
    <row r="45457" customFormat="1" x14ac:dyDescent="0.3"/>
    <row r="45458" customFormat="1" x14ac:dyDescent="0.3"/>
    <row r="45459" customFormat="1" x14ac:dyDescent="0.3"/>
    <row r="45460" customFormat="1" x14ac:dyDescent="0.3"/>
    <row r="45461" customFormat="1" x14ac:dyDescent="0.3"/>
    <row r="45462" customFormat="1" x14ac:dyDescent="0.3"/>
    <row r="45463" customFormat="1" x14ac:dyDescent="0.3"/>
    <row r="45464" customFormat="1" x14ac:dyDescent="0.3"/>
    <row r="45465" customFormat="1" x14ac:dyDescent="0.3"/>
    <row r="45466" customFormat="1" x14ac:dyDescent="0.3"/>
    <row r="45467" customFormat="1" x14ac:dyDescent="0.3"/>
    <row r="45468" customFormat="1" x14ac:dyDescent="0.3"/>
    <row r="45469" customFormat="1" x14ac:dyDescent="0.3"/>
    <row r="45470" customFormat="1" x14ac:dyDescent="0.3"/>
    <row r="45471" customFormat="1" x14ac:dyDescent="0.3"/>
    <row r="45472" customFormat="1" x14ac:dyDescent="0.3"/>
    <row r="45473" customFormat="1" x14ac:dyDescent="0.3"/>
    <row r="45474" customFormat="1" x14ac:dyDescent="0.3"/>
    <row r="45475" customFormat="1" x14ac:dyDescent="0.3"/>
    <row r="45476" customFormat="1" x14ac:dyDescent="0.3"/>
    <row r="45477" customFormat="1" x14ac:dyDescent="0.3"/>
    <row r="45478" customFormat="1" x14ac:dyDescent="0.3"/>
    <row r="45479" customFormat="1" x14ac:dyDescent="0.3"/>
    <row r="45480" customFormat="1" x14ac:dyDescent="0.3"/>
    <row r="45481" customFormat="1" x14ac:dyDescent="0.3"/>
    <row r="45482" customFormat="1" x14ac:dyDescent="0.3"/>
    <row r="45483" customFormat="1" x14ac:dyDescent="0.3"/>
    <row r="45484" customFormat="1" x14ac:dyDescent="0.3"/>
    <row r="45485" customFormat="1" x14ac:dyDescent="0.3"/>
    <row r="45486" customFormat="1" x14ac:dyDescent="0.3"/>
    <row r="45487" customFormat="1" x14ac:dyDescent="0.3"/>
    <row r="45488" customFormat="1" x14ac:dyDescent="0.3"/>
    <row r="45489" customFormat="1" x14ac:dyDescent="0.3"/>
    <row r="45490" customFormat="1" x14ac:dyDescent="0.3"/>
    <row r="45491" customFormat="1" x14ac:dyDescent="0.3"/>
    <row r="45492" customFormat="1" x14ac:dyDescent="0.3"/>
    <row r="45493" customFormat="1" x14ac:dyDescent="0.3"/>
    <row r="45494" customFormat="1" x14ac:dyDescent="0.3"/>
    <row r="45495" customFormat="1" x14ac:dyDescent="0.3"/>
    <row r="45496" customFormat="1" x14ac:dyDescent="0.3"/>
    <row r="45497" customFormat="1" x14ac:dyDescent="0.3"/>
    <row r="45498" customFormat="1" x14ac:dyDescent="0.3"/>
    <row r="45499" customFormat="1" x14ac:dyDescent="0.3"/>
    <row r="45500" customFormat="1" x14ac:dyDescent="0.3"/>
    <row r="45501" customFormat="1" x14ac:dyDescent="0.3"/>
    <row r="45502" customFormat="1" x14ac:dyDescent="0.3"/>
    <row r="45503" customFormat="1" x14ac:dyDescent="0.3"/>
    <row r="45504" customFormat="1" x14ac:dyDescent="0.3"/>
    <row r="45505" customFormat="1" x14ac:dyDescent="0.3"/>
    <row r="45506" customFormat="1" x14ac:dyDescent="0.3"/>
    <row r="45507" customFormat="1" x14ac:dyDescent="0.3"/>
    <row r="45508" customFormat="1" x14ac:dyDescent="0.3"/>
    <row r="45509" customFormat="1" x14ac:dyDescent="0.3"/>
    <row r="45510" customFormat="1" x14ac:dyDescent="0.3"/>
    <row r="45511" customFormat="1" x14ac:dyDescent="0.3"/>
    <row r="45512" customFormat="1" x14ac:dyDescent="0.3"/>
    <row r="45513" customFormat="1" x14ac:dyDescent="0.3"/>
    <row r="45514" customFormat="1" x14ac:dyDescent="0.3"/>
    <row r="45515" customFormat="1" x14ac:dyDescent="0.3"/>
    <row r="45516" customFormat="1" x14ac:dyDescent="0.3"/>
    <row r="45517" customFormat="1" x14ac:dyDescent="0.3"/>
    <row r="45518" customFormat="1" x14ac:dyDescent="0.3"/>
    <row r="45519" customFormat="1" x14ac:dyDescent="0.3"/>
    <row r="45520" customFormat="1" x14ac:dyDescent="0.3"/>
    <row r="45521" customFormat="1" x14ac:dyDescent="0.3"/>
    <row r="45522" customFormat="1" x14ac:dyDescent="0.3"/>
    <row r="45523" customFormat="1" x14ac:dyDescent="0.3"/>
    <row r="45524" customFormat="1" x14ac:dyDescent="0.3"/>
    <row r="45525" customFormat="1" x14ac:dyDescent="0.3"/>
    <row r="45526" customFormat="1" x14ac:dyDescent="0.3"/>
    <row r="45527" customFormat="1" x14ac:dyDescent="0.3"/>
    <row r="45528" customFormat="1" x14ac:dyDescent="0.3"/>
    <row r="45529" customFormat="1" x14ac:dyDescent="0.3"/>
    <row r="45530" customFormat="1" x14ac:dyDescent="0.3"/>
    <row r="45531" customFormat="1" x14ac:dyDescent="0.3"/>
    <row r="45532" customFormat="1" x14ac:dyDescent="0.3"/>
    <row r="45533" customFormat="1" x14ac:dyDescent="0.3"/>
    <row r="45534" customFormat="1" x14ac:dyDescent="0.3"/>
    <row r="45535" customFormat="1" x14ac:dyDescent="0.3"/>
    <row r="45536" customFormat="1" x14ac:dyDescent="0.3"/>
    <row r="45537" customFormat="1" x14ac:dyDescent="0.3"/>
    <row r="45538" customFormat="1" x14ac:dyDescent="0.3"/>
    <row r="45539" customFormat="1" x14ac:dyDescent="0.3"/>
    <row r="45540" customFormat="1" x14ac:dyDescent="0.3"/>
    <row r="45541" customFormat="1" x14ac:dyDescent="0.3"/>
    <row r="45542" customFormat="1" x14ac:dyDescent="0.3"/>
    <row r="45543" customFormat="1" x14ac:dyDescent="0.3"/>
    <row r="45544" customFormat="1" x14ac:dyDescent="0.3"/>
    <row r="45545" customFormat="1" x14ac:dyDescent="0.3"/>
    <row r="45546" customFormat="1" x14ac:dyDescent="0.3"/>
    <row r="45547" customFormat="1" x14ac:dyDescent="0.3"/>
    <row r="45548" customFormat="1" x14ac:dyDescent="0.3"/>
    <row r="45549" customFormat="1" x14ac:dyDescent="0.3"/>
    <row r="45550" customFormat="1" x14ac:dyDescent="0.3"/>
    <row r="45551" customFormat="1" x14ac:dyDescent="0.3"/>
    <row r="45552" customFormat="1" x14ac:dyDescent="0.3"/>
    <row r="45553" customFormat="1" x14ac:dyDescent="0.3"/>
    <row r="45554" customFormat="1" x14ac:dyDescent="0.3"/>
    <row r="45555" customFormat="1" x14ac:dyDescent="0.3"/>
    <row r="45556" customFormat="1" x14ac:dyDescent="0.3"/>
    <row r="45557" customFormat="1" x14ac:dyDescent="0.3"/>
    <row r="45558" customFormat="1" x14ac:dyDescent="0.3"/>
    <row r="45559" customFormat="1" x14ac:dyDescent="0.3"/>
    <row r="45560" customFormat="1" x14ac:dyDescent="0.3"/>
    <row r="45561" customFormat="1" x14ac:dyDescent="0.3"/>
    <row r="45562" customFormat="1" x14ac:dyDescent="0.3"/>
    <row r="45563" customFormat="1" x14ac:dyDescent="0.3"/>
    <row r="45564" customFormat="1" x14ac:dyDescent="0.3"/>
    <row r="45565" customFormat="1" x14ac:dyDescent="0.3"/>
    <row r="45566" customFormat="1" x14ac:dyDescent="0.3"/>
    <row r="45567" customFormat="1" x14ac:dyDescent="0.3"/>
    <row r="45568" customFormat="1" x14ac:dyDescent="0.3"/>
    <row r="45569" customFormat="1" x14ac:dyDescent="0.3"/>
    <row r="45570" customFormat="1" x14ac:dyDescent="0.3"/>
    <row r="45571" customFormat="1" x14ac:dyDescent="0.3"/>
    <row r="45572" customFormat="1" x14ac:dyDescent="0.3"/>
    <row r="45573" customFormat="1" x14ac:dyDescent="0.3"/>
    <row r="45574" customFormat="1" x14ac:dyDescent="0.3"/>
    <row r="45575" customFormat="1" x14ac:dyDescent="0.3"/>
    <row r="45576" customFormat="1" x14ac:dyDescent="0.3"/>
    <row r="45577" customFormat="1" x14ac:dyDescent="0.3"/>
    <row r="45578" customFormat="1" x14ac:dyDescent="0.3"/>
    <row r="45579" customFormat="1" x14ac:dyDescent="0.3"/>
    <row r="45580" customFormat="1" x14ac:dyDescent="0.3"/>
    <row r="45581" customFormat="1" x14ac:dyDescent="0.3"/>
    <row r="45582" customFormat="1" x14ac:dyDescent="0.3"/>
    <row r="45583" customFormat="1" x14ac:dyDescent="0.3"/>
    <row r="45584" customFormat="1" x14ac:dyDescent="0.3"/>
    <row r="45585" customFormat="1" x14ac:dyDescent="0.3"/>
    <row r="45586" customFormat="1" x14ac:dyDescent="0.3"/>
    <row r="45587" customFormat="1" x14ac:dyDescent="0.3"/>
    <row r="45588" customFormat="1" x14ac:dyDescent="0.3"/>
    <row r="45589" customFormat="1" x14ac:dyDescent="0.3"/>
    <row r="45590" customFormat="1" x14ac:dyDescent="0.3"/>
    <row r="45591" customFormat="1" x14ac:dyDescent="0.3"/>
    <row r="45592" customFormat="1" x14ac:dyDescent="0.3"/>
    <row r="45593" customFormat="1" x14ac:dyDescent="0.3"/>
    <row r="45594" customFormat="1" x14ac:dyDescent="0.3"/>
    <row r="45595" customFormat="1" x14ac:dyDescent="0.3"/>
    <row r="45596" customFormat="1" x14ac:dyDescent="0.3"/>
    <row r="45597" customFormat="1" x14ac:dyDescent="0.3"/>
    <row r="45598" customFormat="1" x14ac:dyDescent="0.3"/>
    <row r="45599" customFormat="1" x14ac:dyDescent="0.3"/>
    <row r="45600" customFormat="1" x14ac:dyDescent="0.3"/>
    <row r="45601" customFormat="1" x14ac:dyDescent="0.3"/>
    <row r="45602" customFormat="1" x14ac:dyDescent="0.3"/>
    <row r="45603" customFormat="1" x14ac:dyDescent="0.3"/>
    <row r="45604" customFormat="1" x14ac:dyDescent="0.3"/>
    <row r="45605" customFormat="1" x14ac:dyDescent="0.3"/>
    <row r="45606" customFormat="1" x14ac:dyDescent="0.3"/>
    <row r="45607" customFormat="1" x14ac:dyDescent="0.3"/>
    <row r="45608" customFormat="1" x14ac:dyDescent="0.3"/>
    <row r="45609" customFormat="1" x14ac:dyDescent="0.3"/>
    <row r="45610" customFormat="1" x14ac:dyDescent="0.3"/>
    <row r="45611" customFormat="1" x14ac:dyDescent="0.3"/>
    <row r="45612" customFormat="1" x14ac:dyDescent="0.3"/>
    <row r="45613" customFormat="1" x14ac:dyDescent="0.3"/>
    <row r="45614" customFormat="1" x14ac:dyDescent="0.3"/>
    <row r="45615" customFormat="1" x14ac:dyDescent="0.3"/>
    <row r="45616" customFormat="1" x14ac:dyDescent="0.3"/>
    <row r="45617" customFormat="1" x14ac:dyDescent="0.3"/>
    <row r="45618" customFormat="1" x14ac:dyDescent="0.3"/>
    <row r="45619" customFormat="1" x14ac:dyDescent="0.3"/>
    <row r="45620" customFormat="1" x14ac:dyDescent="0.3"/>
    <row r="45621" customFormat="1" x14ac:dyDescent="0.3"/>
    <row r="45622" customFormat="1" x14ac:dyDescent="0.3"/>
    <row r="45623" customFormat="1" x14ac:dyDescent="0.3"/>
    <row r="45624" customFormat="1" x14ac:dyDescent="0.3"/>
    <row r="45625" customFormat="1" x14ac:dyDescent="0.3"/>
    <row r="45626" customFormat="1" x14ac:dyDescent="0.3"/>
    <row r="45627" customFormat="1" x14ac:dyDescent="0.3"/>
    <row r="45628" customFormat="1" x14ac:dyDescent="0.3"/>
    <row r="45629" customFormat="1" x14ac:dyDescent="0.3"/>
    <row r="45630" customFormat="1" x14ac:dyDescent="0.3"/>
    <row r="45631" customFormat="1" x14ac:dyDescent="0.3"/>
    <row r="45632" customFormat="1" x14ac:dyDescent="0.3"/>
    <row r="45633" customFormat="1" x14ac:dyDescent="0.3"/>
    <row r="45634" customFormat="1" x14ac:dyDescent="0.3"/>
    <row r="45635" customFormat="1" x14ac:dyDescent="0.3"/>
    <row r="45636" customFormat="1" x14ac:dyDescent="0.3"/>
    <row r="45637" customFormat="1" x14ac:dyDescent="0.3"/>
    <row r="45638" customFormat="1" x14ac:dyDescent="0.3"/>
    <row r="45639" customFormat="1" x14ac:dyDescent="0.3"/>
    <row r="45640" customFormat="1" x14ac:dyDescent="0.3"/>
    <row r="45641" customFormat="1" x14ac:dyDescent="0.3"/>
    <row r="45642" customFormat="1" x14ac:dyDescent="0.3"/>
    <row r="45643" customFormat="1" x14ac:dyDescent="0.3"/>
    <row r="45644" customFormat="1" x14ac:dyDescent="0.3"/>
    <row r="45645" customFormat="1" x14ac:dyDescent="0.3"/>
    <row r="45646" customFormat="1" x14ac:dyDescent="0.3"/>
    <row r="45647" customFormat="1" x14ac:dyDescent="0.3"/>
    <row r="45648" customFormat="1" x14ac:dyDescent="0.3"/>
    <row r="45649" customFormat="1" x14ac:dyDescent="0.3"/>
    <row r="45650" customFormat="1" x14ac:dyDescent="0.3"/>
    <row r="45651" customFormat="1" x14ac:dyDescent="0.3"/>
    <row r="45652" customFormat="1" x14ac:dyDescent="0.3"/>
    <row r="45653" customFormat="1" x14ac:dyDescent="0.3"/>
    <row r="45654" customFormat="1" x14ac:dyDescent="0.3"/>
    <row r="45655" customFormat="1" x14ac:dyDescent="0.3"/>
    <row r="45656" customFormat="1" x14ac:dyDescent="0.3"/>
    <row r="45657" customFormat="1" x14ac:dyDescent="0.3"/>
    <row r="45658" customFormat="1" x14ac:dyDescent="0.3"/>
    <row r="45659" customFormat="1" x14ac:dyDescent="0.3"/>
    <row r="45660" customFormat="1" x14ac:dyDescent="0.3"/>
    <row r="45661" customFormat="1" x14ac:dyDescent="0.3"/>
    <row r="45662" customFormat="1" x14ac:dyDescent="0.3"/>
    <row r="45663" customFormat="1" x14ac:dyDescent="0.3"/>
    <row r="45664" customFormat="1" x14ac:dyDescent="0.3"/>
    <row r="45665" customFormat="1" x14ac:dyDescent="0.3"/>
    <row r="45666" customFormat="1" x14ac:dyDescent="0.3"/>
    <row r="45667" customFormat="1" x14ac:dyDescent="0.3"/>
    <row r="45668" customFormat="1" x14ac:dyDescent="0.3"/>
    <row r="45669" customFormat="1" x14ac:dyDescent="0.3"/>
    <row r="45670" customFormat="1" x14ac:dyDescent="0.3"/>
    <row r="45671" customFormat="1" x14ac:dyDescent="0.3"/>
    <row r="45672" customFormat="1" x14ac:dyDescent="0.3"/>
    <row r="45673" customFormat="1" x14ac:dyDescent="0.3"/>
    <row r="45674" customFormat="1" x14ac:dyDescent="0.3"/>
    <row r="45675" customFormat="1" x14ac:dyDescent="0.3"/>
    <row r="45676" customFormat="1" x14ac:dyDescent="0.3"/>
    <row r="45677" customFormat="1" x14ac:dyDescent="0.3"/>
    <row r="45678" customFormat="1" x14ac:dyDescent="0.3"/>
    <row r="45679" customFormat="1" x14ac:dyDescent="0.3"/>
    <row r="45680" customFormat="1" x14ac:dyDescent="0.3"/>
    <row r="45681" customFormat="1" x14ac:dyDescent="0.3"/>
    <row r="45682" customFormat="1" x14ac:dyDescent="0.3"/>
    <row r="45683" customFormat="1" x14ac:dyDescent="0.3"/>
    <row r="45684" customFormat="1" x14ac:dyDescent="0.3"/>
    <row r="45685" customFormat="1" x14ac:dyDescent="0.3"/>
    <row r="45686" customFormat="1" x14ac:dyDescent="0.3"/>
    <row r="45687" customFormat="1" x14ac:dyDescent="0.3"/>
    <row r="45688" customFormat="1" x14ac:dyDescent="0.3"/>
    <row r="45689" customFormat="1" x14ac:dyDescent="0.3"/>
    <row r="45690" customFormat="1" x14ac:dyDescent="0.3"/>
    <row r="45691" customFormat="1" x14ac:dyDescent="0.3"/>
    <row r="45692" customFormat="1" x14ac:dyDescent="0.3"/>
    <row r="45693" customFormat="1" x14ac:dyDescent="0.3"/>
    <row r="45694" customFormat="1" x14ac:dyDescent="0.3"/>
    <row r="45695" customFormat="1" x14ac:dyDescent="0.3"/>
    <row r="45696" customFormat="1" x14ac:dyDescent="0.3"/>
    <row r="45697" customFormat="1" x14ac:dyDescent="0.3"/>
    <row r="45698" customFormat="1" x14ac:dyDescent="0.3"/>
    <row r="45699" customFormat="1" x14ac:dyDescent="0.3"/>
    <row r="45700" customFormat="1" x14ac:dyDescent="0.3"/>
    <row r="45701" customFormat="1" x14ac:dyDescent="0.3"/>
    <row r="45702" customFormat="1" x14ac:dyDescent="0.3"/>
    <row r="45703" customFormat="1" x14ac:dyDescent="0.3"/>
    <row r="45704" customFormat="1" x14ac:dyDescent="0.3"/>
    <row r="45705" customFormat="1" x14ac:dyDescent="0.3"/>
    <row r="45706" customFormat="1" x14ac:dyDescent="0.3"/>
    <row r="45707" customFormat="1" x14ac:dyDescent="0.3"/>
    <row r="45708" customFormat="1" x14ac:dyDescent="0.3"/>
    <row r="45709" customFormat="1" x14ac:dyDescent="0.3"/>
    <row r="45710" customFormat="1" x14ac:dyDescent="0.3"/>
    <row r="45711" customFormat="1" x14ac:dyDescent="0.3"/>
    <row r="45712" customFormat="1" x14ac:dyDescent="0.3"/>
    <row r="45713" customFormat="1" x14ac:dyDescent="0.3"/>
    <row r="45714" customFormat="1" x14ac:dyDescent="0.3"/>
    <row r="45715" customFormat="1" x14ac:dyDescent="0.3"/>
    <row r="45716" customFormat="1" x14ac:dyDescent="0.3"/>
    <row r="45717" customFormat="1" x14ac:dyDescent="0.3"/>
    <row r="45718" customFormat="1" x14ac:dyDescent="0.3"/>
    <row r="45719" customFormat="1" x14ac:dyDescent="0.3"/>
    <row r="45720" customFormat="1" x14ac:dyDescent="0.3"/>
    <row r="45721" customFormat="1" x14ac:dyDescent="0.3"/>
    <row r="45722" customFormat="1" x14ac:dyDescent="0.3"/>
    <row r="45723" customFormat="1" x14ac:dyDescent="0.3"/>
    <row r="45724" customFormat="1" x14ac:dyDescent="0.3"/>
    <row r="45725" customFormat="1" x14ac:dyDescent="0.3"/>
    <row r="45726" customFormat="1" x14ac:dyDescent="0.3"/>
    <row r="45727" customFormat="1" x14ac:dyDescent="0.3"/>
    <row r="45728" customFormat="1" x14ac:dyDescent="0.3"/>
    <row r="45729" customFormat="1" x14ac:dyDescent="0.3"/>
    <row r="45730" customFormat="1" x14ac:dyDescent="0.3"/>
    <row r="45731" customFormat="1" x14ac:dyDescent="0.3"/>
    <row r="45732" customFormat="1" x14ac:dyDescent="0.3"/>
    <row r="45733" customFormat="1" x14ac:dyDescent="0.3"/>
    <row r="45734" customFormat="1" x14ac:dyDescent="0.3"/>
    <row r="45735" customFormat="1" x14ac:dyDescent="0.3"/>
    <row r="45736" customFormat="1" x14ac:dyDescent="0.3"/>
    <row r="45737" customFormat="1" x14ac:dyDescent="0.3"/>
    <row r="45738" customFormat="1" x14ac:dyDescent="0.3"/>
    <row r="45739" customFormat="1" x14ac:dyDescent="0.3"/>
    <row r="45740" customFormat="1" x14ac:dyDescent="0.3"/>
    <row r="45741" customFormat="1" x14ac:dyDescent="0.3"/>
    <row r="45742" customFormat="1" x14ac:dyDescent="0.3"/>
    <row r="45743" customFormat="1" x14ac:dyDescent="0.3"/>
    <row r="45744" customFormat="1" x14ac:dyDescent="0.3"/>
    <row r="45745" customFormat="1" x14ac:dyDescent="0.3"/>
    <row r="45746" customFormat="1" x14ac:dyDescent="0.3"/>
    <row r="45747" customFormat="1" x14ac:dyDescent="0.3"/>
    <row r="45748" customFormat="1" x14ac:dyDescent="0.3"/>
    <row r="45749" customFormat="1" x14ac:dyDescent="0.3"/>
    <row r="45750" customFormat="1" x14ac:dyDescent="0.3"/>
    <row r="45751" customFormat="1" x14ac:dyDescent="0.3"/>
    <row r="45752" customFormat="1" x14ac:dyDescent="0.3"/>
    <row r="45753" customFormat="1" x14ac:dyDescent="0.3"/>
    <row r="45754" customFormat="1" x14ac:dyDescent="0.3"/>
    <row r="45755" customFormat="1" x14ac:dyDescent="0.3"/>
    <row r="45756" customFormat="1" x14ac:dyDescent="0.3"/>
    <row r="45757" customFormat="1" x14ac:dyDescent="0.3"/>
    <row r="45758" customFormat="1" x14ac:dyDescent="0.3"/>
    <row r="45759" customFormat="1" x14ac:dyDescent="0.3"/>
    <row r="45760" customFormat="1" x14ac:dyDescent="0.3"/>
    <row r="45761" customFormat="1" x14ac:dyDescent="0.3"/>
    <row r="45762" customFormat="1" x14ac:dyDescent="0.3"/>
    <row r="45763" customFormat="1" x14ac:dyDescent="0.3"/>
    <row r="45764" customFormat="1" x14ac:dyDescent="0.3"/>
    <row r="45765" customFormat="1" x14ac:dyDescent="0.3"/>
    <row r="45766" customFormat="1" x14ac:dyDescent="0.3"/>
    <row r="45767" customFormat="1" x14ac:dyDescent="0.3"/>
    <row r="45768" customFormat="1" x14ac:dyDescent="0.3"/>
    <row r="45769" customFormat="1" x14ac:dyDescent="0.3"/>
    <row r="45770" customFormat="1" x14ac:dyDescent="0.3"/>
    <row r="45771" customFormat="1" x14ac:dyDescent="0.3"/>
    <row r="45772" customFormat="1" x14ac:dyDescent="0.3"/>
    <row r="45773" customFormat="1" x14ac:dyDescent="0.3"/>
    <row r="45774" customFormat="1" x14ac:dyDescent="0.3"/>
    <row r="45775" customFormat="1" x14ac:dyDescent="0.3"/>
    <row r="45776" customFormat="1" x14ac:dyDescent="0.3"/>
    <row r="45777" customFormat="1" x14ac:dyDescent="0.3"/>
    <row r="45778" customFormat="1" x14ac:dyDescent="0.3"/>
    <row r="45779" customFormat="1" x14ac:dyDescent="0.3"/>
    <row r="45780" customFormat="1" x14ac:dyDescent="0.3"/>
    <row r="45781" customFormat="1" x14ac:dyDescent="0.3"/>
    <row r="45782" customFormat="1" x14ac:dyDescent="0.3"/>
    <row r="45783" customFormat="1" x14ac:dyDescent="0.3"/>
    <row r="45784" customFormat="1" x14ac:dyDescent="0.3"/>
    <row r="45785" customFormat="1" x14ac:dyDescent="0.3"/>
    <row r="45786" customFormat="1" x14ac:dyDescent="0.3"/>
    <row r="45787" customFormat="1" x14ac:dyDescent="0.3"/>
    <row r="45788" customFormat="1" x14ac:dyDescent="0.3"/>
    <row r="45789" customFormat="1" x14ac:dyDescent="0.3"/>
    <row r="45790" customFormat="1" x14ac:dyDescent="0.3"/>
    <row r="45791" customFormat="1" x14ac:dyDescent="0.3"/>
    <row r="45792" customFormat="1" x14ac:dyDescent="0.3"/>
    <row r="45793" customFormat="1" x14ac:dyDescent="0.3"/>
    <row r="45794" customFormat="1" x14ac:dyDescent="0.3"/>
    <row r="45795" customFormat="1" x14ac:dyDescent="0.3"/>
    <row r="45796" customFormat="1" x14ac:dyDescent="0.3"/>
    <row r="45797" customFormat="1" x14ac:dyDescent="0.3"/>
    <row r="45798" customFormat="1" x14ac:dyDescent="0.3"/>
    <row r="45799" customFormat="1" x14ac:dyDescent="0.3"/>
    <row r="45800" customFormat="1" x14ac:dyDescent="0.3"/>
    <row r="45801" customFormat="1" x14ac:dyDescent="0.3"/>
    <row r="45802" customFormat="1" x14ac:dyDescent="0.3"/>
    <row r="45803" customFormat="1" x14ac:dyDescent="0.3"/>
    <row r="45804" customFormat="1" x14ac:dyDescent="0.3"/>
    <row r="45805" customFormat="1" x14ac:dyDescent="0.3"/>
    <row r="45806" customFormat="1" x14ac:dyDescent="0.3"/>
    <row r="45807" customFormat="1" x14ac:dyDescent="0.3"/>
    <row r="45808" customFormat="1" x14ac:dyDescent="0.3"/>
    <row r="45809" customFormat="1" x14ac:dyDescent="0.3"/>
    <row r="45810" customFormat="1" x14ac:dyDescent="0.3"/>
    <row r="45811" customFormat="1" x14ac:dyDescent="0.3"/>
    <row r="45812" customFormat="1" x14ac:dyDescent="0.3"/>
    <row r="45813" customFormat="1" x14ac:dyDescent="0.3"/>
    <row r="45814" customFormat="1" x14ac:dyDescent="0.3"/>
    <row r="45815" customFormat="1" x14ac:dyDescent="0.3"/>
    <row r="45816" customFormat="1" x14ac:dyDescent="0.3"/>
    <row r="45817" customFormat="1" x14ac:dyDescent="0.3"/>
    <row r="45818" customFormat="1" x14ac:dyDescent="0.3"/>
    <row r="45819" customFormat="1" x14ac:dyDescent="0.3"/>
    <row r="45820" customFormat="1" x14ac:dyDescent="0.3"/>
    <row r="45821" customFormat="1" x14ac:dyDescent="0.3"/>
    <row r="45822" customFormat="1" x14ac:dyDescent="0.3"/>
    <row r="45823" customFormat="1" x14ac:dyDescent="0.3"/>
    <row r="45824" customFormat="1" x14ac:dyDescent="0.3"/>
    <row r="45825" customFormat="1" x14ac:dyDescent="0.3"/>
    <row r="45826" customFormat="1" x14ac:dyDescent="0.3"/>
    <row r="45827" customFormat="1" x14ac:dyDescent="0.3"/>
    <row r="45828" customFormat="1" x14ac:dyDescent="0.3"/>
    <row r="45829" customFormat="1" x14ac:dyDescent="0.3"/>
    <row r="45830" customFormat="1" x14ac:dyDescent="0.3"/>
    <row r="45831" customFormat="1" x14ac:dyDescent="0.3"/>
    <row r="45832" customFormat="1" x14ac:dyDescent="0.3"/>
    <row r="45833" customFormat="1" x14ac:dyDescent="0.3"/>
    <row r="45834" customFormat="1" x14ac:dyDescent="0.3"/>
    <row r="45835" customFormat="1" x14ac:dyDescent="0.3"/>
    <row r="45836" customFormat="1" x14ac:dyDescent="0.3"/>
    <row r="45837" customFormat="1" x14ac:dyDescent="0.3"/>
    <row r="45838" customFormat="1" x14ac:dyDescent="0.3"/>
    <row r="45839" customFormat="1" x14ac:dyDescent="0.3"/>
    <row r="45840" customFormat="1" x14ac:dyDescent="0.3"/>
    <row r="45841" customFormat="1" x14ac:dyDescent="0.3"/>
    <row r="45842" customFormat="1" x14ac:dyDescent="0.3"/>
    <row r="45843" customFormat="1" x14ac:dyDescent="0.3"/>
    <row r="45844" customFormat="1" x14ac:dyDescent="0.3"/>
    <row r="45845" customFormat="1" x14ac:dyDescent="0.3"/>
    <row r="45846" customFormat="1" x14ac:dyDescent="0.3"/>
    <row r="45847" customFormat="1" x14ac:dyDescent="0.3"/>
    <row r="45848" customFormat="1" x14ac:dyDescent="0.3"/>
    <row r="45849" customFormat="1" x14ac:dyDescent="0.3"/>
    <row r="45850" customFormat="1" x14ac:dyDescent="0.3"/>
    <row r="45851" customFormat="1" x14ac:dyDescent="0.3"/>
    <row r="45852" customFormat="1" x14ac:dyDescent="0.3"/>
    <row r="45853" customFormat="1" x14ac:dyDescent="0.3"/>
    <row r="45854" customFormat="1" x14ac:dyDescent="0.3"/>
    <row r="45855" customFormat="1" x14ac:dyDescent="0.3"/>
    <row r="45856" customFormat="1" x14ac:dyDescent="0.3"/>
    <row r="45857" customFormat="1" x14ac:dyDescent="0.3"/>
    <row r="45858" customFormat="1" x14ac:dyDescent="0.3"/>
    <row r="45859" customFormat="1" x14ac:dyDescent="0.3"/>
    <row r="45860" customFormat="1" x14ac:dyDescent="0.3"/>
    <row r="45861" customFormat="1" x14ac:dyDescent="0.3"/>
    <row r="45862" customFormat="1" x14ac:dyDescent="0.3"/>
    <row r="45863" customFormat="1" x14ac:dyDescent="0.3"/>
    <row r="45864" customFormat="1" x14ac:dyDescent="0.3"/>
    <row r="45865" customFormat="1" x14ac:dyDescent="0.3"/>
    <row r="45866" customFormat="1" x14ac:dyDescent="0.3"/>
    <row r="45867" customFormat="1" x14ac:dyDescent="0.3"/>
    <row r="45868" customFormat="1" x14ac:dyDescent="0.3"/>
    <row r="45869" customFormat="1" x14ac:dyDescent="0.3"/>
    <row r="45870" customFormat="1" x14ac:dyDescent="0.3"/>
    <row r="45871" customFormat="1" x14ac:dyDescent="0.3"/>
    <row r="45872" customFormat="1" x14ac:dyDescent="0.3"/>
    <row r="45873" customFormat="1" x14ac:dyDescent="0.3"/>
    <row r="45874" customFormat="1" x14ac:dyDescent="0.3"/>
    <row r="45875" customFormat="1" x14ac:dyDescent="0.3"/>
    <row r="45876" customFormat="1" x14ac:dyDescent="0.3"/>
    <row r="45877" customFormat="1" x14ac:dyDescent="0.3"/>
    <row r="45878" customFormat="1" x14ac:dyDescent="0.3"/>
    <row r="45879" customFormat="1" x14ac:dyDescent="0.3"/>
    <row r="45880" customFormat="1" x14ac:dyDescent="0.3"/>
    <row r="45881" customFormat="1" x14ac:dyDescent="0.3"/>
    <row r="45882" customFormat="1" x14ac:dyDescent="0.3"/>
    <row r="45883" customFormat="1" x14ac:dyDescent="0.3"/>
    <row r="45884" customFormat="1" x14ac:dyDescent="0.3"/>
    <row r="45885" customFormat="1" x14ac:dyDescent="0.3"/>
    <row r="45886" customFormat="1" x14ac:dyDescent="0.3"/>
    <row r="45887" customFormat="1" x14ac:dyDescent="0.3"/>
    <row r="45888" customFormat="1" x14ac:dyDescent="0.3"/>
    <row r="45889" customFormat="1" x14ac:dyDescent="0.3"/>
    <row r="45890" customFormat="1" x14ac:dyDescent="0.3"/>
    <row r="45891" customFormat="1" x14ac:dyDescent="0.3"/>
    <row r="45892" customFormat="1" x14ac:dyDescent="0.3"/>
    <row r="45893" customFormat="1" x14ac:dyDescent="0.3"/>
    <row r="45894" customFormat="1" x14ac:dyDescent="0.3"/>
    <row r="45895" customFormat="1" x14ac:dyDescent="0.3"/>
    <row r="45896" customFormat="1" x14ac:dyDescent="0.3"/>
    <row r="45897" customFormat="1" x14ac:dyDescent="0.3"/>
    <row r="45898" customFormat="1" x14ac:dyDescent="0.3"/>
    <row r="45899" customFormat="1" x14ac:dyDescent="0.3"/>
    <row r="45900" customFormat="1" x14ac:dyDescent="0.3"/>
    <row r="45901" customFormat="1" x14ac:dyDescent="0.3"/>
    <row r="45902" customFormat="1" x14ac:dyDescent="0.3"/>
    <row r="45903" customFormat="1" x14ac:dyDescent="0.3"/>
    <row r="45904" customFormat="1" x14ac:dyDescent="0.3"/>
    <row r="45905" customFormat="1" x14ac:dyDescent="0.3"/>
    <row r="45906" customFormat="1" x14ac:dyDescent="0.3"/>
    <row r="45907" customFormat="1" x14ac:dyDescent="0.3"/>
    <row r="45908" customFormat="1" x14ac:dyDescent="0.3"/>
    <row r="45909" customFormat="1" x14ac:dyDescent="0.3"/>
    <row r="45910" customFormat="1" x14ac:dyDescent="0.3"/>
    <row r="45911" customFormat="1" x14ac:dyDescent="0.3"/>
    <row r="45912" customFormat="1" x14ac:dyDescent="0.3"/>
    <row r="45913" customFormat="1" x14ac:dyDescent="0.3"/>
    <row r="45914" customFormat="1" x14ac:dyDescent="0.3"/>
    <row r="45915" customFormat="1" x14ac:dyDescent="0.3"/>
    <row r="45916" customFormat="1" x14ac:dyDescent="0.3"/>
    <row r="45917" customFormat="1" x14ac:dyDescent="0.3"/>
    <row r="45918" customFormat="1" x14ac:dyDescent="0.3"/>
    <row r="45919" customFormat="1" x14ac:dyDescent="0.3"/>
    <row r="45920" customFormat="1" x14ac:dyDescent="0.3"/>
    <row r="45921" customFormat="1" x14ac:dyDescent="0.3"/>
    <row r="45922" customFormat="1" x14ac:dyDescent="0.3"/>
    <row r="45923" customFormat="1" x14ac:dyDescent="0.3"/>
    <row r="45924" customFormat="1" x14ac:dyDescent="0.3"/>
    <row r="45925" customFormat="1" x14ac:dyDescent="0.3"/>
    <row r="45926" customFormat="1" x14ac:dyDescent="0.3"/>
    <row r="45927" customFormat="1" x14ac:dyDescent="0.3"/>
    <row r="45928" customFormat="1" x14ac:dyDescent="0.3"/>
    <row r="45929" customFormat="1" x14ac:dyDescent="0.3"/>
    <row r="45930" customFormat="1" x14ac:dyDescent="0.3"/>
    <row r="45931" customFormat="1" x14ac:dyDescent="0.3"/>
    <row r="45932" customFormat="1" x14ac:dyDescent="0.3"/>
    <row r="45933" customFormat="1" x14ac:dyDescent="0.3"/>
    <row r="45934" customFormat="1" x14ac:dyDescent="0.3"/>
    <row r="45935" customFormat="1" x14ac:dyDescent="0.3"/>
    <row r="45936" customFormat="1" x14ac:dyDescent="0.3"/>
    <row r="45937" customFormat="1" x14ac:dyDescent="0.3"/>
    <row r="45938" customFormat="1" x14ac:dyDescent="0.3"/>
    <row r="45939" customFormat="1" x14ac:dyDescent="0.3"/>
    <row r="45940" customFormat="1" x14ac:dyDescent="0.3"/>
    <row r="45941" customFormat="1" x14ac:dyDescent="0.3"/>
    <row r="45942" customFormat="1" x14ac:dyDescent="0.3"/>
    <row r="45943" customFormat="1" x14ac:dyDescent="0.3"/>
    <row r="45944" customFormat="1" x14ac:dyDescent="0.3"/>
    <row r="45945" customFormat="1" x14ac:dyDescent="0.3"/>
    <row r="45946" customFormat="1" x14ac:dyDescent="0.3"/>
    <row r="45947" customFormat="1" x14ac:dyDescent="0.3"/>
    <row r="45948" customFormat="1" x14ac:dyDescent="0.3"/>
    <row r="45949" customFormat="1" x14ac:dyDescent="0.3"/>
    <row r="45950" customFormat="1" x14ac:dyDescent="0.3"/>
    <row r="45951" customFormat="1" x14ac:dyDescent="0.3"/>
    <row r="45952" customFormat="1" x14ac:dyDescent="0.3"/>
    <row r="45953" customFormat="1" x14ac:dyDescent="0.3"/>
    <row r="45954" customFormat="1" x14ac:dyDescent="0.3"/>
    <row r="45955" customFormat="1" x14ac:dyDescent="0.3"/>
    <row r="45956" customFormat="1" x14ac:dyDescent="0.3"/>
    <row r="45957" customFormat="1" x14ac:dyDescent="0.3"/>
    <row r="45958" customFormat="1" x14ac:dyDescent="0.3"/>
    <row r="45959" customFormat="1" x14ac:dyDescent="0.3"/>
    <row r="45960" customFormat="1" x14ac:dyDescent="0.3"/>
    <row r="45961" customFormat="1" x14ac:dyDescent="0.3"/>
    <row r="45962" customFormat="1" x14ac:dyDescent="0.3"/>
    <row r="45963" customFormat="1" x14ac:dyDescent="0.3"/>
    <row r="45964" customFormat="1" x14ac:dyDescent="0.3"/>
    <row r="45965" customFormat="1" x14ac:dyDescent="0.3"/>
    <row r="45966" customFormat="1" x14ac:dyDescent="0.3"/>
    <row r="45967" customFormat="1" x14ac:dyDescent="0.3"/>
    <row r="45968" customFormat="1" x14ac:dyDescent="0.3"/>
    <row r="45969" customFormat="1" x14ac:dyDescent="0.3"/>
    <row r="45970" customFormat="1" x14ac:dyDescent="0.3"/>
    <row r="45971" customFormat="1" x14ac:dyDescent="0.3"/>
    <row r="45972" customFormat="1" x14ac:dyDescent="0.3"/>
    <row r="45973" customFormat="1" x14ac:dyDescent="0.3"/>
    <row r="45974" customFormat="1" x14ac:dyDescent="0.3"/>
    <row r="45975" customFormat="1" x14ac:dyDescent="0.3"/>
    <row r="45976" customFormat="1" x14ac:dyDescent="0.3"/>
    <row r="45977" customFormat="1" x14ac:dyDescent="0.3"/>
    <row r="45978" customFormat="1" x14ac:dyDescent="0.3"/>
    <row r="45979" customFormat="1" x14ac:dyDescent="0.3"/>
    <row r="45980" customFormat="1" x14ac:dyDescent="0.3"/>
    <row r="45981" customFormat="1" x14ac:dyDescent="0.3"/>
    <row r="45982" customFormat="1" x14ac:dyDescent="0.3"/>
    <row r="45983" customFormat="1" x14ac:dyDescent="0.3"/>
    <row r="45984" customFormat="1" x14ac:dyDescent="0.3"/>
    <row r="45985" customFormat="1" x14ac:dyDescent="0.3"/>
    <row r="45986" customFormat="1" x14ac:dyDescent="0.3"/>
    <row r="45987" customFormat="1" x14ac:dyDescent="0.3"/>
    <row r="45988" customFormat="1" x14ac:dyDescent="0.3"/>
    <row r="45989" customFormat="1" x14ac:dyDescent="0.3"/>
    <row r="45990" customFormat="1" x14ac:dyDescent="0.3"/>
    <row r="45991" customFormat="1" x14ac:dyDescent="0.3"/>
    <row r="45992" customFormat="1" x14ac:dyDescent="0.3"/>
    <row r="45993" customFormat="1" x14ac:dyDescent="0.3"/>
    <row r="45994" customFormat="1" x14ac:dyDescent="0.3"/>
    <row r="45995" customFormat="1" x14ac:dyDescent="0.3"/>
    <row r="45996" customFormat="1" x14ac:dyDescent="0.3"/>
    <row r="45997" customFormat="1" x14ac:dyDescent="0.3"/>
    <row r="45998" customFormat="1" x14ac:dyDescent="0.3"/>
    <row r="45999" customFormat="1" x14ac:dyDescent="0.3"/>
    <row r="46000" customFormat="1" x14ac:dyDescent="0.3"/>
    <row r="46001" customFormat="1" x14ac:dyDescent="0.3"/>
    <row r="46002" customFormat="1" x14ac:dyDescent="0.3"/>
    <row r="46003" customFormat="1" x14ac:dyDescent="0.3"/>
    <row r="46004" customFormat="1" x14ac:dyDescent="0.3"/>
    <row r="46005" customFormat="1" x14ac:dyDescent="0.3"/>
    <row r="46006" customFormat="1" x14ac:dyDescent="0.3"/>
    <row r="46007" customFormat="1" x14ac:dyDescent="0.3"/>
    <row r="46008" customFormat="1" x14ac:dyDescent="0.3"/>
    <row r="46009" customFormat="1" x14ac:dyDescent="0.3"/>
    <row r="46010" customFormat="1" x14ac:dyDescent="0.3"/>
    <row r="46011" customFormat="1" x14ac:dyDescent="0.3"/>
    <row r="46012" customFormat="1" x14ac:dyDescent="0.3"/>
    <row r="46013" customFormat="1" x14ac:dyDescent="0.3"/>
    <row r="46014" customFormat="1" x14ac:dyDescent="0.3"/>
    <row r="46015" customFormat="1" x14ac:dyDescent="0.3"/>
    <row r="46016" customFormat="1" x14ac:dyDescent="0.3"/>
    <row r="46017" customFormat="1" x14ac:dyDescent="0.3"/>
    <row r="46018" customFormat="1" x14ac:dyDescent="0.3"/>
    <row r="46019" customFormat="1" x14ac:dyDescent="0.3"/>
    <row r="46020" customFormat="1" x14ac:dyDescent="0.3"/>
    <row r="46021" customFormat="1" x14ac:dyDescent="0.3"/>
    <row r="46022" customFormat="1" x14ac:dyDescent="0.3"/>
    <row r="46023" customFormat="1" x14ac:dyDescent="0.3"/>
    <row r="46024" customFormat="1" x14ac:dyDescent="0.3"/>
    <row r="46025" customFormat="1" x14ac:dyDescent="0.3"/>
    <row r="46026" customFormat="1" x14ac:dyDescent="0.3"/>
    <row r="46027" customFormat="1" x14ac:dyDescent="0.3"/>
    <row r="46028" customFormat="1" x14ac:dyDescent="0.3"/>
    <row r="46029" customFormat="1" x14ac:dyDescent="0.3"/>
    <row r="46030" customFormat="1" x14ac:dyDescent="0.3"/>
    <row r="46031" customFormat="1" x14ac:dyDescent="0.3"/>
    <row r="46032" customFormat="1" x14ac:dyDescent="0.3"/>
    <row r="46033" customFormat="1" x14ac:dyDescent="0.3"/>
    <row r="46034" customFormat="1" x14ac:dyDescent="0.3"/>
    <row r="46035" customFormat="1" x14ac:dyDescent="0.3"/>
    <row r="46036" customFormat="1" x14ac:dyDescent="0.3"/>
    <row r="46037" customFormat="1" x14ac:dyDescent="0.3"/>
    <row r="46038" customFormat="1" x14ac:dyDescent="0.3"/>
    <row r="46039" customFormat="1" x14ac:dyDescent="0.3"/>
    <row r="46040" customFormat="1" x14ac:dyDescent="0.3"/>
    <row r="46041" customFormat="1" x14ac:dyDescent="0.3"/>
    <row r="46042" customFormat="1" x14ac:dyDescent="0.3"/>
    <row r="46043" customFormat="1" x14ac:dyDescent="0.3"/>
    <row r="46044" customFormat="1" x14ac:dyDescent="0.3"/>
    <row r="46045" customFormat="1" x14ac:dyDescent="0.3"/>
    <row r="46046" customFormat="1" x14ac:dyDescent="0.3"/>
    <row r="46047" customFormat="1" x14ac:dyDescent="0.3"/>
    <row r="46048" customFormat="1" x14ac:dyDescent="0.3"/>
    <row r="46049" customFormat="1" x14ac:dyDescent="0.3"/>
    <row r="46050" customFormat="1" x14ac:dyDescent="0.3"/>
    <row r="46051" customFormat="1" x14ac:dyDescent="0.3"/>
    <row r="46052" customFormat="1" x14ac:dyDescent="0.3"/>
    <row r="46053" customFormat="1" x14ac:dyDescent="0.3"/>
    <row r="46054" customFormat="1" x14ac:dyDescent="0.3"/>
    <row r="46055" customFormat="1" x14ac:dyDescent="0.3"/>
    <row r="46056" customFormat="1" x14ac:dyDescent="0.3"/>
    <row r="46057" customFormat="1" x14ac:dyDescent="0.3"/>
    <row r="46058" customFormat="1" x14ac:dyDescent="0.3"/>
    <row r="46059" customFormat="1" x14ac:dyDescent="0.3"/>
    <row r="46060" customFormat="1" x14ac:dyDescent="0.3"/>
    <row r="46061" customFormat="1" x14ac:dyDescent="0.3"/>
    <row r="46062" customFormat="1" x14ac:dyDescent="0.3"/>
    <row r="46063" customFormat="1" x14ac:dyDescent="0.3"/>
    <row r="46064" customFormat="1" x14ac:dyDescent="0.3"/>
    <row r="46065" customFormat="1" x14ac:dyDescent="0.3"/>
    <row r="46066" customFormat="1" x14ac:dyDescent="0.3"/>
    <row r="46067" customFormat="1" x14ac:dyDescent="0.3"/>
    <row r="46068" customFormat="1" x14ac:dyDescent="0.3"/>
    <row r="46069" customFormat="1" x14ac:dyDescent="0.3"/>
    <row r="46070" customFormat="1" x14ac:dyDescent="0.3"/>
    <row r="46071" customFormat="1" x14ac:dyDescent="0.3"/>
    <row r="46072" customFormat="1" x14ac:dyDescent="0.3"/>
    <row r="46073" customFormat="1" x14ac:dyDescent="0.3"/>
    <row r="46074" customFormat="1" x14ac:dyDescent="0.3"/>
    <row r="46075" customFormat="1" x14ac:dyDescent="0.3"/>
    <row r="46076" customFormat="1" x14ac:dyDescent="0.3"/>
    <row r="46077" customFormat="1" x14ac:dyDescent="0.3"/>
    <row r="46078" customFormat="1" x14ac:dyDescent="0.3"/>
    <row r="46079" customFormat="1" x14ac:dyDescent="0.3"/>
    <row r="46080" customFormat="1" x14ac:dyDescent="0.3"/>
    <row r="46081" customFormat="1" x14ac:dyDescent="0.3"/>
    <row r="46082" customFormat="1" x14ac:dyDescent="0.3"/>
    <row r="46083" customFormat="1" x14ac:dyDescent="0.3"/>
    <row r="46084" customFormat="1" x14ac:dyDescent="0.3"/>
    <row r="46085" customFormat="1" x14ac:dyDescent="0.3"/>
    <row r="46086" customFormat="1" x14ac:dyDescent="0.3"/>
    <row r="46087" customFormat="1" x14ac:dyDescent="0.3"/>
    <row r="46088" customFormat="1" x14ac:dyDescent="0.3"/>
    <row r="46089" customFormat="1" x14ac:dyDescent="0.3"/>
    <row r="46090" customFormat="1" x14ac:dyDescent="0.3"/>
    <row r="46091" customFormat="1" x14ac:dyDescent="0.3"/>
    <row r="46092" customFormat="1" x14ac:dyDescent="0.3"/>
    <row r="46093" customFormat="1" x14ac:dyDescent="0.3"/>
    <row r="46094" customFormat="1" x14ac:dyDescent="0.3"/>
    <row r="46095" customFormat="1" x14ac:dyDescent="0.3"/>
    <row r="46096" customFormat="1" x14ac:dyDescent="0.3"/>
    <row r="46097" customFormat="1" x14ac:dyDescent="0.3"/>
    <row r="46098" customFormat="1" x14ac:dyDescent="0.3"/>
    <row r="46099" customFormat="1" x14ac:dyDescent="0.3"/>
    <row r="46100" customFormat="1" x14ac:dyDescent="0.3"/>
    <row r="46101" customFormat="1" x14ac:dyDescent="0.3"/>
    <row r="46102" customFormat="1" x14ac:dyDescent="0.3"/>
    <row r="46103" customFormat="1" x14ac:dyDescent="0.3"/>
    <row r="46104" customFormat="1" x14ac:dyDescent="0.3"/>
    <row r="46105" customFormat="1" x14ac:dyDescent="0.3"/>
    <row r="46106" customFormat="1" x14ac:dyDescent="0.3"/>
    <row r="46107" customFormat="1" x14ac:dyDescent="0.3"/>
    <row r="46108" customFormat="1" x14ac:dyDescent="0.3"/>
    <row r="46109" customFormat="1" x14ac:dyDescent="0.3"/>
    <row r="46110" customFormat="1" x14ac:dyDescent="0.3"/>
    <row r="46111" customFormat="1" x14ac:dyDescent="0.3"/>
    <row r="46112" customFormat="1" x14ac:dyDescent="0.3"/>
    <row r="46113" customFormat="1" x14ac:dyDescent="0.3"/>
    <row r="46114" customFormat="1" x14ac:dyDescent="0.3"/>
    <row r="46115" customFormat="1" x14ac:dyDescent="0.3"/>
    <row r="46116" customFormat="1" x14ac:dyDescent="0.3"/>
    <row r="46117" customFormat="1" x14ac:dyDescent="0.3"/>
    <row r="46118" customFormat="1" x14ac:dyDescent="0.3"/>
    <row r="46119" customFormat="1" x14ac:dyDescent="0.3"/>
    <row r="46120" customFormat="1" x14ac:dyDescent="0.3"/>
    <row r="46121" customFormat="1" x14ac:dyDescent="0.3"/>
    <row r="46122" customFormat="1" x14ac:dyDescent="0.3"/>
    <row r="46123" customFormat="1" x14ac:dyDescent="0.3"/>
    <row r="46124" customFormat="1" x14ac:dyDescent="0.3"/>
    <row r="46125" customFormat="1" x14ac:dyDescent="0.3"/>
    <row r="46126" customFormat="1" x14ac:dyDescent="0.3"/>
    <row r="46127" customFormat="1" x14ac:dyDescent="0.3"/>
    <row r="46128" customFormat="1" x14ac:dyDescent="0.3"/>
    <row r="46129" customFormat="1" x14ac:dyDescent="0.3"/>
    <row r="46130" customFormat="1" x14ac:dyDescent="0.3"/>
    <row r="46131" customFormat="1" x14ac:dyDescent="0.3"/>
    <row r="46132" customFormat="1" x14ac:dyDescent="0.3"/>
    <row r="46133" customFormat="1" x14ac:dyDescent="0.3"/>
    <row r="46134" customFormat="1" x14ac:dyDescent="0.3"/>
    <row r="46135" customFormat="1" x14ac:dyDescent="0.3"/>
    <row r="46136" customFormat="1" x14ac:dyDescent="0.3"/>
    <row r="46137" customFormat="1" x14ac:dyDescent="0.3"/>
    <row r="46138" customFormat="1" x14ac:dyDescent="0.3"/>
    <row r="46139" customFormat="1" x14ac:dyDescent="0.3"/>
    <row r="46140" customFormat="1" x14ac:dyDescent="0.3"/>
    <row r="46141" customFormat="1" x14ac:dyDescent="0.3"/>
    <row r="46142" customFormat="1" x14ac:dyDescent="0.3"/>
    <row r="46143" customFormat="1" x14ac:dyDescent="0.3"/>
    <row r="46144" customFormat="1" x14ac:dyDescent="0.3"/>
    <row r="46145" customFormat="1" x14ac:dyDescent="0.3"/>
    <row r="46146" customFormat="1" x14ac:dyDescent="0.3"/>
    <row r="46147" customFormat="1" x14ac:dyDescent="0.3"/>
    <row r="46148" customFormat="1" x14ac:dyDescent="0.3"/>
    <row r="46149" customFormat="1" x14ac:dyDescent="0.3"/>
    <row r="46150" customFormat="1" x14ac:dyDescent="0.3"/>
    <row r="46151" customFormat="1" x14ac:dyDescent="0.3"/>
    <row r="46152" customFormat="1" x14ac:dyDescent="0.3"/>
    <row r="46153" customFormat="1" x14ac:dyDescent="0.3"/>
    <row r="46154" customFormat="1" x14ac:dyDescent="0.3"/>
    <row r="46155" customFormat="1" x14ac:dyDescent="0.3"/>
    <row r="46156" customFormat="1" x14ac:dyDescent="0.3"/>
    <row r="46157" customFormat="1" x14ac:dyDescent="0.3"/>
    <row r="46158" customFormat="1" x14ac:dyDescent="0.3"/>
    <row r="46159" customFormat="1" x14ac:dyDescent="0.3"/>
    <row r="46160" customFormat="1" x14ac:dyDescent="0.3"/>
    <row r="46161" customFormat="1" x14ac:dyDescent="0.3"/>
    <row r="46162" customFormat="1" x14ac:dyDescent="0.3"/>
    <row r="46163" customFormat="1" x14ac:dyDescent="0.3"/>
    <row r="46164" customFormat="1" x14ac:dyDescent="0.3"/>
    <row r="46165" customFormat="1" x14ac:dyDescent="0.3"/>
    <row r="46166" customFormat="1" x14ac:dyDescent="0.3"/>
    <row r="46167" customFormat="1" x14ac:dyDescent="0.3"/>
    <row r="46168" customFormat="1" x14ac:dyDescent="0.3"/>
    <row r="46169" customFormat="1" x14ac:dyDescent="0.3"/>
    <row r="46170" customFormat="1" x14ac:dyDescent="0.3"/>
    <row r="46171" customFormat="1" x14ac:dyDescent="0.3"/>
    <row r="46172" customFormat="1" x14ac:dyDescent="0.3"/>
    <row r="46173" customFormat="1" x14ac:dyDescent="0.3"/>
    <row r="46174" customFormat="1" x14ac:dyDescent="0.3"/>
    <row r="46175" customFormat="1" x14ac:dyDescent="0.3"/>
    <row r="46176" customFormat="1" x14ac:dyDescent="0.3"/>
    <row r="46177" customFormat="1" x14ac:dyDescent="0.3"/>
    <row r="46178" customFormat="1" x14ac:dyDescent="0.3"/>
    <row r="46179" customFormat="1" x14ac:dyDescent="0.3"/>
    <row r="46180" customFormat="1" x14ac:dyDescent="0.3"/>
    <row r="46181" customFormat="1" x14ac:dyDescent="0.3"/>
    <row r="46182" customFormat="1" x14ac:dyDescent="0.3"/>
    <row r="46183" customFormat="1" x14ac:dyDescent="0.3"/>
    <row r="46184" customFormat="1" x14ac:dyDescent="0.3"/>
    <row r="46185" customFormat="1" x14ac:dyDescent="0.3"/>
    <row r="46186" customFormat="1" x14ac:dyDescent="0.3"/>
    <row r="46187" customFormat="1" x14ac:dyDescent="0.3"/>
    <row r="46188" customFormat="1" x14ac:dyDescent="0.3"/>
    <row r="46189" customFormat="1" x14ac:dyDescent="0.3"/>
    <row r="46190" customFormat="1" x14ac:dyDescent="0.3"/>
    <row r="46191" customFormat="1" x14ac:dyDescent="0.3"/>
    <row r="46192" customFormat="1" x14ac:dyDescent="0.3"/>
    <row r="46193" customFormat="1" x14ac:dyDescent="0.3"/>
    <row r="46194" customFormat="1" x14ac:dyDescent="0.3"/>
    <row r="46195" customFormat="1" x14ac:dyDescent="0.3"/>
    <row r="46196" customFormat="1" x14ac:dyDescent="0.3"/>
    <row r="46197" customFormat="1" x14ac:dyDescent="0.3"/>
    <row r="46198" customFormat="1" x14ac:dyDescent="0.3"/>
    <row r="46199" customFormat="1" x14ac:dyDescent="0.3"/>
    <row r="46200" customFormat="1" x14ac:dyDescent="0.3"/>
    <row r="46201" customFormat="1" x14ac:dyDescent="0.3"/>
    <row r="46202" customFormat="1" x14ac:dyDescent="0.3"/>
    <row r="46203" customFormat="1" x14ac:dyDescent="0.3"/>
    <row r="46204" customFormat="1" x14ac:dyDescent="0.3"/>
    <row r="46205" customFormat="1" x14ac:dyDescent="0.3"/>
    <row r="46206" customFormat="1" x14ac:dyDescent="0.3"/>
    <row r="46207" customFormat="1" x14ac:dyDescent="0.3"/>
    <row r="46208" customFormat="1" x14ac:dyDescent="0.3"/>
    <row r="46209" customFormat="1" x14ac:dyDescent="0.3"/>
    <row r="46210" customFormat="1" x14ac:dyDescent="0.3"/>
    <row r="46211" customFormat="1" x14ac:dyDescent="0.3"/>
    <row r="46212" customFormat="1" x14ac:dyDescent="0.3"/>
    <row r="46213" customFormat="1" x14ac:dyDescent="0.3"/>
    <row r="46214" customFormat="1" x14ac:dyDescent="0.3"/>
    <row r="46215" customFormat="1" x14ac:dyDescent="0.3"/>
    <row r="46216" customFormat="1" x14ac:dyDescent="0.3"/>
    <row r="46217" customFormat="1" x14ac:dyDescent="0.3"/>
    <row r="46218" customFormat="1" x14ac:dyDescent="0.3"/>
    <row r="46219" customFormat="1" x14ac:dyDescent="0.3"/>
    <row r="46220" customFormat="1" x14ac:dyDescent="0.3"/>
    <row r="46221" customFormat="1" x14ac:dyDescent="0.3"/>
    <row r="46222" customFormat="1" x14ac:dyDescent="0.3"/>
    <row r="46223" customFormat="1" x14ac:dyDescent="0.3"/>
    <row r="46224" customFormat="1" x14ac:dyDescent="0.3"/>
    <row r="46225" customFormat="1" x14ac:dyDescent="0.3"/>
    <row r="46226" customFormat="1" x14ac:dyDescent="0.3"/>
    <row r="46227" customFormat="1" x14ac:dyDescent="0.3"/>
    <row r="46228" customFormat="1" x14ac:dyDescent="0.3"/>
    <row r="46229" customFormat="1" x14ac:dyDescent="0.3"/>
    <row r="46230" customFormat="1" x14ac:dyDescent="0.3"/>
    <row r="46231" customFormat="1" x14ac:dyDescent="0.3"/>
    <row r="46232" customFormat="1" x14ac:dyDescent="0.3"/>
    <row r="46233" customFormat="1" x14ac:dyDescent="0.3"/>
    <row r="46234" customFormat="1" x14ac:dyDescent="0.3"/>
    <row r="46235" customFormat="1" x14ac:dyDescent="0.3"/>
    <row r="46236" customFormat="1" x14ac:dyDescent="0.3"/>
    <row r="46237" customFormat="1" x14ac:dyDescent="0.3"/>
    <row r="46238" customFormat="1" x14ac:dyDescent="0.3"/>
    <row r="46239" customFormat="1" x14ac:dyDescent="0.3"/>
    <row r="46240" customFormat="1" x14ac:dyDescent="0.3"/>
    <row r="46241" customFormat="1" x14ac:dyDescent="0.3"/>
    <row r="46242" customFormat="1" x14ac:dyDescent="0.3"/>
    <row r="46243" customFormat="1" x14ac:dyDescent="0.3"/>
    <row r="46244" customFormat="1" x14ac:dyDescent="0.3"/>
    <row r="46245" customFormat="1" x14ac:dyDescent="0.3"/>
    <row r="46246" customFormat="1" x14ac:dyDescent="0.3"/>
    <row r="46247" customFormat="1" x14ac:dyDescent="0.3"/>
    <row r="46248" customFormat="1" x14ac:dyDescent="0.3"/>
    <row r="46249" customFormat="1" x14ac:dyDescent="0.3"/>
    <row r="46250" customFormat="1" x14ac:dyDescent="0.3"/>
    <row r="46251" customFormat="1" x14ac:dyDescent="0.3"/>
    <row r="46252" customFormat="1" x14ac:dyDescent="0.3"/>
    <row r="46253" customFormat="1" x14ac:dyDescent="0.3"/>
    <row r="46254" customFormat="1" x14ac:dyDescent="0.3"/>
    <row r="46255" customFormat="1" x14ac:dyDescent="0.3"/>
    <row r="46256" customFormat="1" x14ac:dyDescent="0.3"/>
    <row r="46257" customFormat="1" x14ac:dyDescent="0.3"/>
    <row r="46258" customFormat="1" x14ac:dyDescent="0.3"/>
    <row r="46259" customFormat="1" x14ac:dyDescent="0.3"/>
    <row r="46260" customFormat="1" x14ac:dyDescent="0.3"/>
    <row r="46261" customFormat="1" x14ac:dyDescent="0.3"/>
    <row r="46262" customFormat="1" x14ac:dyDescent="0.3"/>
    <row r="46263" customFormat="1" x14ac:dyDescent="0.3"/>
    <row r="46264" customFormat="1" x14ac:dyDescent="0.3"/>
    <row r="46265" customFormat="1" x14ac:dyDescent="0.3"/>
    <row r="46266" customFormat="1" x14ac:dyDescent="0.3"/>
    <row r="46267" customFormat="1" x14ac:dyDescent="0.3"/>
    <row r="46268" customFormat="1" x14ac:dyDescent="0.3"/>
    <row r="46269" customFormat="1" x14ac:dyDescent="0.3"/>
    <row r="46270" customFormat="1" x14ac:dyDescent="0.3"/>
    <row r="46271" customFormat="1" x14ac:dyDescent="0.3"/>
    <row r="46272" customFormat="1" x14ac:dyDescent="0.3"/>
    <row r="46273" customFormat="1" x14ac:dyDescent="0.3"/>
    <row r="46274" customFormat="1" x14ac:dyDescent="0.3"/>
    <row r="46275" customFormat="1" x14ac:dyDescent="0.3"/>
    <row r="46276" customFormat="1" x14ac:dyDescent="0.3"/>
    <row r="46277" customFormat="1" x14ac:dyDescent="0.3"/>
    <row r="46278" customFormat="1" x14ac:dyDescent="0.3"/>
    <row r="46279" customFormat="1" x14ac:dyDescent="0.3"/>
    <row r="46280" customFormat="1" x14ac:dyDescent="0.3"/>
    <row r="46281" customFormat="1" x14ac:dyDescent="0.3"/>
    <row r="46282" customFormat="1" x14ac:dyDescent="0.3"/>
    <row r="46283" customFormat="1" x14ac:dyDescent="0.3"/>
    <row r="46284" customFormat="1" x14ac:dyDescent="0.3"/>
    <row r="46285" customFormat="1" x14ac:dyDescent="0.3"/>
    <row r="46286" customFormat="1" x14ac:dyDescent="0.3"/>
    <row r="46287" customFormat="1" x14ac:dyDescent="0.3"/>
    <row r="46288" customFormat="1" x14ac:dyDescent="0.3"/>
    <row r="46289" customFormat="1" x14ac:dyDescent="0.3"/>
    <row r="46290" customFormat="1" x14ac:dyDescent="0.3"/>
    <row r="46291" customFormat="1" x14ac:dyDescent="0.3"/>
    <row r="46292" customFormat="1" x14ac:dyDescent="0.3"/>
    <row r="46293" customFormat="1" x14ac:dyDescent="0.3"/>
    <row r="46294" customFormat="1" x14ac:dyDescent="0.3"/>
    <row r="46295" customFormat="1" x14ac:dyDescent="0.3"/>
    <row r="46296" customFormat="1" x14ac:dyDescent="0.3"/>
    <row r="46297" customFormat="1" x14ac:dyDescent="0.3"/>
    <row r="46298" customFormat="1" x14ac:dyDescent="0.3"/>
    <row r="46299" customFormat="1" x14ac:dyDescent="0.3"/>
    <row r="46300" customFormat="1" x14ac:dyDescent="0.3"/>
    <row r="46301" customFormat="1" x14ac:dyDescent="0.3"/>
    <row r="46302" customFormat="1" x14ac:dyDescent="0.3"/>
    <row r="46303" customFormat="1" x14ac:dyDescent="0.3"/>
    <row r="46304" customFormat="1" x14ac:dyDescent="0.3"/>
    <row r="46305" customFormat="1" x14ac:dyDescent="0.3"/>
    <row r="46306" customFormat="1" x14ac:dyDescent="0.3"/>
    <row r="46307" customFormat="1" x14ac:dyDescent="0.3"/>
    <row r="46308" customFormat="1" x14ac:dyDescent="0.3"/>
    <row r="46309" customFormat="1" x14ac:dyDescent="0.3"/>
    <row r="46310" customFormat="1" x14ac:dyDescent="0.3"/>
    <row r="46311" customFormat="1" x14ac:dyDescent="0.3"/>
    <row r="46312" customFormat="1" x14ac:dyDescent="0.3"/>
    <row r="46313" customFormat="1" x14ac:dyDescent="0.3"/>
    <row r="46314" customFormat="1" x14ac:dyDescent="0.3"/>
    <row r="46315" customFormat="1" x14ac:dyDescent="0.3"/>
    <row r="46316" customFormat="1" x14ac:dyDescent="0.3"/>
    <row r="46317" customFormat="1" x14ac:dyDescent="0.3"/>
    <row r="46318" customFormat="1" x14ac:dyDescent="0.3"/>
    <row r="46319" customFormat="1" x14ac:dyDescent="0.3"/>
    <row r="46320" customFormat="1" x14ac:dyDescent="0.3"/>
    <row r="46321" customFormat="1" x14ac:dyDescent="0.3"/>
    <row r="46322" customFormat="1" x14ac:dyDescent="0.3"/>
    <row r="46323" customFormat="1" x14ac:dyDescent="0.3"/>
    <row r="46324" customFormat="1" x14ac:dyDescent="0.3"/>
    <row r="46325" customFormat="1" x14ac:dyDescent="0.3"/>
    <row r="46326" customFormat="1" x14ac:dyDescent="0.3"/>
    <row r="46327" customFormat="1" x14ac:dyDescent="0.3"/>
    <row r="46328" customFormat="1" x14ac:dyDescent="0.3"/>
    <row r="46329" customFormat="1" x14ac:dyDescent="0.3"/>
    <row r="46330" customFormat="1" x14ac:dyDescent="0.3"/>
    <row r="46331" customFormat="1" x14ac:dyDescent="0.3"/>
    <row r="46332" customFormat="1" x14ac:dyDescent="0.3"/>
    <row r="46333" customFormat="1" x14ac:dyDescent="0.3"/>
    <row r="46334" customFormat="1" x14ac:dyDescent="0.3"/>
    <row r="46335" customFormat="1" x14ac:dyDescent="0.3"/>
    <row r="46336" customFormat="1" x14ac:dyDescent="0.3"/>
    <row r="46337" customFormat="1" x14ac:dyDescent="0.3"/>
    <row r="46338" customFormat="1" x14ac:dyDescent="0.3"/>
    <row r="46339" customFormat="1" x14ac:dyDescent="0.3"/>
    <row r="46340" customFormat="1" x14ac:dyDescent="0.3"/>
    <row r="46341" customFormat="1" x14ac:dyDescent="0.3"/>
    <row r="46342" customFormat="1" x14ac:dyDescent="0.3"/>
    <row r="46343" customFormat="1" x14ac:dyDescent="0.3"/>
    <row r="46344" customFormat="1" x14ac:dyDescent="0.3"/>
    <row r="46345" customFormat="1" x14ac:dyDescent="0.3"/>
    <row r="46346" customFormat="1" x14ac:dyDescent="0.3"/>
    <row r="46347" customFormat="1" x14ac:dyDescent="0.3"/>
    <row r="46348" customFormat="1" x14ac:dyDescent="0.3"/>
    <row r="46349" customFormat="1" x14ac:dyDescent="0.3"/>
    <row r="46350" customFormat="1" x14ac:dyDescent="0.3"/>
    <row r="46351" customFormat="1" x14ac:dyDescent="0.3"/>
    <row r="46352" customFormat="1" x14ac:dyDescent="0.3"/>
    <row r="46353" customFormat="1" x14ac:dyDescent="0.3"/>
    <row r="46354" customFormat="1" x14ac:dyDescent="0.3"/>
    <row r="46355" customFormat="1" x14ac:dyDescent="0.3"/>
    <row r="46356" customFormat="1" x14ac:dyDescent="0.3"/>
    <row r="46357" customFormat="1" x14ac:dyDescent="0.3"/>
    <row r="46358" customFormat="1" x14ac:dyDescent="0.3"/>
    <row r="46359" customFormat="1" x14ac:dyDescent="0.3"/>
    <row r="46360" customFormat="1" x14ac:dyDescent="0.3"/>
    <row r="46361" customFormat="1" x14ac:dyDescent="0.3"/>
    <row r="46362" customFormat="1" x14ac:dyDescent="0.3"/>
    <row r="46363" customFormat="1" x14ac:dyDescent="0.3"/>
    <row r="46364" customFormat="1" x14ac:dyDescent="0.3"/>
    <row r="46365" customFormat="1" x14ac:dyDescent="0.3"/>
    <row r="46366" customFormat="1" x14ac:dyDescent="0.3"/>
    <row r="46367" customFormat="1" x14ac:dyDescent="0.3"/>
    <row r="46368" customFormat="1" x14ac:dyDescent="0.3"/>
    <row r="46369" customFormat="1" x14ac:dyDescent="0.3"/>
    <row r="46370" customFormat="1" x14ac:dyDescent="0.3"/>
    <row r="46371" customFormat="1" x14ac:dyDescent="0.3"/>
    <row r="46372" customFormat="1" x14ac:dyDescent="0.3"/>
    <row r="46373" customFormat="1" x14ac:dyDescent="0.3"/>
    <row r="46374" customFormat="1" x14ac:dyDescent="0.3"/>
    <row r="46375" customFormat="1" x14ac:dyDescent="0.3"/>
    <row r="46376" customFormat="1" x14ac:dyDescent="0.3"/>
    <row r="46377" customFormat="1" x14ac:dyDescent="0.3"/>
    <row r="46378" customFormat="1" x14ac:dyDescent="0.3"/>
    <row r="46379" customFormat="1" x14ac:dyDescent="0.3"/>
    <row r="46380" customFormat="1" x14ac:dyDescent="0.3"/>
    <row r="46381" customFormat="1" x14ac:dyDescent="0.3"/>
    <row r="46382" customFormat="1" x14ac:dyDescent="0.3"/>
    <row r="46383" customFormat="1" x14ac:dyDescent="0.3"/>
    <row r="46384" customFormat="1" x14ac:dyDescent="0.3"/>
    <row r="46385" customFormat="1" x14ac:dyDescent="0.3"/>
    <row r="46386" customFormat="1" x14ac:dyDescent="0.3"/>
    <row r="46387" customFormat="1" x14ac:dyDescent="0.3"/>
    <row r="46388" customFormat="1" x14ac:dyDescent="0.3"/>
    <row r="46389" customFormat="1" x14ac:dyDescent="0.3"/>
    <row r="46390" customFormat="1" x14ac:dyDescent="0.3"/>
    <row r="46391" customFormat="1" x14ac:dyDescent="0.3"/>
    <row r="46392" customFormat="1" x14ac:dyDescent="0.3"/>
    <row r="46393" customFormat="1" x14ac:dyDescent="0.3"/>
    <row r="46394" customFormat="1" x14ac:dyDescent="0.3"/>
    <row r="46395" customFormat="1" x14ac:dyDescent="0.3"/>
    <row r="46396" customFormat="1" x14ac:dyDescent="0.3"/>
    <row r="46397" customFormat="1" x14ac:dyDescent="0.3"/>
    <row r="46398" customFormat="1" x14ac:dyDescent="0.3"/>
    <row r="46399" customFormat="1" x14ac:dyDescent="0.3"/>
    <row r="46400" customFormat="1" x14ac:dyDescent="0.3"/>
    <row r="46401" customFormat="1" x14ac:dyDescent="0.3"/>
    <row r="46402" customFormat="1" x14ac:dyDescent="0.3"/>
    <row r="46403" customFormat="1" x14ac:dyDescent="0.3"/>
    <row r="46404" customFormat="1" x14ac:dyDescent="0.3"/>
    <row r="46405" customFormat="1" x14ac:dyDescent="0.3"/>
    <row r="46406" customFormat="1" x14ac:dyDescent="0.3"/>
    <row r="46407" customFormat="1" x14ac:dyDescent="0.3"/>
    <row r="46408" customFormat="1" x14ac:dyDescent="0.3"/>
    <row r="46409" customFormat="1" x14ac:dyDescent="0.3"/>
    <row r="46410" customFormat="1" x14ac:dyDescent="0.3"/>
    <row r="46411" customFormat="1" x14ac:dyDescent="0.3"/>
    <row r="46412" customFormat="1" x14ac:dyDescent="0.3"/>
    <row r="46413" customFormat="1" x14ac:dyDescent="0.3"/>
    <row r="46414" customFormat="1" x14ac:dyDescent="0.3"/>
    <row r="46415" customFormat="1" x14ac:dyDescent="0.3"/>
    <row r="46416" customFormat="1" x14ac:dyDescent="0.3"/>
    <row r="46417" customFormat="1" x14ac:dyDescent="0.3"/>
    <row r="46418" customFormat="1" x14ac:dyDescent="0.3"/>
    <row r="46419" customFormat="1" x14ac:dyDescent="0.3"/>
    <row r="46420" customFormat="1" x14ac:dyDescent="0.3"/>
    <row r="46421" customFormat="1" x14ac:dyDescent="0.3"/>
    <row r="46422" customFormat="1" x14ac:dyDescent="0.3"/>
    <row r="46423" customFormat="1" x14ac:dyDescent="0.3"/>
    <row r="46424" customFormat="1" x14ac:dyDescent="0.3"/>
    <row r="46425" customFormat="1" x14ac:dyDescent="0.3"/>
    <row r="46426" customFormat="1" x14ac:dyDescent="0.3"/>
    <row r="46427" customFormat="1" x14ac:dyDescent="0.3"/>
    <row r="46428" customFormat="1" x14ac:dyDescent="0.3"/>
    <row r="46429" customFormat="1" x14ac:dyDescent="0.3"/>
    <row r="46430" customFormat="1" x14ac:dyDescent="0.3"/>
    <row r="46431" customFormat="1" x14ac:dyDescent="0.3"/>
    <row r="46432" customFormat="1" x14ac:dyDescent="0.3"/>
    <row r="46433" customFormat="1" x14ac:dyDescent="0.3"/>
    <row r="46434" customFormat="1" x14ac:dyDescent="0.3"/>
    <row r="46435" customFormat="1" x14ac:dyDescent="0.3"/>
    <row r="46436" customFormat="1" x14ac:dyDescent="0.3"/>
    <row r="46437" customFormat="1" x14ac:dyDescent="0.3"/>
    <row r="46438" customFormat="1" x14ac:dyDescent="0.3"/>
    <row r="46439" customFormat="1" x14ac:dyDescent="0.3"/>
    <row r="46440" customFormat="1" x14ac:dyDescent="0.3"/>
    <row r="46441" customFormat="1" x14ac:dyDescent="0.3"/>
    <row r="46442" customFormat="1" x14ac:dyDescent="0.3"/>
    <row r="46443" customFormat="1" x14ac:dyDescent="0.3"/>
    <row r="46444" customFormat="1" x14ac:dyDescent="0.3"/>
    <row r="46445" customFormat="1" x14ac:dyDescent="0.3"/>
    <row r="46446" customFormat="1" x14ac:dyDescent="0.3"/>
    <row r="46447" customFormat="1" x14ac:dyDescent="0.3"/>
    <row r="46448" customFormat="1" x14ac:dyDescent="0.3"/>
    <row r="46449" customFormat="1" x14ac:dyDescent="0.3"/>
    <row r="46450" customFormat="1" x14ac:dyDescent="0.3"/>
    <row r="46451" customFormat="1" x14ac:dyDescent="0.3"/>
    <row r="46452" customFormat="1" x14ac:dyDescent="0.3"/>
    <row r="46453" customFormat="1" x14ac:dyDescent="0.3"/>
    <row r="46454" customFormat="1" x14ac:dyDescent="0.3"/>
    <row r="46455" customFormat="1" x14ac:dyDescent="0.3"/>
    <row r="46456" customFormat="1" x14ac:dyDescent="0.3"/>
    <row r="46457" customFormat="1" x14ac:dyDescent="0.3"/>
    <row r="46458" customFormat="1" x14ac:dyDescent="0.3"/>
    <row r="46459" customFormat="1" x14ac:dyDescent="0.3"/>
    <row r="46460" customFormat="1" x14ac:dyDescent="0.3"/>
    <row r="46461" customFormat="1" x14ac:dyDescent="0.3"/>
    <row r="46462" customFormat="1" x14ac:dyDescent="0.3"/>
    <row r="46463" customFormat="1" x14ac:dyDescent="0.3"/>
    <row r="46464" customFormat="1" x14ac:dyDescent="0.3"/>
    <row r="46465" customFormat="1" x14ac:dyDescent="0.3"/>
    <row r="46466" customFormat="1" x14ac:dyDescent="0.3"/>
    <row r="46467" customFormat="1" x14ac:dyDescent="0.3"/>
    <row r="46468" customFormat="1" x14ac:dyDescent="0.3"/>
    <row r="46469" customFormat="1" x14ac:dyDescent="0.3"/>
    <row r="46470" customFormat="1" x14ac:dyDescent="0.3"/>
    <row r="46471" customFormat="1" x14ac:dyDescent="0.3"/>
    <row r="46472" customFormat="1" x14ac:dyDescent="0.3"/>
    <row r="46473" customFormat="1" x14ac:dyDescent="0.3"/>
    <row r="46474" customFormat="1" x14ac:dyDescent="0.3"/>
    <row r="46475" customFormat="1" x14ac:dyDescent="0.3"/>
    <row r="46476" customFormat="1" x14ac:dyDescent="0.3"/>
    <row r="46477" customFormat="1" x14ac:dyDescent="0.3"/>
    <row r="46478" customFormat="1" x14ac:dyDescent="0.3"/>
    <row r="46479" customFormat="1" x14ac:dyDescent="0.3"/>
    <row r="46480" customFormat="1" x14ac:dyDescent="0.3"/>
    <row r="46481" customFormat="1" x14ac:dyDescent="0.3"/>
    <row r="46482" customFormat="1" x14ac:dyDescent="0.3"/>
    <row r="46483" customFormat="1" x14ac:dyDescent="0.3"/>
    <row r="46484" customFormat="1" x14ac:dyDescent="0.3"/>
    <row r="46485" customFormat="1" x14ac:dyDescent="0.3"/>
    <row r="46486" customFormat="1" x14ac:dyDescent="0.3"/>
    <row r="46487" customFormat="1" x14ac:dyDescent="0.3"/>
    <row r="46488" customFormat="1" x14ac:dyDescent="0.3"/>
    <row r="46489" customFormat="1" x14ac:dyDescent="0.3"/>
    <row r="46490" customFormat="1" x14ac:dyDescent="0.3"/>
    <row r="46491" customFormat="1" x14ac:dyDescent="0.3"/>
    <row r="46492" customFormat="1" x14ac:dyDescent="0.3"/>
    <row r="46493" customFormat="1" x14ac:dyDescent="0.3"/>
    <row r="46494" customFormat="1" x14ac:dyDescent="0.3"/>
    <row r="46495" customFormat="1" x14ac:dyDescent="0.3"/>
    <row r="46496" customFormat="1" x14ac:dyDescent="0.3"/>
    <row r="46497" customFormat="1" x14ac:dyDescent="0.3"/>
    <row r="46498" customFormat="1" x14ac:dyDescent="0.3"/>
    <row r="46499" customFormat="1" x14ac:dyDescent="0.3"/>
    <row r="46500" customFormat="1" x14ac:dyDescent="0.3"/>
    <row r="46501" customFormat="1" x14ac:dyDescent="0.3"/>
    <row r="46502" customFormat="1" x14ac:dyDescent="0.3"/>
    <row r="46503" customFormat="1" x14ac:dyDescent="0.3"/>
    <row r="46504" customFormat="1" x14ac:dyDescent="0.3"/>
    <row r="46505" customFormat="1" x14ac:dyDescent="0.3"/>
    <row r="46506" customFormat="1" x14ac:dyDescent="0.3"/>
    <row r="46507" customFormat="1" x14ac:dyDescent="0.3"/>
    <row r="46508" customFormat="1" x14ac:dyDescent="0.3"/>
    <row r="46509" customFormat="1" x14ac:dyDescent="0.3"/>
    <row r="46510" customFormat="1" x14ac:dyDescent="0.3"/>
    <row r="46511" customFormat="1" x14ac:dyDescent="0.3"/>
    <row r="46512" customFormat="1" x14ac:dyDescent="0.3"/>
    <row r="46513" customFormat="1" x14ac:dyDescent="0.3"/>
    <row r="46514" customFormat="1" x14ac:dyDescent="0.3"/>
    <row r="46515" customFormat="1" x14ac:dyDescent="0.3"/>
    <row r="46516" customFormat="1" x14ac:dyDescent="0.3"/>
    <row r="46517" customFormat="1" x14ac:dyDescent="0.3"/>
    <row r="46518" customFormat="1" x14ac:dyDescent="0.3"/>
    <row r="46519" customFormat="1" x14ac:dyDescent="0.3"/>
    <row r="46520" customFormat="1" x14ac:dyDescent="0.3"/>
    <row r="46521" customFormat="1" x14ac:dyDescent="0.3"/>
    <row r="46522" customFormat="1" x14ac:dyDescent="0.3"/>
    <row r="46523" customFormat="1" x14ac:dyDescent="0.3"/>
    <row r="46524" customFormat="1" x14ac:dyDescent="0.3"/>
    <row r="46525" customFormat="1" x14ac:dyDescent="0.3"/>
    <row r="46526" customFormat="1" x14ac:dyDescent="0.3"/>
    <row r="46527" customFormat="1" x14ac:dyDescent="0.3"/>
    <row r="46528" customFormat="1" x14ac:dyDescent="0.3"/>
    <row r="46529" customFormat="1" x14ac:dyDescent="0.3"/>
    <row r="46530" customFormat="1" x14ac:dyDescent="0.3"/>
    <row r="46531" customFormat="1" x14ac:dyDescent="0.3"/>
    <row r="46532" customFormat="1" x14ac:dyDescent="0.3"/>
    <row r="46533" customFormat="1" x14ac:dyDescent="0.3"/>
    <row r="46534" customFormat="1" x14ac:dyDescent="0.3"/>
    <row r="46535" customFormat="1" x14ac:dyDescent="0.3"/>
    <row r="46536" customFormat="1" x14ac:dyDescent="0.3"/>
    <row r="46537" customFormat="1" x14ac:dyDescent="0.3"/>
    <row r="46538" customFormat="1" x14ac:dyDescent="0.3"/>
    <row r="46539" customFormat="1" x14ac:dyDescent="0.3"/>
    <row r="46540" customFormat="1" x14ac:dyDescent="0.3"/>
    <row r="46541" customFormat="1" x14ac:dyDescent="0.3"/>
    <row r="46542" customFormat="1" x14ac:dyDescent="0.3"/>
    <row r="46543" customFormat="1" x14ac:dyDescent="0.3"/>
    <row r="46544" customFormat="1" x14ac:dyDescent="0.3"/>
    <row r="46545" customFormat="1" x14ac:dyDescent="0.3"/>
    <row r="46546" customFormat="1" x14ac:dyDescent="0.3"/>
    <row r="46547" customFormat="1" x14ac:dyDescent="0.3"/>
    <row r="46548" customFormat="1" x14ac:dyDescent="0.3"/>
    <row r="46549" customFormat="1" x14ac:dyDescent="0.3"/>
    <row r="46550" customFormat="1" x14ac:dyDescent="0.3"/>
    <row r="46551" customFormat="1" x14ac:dyDescent="0.3"/>
    <row r="46552" customFormat="1" x14ac:dyDescent="0.3"/>
    <row r="46553" customFormat="1" x14ac:dyDescent="0.3"/>
    <row r="46554" customFormat="1" x14ac:dyDescent="0.3"/>
    <row r="46555" customFormat="1" x14ac:dyDescent="0.3"/>
    <row r="46556" customFormat="1" x14ac:dyDescent="0.3"/>
    <row r="46557" customFormat="1" x14ac:dyDescent="0.3"/>
    <row r="46558" customFormat="1" x14ac:dyDescent="0.3"/>
    <row r="46559" customFormat="1" x14ac:dyDescent="0.3"/>
    <row r="46560" customFormat="1" x14ac:dyDescent="0.3"/>
    <row r="46561" customFormat="1" x14ac:dyDescent="0.3"/>
    <row r="46562" customFormat="1" x14ac:dyDescent="0.3"/>
    <row r="46563" customFormat="1" x14ac:dyDescent="0.3"/>
    <row r="46564" customFormat="1" x14ac:dyDescent="0.3"/>
    <row r="46565" customFormat="1" x14ac:dyDescent="0.3"/>
    <row r="46566" customFormat="1" x14ac:dyDescent="0.3"/>
    <row r="46567" customFormat="1" x14ac:dyDescent="0.3"/>
    <row r="46568" customFormat="1" x14ac:dyDescent="0.3"/>
    <row r="46569" customFormat="1" x14ac:dyDescent="0.3"/>
    <row r="46570" customFormat="1" x14ac:dyDescent="0.3"/>
    <row r="46571" customFormat="1" x14ac:dyDescent="0.3"/>
    <row r="46572" customFormat="1" x14ac:dyDescent="0.3"/>
    <row r="46573" customFormat="1" x14ac:dyDescent="0.3"/>
    <row r="46574" customFormat="1" x14ac:dyDescent="0.3"/>
    <row r="46575" customFormat="1" x14ac:dyDescent="0.3"/>
    <row r="46576" customFormat="1" x14ac:dyDescent="0.3"/>
    <row r="46577" customFormat="1" x14ac:dyDescent="0.3"/>
    <row r="46578" customFormat="1" x14ac:dyDescent="0.3"/>
    <row r="46579" customFormat="1" x14ac:dyDescent="0.3"/>
    <row r="46580" customFormat="1" x14ac:dyDescent="0.3"/>
    <row r="46581" customFormat="1" x14ac:dyDescent="0.3"/>
    <row r="46582" customFormat="1" x14ac:dyDescent="0.3"/>
    <row r="46583" customFormat="1" x14ac:dyDescent="0.3"/>
    <row r="46584" customFormat="1" x14ac:dyDescent="0.3"/>
    <row r="46585" customFormat="1" x14ac:dyDescent="0.3"/>
    <row r="46586" customFormat="1" x14ac:dyDescent="0.3"/>
    <row r="46587" customFormat="1" x14ac:dyDescent="0.3"/>
    <row r="46588" customFormat="1" x14ac:dyDescent="0.3"/>
    <row r="46589" customFormat="1" x14ac:dyDescent="0.3"/>
    <row r="46590" customFormat="1" x14ac:dyDescent="0.3"/>
    <row r="46591" customFormat="1" x14ac:dyDescent="0.3"/>
    <row r="46592" customFormat="1" x14ac:dyDescent="0.3"/>
    <row r="46593" customFormat="1" x14ac:dyDescent="0.3"/>
    <row r="46594" customFormat="1" x14ac:dyDescent="0.3"/>
    <row r="46595" customFormat="1" x14ac:dyDescent="0.3"/>
    <row r="46596" customFormat="1" x14ac:dyDescent="0.3"/>
    <row r="46597" customFormat="1" x14ac:dyDescent="0.3"/>
    <row r="46598" customFormat="1" x14ac:dyDescent="0.3"/>
    <row r="46599" customFormat="1" x14ac:dyDescent="0.3"/>
    <row r="46600" customFormat="1" x14ac:dyDescent="0.3"/>
    <row r="46601" customFormat="1" x14ac:dyDescent="0.3"/>
    <row r="46602" customFormat="1" x14ac:dyDescent="0.3"/>
    <row r="46603" customFormat="1" x14ac:dyDescent="0.3"/>
    <row r="46604" customFormat="1" x14ac:dyDescent="0.3"/>
    <row r="46605" customFormat="1" x14ac:dyDescent="0.3"/>
    <row r="46606" customFormat="1" x14ac:dyDescent="0.3"/>
    <row r="46607" customFormat="1" x14ac:dyDescent="0.3"/>
    <row r="46608" customFormat="1" x14ac:dyDescent="0.3"/>
    <row r="46609" customFormat="1" x14ac:dyDescent="0.3"/>
    <row r="46610" customFormat="1" x14ac:dyDescent="0.3"/>
    <row r="46611" customFormat="1" x14ac:dyDescent="0.3"/>
    <row r="46612" customFormat="1" x14ac:dyDescent="0.3"/>
    <row r="46613" customFormat="1" x14ac:dyDescent="0.3"/>
    <row r="46614" customFormat="1" x14ac:dyDescent="0.3"/>
    <row r="46615" customFormat="1" x14ac:dyDescent="0.3"/>
    <row r="46616" customFormat="1" x14ac:dyDescent="0.3"/>
    <row r="46617" customFormat="1" x14ac:dyDescent="0.3"/>
    <row r="46618" customFormat="1" x14ac:dyDescent="0.3"/>
    <row r="46619" customFormat="1" x14ac:dyDescent="0.3"/>
    <row r="46620" customFormat="1" x14ac:dyDescent="0.3"/>
    <row r="46621" customFormat="1" x14ac:dyDescent="0.3"/>
    <row r="46622" customFormat="1" x14ac:dyDescent="0.3"/>
    <row r="46623" customFormat="1" x14ac:dyDescent="0.3"/>
    <row r="46624" customFormat="1" x14ac:dyDescent="0.3"/>
    <row r="46625" customFormat="1" x14ac:dyDescent="0.3"/>
    <row r="46626" customFormat="1" x14ac:dyDescent="0.3"/>
    <row r="46627" customFormat="1" x14ac:dyDescent="0.3"/>
    <row r="46628" customFormat="1" x14ac:dyDescent="0.3"/>
    <row r="46629" customFormat="1" x14ac:dyDescent="0.3"/>
    <row r="46630" customFormat="1" x14ac:dyDescent="0.3"/>
    <row r="46631" customFormat="1" x14ac:dyDescent="0.3"/>
    <row r="46632" customFormat="1" x14ac:dyDescent="0.3"/>
    <row r="46633" customFormat="1" x14ac:dyDescent="0.3"/>
    <row r="46634" customFormat="1" x14ac:dyDescent="0.3"/>
    <row r="46635" customFormat="1" x14ac:dyDescent="0.3"/>
    <row r="46636" customFormat="1" x14ac:dyDescent="0.3"/>
    <row r="46637" customFormat="1" x14ac:dyDescent="0.3"/>
    <row r="46638" customFormat="1" x14ac:dyDescent="0.3"/>
    <row r="46639" customFormat="1" x14ac:dyDescent="0.3"/>
    <row r="46640" customFormat="1" x14ac:dyDescent="0.3"/>
    <row r="46641" customFormat="1" x14ac:dyDescent="0.3"/>
    <row r="46642" customFormat="1" x14ac:dyDescent="0.3"/>
    <row r="46643" customFormat="1" x14ac:dyDescent="0.3"/>
    <row r="46644" customFormat="1" x14ac:dyDescent="0.3"/>
    <row r="46645" customFormat="1" x14ac:dyDescent="0.3"/>
    <row r="46646" customFormat="1" x14ac:dyDescent="0.3"/>
    <row r="46647" customFormat="1" x14ac:dyDescent="0.3"/>
    <row r="46648" customFormat="1" x14ac:dyDescent="0.3"/>
    <row r="46649" customFormat="1" x14ac:dyDescent="0.3"/>
    <row r="46650" customFormat="1" x14ac:dyDescent="0.3"/>
    <row r="46651" customFormat="1" x14ac:dyDescent="0.3"/>
    <row r="46652" customFormat="1" x14ac:dyDescent="0.3"/>
    <row r="46653" customFormat="1" x14ac:dyDescent="0.3"/>
    <row r="46654" customFormat="1" x14ac:dyDescent="0.3"/>
    <row r="46655" customFormat="1" x14ac:dyDescent="0.3"/>
    <row r="46656" customFormat="1" x14ac:dyDescent="0.3"/>
    <row r="46657" customFormat="1" x14ac:dyDescent="0.3"/>
    <row r="46658" customFormat="1" x14ac:dyDescent="0.3"/>
    <row r="46659" customFormat="1" x14ac:dyDescent="0.3"/>
    <row r="46660" customFormat="1" x14ac:dyDescent="0.3"/>
    <row r="46661" customFormat="1" x14ac:dyDescent="0.3"/>
    <row r="46662" customFormat="1" x14ac:dyDescent="0.3"/>
    <row r="46663" customFormat="1" x14ac:dyDescent="0.3"/>
    <row r="46664" customFormat="1" x14ac:dyDescent="0.3"/>
    <row r="46665" customFormat="1" x14ac:dyDescent="0.3"/>
    <row r="46666" customFormat="1" x14ac:dyDescent="0.3"/>
    <row r="46667" customFormat="1" x14ac:dyDescent="0.3"/>
    <row r="46668" customFormat="1" x14ac:dyDescent="0.3"/>
    <row r="46669" customFormat="1" x14ac:dyDescent="0.3"/>
    <row r="46670" customFormat="1" x14ac:dyDescent="0.3"/>
    <row r="46671" customFormat="1" x14ac:dyDescent="0.3"/>
    <row r="46672" customFormat="1" x14ac:dyDescent="0.3"/>
    <row r="46673" customFormat="1" x14ac:dyDescent="0.3"/>
    <row r="46674" customFormat="1" x14ac:dyDescent="0.3"/>
    <row r="46675" customFormat="1" x14ac:dyDescent="0.3"/>
    <row r="46676" customFormat="1" x14ac:dyDescent="0.3"/>
    <row r="46677" customFormat="1" x14ac:dyDescent="0.3"/>
    <row r="46678" customFormat="1" x14ac:dyDescent="0.3"/>
    <row r="46679" customFormat="1" x14ac:dyDescent="0.3"/>
    <row r="46680" customFormat="1" x14ac:dyDescent="0.3"/>
    <row r="46681" customFormat="1" x14ac:dyDescent="0.3"/>
    <row r="46682" customFormat="1" x14ac:dyDescent="0.3"/>
    <row r="46683" customFormat="1" x14ac:dyDescent="0.3"/>
    <row r="46684" customFormat="1" x14ac:dyDescent="0.3"/>
    <row r="46685" customFormat="1" x14ac:dyDescent="0.3"/>
    <row r="46686" customFormat="1" x14ac:dyDescent="0.3"/>
    <row r="46687" customFormat="1" x14ac:dyDescent="0.3"/>
    <row r="46688" customFormat="1" x14ac:dyDescent="0.3"/>
    <row r="46689" customFormat="1" x14ac:dyDescent="0.3"/>
    <row r="46690" customFormat="1" x14ac:dyDescent="0.3"/>
    <row r="46691" customFormat="1" x14ac:dyDescent="0.3"/>
    <row r="46692" customFormat="1" x14ac:dyDescent="0.3"/>
    <row r="46693" customFormat="1" x14ac:dyDescent="0.3"/>
    <row r="46694" customFormat="1" x14ac:dyDescent="0.3"/>
    <row r="46695" customFormat="1" x14ac:dyDescent="0.3"/>
    <row r="46696" customFormat="1" x14ac:dyDescent="0.3"/>
    <row r="46697" customFormat="1" x14ac:dyDescent="0.3"/>
    <row r="46698" customFormat="1" x14ac:dyDescent="0.3"/>
    <row r="46699" customFormat="1" x14ac:dyDescent="0.3"/>
    <row r="46700" customFormat="1" x14ac:dyDescent="0.3"/>
    <row r="46701" customFormat="1" x14ac:dyDescent="0.3"/>
    <row r="46702" customFormat="1" x14ac:dyDescent="0.3"/>
    <row r="46703" customFormat="1" x14ac:dyDescent="0.3"/>
    <row r="46704" customFormat="1" x14ac:dyDescent="0.3"/>
    <row r="46705" customFormat="1" x14ac:dyDescent="0.3"/>
    <row r="46706" customFormat="1" x14ac:dyDescent="0.3"/>
    <row r="46707" customFormat="1" x14ac:dyDescent="0.3"/>
    <row r="46708" customFormat="1" x14ac:dyDescent="0.3"/>
    <row r="46709" customFormat="1" x14ac:dyDescent="0.3"/>
    <row r="46710" customFormat="1" x14ac:dyDescent="0.3"/>
    <row r="46711" customFormat="1" x14ac:dyDescent="0.3"/>
    <row r="46712" customFormat="1" x14ac:dyDescent="0.3"/>
    <row r="46713" customFormat="1" x14ac:dyDescent="0.3"/>
    <row r="46714" customFormat="1" x14ac:dyDescent="0.3"/>
    <row r="46715" customFormat="1" x14ac:dyDescent="0.3"/>
    <row r="46716" customFormat="1" x14ac:dyDescent="0.3"/>
    <row r="46717" customFormat="1" x14ac:dyDescent="0.3"/>
    <row r="46718" customFormat="1" x14ac:dyDescent="0.3"/>
    <row r="46719" customFormat="1" x14ac:dyDescent="0.3"/>
    <row r="46720" customFormat="1" x14ac:dyDescent="0.3"/>
    <row r="46721" customFormat="1" x14ac:dyDescent="0.3"/>
    <row r="46722" customFormat="1" x14ac:dyDescent="0.3"/>
    <row r="46723" customFormat="1" x14ac:dyDescent="0.3"/>
    <row r="46724" customFormat="1" x14ac:dyDescent="0.3"/>
    <row r="46725" customFormat="1" x14ac:dyDescent="0.3"/>
    <row r="46726" customFormat="1" x14ac:dyDescent="0.3"/>
    <row r="46727" customFormat="1" x14ac:dyDescent="0.3"/>
    <row r="46728" customFormat="1" x14ac:dyDescent="0.3"/>
    <row r="46729" customFormat="1" x14ac:dyDescent="0.3"/>
    <row r="46730" customFormat="1" x14ac:dyDescent="0.3"/>
    <row r="46731" customFormat="1" x14ac:dyDescent="0.3"/>
    <row r="46732" customFormat="1" x14ac:dyDescent="0.3"/>
    <row r="46733" customFormat="1" x14ac:dyDescent="0.3"/>
    <row r="46734" customFormat="1" x14ac:dyDescent="0.3"/>
    <row r="46735" customFormat="1" x14ac:dyDescent="0.3"/>
    <row r="46736" customFormat="1" x14ac:dyDescent="0.3"/>
    <row r="46737" customFormat="1" x14ac:dyDescent="0.3"/>
    <row r="46738" customFormat="1" x14ac:dyDescent="0.3"/>
    <row r="46739" customFormat="1" x14ac:dyDescent="0.3"/>
    <row r="46740" customFormat="1" x14ac:dyDescent="0.3"/>
    <row r="46741" customFormat="1" x14ac:dyDescent="0.3"/>
    <row r="46742" customFormat="1" x14ac:dyDescent="0.3"/>
    <row r="46743" customFormat="1" x14ac:dyDescent="0.3"/>
    <row r="46744" customFormat="1" x14ac:dyDescent="0.3"/>
    <row r="46745" customFormat="1" x14ac:dyDescent="0.3"/>
    <row r="46746" customFormat="1" x14ac:dyDescent="0.3"/>
    <row r="46747" customFormat="1" x14ac:dyDescent="0.3"/>
    <row r="46748" customFormat="1" x14ac:dyDescent="0.3"/>
    <row r="46749" customFormat="1" x14ac:dyDescent="0.3"/>
    <row r="46750" customFormat="1" x14ac:dyDescent="0.3"/>
    <row r="46751" customFormat="1" x14ac:dyDescent="0.3"/>
    <row r="46752" customFormat="1" x14ac:dyDescent="0.3"/>
    <row r="46753" customFormat="1" x14ac:dyDescent="0.3"/>
    <row r="46754" customFormat="1" x14ac:dyDescent="0.3"/>
    <row r="46755" customFormat="1" x14ac:dyDescent="0.3"/>
    <row r="46756" customFormat="1" x14ac:dyDescent="0.3"/>
    <row r="46757" customFormat="1" x14ac:dyDescent="0.3"/>
    <row r="46758" customFormat="1" x14ac:dyDescent="0.3"/>
    <row r="46759" customFormat="1" x14ac:dyDescent="0.3"/>
    <row r="46760" customFormat="1" x14ac:dyDescent="0.3"/>
    <row r="46761" customFormat="1" x14ac:dyDescent="0.3"/>
    <row r="46762" customFormat="1" x14ac:dyDescent="0.3"/>
    <row r="46763" customFormat="1" x14ac:dyDescent="0.3"/>
    <row r="46764" customFormat="1" x14ac:dyDescent="0.3"/>
    <row r="46765" customFormat="1" x14ac:dyDescent="0.3"/>
    <row r="46766" customFormat="1" x14ac:dyDescent="0.3"/>
    <row r="46767" customFormat="1" x14ac:dyDescent="0.3"/>
    <row r="46768" customFormat="1" x14ac:dyDescent="0.3"/>
    <row r="46769" customFormat="1" x14ac:dyDescent="0.3"/>
    <row r="46770" customFormat="1" x14ac:dyDescent="0.3"/>
    <row r="46771" customFormat="1" x14ac:dyDescent="0.3"/>
    <row r="46772" customFormat="1" x14ac:dyDescent="0.3"/>
    <row r="46773" customFormat="1" x14ac:dyDescent="0.3"/>
    <row r="46774" customFormat="1" x14ac:dyDescent="0.3"/>
    <row r="46775" customFormat="1" x14ac:dyDescent="0.3"/>
    <row r="46776" customFormat="1" x14ac:dyDescent="0.3"/>
    <row r="46777" customFormat="1" x14ac:dyDescent="0.3"/>
    <row r="46778" customFormat="1" x14ac:dyDescent="0.3"/>
    <row r="46779" customFormat="1" x14ac:dyDescent="0.3"/>
    <row r="46780" customFormat="1" x14ac:dyDescent="0.3"/>
    <row r="46781" customFormat="1" x14ac:dyDescent="0.3"/>
    <row r="46782" customFormat="1" x14ac:dyDescent="0.3"/>
    <row r="46783" customFormat="1" x14ac:dyDescent="0.3"/>
    <row r="46784" customFormat="1" x14ac:dyDescent="0.3"/>
    <row r="46785" customFormat="1" x14ac:dyDescent="0.3"/>
    <row r="46786" customFormat="1" x14ac:dyDescent="0.3"/>
    <row r="46787" customFormat="1" x14ac:dyDescent="0.3"/>
    <row r="46788" customFormat="1" x14ac:dyDescent="0.3"/>
    <row r="46789" customFormat="1" x14ac:dyDescent="0.3"/>
    <row r="46790" customFormat="1" x14ac:dyDescent="0.3"/>
    <row r="46791" customFormat="1" x14ac:dyDescent="0.3"/>
    <row r="46792" customFormat="1" x14ac:dyDescent="0.3"/>
    <row r="46793" customFormat="1" x14ac:dyDescent="0.3"/>
    <row r="46794" customFormat="1" x14ac:dyDescent="0.3"/>
    <row r="46795" customFormat="1" x14ac:dyDescent="0.3"/>
    <row r="46796" customFormat="1" x14ac:dyDescent="0.3"/>
    <row r="46797" customFormat="1" x14ac:dyDescent="0.3"/>
    <row r="46798" customFormat="1" x14ac:dyDescent="0.3"/>
    <row r="46799" customFormat="1" x14ac:dyDescent="0.3"/>
    <row r="46800" customFormat="1" x14ac:dyDescent="0.3"/>
    <row r="46801" customFormat="1" x14ac:dyDescent="0.3"/>
    <row r="46802" customFormat="1" x14ac:dyDescent="0.3"/>
    <row r="46803" customFormat="1" x14ac:dyDescent="0.3"/>
    <row r="46804" customFormat="1" x14ac:dyDescent="0.3"/>
    <row r="46805" customFormat="1" x14ac:dyDescent="0.3"/>
    <row r="46806" customFormat="1" x14ac:dyDescent="0.3"/>
    <row r="46807" customFormat="1" x14ac:dyDescent="0.3"/>
    <row r="46808" customFormat="1" x14ac:dyDescent="0.3"/>
    <row r="46809" customFormat="1" x14ac:dyDescent="0.3"/>
    <row r="46810" customFormat="1" x14ac:dyDescent="0.3"/>
    <row r="46811" customFormat="1" x14ac:dyDescent="0.3"/>
    <row r="46812" customFormat="1" x14ac:dyDescent="0.3"/>
    <row r="46813" customFormat="1" x14ac:dyDescent="0.3"/>
    <row r="46814" customFormat="1" x14ac:dyDescent="0.3"/>
    <row r="46815" customFormat="1" x14ac:dyDescent="0.3"/>
    <row r="46816" customFormat="1" x14ac:dyDescent="0.3"/>
    <row r="46817" customFormat="1" x14ac:dyDescent="0.3"/>
    <row r="46818" customFormat="1" x14ac:dyDescent="0.3"/>
    <row r="46819" customFormat="1" x14ac:dyDescent="0.3"/>
    <row r="46820" customFormat="1" x14ac:dyDescent="0.3"/>
    <row r="46821" customFormat="1" x14ac:dyDescent="0.3"/>
    <row r="46822" customFormat="1" x14ac:dyDescent="0.3"/>
    <row r="46823" customFormat="1" x14ac:dyDescent="0.3"/>
    <row r="46824" customFormat="1" x14ac:dyDescent="0.3"/>
    <row r="46825" customFormat="1" x14ac:dyDescent="0.3"/>
    <row r="46826" customFormat="1" x14ac:dyDescent="0.3"/>
    <row r="46827" customFormat="1" x14ac:dyDescent="0.3"/>
    <row r="46828" customFormat="1" x14ac:dyDescent="0.3"/>
    <row r="46829" customFormat="1" x14ac:dyDescent="0.3"/>
    <row r="46830" customFormat="1" x14ac:dyDescent="0.3"/>
    <row r="46831" customFormat="1" x14ac:dyDescent="0.3"/>
    <row r="46832" customFormat="1" x14ac:dyDescent="0.3"/>
    <row r="46833" customFormat="1" x14ac:dyDescent="0.3"/>
    <row r="46834" customFormat="1" x14ac:dyDescent="0.3"/>
    <row r="46835" customFormat="1" x14ac:dyDescent="0.3"/>
    <row r="46836" customFormat="1" x14ac:dyDescent="0.3"/>
    <row r="46837" customFormat="1" x14ac:dyDescent="0.3"/>
    <row r="46838" customFormat="1" x14ac:dyDescent="0.3"/>
    <row r="46839" customFormat="1" x14ac:dyDescent="0.3"/>
    <row r="46840" customFormat="1" x14ac:dyDescent="0.3"/>
    <row r="46841" customFormat="1" x14ac:dyDescent="0.3"/>
    <row r="46842" customFormat="1" x14ac:dyDescent="0.3"/>
    <row r="46843" customFormat="1" x14ac:dyDescent="0.3"/>
    <row r="46844" customFormat="1" x14ac:dyDescent="0.3"/>
    <row r="46845" customFormat="1" x14ac:dyDescent="0.3"/>
    <row r="46846" customFormat="1" x14ac:dyDescent="0.3"/>
    <row r="46847" customFormat="1" x14ac:dyDescent="0.3"/>
    <row r="46848" customFormat="1" x14ac:dyDescent="0.3"/>
    <row r="46849" customFormat="1" x14ac:dyDescent="0.3"/>
    <row r="46850" customFormat="1" x14ac:dyDescent="0.3"/>
    <row r="46851" customFormat="1" x14ac:dyDescent="0.3"/>
    <row r="46852" customFormat="1" x14ac:dyDescent="0.3"/>
    <row r="46853" customFormat="1" x14ac:dyDescent="0.3"/>
    <row r="46854" customFormat="1" x14ac:dyDescent="0.3"/>
    <row r="46855" customFormat="1" x14ac:dyDescent="0.3"/>
    <row r="46856" customFormat="1" x14ac:dyDescent="0.3"/>
    <row r="46857" customFormat="1" x14ac:dyDescent="0.3"/>
    <row r="46858" customFormat="1" x14ac:dyDescent="0.3"/>
    <row r="46859" customFormat="1" x14ac:dyDescent="0.3"/>
    <row r="46860" customFormat="1" x14ac:dyDescent="0.3"/>
    <row r="46861" customFormat="1" x14ac:dyDescent="0.3"/>
    <row r="46862" customFormat="1" x14ac:dyDescent="0.3"/>
    <row r="46863" customFormat="1" x14ac:dyDescent="0.3"/>
    <row r="46864" customFormat="1" x14ac:dyDescent="0.3"/>
    <row r="46865" customFormat="1" x14ac:dyDescent="0.3"/>
    <row r="46866" customFormat="1" x14ac:dyDescent="0.3"/>
    <row r="46867" customFormat="1" x14ac:dyDescent="0.3"/>
    <row r="46868" customFormat="1" x14ac:dyDescent="0.3"/>
    <row r="46869" customFormat="1" x14ac:dyDescent="0.3"/>
    <row r="46870" customFormat="1" x14ac:dyDescent="0.3"/>
    <row r="46871" customFormat="1" x14ac:dyDescent="0.3"/>
    <row r="46872" customFormat="1" x14ac:dyDescent="0.3"/>
    <row r="46873" customFormat="1" x14ac:dyDescent="0.3"/>
    <row r="46874" customFormat="1" x14ac:dyDescent="0.3"/>
    <row r="46875" customFormat="1" x14ac:dyDescent="0.3"/>
    <row r="46876" customFormat="1" x14ac:dyDescent="0.3"/>
    <row r="46877" customFormat="1" x14ac:dyDescent="0.3"/>
    <row r="46878" customFormat="1" x14ac:dyDescent="0.3"/>
    <row r="46879" customFormat="1" x14ac:dyDescent="0.3"/>
    <row r="46880" customFormat="1" x14ac:dyDescent="0.3"/>
    <row r="46881" customFormat="1" x14ac:dyDescent="0.3"/>
    <row r="46882" customFormat="1" x14ac:dyDescent="0.3"/>
    <row r="46883" customFormat="1" x14ac:dyDescent="0.3"/>
    <row r="46884" customFormat="1" x14ac:dyDescent="0.3"/>
    <row r="46885" customFormat="1" x14ac:dyDescent="0.3"/>
    <row r="46886" customFormat="1" x14ac:dyDescent="0.3"/>
    <row r="46887" customFormat="1" x14ac:dyDescent="0.3"/>
    <row r="46888" customFormat="1" x14ac:dyDescent="0.3"/>
    <row r="46889" customFormat="1" x14ac:dyDescent="0.3"/>
    <row r="46890" customFormat="1" x14ac:dyDescent="0.3"/>
    <row r="46891" customFormat="1" x14ac:dyDescent="0.3"/>
    <row r="46892" customFormat="1" x14ac:dyDescent="0.3"/>
    <row r="46893" customFormat="1" x14ac:dyDescent="0.3"/>
    <row r="46894" customFormat="1" x14ac:dyDescent="0.3"/>
    <row r="46895" customFormat="1" x14ac:dyDescent="0.3"/>
    <row r="46896" customFormat="1" x14ac:dyDescent="0.3"/>
    <row r="46897" customFormat="1" x14ac:dyDescent="0.3"/>
    <row r="46898" customFormat="1" x14ac:dyDescent="0.3"/>
    <row r="46899" customFormat="1" x14ac:dyDescent="0.3"/>
    <row r="46900" customFormat="1" x14ac:dyDescent="0.3"/>
    <row r="46901" customFormat="1" x14ac:dyDescent="0.3"/>
    <row r="46902" customFormat="1" x14ac:dyDescent="0.3"/>
    <row r="46903" customFormat="1" x14ac:dyDescent="0.3"/>
    <row r="46904" customFormat="1" x14ac:dyDescent="0.3"/>
    <row r="46905" customFormat="1" x14ac:dyDescent="0.3"/>
    <row r="46906" customFormat="1" x14ac:dyDescent="0.3"/>
    <row r="46907" customFormat="1" x14ac:dyDescent="0.3"/>
    <row r="46908" customFormat="1" x14ac:dyDescent="0.3"/>
    <row r="46909" customFormat="1" x14ac:dyDescent="0.3"/>
    <row r="46910" customFormat="1" x14ac:dyDescent="0.3"/>
    <row r="46911" customFormat="1" x14ac:dyDescent="0.3"/>
    <row r="46912" customFormat="1" x14ac:dyDescent="0.3"/>
    <row r="46913" customFormat="1" x14ac:dyDescent="0.3"/>
    <row r="46914" customFormat="1" x14ac:dyDescent="0.3"/>
    <row r="46915" customFormat="1" x14ac:dyDescent="0.3"/>
    <row r="46916" customFormat="1" x14ac:dyDescent="0.3"/>
    <row r="46917" customFormat="1" x14ac:dyDescent="0.3"/>
    <row r="46918" customFormat="1" x14ac:dyDescent="0.3"/>
    <row r="46919" customFormat="1" x14ac:dyDescent="0.3"/>
    <row r="46920" customFormat="1" x14ac:dyDescent="0.3"/>
    <row r="46921" customFormat="1" x14ac:dyDescent="0.3"/>
    <row r="46922" customFormat="1" x14ac:dyDescent="0.3"/>
    <row r="46923" customFormat="1" x14ac:dyDescent="0.3"/>
    <row r="46924" customFormat="1" x14ac:dyDescent="0.3"/>
    <row r="46925" customFormat="1" x14ac:dyDescent="0.3"/>
    <row r="46926" customFormat="1" x14ac:dyDescent="0.3"/>
    <row r="46927" customFormat="1" x14ac:dyDescent="0.3"/>
    <row r="46928" customFormat="1" x14ac:dyDescent="0.3"/>
    <row r="46929" customFormat="1" x14ac:dyDescent="0.3"/>
    <row r="46930" customFormat="1" x14ac:dyDescent="0.3"/>
    <row r="46931" customFormat="1" x14ac:dyDescent="0.3"/>
    <row r="46932" customFormat="1" x14ac:dyDescent="0.3"/>
    <row r="46933" customFormat="1" x14ac:dyDescent="0.3"/>
    <row r="46934" customFormat="1" x14ac:dyDescent="0.3"/>
    <row r="46935" customFormat="1" x14ac:dyDescent="0.3"/>
    <row r="46936" customFormat="1" x14ac:dyDescent="0.3"/>
    <row r="46937" customFormat="1" x14ac:dyDescent="0.3"/>
    <row r="46938" customFormat="1" x14ac:dyDescent="0.3"/>
    <row r="46939" customFormat="1" x14ac:dyDescent="0.3"/>
    <row r="46940" customFormat="1" x14ac:dyDescent="0.3"/>
    <row r="46941" customFormat="1" x14ac:dyDescent="0.3"/>
    <row r="46942" customFormat="1" x14ac:dyDescent="0.3"/>
    <row r="46943" customFormat="1" x14ac:dyDescent="0.3"/>
    <row r="46944" customFormat="1" x14ac:dyDescent="0.3"/>
    <row r="46945" customFormat="1" x14ac:dyDescent="0.3"/>
    <row r="46946" customFormat="1" x14ac:dyDescent="0.3"/>
    <row r="46947" customFormat="1" x14ac:dyDescent="0.3"/>
    <row r="46948" customFormat="1" x14ac:dyDescent="0.3"/>
    <row r="46949" customFormat="1" x14ac:dyDescent="0.3"/>
    <row r="46950" customFormat="1" x14ac:dyDescent="0.3"/>
    <row r="46951" customFormat="1" x14ac:dyDescent="0.3"/>
    <row r="46952" customFormat="1" x14ac:dyDescent="0.3"/>
    <row r="46953" customFormat="1" x14ac:dyDescent="0.3"/>
    <row r="46954" customFormat="1" x14ac:dyDescent="0.3"/>
    <row r="46955" customFormat="1" x14ac:dyDescent="0.3"/>
    <row r="46956" customFormat="1" x14ac:dyDescent="0.3"/>
    <row r="46957" customFormat="1" x14ac:dyDescent="0.3"/>
    <row r="46958" customFormat="1" x14ac:dyDescent="0.3"/>
    <row r="46959" customFormat="1" x14ac:dyDescent="0.3"/>
    <row r="46960" customFormat="1" x14ac:dyDescent="0.3"/>
    <row r="46961" customFormat="1" x14ac:dyDescent="0.3"/>
    <row r="46962" customFormat="1" x14ac:dyDescent="0.3"/>
    <row r="46963" customFormat="1" x14ac:dyDescent="0.3"/>
    <row r="46964" customFormat="1" x14ac:dyDescent="0.3"/>
    <row r="46965" customFormat="1" x14ac:dyDescent="0.3"/>
    <row r="46966" customFormat="1" x14ac:dyDescent="0.3"/>
    <row r="46967" customFormat="1" x14ac:dyDescent="0.3"/>
    <row r="46968" customFormat="1" x14ac:dyDescent="0.3"/>
    <row r="46969" customFormat="1" x14ac:dyDescent="0.3"/>
    <row r="46970" customFormat="1" x14ac:dyDescent="0.3"/>
    <row r="46971" customFormat="1" x14ac:dyDescent="0.3"/>
    <row r="46972" customFormat="1" x14ac:dyDescent="0.3"/>
    <row r="46973" customFormat="1" x14ac:dyDescent="0.3"/>
    <row r="46974" customFormat="1" x14ac:dyDescent="0.3"/>
    <row r="46975" customFormat="1" x14ac:dyDescent="0.3"/>
    <row r="46976" customFormat="1" x14ac:dyDescent="0.3"/>
    <row r="46977" customFormat="1" x14ac:dyDescent="0.3"/>
    <row r="46978" customFormat="1" x14ac:dyDescent="0.3"/>
    <row r="46979" customFormat="1" x14ac:dyDescent="0.3"/>
    <row r="46980" customFormat="1" x14ac:dyDescent="0.3"/>
    <row r="46981" customFormat="1" x14ac:dyDescent="0.3"/>
    <row r="46982" customFormat="1" x14ac:dyDescent="0.3"/>
    <row r="46983" customFormat="1" x14ac:dyDescent="0.3"/>
    <row r="46984" customFormat="1" x14ac:dyDescent="0.3"/>
    <row r="46985" customFormat="1" x14ac:dyDescent="0.3"/>
    <row r="46986" customFormat="1" x14ac:dyDescent="0.3"/>
    <row r="46987" customFormat="1" x14ac:dyDescent="0.3"/>
    <row r="46988" customFormat="1" x14ac:dyDescent="0.3"/>
    <row r="46989" customFormat="1" x14ac:dyDescent="0.3"/>
    <row r="46990" customFormat="1" x14ac:dyDescent="0.3"/>
    <row r="46991" customFormat="1" x14ac:dyDescent="0.3"/>
    <row r="46992" customFormat="1" x14ac:dyDescent="0.3"/>
    <row r="46993" customFormat="1" x14ac:dyDescent="0.3"/>
    <row r="46994" customFormat="1" x14ac:dyDescent="0.3"/>
    <row r="46995" customFormat="1" x14ac:dyDescent="0.3"/>
    <row r="46996" customFormat="1" x14ac:dyDescent="0.3"/>
    <row r="46997" customFormat="1" x14ac:dyDescent="0.3"/>
    <row r="46998" customFormat="1" x14ac:dyDescent="0.3"/>
    <row r="46999" customFormat="1" x14ac:dyDescent="0.3"/>
    <row r="47000" customFormat="1" x14ac:dyDescent="0.3"/>
    <row r="47001" customFormat="1" x14ac:dyDescent="0.3"/>
    <row r="47002" customFormat="1" x14ac:dyDescent="0.3"/>
    <row r="47003" customFormat="1" x14ac:dyDescent="0.3"/>
    <row r="47004" customFormat="1" x14ac:dyDescent="0.3"/>
    <row r="47005" customFormat="1" x14ac:dyDescent="0.3"/>
    <row r="47006" customFormat="1" x14ac:dyDescent="0.3"/>
    <row r="47007" customFormat="1" x14ac:dyDescent="0.3"/>
    <row r="47008" customFormat="1" x14ac:dyDescent="0.3"/>
    <row r="47009" customFormat="1" x14ac:dyDescent="0.3"/>
    <row r="47010" customFormat="1" x14ac:dyDescent="0.3"/>
    <row r="47011" customFormat="1" x14ac:dyDescent="0.3"/>
    <row r="47012" customFormat="1" x14ac:dyDescent="0.3"/>
    <row r="47013" customFormat="1" x14ac:dyDescent="0.3"/>
    <row r="47014" customFormat="1" x14ac:dyDescent="0.3"/>
    <row r="47015" customFormat="1" x14ac:dyDescent="0.3"/>
    <row r="47016" customFormat="1" x14ac:dyDescent="0.3"/>
    <row r="47017" customFormat="1" x14ac:dyDescent="0.3"/>
    <row r="47018" customFormat="1" x14ac:dyDescent="0.3"/>
    <row r="47019" customFormat="1" x14ac:dyDescent="0.3"/>
    <row r="47020" customFormat="1" x14ac:dyDescent="0.3"/>
    <row r="47021" customFormat="1" x14ac:dyDescent="0.3"/>
    <row r="47022" customFormat="1" x14ac:dyDescent="0.3"/>
    <row r="47023" customFormat="1" x14ac:dyDescent="0.3"/>
    <row r="47024" customFormat="1" x14ac:dyDescent="0.3"/>
    <row r="47025" customFormat="1" x14ac:dyDescent="0.3"/>
    <row r="47026" customFormat="1" x14ac:dyDescent="0.3"/>
    <row r="47027" customFormat="1" x14ac:dyDescent="0.3"/>
    <row r="47028" customFormat="1" x14ac:dyDescent="0.3"/>
    <row r="47029" customFormat="1" x14ac:dyDescent="0.3"/>
    <row r="47030" customFormat="1" x14ac:dyDescent="0.3"/>
    <row r="47031" customFormat="1" x14ac:dyDescent="0.3"/>
    <row r="47032" customFormat="1" x14ac:dyDescent="0.3"/>
    <row r="47033" customFormat="1" x14ac:dyDescent="0.3"/>
    <row r="47034" customFormat="1" x14ac:dyDescent="0.3"/>
    <row r="47035" customFormat="1" x14ac:dyDescent="0.3"/>
    <row r="47036" customFormat="1" x14ac:dyDescent="0.3"/>
    <row r="47037" customFormat="1" x14ac:dyDescent="0.3"/>
    <row r="47038" customFormat="1" x14ac:dyDescent="0.3"/>
    <row r="47039" customFormat="1" x14ac:dyDescent="0.3"/>
    <row r="47040" customFormat="1" x14ac:dyDescent="0.3"/>
    <row r="47041" customFormat="1" x14ac:dyDescent="0.3"/>
    <row r="47042" customFormat="1" x14ac:dyDescent="0.3"/>
    <row r="47043" customFormat="1" x14ac:dyDescent="0.3"/>
    <row r="47044" customFormat="1" x14ac:dyDescent="0.3"/>
    <row r="47045" customFormat="1" x14ac:dyDescent="0.3"/>
    <row r="47046" customFormat="1" x14ac:dyDescent="0.3"/>
    <row r="47047" customFormat="1" x14ac:dyDescent="0.3"/>
    <row r="47048" customFormat="1" x14ac:dyDescent="0.3"/>
    <row r="47049" customFormat="1" x14ac:dyDescent="0.3"/>
    <row r="47050" customFormat="1" x14ac:dyDescent="0.3"/>
    <row r="47051" customFormat="1" x14ac:dyDescent="0.3"/>
    <row r="47052" customFormat="1" x14ac:dyDescent="0.3"/>
    <row r="47053" customFormat="1" x14ac:dyDescent="0.3"/>
    <row r="47054" customFormat="1" x14ac:dyDescent="0.3"/>
    <row r="47055" customFormat="1" x14ac:dyDescent="0.3"/>
    <row r="47056" customFormat="1" x14ac:dyDescent="0.3"/>
    <row r="47057" customFormat="1" x14ac:dyDescent="0.3"/>
    <row r="47058" customFormat="1" x14ac:dyDescent="0.3"/>
    <row r="47059" customFormat="1" x14ac:dyDescent="0.3"/>
    <row r="47060" customFormat="1" x14ac:dyDescent="0.3"/>
    <row r="47061" customFormat="1" x14ac:dyDescent="0.3"/>
    <row r="47062" customFormat="1" x14ac:dyDescent="0.3"/>
    <row r="47063" customFormat="1" x14ac:dyDescent="0.3"/>
    <row r="47064" customFormat="1" x14ac:dyDescent="0.3"/>
    <row r="47065" customFormat="1" x14ac:dyDescent="0.3"/>
    <row r="47066" customFormat="1" x14ac:dyDescent="0.3"/>
    <row r="47067" customFormat="1" x14ac:dyDescent="0.3"/>
    <row r="47068" customFormat="1" x14ac:dyDescent="0.3"/>
    <row r="47069" customFormat="1" x14ac:dyDescent="0.3"/>
    <row r="47070" customFormat="1" x14ac:dyDescent="0.3"/>
    <row r="47071" customFormat="1" x14ac:dyDescent="0.3"/>
    <row r="47072" customFormat="1" x14ac:dyDescent="0.3"/>
    <row r="47073" customFormat="1" x14ac:dyDescent="0.3"/>
    <row r="47074" customFormat="1" x14ac:dyDescent="0.3"/>
    <row r="47075" customFormat="1" x14ac:dyDescent="0.3"/>
    <row r="47076" customFormat="1" x14ac:dyDescent="0.3"/>
    <row r="47077" customFormat="1" x14ac:dyDescent="0.3"/>
    <row r="47078" customFormat="1" x14ac:dyDescent="0.3"/>
    <row r="47079" customFormat="1" x14ac:dyDescent="0.3"/>
    <row r="47080" customFormat="1" x14ac:dyDescent="0.3"/>
    <row r="47081" customFormat="1" x14ac:dyDescent="0.3"/>
    <row r="47082" customFormat="1" x14ac:dyDescent="0.3"/>
    <row r="47083" customFormat="1" x14ac:dyDescent="0.3"/>
    <row r="47084" customFormat="1" x14ac:dyDescent="0.3"/>
    <row r="47085" customFormat="1" x14ac:dyDescent="0.3"/>
    <row r="47086" customFormat="1" x14ac:dyDescent="0.3"/>
    <row r="47087" customFormat="1" x14ac:dyDescent="0.3"/>
    <row r="47088" customFormat="1" x14ac:dyDescent="0.3"/>
    <row r="47089" customFormat="1" x14ac:dyDescent="0.3"/>
    <row r="47090" customFormat="1" x14ac:dyDescent="0.3"/>
    <row r="47091" customFormat="1" x14ac:dyDescent="0.3"/>
    <row r="47092" customFormat="1" x14ac:dyDescent="0.3"/>
    <row r="47093" customFormat="1" x14ac:dyDescent="0.3"/>
    <row r="47094" customFormat="1" x14ac:dyDescent="0.3"/>
    <row r="47095" customFormat="1" x14ac:dyDescent="0.3"/>
    <row r="47096" customFormat="1" x14ac:dyDescent="0.3"/>
    <row r="47097" customFormat="1" x14ac:dyDescent="0.3"/>
    <row r="47098" customFormat="1" x14ac:dyDescent="0.3"/>
    <row r="47099" customFormat="1" x14ac:dyDescent="0.3"/>
    <row r="47100" customFormat="1" x14ac:dyDescent="0.3"/>
    <row r="47101" customFormat="1" x14ac:dyDescent="0.3"/>
    <row r="47102" customFormat="1" x14ac:dyDescent="0.3"/>
    <row r="47103" customFormat="1" x14ac:dyDescent="0.3"/>
    <row r="47104" customFormat="1" x14ac:dyDescent="0.3"/>
    <row r="47105" customFormat="1" x14ac:dyDescent="0.3"/>
    <row r="47106" customFormat="1" x14ac:dyDescent="0.3"/>
    <row r="47107" customFormat="1" x14ac:dyDescent="0.3"/>
    <row r="47108" customFormat="1" x14ac:dyDescent="0.3"/>
    <row r="47109" customFormat="1" x14ac:dyDescent="0.3"/>
    <row r="47110" customFormat="1" x14ac:dyDescent="0.3"/>
    <row r="47111" customFormat="1" x14ac:dyDescent="0.3"/>
    <row r="47112" customFormat="1" x14ac:dyDescent="0.3"/>
    <row r="47113" customFormat="1" x14ac:dyDescent="0.3"/>
    <row r="47114" customFormat="1" x14ac:dyDescent="0.3"/>
    <row r="47115" customFormat="1" x14ac:dyDescent="0.3"/>
    <row r="47116" customFormat="1" x14ac:dyDescent="0.3"/>
    <row r="47117" customFormat="1" x14ac:dyDescent="0.3"/>
    <row r="47118" customFormat="1" x14ac:dyDescent="0.3"/>
    <row r="47119" customFormat="1" x14ac:dyDescent="0.3"/>
    <row r="47120" customFormat="1" x14ac:dyDescent="0.3"/>
    <row r="47121" customFormat="1" x14ac:dyDescent="0.3"/>
    <row r="47122" customFormat="1" x14ac:dyDescent="0.3"/>
    <row r="47123" customFormat="1" x14ac:dyDescent="0.3"/>
    <row r="47124" customFormat="1" x14ac:dyDescent="0.3"/>
    <row r="47125" customFormat="1" x14ac:dyDescent="0.3"/>
    <row r="47126" customFormat="1" x14ac:dyDescent="0.3"/>
    <row r="47127" customFormat="1" x14ac:dyDescent="0.3"/>
    <row r="47128" customFormat="1" x14ac:dyDescent="0.3"/>
    <row r="47129" customFormat="1" x14ac:dyDescent="0.3"/>
    <row r="47130" customFormat="1" x14ac:dyDescent="0.3"/>
    <row r="47131" customFormat="1" x14ac:dyDescent="0.3"/>
    <row r="47132" customFormat="1" x14ac:dyDescent="0.3"/>
    <row r="47133" customFormat="1" x14ac:dyDescent="0.3"/>
    <row r="47134" customFormat="1" x14ac:dyDescent="0.3"/>
    <row r="47135" customFormat="1" x14ac:dyDescent="0.3"/>
    <row r="47136" customFormat="1" x14ac:dyDescent="0.3"/>
    <row r="47137" customFormat="1" x14ac:dyDescent="0.3"/>
    <row r="47138" customFormat="1" x14ac:dyDescent="0.3"/>
    <row r="47139" customFormat="1" x14ac:dyDescent="0.3"/>
    <row r="47140" customFormat="1" x14ac:dyDescent="0.3"/>
    <row r="47141" customFormat="1" x14ac:dyDescent="0.3"/>
    <row r="47142" customFormat="1" x14ac:dyDescent="0.3"/>
    <row r="47143" customFormat="1" x14ac:dyDescent="0.3"/>
    <row r="47144" customFormat="1" x14ac:dyDescent="0.3"/>
    <row r="47145" customFormat="1" x14ac:dyDescent="0.3"/>
    <row r="47146" customFormat="1" x14ac:dyDescent="0.3"/>
    <row r="47147" customFormat="1" x14ac:dyDescent="0.3"/>
    <row r="47148" customFormat="1" x14ac:dyDescent="0.3"/>
    <row r="47149" customFormat="1" x14ac:dyDescent="0.3"/>
    <row r="47150" customFormat="1" x14ac:dyDescent="0.3"/>
    <row r="47151" customFormat="1" x14ac:dyDescent="0.3"/>
    <row r="47152" customFormat="1" x14ac:dyDescent="0.3"/>
    <row r="47153" customFormat="1" x14ac:dyDescent="0.3"/>
    <row r="47154" customFormat="1" x14ac:dyDescent="0.3"/>
    <row r="47155" customFormat="1" x14ac:dyDescent="0.3"/>
    <row r="47156" customFormat="1" x14ac:dyDescent="0.3"/>
    <row r="47157" customFormat="1" x14ac:dyDescent="0.3"/>
    <row r="47158" customFormat="1" x14ac:dyDescent="0.3"/>
    <row r="47159" customFormat="1" x14ac:dyDescent="0.3"/>
    <row r="47160" customFormat="1" x14ac:dyDescent="0.3"/>
    <row r="47161" customFormat="1" x14ac:dyDescent="0.3"/>
    <row r="47162" customFormat="1" x14ac:dyDescent="0.3"/>
    <row r="47163" customFormat="1" x14ac:dyDescent="0.3"/>
    <row r="47164" customFormat="1" x14ac:dyDescent="0.3"/>
    <row r="47165" customFormat="1" x14ac:dyDescent="0.3"/>
    <row r="47166" customFormat="1" x14ac:dyDescent="0.3"/>
    <row r="47167" customFormat="1" x14ac:dyDescent="0.3"/>
    <row r="47168" customFormat="1" x14ac:dyDescent="0.3"/>
    <row r="47169" customFormat="1" x14ac:dyDescent="0.3"/>
    <row r="47170" customFormat="1" x14ac:dyDescent="0.3"/>
    <row r="47171" customFormat="1" x14ac:dyDescent="0.3"/>
    <row r="47172" customFormat="1" x14ac:dyDescent="0.3"/>
    <row r="47173" customFormat="1" x14ac:dyDescent="0.3"/>
    <row r="47174" customFormat="1" x14ac:dyDescent="0.3"/>
    <row r="47175" customFormat="1" x14ac:dyDescent="0.3"/>
    <row r="47176" customFormat="1" x14ac:dyDescent="0.3"/>
    <row r="47177" customFormat="1" x14ac:dyDescent="0.3"/>
    <row r="47178" customFormat="1" x14ac:dyDescent="0.3"/>
    <row r="47179" customFormat="1" x14ac:dyDescent="0.3"/>
    <row r="47180" customFormat="1" x14ac:dyDescent="0.3"/>
    <row r="47181" customFormat="1" x14ac:dyDescent="0.3"/>
    <row r="47182" customFormat="1" x14ac:dyDescent="0.3"/>
    <row r="47183" customFormat="1" x14ac:dyDescent="0.3"/>
    <row r="47184" customFormat="1" x14ac:dyDescent="0.3"/>
    <row r="47185" customFormat="1" x14ac:dyDescent="0.3"/>
    <row r="47186" customFormat="1" x14ac:dyDescent="0.3"/>
    <row r="47187" customFormat="1" x14ac:dyDescent="0.3"/>
    <row r="47188" customFormat="1" x14ac:dyDescent="0.3"/>
    <row r="47189" customFormat="1" x14ac:dyDescent="0.3"/>
    <row r="47190" customFormat="1" x14ac:dyDescent="0.3"/>
    <row r="47191" customFormat="1" x14ac:dyDescent="0.3"/>
    <row r="47192" customFormat="1" x14ac:dyDescent="0.3"/>
    <row r="47193" customFormat="1" x14ac:dyDescent="0.3"/>
    <row r="47194" customFormat="1" x14ac:dyDescent="0.3"/>
    <row r="47195" customFormat="1" x14ac:dyDescent="0.3"/>
    <row r="47196" customFormat="1" x14ac:dyDescent="0.3"/>
    <row r="47197" customFormat="1" x14ac:dyDescent="0.3"/>
    <row r="47198" customFormat="1" x14ac:dyDescent="0.3"/>
    <row r="47199" customFormat="1" x14ac:dyDescent="0.3"/>
    <row r="47200" customFormat="1" x14ac:dyDescent="0.3"/>
    <row r="47201" customFormat="1" x14ac:dyDescent="0.3"/>
    <row r="47202" customFormat="1" x14ac:dyDescent="0.3"/>
    <row r="47203" customFormat="1" x14ac:dyDescent="0.3"/>
    <row r="47204" customFormat="1" x14ac:dyDescent="0.3"/>
    <row r="47205" customFormat="1" x14ac:dyDescent="0.3"/>
    <row r="47206" customFormat="1" x14ac:dyDescent="0.3"/>
    <row r="47207" customFormat="1" x14ac:dyDescent="0.3"/>
    <row r="47208" customFormat="1" x14ac:dyDescent="0.3"/>
    <row r="47209" customFormat="1" x14ac:dyDescent="0.3"/>
    <row r="47210" customFormat="1" x14ac:dyDescent="0.3"/>
    <row r="47211" customFormat="1" x14ac:dyDescent="0.3"/>
    <row r="47212" customFormat="1" x14ac:dyDescent="0.3"/>
    <row r="47213" customFormat="1" x14ac:dyDescent="0.3"/>
    <row r="47214" customFormat="1" x14ac:dyDescent="0.3"/>
    <row r="47215" customFormat="1" x14ac:dyDescent="0.3"/>
    <row r="47216" customFormat="1" x14ac:dyDescent="0.3"/>
    <row r="47217" customFormat="1" x14ac:dyDescent="0.3"/>
    <row r="47218" customFormat="1" x14ac:dyDescent="0.3"/>
    <row r="47219" customFormat="1" x14ac:dyDescent="0.3"/>
    <row r="47220" customFormat="1" x14ac:dyDescent="0.3"/>
    <row r="47221" customFormat="1" x14ac:dyDescent="0.3"/>
    <row r="47222" customFormat="1" x14ac:dyDescent="0.3"/>
    <row r="47223" customFormat="1" x14ac:dyDescent="0.3"/>
    <row r="47224" customFormat="1" x14ac:dyDescent="0.3"/>
    <row r="47225" customFormat="1" x14ac:dyDescent="0.3"/>
    <row r="47226" customFormat="1" x14ac:dyDescent="0.3"/>
    <row r="47227" customFormat="1" x14ac:dyDescent="0.3"/>
    <row r="47228" customFormat="1" x14ac:dyDescent="0.3"/>
    <row r="47229" customFormat="1" x14ac:dyDescent="0.3"/>
    <row r="47230" customFormat="1" x14ac:dyDescent="0.3"/>
    <row r="47231" customFormat="1" x14ac:dyDescent="0.3"/>
    <row r="47232" customFormat="1" x14ac:dyDescent="0.3"/>
    <row r="47233" customFormat="1" x14ac:dyDescent="0.3"/>
    <row r="47234" customFormat="1" x14ac:dyDescent="0.3"/>
    <row r="47235" customFormat="1" x14ac:dyDescent="0.3"/>
    <row r="47236" customFormat="1" x14ac:dyDescent="0.3"/>
    <row r="47237" customFormat="1" x14ac:dyDescent="0.3"/>
    <row r="47238" customFormat="1" x14ac:dyDescent="0.3"/>
    <row r="47239" customFormat="1" x14ac:dyDescent="0.3"/>
    <row r="47240" customFormat="1" x14ac:dyDescent="0.3"/>
    <row r="47241" customFormat="1" x14ac:dyDescent="0.3"/>
    <row r="47242" customFormat="1" x14ac:dyDescent="0.3"/>
    <row r="47243" customFormat="1" x14ac:dyDescent="0.3"/>
    <row r="47244" customFormat="1" x14ac:dyDescent="0.3"/>
    <row r="47245" customFormat="1" x14ac:dyDescent="0.3"/>
    <row r="47246" customFormat="1" x14ac:dyDescent="0.3"/>
    <row r="47247" customFormat="1" x14ac:dyDescent="0.3"/>
    <row r="47248" customFormat="1" x14ac:dyDescent="0.3"/>
    <row r="47249" customFormat="1" x14ac:dyDescent="0.3"/>
    <row r="47250" customFormat="1" x14ac:dyDescent="0.3"/>
    <row r="47251" customFormat="1" x14ac:dyDescent="0.3"/>
    <row r="47252" customFormat="1" x14ac:dyDescent="0.3"/>
    <row r="47253" customFormat="1" x14ac:dyDescent="0.3"/>
    <row r="47254" customFormat="1" x14ac:dyDescent="0.3"/>
    <row r="47255" customFormat="1" x14ac:dyDescent="0.3"/>
    <row r="47256" customFormat="1" x14ac:dyDescent="0.3"/>
    <row r="47257" customFormat="1" x14ac:dyDescent="0.3"/>
    <row r="47258" customFormat="1" x14ac:dyDescent="0.3"/>
    <row r="47259" customFormat="1" x14ac:dyDescent="0.3"/>
    <row r="47260" customFormat="1" x14ac:dyDescent="0.3"/>
    <row r="47261" customFormat="1" x14ac:dyDescent="0.3"/>
    <row r="47262" customFormat="1" x14ac:dyDescent="0.3"/>
    <row r="47263" customFormat="1" x14ac:dyDescent="0.3"/>
    <row r="47264" customFormat="1" x14ac:dyDescent="0.3"/>
    <row r="47265" customFormat="1" x14ac:dyDescent="0.3"/>
    <row r="47266" customFormat="1" x14ac:dyDescent="0.3"/>
    <row r="47267" customFormat="1" x14ac:dyDescent="0.3"/>
    <row r="47268" customFormat="1" x14ac:dyDescent="0.3"/>
    <row r="47269" customFormat="1" x14ac:dyDescent="0.3"/>
    <row r="47270" customFormat="1" x14ac:dyDescent="0.3"/>
    <row r="47271" customFormat="1" x14ac:dyDescent="0.3"/>
    <row r="47272" customFormat="1" x14ac:dyDescent="0.3"/>
    <row r="47273" customFormat="1" x14ac:dyDescent="0.3"/>
    <row r="47274" customFormat="1" x14ac:dyDescent="0.3"/>
    <row r="47275" customFormat="1" x14ac:dyDescent="0.3"/>
    <row r="47276" customFormat="1" x14ac:dyDescent="0.3"/>
    <row r="47277" customFormat="1" x14ac:dyDescent="0.3"/>
    <row r="47278" customFormat="1" x14ac:dyDescent="0.3"/>
    <row r="47279" customFormat="1" x14ac:dyDescent="0.3"/>
    <row r="47280" customFormat="1" x14ac:dyDescent="0.3"/>
    <row r="47281" customFormat="1" x14ac:dyDescent="0.3"/>
    <row r="47282" customFormat="1" x14ac:dyDescent="0.3"/>
    <row r="47283" customFormat="1" x14ac:dyDescent="0.3"/>
    <row r="47284" customFormat="1" x14ac:dyDescent="0.3"/>
    <row r="47285" customFormat="1" x14ac:dyDescent="0.3"/>
    <row r="47286" customFormat="1" x14ac:dyDescent="0.3"/>
    <row r="47287" customFormat="1" x14ac:dyDescent="0.3"/>
    <row r="47288" customFormat="1" x14ac:dyDescent="0.3"/>
    <row r="47289" customFormat="1" x14ac:dyDescent="0.3"/>
    <row r="47290" customFormat="1" x14ac:dyDescent="0.3"/>
    <row r="47291" customFormat="1" x14ac:dyDescent="0.3"/>
    <row r="47292" customFormat="1" x14ac:dyDescent="0.3"/>
    <row r="47293" customFormat="1" x14ac:dyDescent="0.3"/>
    <row r="47294" customFormat="1" x14ac:dyDescent="0.3"/>
    <row r="47295" customFormat="1" x14ac:dyDescent="0.3"/>
    <row r="47296" customFormat="1" x14ac:dyDescent="0.3"/>
    <row r="47297" customFormat="1" x14ac:dyDescent="0.3"/>
    <row r="47298" customFormat="1" x14ac:dyDescent="0.3"/>
    <row r="47299" customFormat="1" x14ac:dyDescent="0.3"/>
    <row r="47300" customFormat="1" x14ac:dyDescent="0.3"/>
    <row r="47301" customFormat="1" x14ac:dyDescent="0.3"/>
    <row r="47302" customFormat="1" x14ac:dyDescent="0.3"/>
    <row r="47303" customFormat="1" x14ac:dyDescent="0.3"/>
    <row r="47304" customFormat="1" x14ac:dyDescent="0.3"/>
    <row r="47305" customFormat="1" x14ac:dyDescent="0.3"/>
    <row r="47306" customFormat="1" x14ac:dyDescent="0.3"/>
    <row r="47307" customFormat="1" x14ac:dyDescent="0.3"/>
    <row r="47308" customFormat="1" x14ac:dyDescent="0.3"/>
    <row r="47309" customFormat="1" x14ac:dyDescent="0.3"/>
    <row r="47310" customFormat="1" x14ac:dyDescent="0.3"/>
    <row r="47311" customFormat="1" x14ac:dyDescent="0.3"/>
    <row r="47312" customFormat="1" x14ac:dyDescent="0.3"/>
    <row r="47313" customFormat="1" x14ac:dyDescent="0.3"/>
    <row r="47314" customFormat="1" x14ac:dyDescent="0.3"/>
    <row r="47315" customFormat="1" x14ac:dyDescent="0.3"/>
    <row r="47316" customFormat="1" x14ac:dyDescent="0.3"/>
    <row r="47317" customFormat="1" x14ac:dyDescent="0.3"/>
    <row r="47318" customFormat="1" x14ac:dyDescent="0.3"/>
    <row r="47319" customFormat="1" x14ac:dyDescent="0.3"/>
    <row r="47320" customFormat="1" x14ac:dyDescent="0.3"/>
    <row r="47321" customFormat="1" x14ac:dyDescent="0.3"/>
    <row r="47322" customFormat="1" x14ac:dyDescent="0.3"/>
    <row r="47323" customFormat="1" x14ac:dyDescent="0.3"/>
    <row r="47324" customFormat="1" x14ac:dyDescent="0.3"/>
    <row r="47325" customFormat="1" x14ac:dyDescent="0.3"/>
    <row r="47326" customFormat="1" x14ac:dyDescent="0.3"/>
    <row r="47327" customFormat="1" x14ac:dyDescent="0.3"/>
    <row r="47328" customFormat="1" x14ac:dyDescent="0.3"/>
    <row r="47329" customFormat="1" x14ac:dyDescent="0.3"/>
    <row r="47330" customFormat="1" x14ac:dyDescent="0.3"/>
    <row r="47331" customFormat="1" x14ac:dyDescent="0.3"/>
    <row r="47332" customFormat="1" x14ac:dyDescent="0.3"/>
    <row r="47333" customFormat="1" x14ac:dyDescent="0.3"/>
    <row r="47334" customFormat="1" x14ac:dyDescent="0.3"/>
    <row r="47335" customFormat="1" x14ac:dyDescent="0.3"/>
    <row r="47336" customFormat="1" x14ac:dyDescent="0.3"/>
    <row r="47337" customFormat="1" x14ac:dyDescent="0.3"/>
    <row r="47338" customFormat="1" x14ac:dyDescent="0.3"/>
    <row r="47339" customFormat="1" x14ac:dyDescent="0.3"/>
    <row r="47340" customFormat="1" x14ac:dyDescent="0.3"/>
    <row r="47341" customFormat="1" x14ac:dyDescent="0.3"/>
    <row r="47342" customFormat="1" x14ac:dyDescent="0.3"/>
    <row r="47343" customFormat="1" x14ac:dyDescent="0.3"/>
    <row r="47344" customFormat="1" x14ac:dyDescent="0.3"/>
    <row r="47345" customFormat="1" x14ac:dyDescent="0.3"/>
    <row r="47346" customFormat="1" x14ac:dyDescent="0.3"/>
    <row r="47347" customFormat="1" x14ac:dyDescent="0.3"/>
    <row r="47348" customFormat="1" x14ac:dyDescent="0.3"/>
    <row r="47349" customFormat="1" x14ac:dyDescent="0.3"/>
    <row r="47350" customFormat="1" x14ac:dyDescent="0.3"/>
    <row r="47351" customFormat="1" x14ac:dyDescent="0.3"/>
    <row r="47352" customFormat="1" x14ac:dyDescent="0.3"/>
    <row r="47353" customFormat="1" x14ac:dyDescent="0.3"/>
    <row r="47354" customFormat="1" x14ac:dyDescent="0.3"/>
    <row r="47355" customFormat="1" x14ac:dyDescent="0.3"/>
    <row r="47356" customFormat="1" x14ac:dyDescent="0.3"/>
    <row r="47357" customFormat="1" x14ac:dyDescent="0.3"/>
    <row r="47358" customFormat="1" x14ac:dyDescent="0.3"/>
    <row r="47359" customFormat="1" x14ac:dyDescent="0.3"/>
    <row r="47360" customFormat="1" x14ac:dyDescent="0.3"/>
    <row r="47361" customFormat="1" x14ac:dyDescent="0.3"/>
    <row r="47362" customFormat="1" x14ac:dyDescent="0.3"/>
    <row r="47363" customFormat="1" x14ac:dyDescent="0.3"/>
    <row r="47364" customFormat="1" x14ac:dyDescent="0.3"/>
    <row r="47365" customFormat="1" x14ac:dyDescent="0.3"/>
    <row r="47366" customFormat="1" x14ac:dyDescent="0.3"/>
    <row r="47367" customFormat="1" x14ac:dyDescent="0.3"/>
    <row r="47368" customFormat="1" x14ac:dyDescent="0.3"/>
    <row r="47369" customFormat="1" x14ac:dyDescent="0.3"/>
    <row r="47370" customFormat="1" x14ac:dyDescent="0.3"/>
    <row r="47371" customFormat="1" x14ac:dyDescent="0.3"/>
    <row r="47372" customFormat="1" x14ac:dyDescent="0.3"/>
    <row r="47373" customFormat="1" x14ac:dyDescent="0.3"/>
    <row r="47374" customFormat="1" x14ac:dyDescent="0.3"/>
    <row r="47375" customFormat="1" x14ac:dyDescent="0.3"/>
    <row r="47376" customFormat="1" x14ac:dyDescent="0.3"/>
    <row r="47377" customFormat="1" x14ac:dyDescent="0.3"/>
    <row r="47378" customFormat="1" x14ac:dyDescent="0.3"/>
    <row r="47379" customFormat="1" x14ac:dyDescent="0.3"/>
    <row r="47380" customFormat="1" x14ac:dyDescent="0.3"/>
    <row r="47381" customFormat="1" x14ac:dyDescent="0.3"/>
    <row r="47382" customFormat="1" x14ac:dyDescent="0.3"/>
    <row r="47383" customFormat="1" x14ac:dyDescent="0.3"/>
    <row r="47384" customFormat="1" x14ac:dyDescent="0.3"/>
    <row r="47385" customFormat="1" x14ac:dyDescent="0.3"/>
    <row r="47386" customFormat="1" x14ac:dyDescent="0.3"/>
    <row r="47387" customFormat="1" x14ac:dyDescent="0.3"/>
    <row r="47388" customFormat="1" x14ac:dyDescent="0.3"/>
    <row r="47389" customFormat="1" x14ac:dyDescent="0.3"/>
    <row r="47390" customFormat="1" x14ac:dyDescent="0.3"/>
    <row r="47391" customFormat="1" x14ac:dyDescent="0.3"/>
    <row r="47392" customFormat="1" x14ac:dyDescent="0.3"/>
    <row r="47393" customFormat="1" x14ac:dyDescent="0.3"/>
    <row r="47394" customFormat="1" x14ac:dyDescent="0.3"/>
    <row r="47395" customFormat="1" x14ac:dyDescent="0.3"/>
    <row r="47396" customFormat="1" x14ac:dyDescent="0.3"/>
    <row r="47397" customFormat="1" x14ac:dyDescent="0.3"/>
    <row r="47398" customFormat="1" x14ac:dyDescent="0.3"/>
    <row r="47399" customFormat="1" x14ac:dyDescent="0.3"/>
    <row r="47400" customFormat="1" x14ac:dyDescent="0.3"/>
    <row r="47401" customFormat="1" x14ac:dyDescent="0.3"/>
    <row r="47402" customFormat="1" x14ac:dyDescent="0.3"/>
    <row r="47403" customFormat="1" x14ac:dyDescent="0.3"/>
    <row r="47404" customFormat="1" x14ac:dyDescent="0.3"/>
    <row r="47405" customFormat="1" x14ac:dyDescent="0.3"/>
    <row r="47406" customFormat="1" x14ac:dyDescent="0.3"/>
    <row r="47407" customFormat="1" x14ac:dyDescent="0.3"/>
    <row r="47408" customFormat="1" x14ac:dyDescent="0.3"/>
    <row r="47409" customFormat="1" x14ac:dyDescent="0.3"/>
    <row r="47410" customFormat="1" x14ac:dyDescent="0.3"/>
    <row r="47411" customFormat="1" x14ac:dyDescent="0.3"/>
    <row r="47412" customFormat="1" x14ac:dyDescent="0.3"/>
    <row r="47413" customFormat="1" x14ac:dyDescent="0.3"/>
    <row r="47414" customFormat="1" x14ac:dyDescent="0.3"/>
    <row r="47415" customFormat="1" x14ac:dyDescent="0.3"/>
    <row r="47416" customFormat="1" x14ac:dyDescent="0.3"/>
    <row r="47417" customFormat="1" x14ac:dyDescent="0.3"/>
    <row r="47418" customFormat="1" x14ac:dyDescent="0.3"/>
    <row r="47419" customFormat="1" x14ac:dyDescent="0.3"/>
    <row r="47420" customFormat="1" x14ac:dyDescent="0.3"/>
    <row r="47421" customFormat="1" x14ac:dyDescent="0.3"/>
    <row r="47422" customFormat="1" x14ac:dyDescent="0.3"/>
    <row r="47423" customFormat="1" x14ac:dyDescent="0.3"/>
    <row r="47424" customFormat="1" x14ac:dyDescent="0.3"/>
    <row r="47425" customFormat="1" x14ac:dyDescent="0.3"/>
    <row r="47426" customFormat="1" x14ac:dyDescent="0.3"/>
    <row r="47427" customFormat="1" x14ac:dyDescent="0.3"/>
    <row r="47428" customFormat="1" x14ac:dyDescent="0.3"/>
    <row r="47429" customFormat="1" x14ac:dyDescent="0.3"/>
    <row r="47430" customFormat="1" x14ac:dyDescent="0.3"/>
    <row r="47431" customFormat="1" x14ac:dyDescent="0.3"/>
    <row r="47432" customFormat="1" x14ac:dyDescent="0.3"/>
    <row r="47433" customFormat="1" x14ac:dyDescent="0.3"/>
    <row r="47434" customFormat="1" x14ac:dyDescent="0.3"/>
    <row r="47435" customFormat="1" x14ac:dyDescent="0.3"/>
    <row r="47436" customFormat="1" x14ac:dyDescent="0.3"/>
    <row r="47437" customFormat="1" x14ac:dyDescent="0.3"/>
    <row r="47438" customFormat="1" x14ac:dyDescent="0.3"/>
    <row r="47439" customFormat="1" x14ac:dyDescent="0.3"/>
    <row r="47440" customFormat="1" x14ac:dyDescent="0.3"/>
    <row r="47441" customFormat="1" x14ac:dyDescent="0.3"/>
    <row r="47442" customFormat="1" x14ac:dyDescent="0.3"/>
    <row r="47443" customFormat="1" x14ac:dyDescent="0.3"/>
    <row r="47444" customFormat="1" x14ac:dyDescent="0.3"/>
    <row r="47445" customFormat="1" x14ac:dyDescent="0.3"/>
    <row r="47446" customFormat="1" x14ac:dyDescent="0.3"/>
    <row r="47447" customFormat="1" x14ac:dyDescent="0.3"/>
    <row r="47448" customFormat="1" x14ac:dyDescent="0.3"/>
    <row r="47449" customFormat="1" x14ac:dyDescent="0.3"/>
    <row r="47450" customFormat="1" x14ac:dyDescent="0.3"/>
    <row r="47451" customFormat="1" x14ac:dyDescent="0.3"/>
    <row r="47452" customFormat="1" x14ac:dyDescent="0.3"/>
    <row r="47453" customFormat="1" x14ac:dyDescent="0.3"/>
    <row r="47454" customFormat="1" x14ac:dyDescent="0.3"/>
    <row r="47455" customFormat="1" x14ac:dyDescent="0.3"/>
    <row r="47456" customFormat="1" x14ac:dyDescent="0.3"/>
    <row r="47457" customFormat="1" x14ac:dyDescent="0.3"/>
    <row r="47458" customFormat="1" x14ac:dyDescent="0.3"/>
    <row r="47459" customFormat="1" x14ac:dyDescent="0.3"/>
    <row r="47460" customFormat="1" x14ac:dyDescent="0.3"/>
    <row r="47461" customFormat="1" x14ac:dyDescent="0.3"/>
    <row r="47462" customFormat="1" x14ac:dyDescent="0.3"/>
    <row r="47463" customFormat="1" x14ac:dyDescent="0.3"/>
    <row r="47464" customFormat="1" x14ac:dyDescent="0.3"/>
    <row r="47465" customFormat="1" x14ac:dyDescent="0.3"/>
    <row r="47466" customFormat="1" x14ac:dyDescent="0.3"/>
    <row r="47467" customFormat="1" x14ac:dyDescent="0.3"/>
    <row r="47468" customFormat="1" x14ac:dyDescent="0.3"/>
    <row r="47469" customFormat="1" x14ac:dyDescent="0.3"/>
    <row r="47470" customFormat="1" x14ac:dyDescent="0.3"/>
    <row r="47471" customFormat="1" x14ac:dyDescent="0.3"/>
    <row r="47472" customFormat="1" x14ac:dyDescent="0.3"/>
    <row r="47473" customFormat="1" x14ac:dyDescent="0.3"/>
    <row r="47474" customFormat="1" x14ac:dyDescent="0.3"/>
    <row r="47475" customFormat="1" x14ac:dyDescent="0.3"/>
    <row r="47476" customFormat="1" x14ac:dyDescent="0.3"/>
    <row r="47477" customFormat="1" x14ac:dyDescent="0.3"/>
    <row r="47478" customFormat="1" x14ac:dyDescent="0.3"/>
    <row r="47479" customFormat="1" x14ac:dyDescent="0.3"/>
    <row r="47480" customFormat="1" x14ac:dyDescent="0.3"/>
    <row r="47481" customFormat="1" x14ac:dyDescent="0.3"/>
    <row r="47482" customFormat="1" x14ac:dyDescent="0.3"/>
    <row r="47483" customFormat="1" x14ac:dyDescent="0.3"/>
    <row r="47484" customFormat="1" x14ac:dyDescent="0.3"/>
    <row r="47485" customFormat="1" x14ac:dyDescent="0.3"/>
    <row r="47486" customFormat="1" x14ac:dyDescent="0.3"/>
    <row r="47487" customFormat="1" x14ac:dyDescent="0.3"/>
    <row r="47488" customFormat="1" x14ac:dyDescent="0.3"/>
    <row r="47489" customFormat="1" x14ac:dyDescent="0.3"/>
    <row r="47490" customFormat="1" x14ac:dyDescent="0.3"/>
    <row r="47491" customFormat="1" x14ac:dyDescent="0.3"/>
    <row r="47492" customFormat="1" x14ac:dyDescent="0.3"/>
    <row r="47493" customFormat="1" x14ac:dyDescent="0.3"/>
    <row r="47494" customFormat="1" x14ac:dyDescent="0.3"/>
    <row r="47495" customFormat="1" x14ac:dyDescent="0.3"/>
    <row r="47496" customFormat="1" x14ac:dyDescent="0.3"/>
    <row r="47497" customFormat="1" x14ac:dyDescent="0.3"/>
    <row r="47498" customFormat="1" x14ac:dyDescent="0.3"/>
    <row r="47499" customFormat="1" x14ac:dyDescent="0.3"/>
    <row r="47500" customFormat="1" x14ac:dyDescent="0.3"/>
    <row r="47501" customFormat="1" x14ac:dyDescent="0.3"/>
    <row r="47502" customFormat="1" x14ac:dyDescent="0.3"/>
    <row r="47503" customFormat="1" x14ac:dyDescent="0.3"/>
    <row r="47504" customFormat="1" x14ac:dyDescent="0.3"/>
    <row r="47505" customFormat="1" x14ac:dyDescent="0.3"/>
    <row r="47506" customFormat="1" x14ac:dyDescent="0.3"/>
    <row r="47507" customFormat="1" x14ac:dyDescent="0.3"/>
    <row r="47508" customFormat="1" x14ac:dyDescent="0.3"/>
    <row r="47509" customFormat="1" x14ac:dyDescent="0.3"/>
    <row r="47510" customFormat="1" x14ac:dyDescent="0.3"/>
    <row r="47511" customFormat="1" x14ac:dyDescent="0.3"/>
    <row r="47512" customFormat="1" x14ac:dyDescent="0.3"/>
    <row r="47513" customFormat="1" x14ac:dyDescent="0.3"/>
    <row r="47514" customFormat="1" x14ac:dyDescent="0.3"/>
    <row r="47515" customFormat="1" x14ac:dyDescent="0.3"/>
    <row r="47516" customFormat="1" x14ac:dyDescent="0.3"/>
    <row r="47517" customFormat="1" x14ac:dyDescent="0.3"/>
    <row r="47518" customFormat="1" x14ac:dyDescent="0.3"/>
    <row r="47519" customFormat="1" x14ac:dyDescent="0.3"/>
    <row r="47520" customFormat="1" x14ac:dyDescent="0.3"/>
    <row r="47521" customFormat="1" x14ac:dyDescent="0.3"/>
    <row r="47522" customFormat="1" x14ac:dyDescent="0.3"/>
    <row r="47523" customFormat="1" x14ac:dyDescent="0.3"/>
    <row r="47524" customFormat="1" x14ac:dyDescent="0.3"/>
    <row r="47525" customFormat="1" x14ac:dyDescent="0.3"/>
    <row r="47526" customFormat="1" x14ac:dyDescent="0.3"/>
    <row r="47527" customFormat="1" x14ac:dyDescent="0.3"/>
    <row r="47528" customFormat="1" x14ac:dyDescent="0.3"/>
    <row r="47529" customFormat="1" x14ac:dyDescent="0.3"/>
    <row r="47530" customFormat="1" x14ac:dyDescent="0.3"/>
    <row r="47531" customFormat="1" x14ac:dyDescent="0.3"/>
    <row r="47532" customFormat="1" x14ac:dyDescent="0.3"/>
    <row r="47533" customFormat="1" x14ac:dyDescent="0.3"/>
    <row r="47534" customFormat="1" x14ac:dyDescent="0.3"/>
    <row r="47535" customFormat="1" x14ac:dyDescent="0.3"/>
    <row r="47536" customFormat="1" x14ac:dyDescent="0.3"/>
    <row r="47537" customFormat="1" x14ac:dyDescent="0.3"/>
    <row r="47538" customFormat="1" x14ac:dyDescent="0.3"/>
    <row r="47539" customFormat="1" x14ac:dyDescent="0.3"/>
    <row r="47540" customFormat="1" x14ac:dyDescent="0.3"/>
    <row r="47541" customFormat="1" x14ac:dyDescent="0.3"/>
    <row r="47542" customFormat="1" x14ac:dyDescent="0.3"/>
    <row r="47543" customFormat="1" x14ac:dyDescent="0.3"/>
    <row r="47544" customFormat="1" x14ac:dyDescent="0.3"/>
    <row r="47545" customFormat="1" x14ac:dyDescent="0.3"/>
    <row r="47546" customFormat="1" x14ac:dyDescent="0.3"/>
    <row r="47547" customFormat="1" x14ac:dyDescent="0.3"/>
    <row r="47548" customFormat="1" x14ac:dyDescent="0.3"/>
    <row r="47549" customFormat="1" x14ac:dyDescent="0.3"/>
    <row r="47550" customFormat="1" x14ac:dyDescent="0.3"/>
    <row r="47551" customFormat="1" x14ac:dyDescent="0.3"/>
    <row r="47552" customFormat="1" x14ac:dyDescent="0.3"/>
    <row r="47553" customFormat="1" x14ac:dyDescent="0.3"/>
    <row r="47554" customFormat="1" x14ac:dyDescent="0.3"/>
    <row r="47555" customFormat="1" x14ac:dyDescent="0.3"/>
    <row r="47556" customFormat="1" x14ac:dyDescent="0.3"/>
    <row r="47557" customFormat="1" x14ac:dyDescent="0.3"/>
    <row r="47558" customFormat="1" x14ac:dyDescent="0.3"/>
    <row r="47559" customFormat="1" x14ac:dyDescent="0.3"/>
    <row r="47560" customFormat="1" x14ac:dyDescent="0.3"/>
    <row r="47561" customFormat="1" x14ac:dyDescent="0.3"/>
    <row r="47562" customFormat="1" x14ac:dyDescent="0.3"/>
    <row r="47563" customFormat="1" x14ac:dyDescent="0.3"/>
    <row r="47564" customFormat="1" x14ac:dyDescent="0.3"/>
    <row r="47565" customFormat="1" x14ac:dyDescent="0.3"/>
    <row r="47566" customFormat="1" x14ac:dyDescent="0.3"/>
    <row r="47567" customFormat="1" x14ac:dyDescent="0.3"/>
    <row r="47568" customFormat="1" x14ac:dyDescent="0.3"/>
    <row r="47569" customFormat="1" x14ac:dyDescent="0.3"/>
    <row r="47570" customFormat="1" x14ac:dyDescent="0.3"/>
    <row r="47571" customFormat="1" x14ac:dyDescent="0.3"/>
    <row r="47572" customFormat="1" x14ac:dyDescent="0.3"/>
    <row r="47573" customFormat="1" x14ac:dyDescent="0.3"/>
    <row r="47574" customFormat="1" x14ac:dyDescent="0.3"/>
    <row r="47575" customFormat="1" x14ac:dyDescent="0.3"/>
    <row r="47576" customFormat="1" x14ac:dyDescent="0.3"/>
    <row r="47577" customFormat="1" x14ac:dyDescent="0.3"/>
    <row r="47578" customFormat="1" x14ac:dyDescent="0.3"/>
    <row r="47579" customFormat="1" x14ac:dyDescent="0.3"/>
    <row r="47580" customFormat="1" x14ac:dyDescent="0.3"/>
    <row r="47581" customFormat="1" x14ac:dyDescent="0.3"/>
    <row r="47582" customFormat="1" x14ac:dyDescent="0.3"/>
    <row r="47583" customFormat="1" x14ac:dyDescent="0.3"/>
    <row r="47584" customFormat="1" x14ac:dyDescent="0.3"/>
    <row r="47585" customFormat="1" x14ac:dyDescent="0.3"/>
    <row r="47586" customFormat="1" x14ac:dyDescent="0.3"/>
    <row r="47587" customFormat="1" x14ac:dyDescent="0.3"/>
    <row r="47588" customFormat="1" x14ac:dyDescent="0.3"/>
    <row r="47589" customFormat="1" x14ac:dyDescent="0.3"/>
    <row r="47590" customFormat="1" x14ac:dyDescent="0.3"/>
    <row r="47591" customFormat="1" x14ac:dyDescent="0.3"/>
    <row r="47592" customFormat="1" x14ac:dyDescent="0.3"/>
    <row r="47593" customFormat="1" x14ac:dyDescent="0.3"/>
    <row r="47594" customFormat="1" x14ac:dyDescent="0.3"/>
    <row r="47595" customFormat="1" x14ac:dyDescent="0.3"/>
    <row r="47596" customFormat="1" x14ac:dyDescent="0.3"/>
    <row r="47597" customFormat="1" x14ac:dyDescent="0.3"/>
    <row r="47598" customFormat="1" x14ac:dyDescent="0.3"/>
    <row r="47599" customFormat="1" x14ac:dyDescent="0.3"/>
    <row r="47600" customFormat="1" x14ac:dyDescent="0.3"/>
    <row r="47601" customFormat="1" x14ac:dyDescent="0.3"/>
    <row r="47602" customFormat="1" x14ac:dyDescent="0.3"/>
    <row r="47603" customFormat="1" x14ac:dyDescent="0.3"/>
    <row r="47604" customFormat="1" x14ac:dyDescent="0.3"/>
    <row r="47605" customFormat="1" x14ac:dyDescent="0.3"/>
    <row r="47606" customFormat="1" x14ac:dyDescent="0.3"/>
    <row r="47607" customFormat="1" x14ac:dyDescent="0.3"/>
    <row r="47608" customFormat="1" x14ac:dyDescent="0.3"/>
    <row r="47609" customFormat="1" x14ac:dyDescent="0.3"/>
    <row r="47610" customFormat="1" x14ac:dyDescent="0.3"/>
    <row r="47611" customFormat="1" x14ac:dyDescent="0.3"/>
    <row r="47612" customFormat="1" x14ac:dyDescent="0.3"/>
    <row r="47613" customFormat="1" x14ac:dyDescent="0.3"/>
    <row r="47614" customFormat="1" x14ac:dyDescent="0.3"/>
    <row r="47615" customFormat="1" x14ac:dyDescent="0.3"/>
    <row r="47616" customFormat="1" x14ac:dyDescent="0.3"/>
    <row r="47617" customFormat="1" x14ac:dyDescent="0.3"/>
    <row r="47618" customFormat="1" x14ac:dyDescent="0.3"/>
    <row r="47619" customFormat="1" x14ac:dyDescent="0.3"/>
    <row r="47620" customFormat="1" x14ac:dyDescent="0.3"/>
    <row r="47621" customFormat="1" x14ac:dyDescent="0.3"/>
    <row r="47622" customFormat="1" x14ac:dyDescent="0.3"/>
    <row r="47623" customFormat="1" x14ac:dyDescent="0.3"/>
    <row r="47624" customFormat="1" x14ac:dyDescent="0.3"/>
    <row r="47625" customFormat="1" x14ac:dyDescent="0.3"/>
    <row r="47626" customFormat="1" x14ac:dyDescent="0.3"/>
    <row r="47627" customFormat="1" x14ac:dyDescent="0.3"/>
    <row r="47628" customFormat="1" x14ac:dyDescent="0.3"/>
    <row r="47629" customFormat="1" x14ac:dyDescent="0.3"/>
    <row r="47630" customFormat="1" x14ac:dyDescent="0.3"/>
    <row r="47631" customFormat="1" x14ac:dyDescent="0.3"/>
    <row r="47632" customFormat="1" x14ac:dyDescent="0.3"/>
    <row r="47633" customFormat="1" x14ac:dyDescent="0.3"/>
    <row r="47634" customFormat="1" x14ac:dyDescent="0.3"/>
    <row r="47635" customFormat="1" x14ac:dyDescent="0.3"/>
    <row r="47636" customFormat="1" x14ac:dyDescent="0.3"/>
    <row r="47637" customFormat="1" x14ac:dyDescent="0.3"/>
    <row r="47638" customFormat="1" x14ac:dyDescent="0.3"/>
    <row r="47639" customFormat="1" x14ac:dyDescent="0.3"/>
    <row r="47640" customFormat="1" x14ac:dyDescent="0.3"/>
    <row r="47641" customFormat="1" x14ac:dyDescent="0.3"/>
    <row r="47642" customFormat="1" x14ac:dyDescent="0.3"/>
    <row r="47643" customFormat="1" x14ac:dyDescent="0.3"/>
    <row r="47644" customFormat="1" x14ac:dyDescent="0.3"/>
    <row r="47645" customFormat="1" x14ac:dyDescent="0.3"/>
    <row r="47646" customFormat="1" x14ac:dyDescent="0.3"/>
    <row r="47647" customFormat="1" x14ac:dyDescent="0.3"/>
    <row r="47648" customFormat="1" x14ac:dyDescent="0.3"/>
    <row r="47649" customFormat="1" x14ac:dyDescent="0.3"/>
    <row r="47650" customFormat="1" x14ac:dyDescent="0.3"/>
    <row r="47651" customFormat="1" x14ac:dyDescent="0.3"/>
    <row r="47652" customFormat="1" x14ac:dyDescent="0.3"/>
    <row r="47653" customFormat="1" x14ac:dyDescent="0.3"/>
    <row r="47654" customFormat="1" x14ac:dyDescent="0.3"/>
    <row r="47655" customFormat="1" x14ac:dyDescent="0.3"/>
    <row r="47656" customFormat="1" x14ac:dyDescent="0.3"/>
    <row r="47657" customFormat="1" x14ac:dyDescent="0.3"/>
    <row r="47658" customFormat="1" x14ac:dyDescent="0.3"/>
    <row r="47659" customFormat="1" x14ac:dyDescent="0.3"/>
    <row r="47660" customFormat="1" x14ac:dyDescent="0.3"/>
    <row r="47661" customFormat="1" x14ac:dyDescent="0.3"/>
    <row r="47662" customFormat="1" x14ac:dyDescent="0.3"/>
    <row r="47663" customFormat="1" x14ac:dyDescent="0.3"/>
    <row r="47664" customFormat="1" x14ac:dyDescent="0.3"/>
    <row r="47665" customFormat="1" x14ac:dyDescent="0.3"/>
    <row r="47666" customFormat="1" x14ac:dyDescent="0.3"/>
    <row r="47667" customFormat="1" x14ac:dyDescent="0.3"/>
    <row r="47668" customFormat="1" x14ac:dyDescent="0.3"/>
    <row r="47669" customFormat="1" x14ac:dyDescent="0.3"/>
    <row r="47670" customFormat="1" x14ac:dyDescent="0.3"/>
    <row r="47671" customFormat="1" x14ac:dyDescent="0.3"/>
    <row r="47672" customFormat="1" x14ac:dyDescent="0.3"/>
    <row r="47673" customFormat="1" x14ac:dyDescent="0.3"/>
    <row r="47674" customFormat="1" x14ac:dyDescent="0.3"/>
    <row r="47675" customFormat="1" x14ac:dyDescent="0.3"/>
    <row r="47676" customFormat="1" x14ac:dyDescent="0.3"/>
    <row r="47677" customFormat="1" x14ac:dyDescent="0.3"/>
    <row r="47678" customFormat="1" x14ac:dyDescent="0.3"/>
    <row r="47679" customFormat="1" x14ac:dyDescent="0.3"/>
    <row r="47680" customFormat="1" x14ac:dyDescent="0.3"/>
    <row r="47681" customFormat="1" x14ac:dyDescent="0.3"/>
    <row r="47682" customFormat="1" x14ac:dyDescent="0.3"/>
    <row r="47683" customFormat="1" x14ac:dyDescent="0.3"/>
    <row r="47684" customFormat="1" x14ac:dyDescent="0.3"/>
    <row r="47685" customFormat="1" x14ac:dyDescent="0.3"/>
    <row r="47686" customFormat="1" x14ac:dyDescent="0.3"/>
    <row r="47687" customFormat="1" x14ac:dyDescent="0.3"/>
    <row r="47688" customFormat="1" x14ac:dyDescent="0.3"/>
    <row r="47689" customFormat="1" x14ac:dyDescent="0.3"/>
    <row r="47690" customFormat="1" x14ac:dyDescent="0.3"/>
    <row r="47691" customFormat="1" x14ac:dyDescent="0.3"/>
    <row r="47692" customFormat="1" x14ac:dyDescent="0.3"/>
    <row r="47693" customFormat="1" x14ac:dyDescent="0.3"/>
    <row r="47694" customFormat="1" x14ac:dyDescent="0.3"/>
    <row r="47695" customFormat="1" x14ac:dyDescent="0.3"/>
    <row r="47696" customFormat="1" x14ac:dyDescent="0.3"/>
    <row r="47697" customFormat="1" x14ac:dyDescent="0.3"/>
    <row r="47698" customFormat="1" x14ac:dyDescent="0.3"/>
    <row r="47699" customFormat="1" x14ac:dyDescent="0.3"/>
    <row r="47700" customFormat="1" x14ac:dyDescent="0.3"/>
    <row r="47701" customFormat="1" x14ac:dyDescent="0.3"/>
    <row r="47702" customFormat="1" x14ac:dyDescent="0.3"/>
    <row r="47703" customFormat="1" x14ac:dyDescent="0.3"/>
    <row r="47704" customFormat="1" x14ac:dyDescent="0.3"/>
    <row r="47705" customFormat="1" x14ac:dyDescent="0.3"/>
    <row r="47706" customFormat="1" x14ac:dyDescent="0.3"/>
    <row r="47707" customFormat="1" x14ac:dyDescent="0.3"/>
    <row r="47708" customFormat="1" x14ac:dyDescent="0.3"/>
    <row r="47709" customFormat="1" x14ac:dyDescent="0.3"/>
    <row r="47710" customFormat="1" x14ac:dyDescent="0.3"/>
    <row r="47711" customFormat="1" x14ac:dyDescent="0.3"/>
    <row r="47712" customFormat="1" x14ac:dyDescent="0.3"/>
    <row r="47713" customFormat="1" x14ac:dyDescent="0.3"/>
    <row r="47714" customFormat="1" x14ac:dyDescent="0.3"/>
    <row r="47715" customFormat="1" x14ac:dyDescent="0.3"/>
    <row r="47716" customFormat="1" x14ac:dyDescent="0.3"/>
    <row r="47717" customFormat="1" x14ac:dyDescent="0.3"/>
    <row r="47718" customFormat="1" x14ac:dyDescent="0.3"/>
    <row r="47719" customFormat="1" x14ac:dyDescent="0.3"/>
    <row r="47720" customFormat="1" x14ac:dyDescent="0.3"/>
    <row r="47721" customFormat="1" x14ac:dyDescent="0.3"/>
    <row r="47722" customFormat="1" x14ac:dyDescent="0.3"/>
    <row r="47723" customFormat="1" x14ac:dyDescent="0.3"/>
    <row r="47724" customFormat="1" x14ac:dyDescent="0.3"/>
    <row r="47725" customFormat="1" x14ac:dyDescent="0.3"/>
    <row r="47726" customFormat="1" x14ac:dyDescent="0.3"/>
    <row r="47727" customFormat="1" x14ac:dyDescent="0.3"/>
    <row r="47728" customFormat="1" x14ac:dyDescent="0.3"/>
    <row r="47729" customFormat="1" x14ac:dyDescent="0.3"/>
    <row r="47730" customFormat="1" x14ac:dyDescent="0.3"/>
    <row r="47731" customFormat="1" x14ac:dyDescent="0.3"/>
    <row r="47732" customFormat="1" x14ac:dyDescent="0.3"/>
    <row r="47733" customFormat="1" x14ac:dyDescent="0.3"/>
    <row r="47734" customFormat="1" x14ac:dyDescent="0.3"/>
    <row r="47735" customFormat="1" x14ac:dyDescent="0.3"/>
    <row r="47736" customFormat="1" x14ac:dyDescent="0.3"/>
    <row r="47737" customFormat="1" x14ac:dyDescent="0.3"/>
    <row r="47738" customFormat="1" x14ac:dyDescent="0.3"/>
    <row r="47739" customFormat="1" x14ac:dyDescent="0.3"/>
    <row r="47740" customFormat="1" x14ac:dyDescent="0.3"/>
    <row r="47741" customFormat="1" x14ac:dyDescent="0.3"/>
    <row r="47742" customFormat="1" x14ac:dyDescent="0.3"/>
    <row r="47743" customFormat="1" x14ac:dyDescent="0.3"/>
    <row r="47744" customFormat="1" x14ac:dyDescent="0.3"/>
    <row r="47745" customFormat="1" x14ac:dyDescent="0.3"/>
    <row r="47746" customFormat="1" x14ac:dyDescent="0.3"/>
    <row r="47747" customFormat="1" x14ac:dyDescent="0.3"/>
    <row r="47748" customFormat="1" x14ac:dyDescent="0.3"/>
    <row r="47749" customFormat="1" x14ac:dyDescent="0.3"/>
    <row r="47750" customFormat="1" x14ac:dyDescent="0.3"/>
    <row r="47751" customFormat="1" x14ac:dyDescent="0.3"/>
    <row r="47752" customFormat="1" x14ac:dyDescent="0.3"/>
    <row r="47753" customFormat="1" x14ac:dyDescent="0.3"/>
    <row r="47754" customFormat="1" x14ac:dyDescent="0.3"/>
    <row r="47755" customFormat="1" x14ac:dyDescent="0.3"/>
    <row r="47756" customFormat="1" x14ac:dyDescent="0.3"/>
    <row r="47757" customFormat="1" x14ac:dyDescent="0.3"/>
    <row r="47758" customFormat="1" x14ac:dyDescent="0.3"/>
    <row r="47759" customFormat="1" x14ac:dyDescent="0.3"/>
    <row r="47760" customFormat="1" x14ac:dyDescent="0.3"/>
    <row r="47761" customFormat="1" x14ac:dyDescent="0.3"/>
    <row r="47762" customFormat="1" x14ac:dyDescent="0.3"/>
    <row r="47763" customFormat="1" x14ac:dyDescent="0.3"/>
    <row r="47764" customFormat="1" x14ac:dyDescent="0.3"/>
    <row r="47765" customFormat="1" x14ac:dyDescent="0.3"/>
    <row r="47766" customFormat="1" x14ac:dyDescent="0.3"/>
    <row r="47767" customFormat="1" x14ac:dyDescent="0.3"/>
    <row r="47768" customFormat="1" x14ac:dyDescent="0.3"/>
    <row r="47769" customFormat="1" x14ac:dyDescent="0.3"/>
    <row r="47770" customFormat="1" x14ac:dyDescent="0.3"/>
    <row r="47771" customFormat="1" x14ac:dyDescent="0.3"/>
    <row r="47772" customFormat="1" x14ac:dyDescent="0.3"/>
    <row r="47773" customFormat="1" x14ac:dyDescent="0.3"/>
    <row r="47774" customFormat="1" x14ac:dyDescent="0.3"/>
    <row r="47775" customFormat="1" x14ac:dyDescent="0.3"/>
    <row r="47776" customFormat="1" x14ac:dyDescent="0.3"/>
    <row r="47777" customFormat="1" x14ac:dyDescent="0.3"/>
    <row r="47778" customFormat="1" x14ac:dyDescent="0.3"/>
    <row r="47779" customFormat="1" x14ac:dyDescent="0.3"/>
    <row r="47780" customFormat="1" x14ac:dyDescent="0.3"/>
    <row r="47781" customFormat="1" x14ac:dyDescent="0.3"/>
    <row r="47782" customFormat="1" x14ac:dyDescent="0.3"/>
    <row r="47783" customFormat="1" x14ac:dyDescent="0.3"/>
    <row r="47784" customFormat="1" x14ac:dyDescent="0.3"/>
    <row r="47785" customFormat="1" x14ac:dyDescent="0.3"/>
    <row r="47786" customFormat="1" x14ac:dyDescent="0.3"/>
    <row r="47787" customFormat="1" x14ac:dyDescent="0.3"/>
    <row r="47788" customFormat="1" x14ac:dyDescent="0.3"/>
    <row r="47789" customFormat="1" x14ac:dyDescent="0.3"/>
    <row r="47790" customFormat="1" x14ac:dyDescent="0.3"/>
    <row r="47791" customFormat="1" x14ac:dyDescent="0.3"/>
    <row r="47792" customFormat="1" x14ac:dyDescent="0.3"/>
    <row r="47793" customFormat="1" x14ac:dyDescent="0.3"/>
    <row r="47794" customFormat="1" x14ac:dyDescent="0.3"/>
    <row r="47795" customFormat="1" x14ac:dyDescent="0.3"/>
    <row r="47796" customFormat="1" x14ac:dyDescent="0.3"/>
    <row r="47797" customFormat="1" x14ac:dyDescent="0.3"/>
    <row r="47798" customFormat="1" x14ac:dyDescent="0.3"/>
    <row r="47799" customFormat="1" x14ac:dyDescent="0.3"/>
    <row r="47800" customFormat="1" x14ac:dyDescent="0.3"/>
    <row r="47801" customFormat="1" x14ac:dyDescent="0.3"/>
    <row r="47802" customFormat="1" x14ac:dyDescent="0.3"/>
    <row r="47803" customFormat="1" x14ac:dyDescent="0.3"/>
    <row r="47804" customFormat="1" x14ac:dyDescent="0.3"/>
    <row r="47805" customFormat="1" x14ac:dyDescent="0.3"/>
    <row r="47806" customFormat="1" x14ac:dyDescent="0.3"/>
    <row r="47807" customFormat="1" x14ac:dyDescent="0.3"/>
    <row r="47808" customFormat="1" x14ac:dyDescent="0.3"/>
    <row r="47809" customFormat="1" x14ac:dyDescent="0.3"/>
    <row r="47810" customFormat="1" x14ac:dyDescent="0.3"/>
    <row r="47811" customFormat="1" x14ac:dyDescent="0.3"/>
    <row r="47812" customFormat="1" x14ac:dyDescent="0.3"/>
    <row r="47813" customFormat="1" x14ac:dyDescent="0.3"/>
    <row r="47814" customFormat="1" x14ac:dyDescent="0.3"/>
    <row r="47815" customFormat="1" x14ac:dyDescent="0.3"/>
    <row r="47816" customFormat="1" x14ac:dyDescent="0.3"/>
    <row r="47817" customFormat="1" x14ac:dyDescent="0.3"/>
    <row r="47818" customFormat="1" x14ac:dyDescent="0.3"/>
    <row r="47819" customFormat="1" x14ac:dyDescent="0.3"/>
    <row r="47820" customFormat="1" x14ac:dyDescent="0.3"/>
    <row r="47821" customFormat="1" x14ac:dyDescent="0.3"/>
    <row r="47822" customFormat="1" x14ac:dyDescent="0.3"/>
    <row r="47823" customFormat="1" x14ac:dyDescent="0.3"/>
    <row r="47824" customFormat="1" x14ac:dyDescent="0.3"/>
    <row r="47825" customFormat="1" x14ac:dyDescent="0.3"/>
    <row r="47826" customFormat="1" x14ac:dyDescent="0.3"/>
    <row r="47827" customFormat="1" x14ac:dyDescent="0.3"/>
    <row r="47828" customFormat="1" x14ac:dyDescent="0.3"/>
    <row r="47829" customFormat="1" x14ac:dyDescent="0.3"/>
    <row r="47830" customFormat="1" x14ac:dyDescent="0.3"/>
    <row r="47831" customFormat="1" x14ac:dyDescent="0.3"/>
    <row r="47832" customFormat="1" x14ac:dyDescent="0.3"/>
    <row r="47833" customFormat="1" x14ac:dyDescent="0.3"/>
    <row r="47834" customFormat="1" x14ac:dyDescent="0.3"/>
    <row r="47835" customFormat="1" x14ac:dyDescent="0.3"/>
    <row r="47836" customFormat="1" x14ac:dyDescent="0.3"/>
    <row r="47837" customFormat="1" x14ac:dyDescent="0.3"/>
    <row r="47838" customFormat="1" x14ac:dyDescent="0.3"/>
    <row r="47839" customFormat="1" x14ac:dyDescent="0.3"/>
    <row r="47840" customFormat="1" x14ac:dyDescent="0.3"/>
    <row r="47841" customFormat="1" x14ac:dyDescent="0.3"/>
    <row r="47842" customFormat="1" x14ac:dyDescent="0.3"/>
    <row r="47843" customFormat="1" x14ac:dyDescent="0.3"/>
    <row r="47844" customFormat="1" x14ac:dyDescent="0.3"/>
    <row r="47845" customFormat="1" x14ac:dyDescent="0.3"/>
    <row r="47846" customFormat="1" x14ac:dyDescent="0.3"/>
    <row r="47847" customFormat="1" x14ac:dyDescent="0.3"/>
    <row r="47848" customFormat="1" x14ac:dyDescent="0.3"/>
    <row r="47849" customFormat="1" x14ac:dyDescent="0.3"/>
    <row r="47850" customFormat="1" x14ac:dyDescent="0.3"/>
    <row r="47851" customFormat="1" x14ac:dyDescent="0.3"/>
    <row r="47852" customFormat="1" x14ac:dyDescent="0.3"/>
    <row r="47853" customFormat="1" x14ac:dyDescent="0.3"/>
    <row r="47854" customFormat="1" x14ac:dyDescent="0.3"/>
    <row r="47855" customFormat="1" x14ac:dyDescent="0.3"/>
    <row r="47856" customFormat="1" x14ac:dyDescent="0.3"/>
    <row r="47857" customFormat="1" x14ac:dyDescent="0.3"/>
    <row r="47858" customFormat="1" x14ac:dyDescent="0.3"/>
    <row r="47859" customFormat="1" x14ac:dyDescent="0.3"/>
    <row r="47860" customFormat="1" x14ac:dyDescent="0.3"/>
    <row r="47861" customFormat="1" x14ac:dyDescent="0.3"/>
    <row r="47862" customFormat="1" x14ac:dyDescent="0.3"/>
    <row r="47863" customFormat="1" x14ac:dyDescent="0.3"/>
    <row r="47864" customFormat="1" x14ac:dyDescent="0.3"/>
    <row r="47865" customFormat="1" x14ac:dyDescent="0.3"/>
    <row r="47866" customFormat="1" x14ac:dyDescent="0.3"/>
    <row r="47867" customFormat="1" x14ac:dyDescent="0.3"/>
    <row r="47868" customFormat="1" x14ac:dyDescent="0.3"/>
    <row r="47869" customFormat="1" x14ac:dyDescent="0.3"/>
    <row r="47870" customFormat="1" x14ac:dyDescent="0.3"/>
    <row r="47871" customFormat="1" x14ac:dyDescent="0.3"/>
    <row r="47872" customFormat="1" x14ac:dyDescent="0.3"/>
    <row r="47873" customFormat="1" x14ac:dyDescent="0.3"/>
    <row r="47874" customFormat="1" x14ac:dyDescent="0.3"/>
    <row r="47875" customFormat="1" x14ac:dyDescent="0.3"/>
    <row r="47876" customFormat="1" x14ac:dyDescent="0.3"/>
    <row r="47877" customFormat="1" x14ac:dyDescent="0.3"/>
    <row r="47878" customFormat="1" x14ac:dyDescent="0.3"/>
    <row r="47879" customFormat="1" x14ac:dyDescent="0.3"/>
    <row r="47880" customFormat="1" x14ac:dyDescent="0.3"/>
    <row r="47881" customFormat="1" x14ac:dyDescent="0.3"/>
    <row r="47882" customFormat="1" x14ac:dyDescent="0.3"/>
    <row r="47883" customFormat="1" x14ac:dyDescent="0.3"/>
    <row r="47884" customFormat="1" x14ac:dyDescent="0.3"/>
    <row r="47885" customFormat="1" x14ac:dyDescent="0.3"/>
    <row r="47886" customFormat="1" x14ac:dyDescent="0.3"/>
    <row r="47887" customFormat="1" x14ac:dyDescent="0.3"/>
    <row r="47888" customFormat="1" x14ac:dyDescent="0.3"/>
    <row r="47889" customFormat="1" x14ac:dyDescent="0.3"/>
    <row r="47890" customFormat="1" x14ac:dyDescent="0.3"/>
    <row r="47891" customFormat="1" x14ac:dyDescent="0.3"/>
    <row r="47892" customFormat="1" x14ac:dyDescent="0.3"/>
    <row r="47893" customFormat="1" x14ac:dyDescent="0.3"/>
    <row r="47894" customFormat="1" x14ac:dyDescent="0.3"/>
    <row r="47895" customFormat="1" x14ac:dyDescent="0.3"/>
    <row r="47896" customFormat="1" x14ac:dyDescent="0.3"/>
    <row r="47897" customFormat="1" x14ac:dyDescent="0.3"/>
    <row r="47898" customFormat="1" x14ac:dyDescent="0.3"/>
    <row r="47899" customFormat="1" x14ac:dyDescent="0.3"/>
    <row r="47900" customFormat="1" x14ac:dyDescent="0.3"/>
    <row r="47901" customFormat="1" x14ac:dyDescent="0.3"/>
    <row r="47902" customFormat="1" x14ac:dyDescent="0.3"/>
    <row r="47903" customFormat="1" x14ac:dyDescent="0.3"/>
    <row r="47904" customFormat="1" x14ac:dyDescent="0.3"/>
    <row r="47905" customFormat="1" x14ac:dyDescent="0.3"/>
    <row r="47906" customFormat="1" x14ac:dyDescent="0.3"/>
    <row r="47907" customFormat="1" x14ac:dyDescent="0.3"/>
    <row r="47908" customFormat="1" x14ac:dyDescent="0.3"/>
    <row r="47909" customFormat="1" x14ac:dyDescent="0.3"/>
    <row r="47910" customFormat="1" x14ac:dyDescent="0.3"/>
    <row r="47911" customFormat="1" x14ac:dyDescent="0.3"/>
    <row r="47912" customFormat="1" x14ac:dyDescent="0.3"/>
    <row r="47913" customFormat="1" x14ac:dyDescent="0.3"/>
    <row r="47914" customFormat="1" x14ac:dyDescent="0.3"/>
    <row r="47915" customFormat="1" x14ac:dyDescent="0.3"/>
    <row r="47916" customFormat="1" x14ac:dyDescent="0.3"/>
    <row r="47917" customFormat="1" x14ac:dyDescent="0.3"/>
    <row r="47918" customFormat="1" x14ac:dyDescent="0.3"/>
    <row r="47919" customFormat="1" x14ac:dyDescent="0.3"/>
    <row r="47920" customFormat="1" x14ac:dyDescent="0.3"/>
    <row r="47921" customFormat="1" x14ac:dyDescent="0.3"/>
    <row r="47922" customFormat="1" x14ac:dyDescent="0.3"/>
    <row r="47923" customFormat="1" x14ac:dyDescent="0.3"/>
    <row r="47924" customFormat="1" x14ac:dyDescent="0.3"/>
    <row r="47925" customFormat="1" x14ac:dyDescent="0.3"/>
    <row r="47926" customFormat="1" x14ac:dyDescent="0.3"/>
    <row r="47927" customFormat="1" x14ac:dyDescent="0.3"/>
    <row r="47928" customFormat="1" x14ac:dyDescent="0.3"/>
    <row r="47929" customFormat="1" x14ac:dyDescent="0.3"/>
    <row r="47930" customFormat="1" x14ac:dyDescent="0.3"/>
    <row r="47931" customFormat="1" x14ac:dyDescent="0.3"/>
    <row r="47932" customFormat="1" x14ac:dyDescent="0.3"/>
    <row r="47933" customFormat="1" x14ac:dyDescent="0.3"/>
    <row r="47934" customFormat="1" x14ac:dyDescent="0.3"/>
    <row r="47935" customFormat="1" x14ac:dyDescent="0.3"/>
    <row r="47936" customFormat="1" x14ac:dyDescent="0.3"/>
    <row r="47937" customFormat="1" x14ac:dyDescent="0.3"/>
    <row r="47938" customFormat="1" x14ac:dyDescent="0.3"/>
    <row r="47939" customFormat="1" x14ac:dyDescent="0.3"/>
    <row r="47940" customFormat="1" x14ac:dyDescent="0.3"/>
    <row r="47941" customFormat="1" x14ac:dyDescent="0.3"/>
    <row r="47942" customFormat="1" x14ac:dyDescent="0.3"/>
    <row r="47943" customFormat="1" x14ac:dyDescent="0.3"/>
    <row r="47944" customFormat="1" x14ac:dyDescent="0.3"/>
    <row r="47945" customFormat="1" x14ac:dyDescent="0.3"/>
    <row r="47946" customFormat="1" x14ac:dyDescent="0.3"/>
    <row r="47947" customFormat="1" x14ac:dyDescent="0.3"/>
    <row r="47948" customFormat="1" x14ac:dyDescent="0.3"/>
    <row r="47949" customFormat="1" x14ac:dyDescent="0.3"/>
    <row r="47950" customFormat="1" x14ac:dyDescent="0.3"/>
    <row r="47951" customFormat="1" x14ac:dyDescent="0.3"/>
    <row r="47952" customFormat="1" x14ac:dyDescent="0.3"/>
    <row r="47953" customFormat="1" x14ac:dyDescent="0.3"/>
    <row r="47954" customFormat="1" x14ac:dyDescent="0.3"/>
    <row r="47955" customFormat="1" x14ac:dyDescent="0.3"/>
    <row r="47956" customFormat="1" x14ac:dyDescent="0.3"/>
    <row r="47957" customFormat="1" x14ac:dyDescent="0.3"/>
    <row r="47958" customFormat="1" x14ac:dyDescent="0.3"/>
    <row r="47959" customFormat="1" x14ac:dyDescent="0.3"/>
    <row r="47960" customFormat="1" x14ac:dyDescent="0.3"/>
    <row r="47961" customFormat="1" x14ac:dyDescent="0.3"/>
    <row r="47962" customFormat="1" x14ac:dyDescent="0.3"/>
    <row r="47963" customFormat="1" x14ac:dyDescent="0.3"/>
    <row r="47964" customFormat="1" x14ac:dyDescent="0.3"/>
    <row r="47965" customFormat="1" x14ac:dyDescent="0.3"/>
    <row r="47966" customFormat="1" x14ac:dyDescent="0.3"/>
    <row r="47967" customFormat="1" x14ac:dyDescent="0.3"/>
    <row r="47968" customFormat="1" x14ac:dyDescent="0.3"/>
    <row r="47969" customFormat="1" x14ac:dyDescent="0.3"/>
    <row r="47970" customFormat="1" x14ac:dyDescent="0.3"/>
    <row r="47971" customFormat="1" x14ac:dyDescent="0.3"/>
    <row r="47972" customFormat="1" x14ac:dyDescent="0.3"/>
    <row r="47973" customFormat="1" x14ac:dyDescent="0.3"/>
    <row r="47974" customFormat="1" x14ac:dyDescent="0.3"/>
    <row r="47975" customFormat="1" x14ac:dyDescent="0.3"/>
    <row r="47976" customFormat="1" x14ac:dyDescent="0.3"/>
    <row r="47977" customFormat="1" x14ac:dyDescent="0.3"/>
    <row r="47978" customFormat="1" x14ac:dyDescent="0.3"/>
    <row r="47979" customFormat="1" x14ac:dyDescent="0.3"/>
    <row r="47980" customFormat="1" x14ac:dyDescent="0.3"/>
    <row r="47981" customFormat="1" x14ac:dyDescent="0.3"/>
    <row r="47982" customFormat="1" x14ac:dyDescent="0.3"/>
    <row r="47983" customFormat="1" x14ac:dyDescent="0.3"/>
    <row r="47984" customFormat="1" x14ac:dyDescent="0.3"/>
    <row r="47985" customFormat="1" x14ac:dyDescent="0.3"/>
    <row r="47986" customFormat="1" x14ac:dyDescent="0.3"/>
    <row r="47987" customFormat="1" x14ac:dyDescent="0.3"/>
    <row r="47988" customFormat="1" x14ac:dyDescent="0.3"/>
    <row r="47989" customFormat="1" x14ac:dyDescent="0.3"/>
    <row r="47990" customFormat="1" x14ac:dyDescent="0.3"/>
    <row r="47991" customFormat="1" x14ac:dyDescent="0.3"/>
    <row r="47992" customFormat="1" x14ac:dyDescent="0.3"/>
    <row r="47993" customFormat="1" x14ac:dyDescent="0.3"/>
    <row r="47994" customFormat="1" x14ac:dyDescent="0.3"/>
    <row r="47995" customFormat="1" x14ac:dyDescent="0.3"/>
    <row r="47996" customFormat="1" x14ac:dyDescent="0.3"/>
    <row r="47997" customFormat="1" x14ac:dyDescent="0.3"/>
    <row r="47998" customFormat="1" x14ac:dyDescent="0.3"/>
    <row r="47999" customFormat="1" x14ac:dyDescent="0.3"/>
    <row r="48000" customFormat="1" x14ac:dyDescent="0.3"/>
    <row r="48001" customFormat="1" x14ac:dyDescent="0.3"/>
    <row r="48002" customFormat="1" x14ac:dyDescent="0.3"/>
    <row r="48003" customFormat="1" x14ac:dyDescent="0.3"/>
    <row r="48004" customFormat="1" x14ac:dyDescent="0.3"/>
    <row r="48005" customFormat="1" x14ac:dyDescent="0.3"/>
    <row r="48006" customFormat="1" x14ac:dyDescent="0.3"/>
    <row r="48007" customFormat="1" x14ac:dyDescent="0.3"/>
    <row r="48008" customFormat="1" x14ac:dyDescent="0.3"/>
    <row r="48009" customFormat="1" x14ac:dyDescent="0.3"/>
    <row r="48010" customFormat="1" x14ac:dyDescent="0.3"/>
    <row r="48011" customFormat="1" x14ac:dyDescent="0.3"/>
    <row r="48012" customFormat="1" x14ac:dyDescent="0.3"/>
    <row r="48013" customFormat="1" x14ac:dyDescent="0.3"/>
    <row r="48014" customFormat="1" x14ac:dyDescent="0.3"/>
    <row r="48015" customFormat="1" x14ac:dyDescent="0.3"/>
    <row r="48016" customFormat="1" x14ac:dyDescent="0.3"/>
    <row r="48017" customFormat="1" x14ac:dyDescent="0.3"/>
    <row r="48018" customFormat="1" x14ac:dyDescent="0.3"/>
    <row r="48019" customFormat="1" x14ac:dyDescent="0.3"/>
    <row r="48020" customFormat="1" x14ac:dyDescent="0.3"/>
    <row r="48021" customFormat="1" x14ac:dyDescent="0.3"/>
    <row r="48022" customFormat="1" x14ac:dyDescent="0.3"/>
    <row r="48023" customFormat="1" x14ac:dyDescent="0.3"/>
    <row r="48024" customFormat="1" x14ac:dyDescent="0.3"/>
    <row r="48025" customFormat="1" x14ac:dyDescent="0.3"/>
    <row r="48026" customFormat="1" x14ac:dyDescent="0.3"/>
    <row r="48027" customFormat="1" x14ac:dyDescent="0.3"/>
    <row r="48028" customFormat="1" x14ac:dyDescent="0.3"/>
    <row r="48029" customFormat="1" x14ac:dyDescent="0.3"/>
    <row r="48030" customFormat="1" x14ac:dyDescent="0.3"/>
    <row r="48031" customFormat="1" x14ac:dyDescent="0.3"/>
    <row r="48032" customFormat="1" x14ac:dyDescent="0.3"/>
    <row r="48033" customFormat="1" x14ac:dyDescent="0.3"/>
    <row r="48034" customFormat="1" x14ac:dyDescent="0.3"/>
    <row r="48035" customFormat="1" x14ac:dyDescent="0.3"/>
    <row r="48036" customFormat="1" x14ac:dyDescent="0.3"/>
    <row r="48037" customFormat="1" x14ac:dyDescent="0.3"/>
    <row r="48038" customFormat="1" x14ac:dyDescent="0.3"/>
    <row r="48039" customFormat="1" x14ac:dyDescent="0.3"/>
    <row r="48040" customFormat="1" x14ac:dyDescent="0.3"/>
    <row r="48041" customFormat="1" x14ac:dyDescent="0.3"/>
    <row r="48042" customFormat="1" x14ac:dyDescent="0.3"/>
    <row r="48043" customFormat="1" x14ac:dyDescent="0.3"/>
    <row r="48044" customFormat="1" x14ac:dyDescent="0.3"/>
    <row r="48045" customFormat="1" x14ac:dyDescent="0.3"/>
    <row r="48046" customFormat="1" x14ac:dyDescent="0.3"/>
    <row r="48047" customFormat="1" x14ac:dyDescent="0.3"/>
    <row r="48048" customFormat="1" x14ac:dyDescent="0.3"/>
    <row r="48049" customFormat="1" x14ac:dyDescent="0.3"/>
    <row r="48050" customFormat="1" x14ac:dyDescent="0.3"/>
    <row r="48051" customFormat="1" x14ac:dyDescent="0.3"/>
    <row r="48052" customFormat="1" x14ac:dyDescent="0.3"/>
    <row r="48053" customFormat="1" x14ac:dyDescent="0.3"/>
    <row r="48054" customFormat="1" x14ac:dyDescent="0.3"/>
    <row r="48055" customFormat="1" x14ac:dyDescent="0.3"/>
    <row r="48056" customFormat="1" x14ac:dyDescent="0.3"/>
    <row r="48057" customFormat="1" x14ac:dyDescent="0.3"/>
    <row r="48058" customFormat="1" x14ac:dyDescent="0.3"/>
    <row r="48059" customFormat="1" x14ac:dyDescent="0.3"/>
    <row r="48060" customFormat="1" x14ac:dyDescent="0.3"/>
    <row r="48061" customFormat="1" x14ac:dyDescent="0.3"/>
    <row r="48062" customFormat="1" x14ac:dyDescent="0.3"/>
    <row r="48063" customFormat="1" x14ac:dyDescent="0.3"/>
    <row r="48064" customFormat="1" x14ac:dyDescent="0.3"/>
    <row r="48065" customFormat="1" x14ac:dyDescent="0.3"/>
    <row r="48066" customFormat="1" x14ac:dyDescent="0.3"/>
    <row r="48067" customFormat="1" x14ac:dyDescent="0.3"/>
    <row r="48068" customFormat="1" x14ac:dyDescent="0.3"/>
    <row r="48069" customFormat="1" x14ac:dyDescent="0.3"/>
    <row r="48070" customFormat="1" x14ac:dyDescent="0.3"/>
    <row r="48071" customFormat="1" x14ac:dyDescent="0.3"/>
    <row r="48072" customFormat="1" x14ac:dyDescent="0.3"/>
    <row r="48073" customFormat="1" x14ac:dyDescent="0.3"/>
    <row r="48074" customFormat="1" x14ac:dyDescent="0.3"/>
    <row r="48075" customFormat="1" x14ac:dyDescent="0.3"/>
    <row r="48076" customFormat="1" x14ac:dyDescent="0.3"/>
    <row r="48077" customFormat="1" x14ac:dyDescent="0.3"/>
    <row r="48078" customFormat="1" x14ac:dyDescent="0.3"/>
    <row r="48079" customFormat="1" x14ac:dyDescent="0.3"/>
    <row r="48080" customFormat="1" x14ac:dyDescent="0.3"/>
    <row r="48081" customFormat="1" x14ac:dyDescent="0.3"/>
    <row r="48082" customFormat="1" x14ac:dyDescent="0.3"/>
    <row r="48083" customFormat="1" x14ac:dyDescent="0.3"/>
    <row r="48084" customFormat="1" x14ac:dyDescent="0.3"/>
    <row r="48085" customFormat="1" x14ac:dyDescent="0.3"/>
    <row r="48086" customFormat="1" x14ac:dyDescent="0.3"/>
    <row r="48087" customFormat="1" x14ac:dyDescent="0.3"/>
    <row r="48088" customFormat="1" x14ac:dyDescent="0.3"/>
    <row r="48089" customFormat="1" x14ac:dyDescent="0.3"/>
    <row r="48090" customFormat="1" x14ac:dyDescent="0.3"/>
    <row r="48091" customFormat="1" x14ac:dyDescent="0.3"/>
    <row r="48092" customFormat="1" x14ac:dyDescent="0.3"/>
    <row r="48093" customFormat="1" x14ac:dyDescent="0.3"/>
    <row r="48094" customFormat="1" x14ac:dyDescent="0.3"/>
    <row r="48095" customFormat="1" x14ac:dyDescent="0.3"/>
    <row r="48096" customFormat="1" x14ac:dyDescent="0.3"/>
    <row r="48097" customFormat="1" x14ac:dyDescent="0.3"/>
    <row r="48098" customFormat="1" x14ac:dyDescent="0.3"/>
    <row r="48099" customFormat="1" x14ac:dyDescent="0.3"/>
    <row r="48100" customFormat="1" x14ac:dyDescent="0.3"/>
    <row r="48101" customFormat="1" x14ac:dyDescent="0.3"/>
    <row r="48102" customFormat="1" x14ac:dyDescent="0.3"/>
    <row r="48103" customFormat="1" x14ac:dyDescent="0.3"/>
    <row r="48104" customFormat="1" x14ac:dyDescent="0.3"/>
    <row r="48105" customFormat="1" x14ac:dyDescent="0.3"/>
    <row r="48106" customFormat="1" x14ac:dyDescent="0.3"/>
    <row r="48107" customFormat="1" x14ac:dyDescent="0.3"/>
    <row r="48108" customFormat="1" x14ac:dyDescent="0.3"/>
    <row r="48109" customFormat="1" x14ac:dyDescent="0.3"/>
    <row r="48110" customFormat="1" x14ac:dyDescent="0.3"/>
    <row r="48111" customFormat="1" x14ac:dyDescent="0.3"/>
    <row r="48112" customFormat="1" x14ac:dyDescent="0.3"/>
    <row r="48113" customFormat="1" x14ac:dyDescent="0.3"/>
    <row r="48114" customFormat="1" x14ac:dyDescent="0.3"/>
    <row r="48115" customFormat="1" x14ac:dyDescent="0.3"/>
    <row r="48116" customFormat="1" x14ac:dyDescent="0.3"/>
    <row r="48117" customFormat="1" x14ac:dyDescent="0.3"/>
    <row r="48118" customFormat="1" x14ac:dyDescent="0.3"/>
    <row r="48119" customFormat="1" x14ac:dyDescent="0.3"/>
    <row r="48120" customFormat="1" x14ac:dyDescent="0.3"/>
    <row r="48121" customFormat="1" x14ac:dyDescent="0.3"/>
    <row r="48122" customFormat="1" x14ac:dyDescent="0.3"/>
    <row r="48123" customFormat="1" x14ac:dyDescent="0.3"/>
    <row r="48124" customFormat="1" x14ac:dyDescent="0.3"/>
    <row r="48125" customFormat="1" x14ac:dyDescent="0.3"/>
    <row r="48126" customFormat="1" x14ac:dyDescent="0.3"/>
    <row r="48127" customFormat="1" x14ac:dyDescent="0.3"/>
    <row r="48128" customFormat="1" x14ac:dyDescent="0.3"/>
    <row r="48129" customFormat="1" x14ac:dyDescent="0.3"/>
    <row r="48130" customFormat="1" x14ac:dyDescent="0.3"/>
    <row r="48131" customFormat="1" x14ac:dyDescent="0.3"/>
    <row r="48132" customFormat="1" x14ac:dyDescent="0.3"/>
    <row r="48133" customFormat="1" x14ac:dyDescent="0.3"/>
    <row r="48134" customFormat="1" x14ac:dyDescent="0.3"/>
    <row r="48135" customFormat="1" x14ac:dyDescent="0.3"/>
    <row r="48136" customFormat="1" x14ac:dyDescent="0.3"/>
    <row r="48137" customFormat="1" x14ac:dyDescent="0.3"/>
    <row r="48138" customFormat="1" x14ac:dyDescent="0.3"/>
    <row r="48139" customFormat="1" x14ac:dyDescent="0.3"/>
    <row r="48140" customFormat="1" x14ac:dyDescent="0.3"/>
    <row r="48141" customFormat="1" x14ac:dyDescent="0.3"/>
    <row r="48142" customFormat="1" x14ac:dyDescent="0.3"/>
    <row r="48143" customFormat="1" x14ac:dyDescent="0.3"/>
    <row r="48144" customFormat="1" x14ac:dyDescent="0.3"/>
    <row r="48145" customFormat="1" x14ac:dyDescent="0.3"/>
    <row r="48146" customFormat="1" x14ac:dyDescent="0.3"/>
    <row r="48147" customFormat="1" x14ac:dyDescent="0.3"/>
    <row r="48148" customFormat="1" x14ac:dyDescent="0.3"/>
    <row r="48149" customFormat="1" x14ac:dyDescent="0.3"/>
    <row r="48150" customFormat="1" x14ac:dyDescent="0.3"/>
    <row r="48151" customFormat="1" x14ac:dyDescent="0.3"/>
    <row r="48152" customFormat="1" x14ac:dyDescent="0.3"/>
    <row r="48153" customFormat="1" x14ac:dyDescent="0.3"/>
    <row r="48154" customFormat="1" x14ac:dyDescent="0.3"/>
    <row r="48155" customFormat="1" x14ac:dyDescent="0.3"/>
    <row r="48156" customFormat="1" x14ac:dyDescent="0.3"/>
    <row r="48157" customFormat="1" x14ac:dyDescent="0.3"/>
    <row r="48158" customFormat="1" x14ac:dyDescent="0.3"/>
    <row r="48159" customFormat="1" x14ac:dyDescent="0.3"/>
    <row r="48160" customFormat="1" x14ac:dyDescent="0.3"/>
    <row r="48161" customFormat="1" x14ac:dyDescent="0.3"/>
    <row r="48162" customFormat="1" x14ac:dyDescent="0.3"/>
    <row r="48163" customFormat="1" x14ac:dyDescent="0.3"/>
    <row r="48164" customFormat="1" x14ac:dyDescent="0.3"/>
    <row r="48165" customFormat="1" x14ac:dyDescent="0.3"/>
    <row r="48166" customFormat="1" x14ac:dyDescent="0.3"/>
    <row r="48167" customFormat="1" x14ac:dyDescent="0.3"/>
    <row r="48168" customFormat="1" x14ac:dyDescent="0.3"/>
    <row r="48169" customFormat="1" x14ac:dyDescent="0.3"/>
    <row r="48170" customFormat="1" x14ac:dyDescent="0.3"/>
    <row r="48171" customFormat="1" x14ac:dyDescent="0.3"/>
    <row r="48172" customFormat="1" x14ac:dyDescent="0.3"/>
    <row r="48173" customFormat="1" x14ac:dyDescent="0.3"/>
    <row r="48174" customFormat="1" x14ac:dyDescent="0.3"/>
    <row r="48175" customFormat="1" x14ac:dyDescent="0.3"/>
    <row r="48176" customFormat="1" x14ac:dyDescent="0.3"/>
    <row r="48177" customFormat="1" x14ac:dyDescent="0.3"/>
    <row r="48178" customFormat="1" x14ac:dyDescent="0.3"/>
    <row r="48179" customFormat="1" x14ac:dyDescent="0.3"/>
    <row r="48180" customFormat="1" x14ac:dyDescent="0.3"/>
    <row r="48181" customFormat="1" x14ac:dyDescent="0.3"/>
    <row r="48182" customFormat="1" x14ac:dyDescent="0.3"/>
    <row r="48183" customFormat="1" x14ac:dyDescent="0.3"/>
    <row r="48184" customFormat="1" x14ac:dyDescent="0.3"/>
    <row r="48185" customFormat="1" x14ac:dyDescent="0.3"/>
    <row r="48186" customFormat="1" x14ac:dyDescent="0.3"/>
    <row r="48187" customFormat="1" x14ac:dyDescent="0.3"/>
    <row r="48188" customFormat="1" x14ac:dyDescent="0.3"/>
    <row r="48189" customFormat="1" x14ac:dyDescent="0.3"/>
    <row r="48190" customFormat="1" x14ac:dyDescent="0.3"/>
    <row r="48191" customFormat="1" x14ac:dyDescent="0.3"/>
    <row r="48192" customFormat="1" x14ac:dyDescent="0.3"/>
    <row r="48193" customFormat="1" x14ac:dyDescent="0.3"/>
    <row r="48194" customFormat="1" x14ac:dyDescent="0.3"/>
    <row r="48195" customFormat="1" x14ac:dyDescent="0.3"/>
    <row r="48196" customFormat="1" x14ac:dyDescent="0.3"/>
    <row r="48197" customFormat="1" x14ac:dyDescent="0.3"/>
    <row r="48198" customFormat="1" x14ac:dyDescent="0.3"/>
    <row r="48199" customFormat="1" x14ac:dyDescent="0.3"/>
    <row r="48200" customFormat="1" x14ac:dyDescent="0.3"/>
    <row r="48201" customFormat="1" x14ac:dyDescent="0.3"/>
    <row r="48202" customFormat="1" x14ac:dyDescent="0.3"/>
    <row r="48203" customFormat="1" x14ac:dyDescent="0.3"/>
    <row r="48204" customFormat="1" x14ac:dyDescent="0.3"/>
    <row r="48205" customFormat="1" x14ac:dyDescent="0.3"/>
    <row r="48206" customFormat="1" x14ac:dyDescent="0.3"/>
    <row r="48207" customFormat="1" x14ac:dyDescent="0.3"/>
    <row r="48208" customFormat="1" x14ac:dyDescent="0.3"/>
    <row r="48209" customFormat="1" x14ac:dyDescent="0.3"/>
    <row r="48210" customFormat="1" x14ac:dyDescent="0.3"/>
    <row r="48211" customFormat="1" x14ac:dyDescent="0.3"/>
    <row r="48212" customFormat="1" x14ac:dyDescent="0.3"/>
    <row r="48213" customFormat="1" x14ac:dyDescent="0.3"/>
    <row r="48214" customFormat="1" x14ac:dyDescent="0.3"/>
    <row r="48215" customFormat="1" x14ac:dyDescent="0.3"/>
    <row r="48216" customFormat="1" x14ac:dyDescent="0.3"/>
    <row r="48217" customFormat="1" x14ac:dyDescent="0.3"/>
    <row r="48218" customFormat="1" x14ac:dyDescent="0.3"/>
    <row r="48219" customFormat="1" x14ac:dyDescent="0.3"/>
    <row r="48220" customFormat="1" x14ac:dyDescent="0.3"/>
    <row r="48221" customFormat="1" x14ac:dyDescent="0.3"/>
    <row r="48222" customFormat="1" x14ac:dyDescent="0.3"/>
    <row r="48223" customFormat="1" x14ac:dyDescent="0.3"/>
    <row r="48224" customFormat="1" x14ac:dyDescent="0.3"/>
    <row r="48225" customFormat="1" x14ac:dyDescent="0.3"/>
    <row r="48226" customFormat="1" x14ac:dyDescent="0.3"/>
    <row r="48227" customFormat="1" x14ac:dyDescent="0.3"/>
    <row r="48228" customFormat="1" x14ac:dyDescent="0.3"/>
    <row r="48229" customFormat="1" x14ac:dyDescent="0.3"/>
    <row r="48230" customFormat="1" x14ac:dyDescent="0.3"/>
    <row r="48231" customFormat="1" x14ac:dyDescent="0.3"/>
    <row r="48232" customFormat="1" x14ac:dyDescent="0.3"/>
    <row r="48233" customFormat="1" x14ac:dyDescent="0.3"/>
    <row r="48234" customFormat="1" x14ac:dyDescent="0.3"/>
    <row r="48235" customFormat="1" x14ac:dyDescent="0.3"/>
    <row r="48236" customFormat="1" x14ac:dyDescent="0.3"/>
    <row r="48237" customFormat="1" x14ac:dyDescent="0.3"/>
    <row r="48238" customFormat="1" x14ac:dyDescent="0.3"/>
    <row r="48239" customFormat="1" x14ac:dyDescent="0.3"/>
    <row r="48240" customFormat="1" x14ac:dyDescent="0.3"/>
    <row r="48241" customFormat="1" x14ac:dyDescent="0.3"/>
    <row r="48242" customFormat="1" x14ac:dyDescent="0.3"/>
    <row r="48243" customFormat="1" x14ac:dyDescent="0.3"/>
    <row r="48244" customFormat="1" x14ac:dyDescent="0.3"/>
    <row r="48245" customFormat="1" x14ac:dyDescent="0.3"/>
    <row r="48246" customFormat="1" x14ac:dyDescent="0.3"/>
    <row r="48247" customFormat="1" x14ac:dyDescent="0.3"/>
    <row r="48248" customFormat="1" x14ac:dyDescent="0.3"/>
    <row r="48249" customFormat="1" x14ac:dyDescent="0.3"/>
    <row r="48250" customFormat="1" x14ac:dyDescent="0.3"/>
    <row r="48251" customFormat="1" x14ac:dyDescent="0.3"/>
    <row r="48252" customFormat="1" x14ac:dyDescent="0.3"/>
    <row r="48253" customFormat="1" x14ac:dyDescent="0.3"/>
    <row r="48254" customFormat="1" x14ac:dyDescent="0.3"/>
    <row r="48255" customFormat="1" x14ac:dyDescent="0.3"/>
    <row r="48256" customFormat="1" x14ac:dyDescent="0.3"/>
    <row r="48257" customFormat="1" x14ac:dyDescent="0.3"/>
    <row r="48258" customFormat="1" x14ac:dyDescent="0.3"/>
    <row r="48259" customFormat="1" x14ac:dyDescent="0.3"/>
    <row r="48260" customFormat="1" x14ac:dyDescent="0.3"/>
    <row r="48261" customFormat="1" x14ac:dyDescent="0.3"/>
    <row r="48262" customFormat="1" x14ac:dyDescent="0.3"/>
    <row r="48263" customFormat="1" x14ac:dyDescent="0.3"/>
    <row r="48264" customFormat="1" x14ac:dyDescent="0.3"/>
    <row r="48265" customFormat="1" x14ac:dyDescent="0.3"/>
    <row r="48266" customFormat="1" x14ac:dyDescent="0.3"/>
    <row r="48267" customFormat="1" x14ac:dyDescent="0.3"/>
    <row r="48268" customFormat="1" x14ac:dyDescent="0.3"/>
    <row r="48269" customFormat="1" x14ac:dyDescent="0.3"/>
    <row r="48270" customFormat="1" x14ac:dyDescent="0.3"/>
    <row r="48271" customFormat="1" x14ac:dyDescent="0.3"/>
    <row r="48272" customFormat="1" x14ac:dyDescent="0.3"/>
    <row r="48273" customFormat="1" x14ac:dyDescent="0.3"/>
    <row r="48274" customFormat="1" x14ac:dyDescent="0.3"/>
    <row r="48275" customFormat="1" x14ac:dyDescent="0.3"/>
    <row r="48276" customFormat="1" x14ac:dyDescent="0.3"/>
    <row r="48277" customFormat="1" x14ac:dyDescent="0.3"/>
    <row r="48278" customFormat="1" x14ac:dyDescent="0.3"/>
    <row r="48279" customFormat="1" x14ac:dyDescent="0.3"/>
    <row r="48280" customFormat="1" x14ac:dyDescent="0.3"/>
    <row r="48281" customFormat="1" x14ac:dyDescent="0.3"/>
    <row r="48282" customFormat="1" x14ac:dyDescent="0.3"/>
    <row r="48283" customFormat="1" x14ac:dyDescent="0.3"/>
    <row r="48284" customFormat="1" x14ac:dyDescent="0.3"/>
    <row r="48285" customFormat="1" x14ac:dyDescent="0.3"/>
    <row r="48286" customFormat="1" x14ac:dyDescent="0.3"/>
    <row r="48287" customFormat="1" x14ac:dyDescent="0.3"/>
    <row r="48288" customFormat="1" x14ac:dyDescent="0.3"/>
    <row r="48289" customFormat="1" x14ac:dyDescent="0.3"/>
    <row r="48290" customFormat="1" x14ac:dyDescent="0.3"/>
    <row r="48291" customFormat="1" x14ac:dyDescent="0.3"/>
    <row r="48292" customFormat="1" x14ac:dyDescent="0.3"/>
    <row r="48293" customFormat="1" x14ac:dyDescent="0.3"/>
    <row r="48294" customFormat="1" x14ac:dyDescent="0.3"/>
    <row r="48295" customFormat="1" x14ac:dyDescent="0.3"/>
    <row r="48296" customFormat="1" x14ac:dyDescent="0.3"/>
    <row r="48297" customFormat="1" x14ac:dyDescent="0.3"/>
    <row r="48298" customFormat="1" x14ac:dyDescent="0.3"/>
    <row r="48299" customFormat="1" x14ac:dyDescent="0.3"/>
    <row r="48300" customFormat="1" x14ac:dyDescent="0.3"/>
    <row r="48301" customFormat="1" x14ac:dyDescent="0.3"/>
    <row r="48302" customFormat="1" x14ac:dyDescent="0.3"/>
    <row r="48303" customFormat="1" x14ac:dyDescent="0.3"/>
    <row r="48304" customFormat="1" x14ac:dyDescent="0.3"/>
    <row r="48305" customFormat="1" x14ac:dyDescent="0.3"/>
    <row r="48306" customFormat="1" x14ac:dyDescent="0.3"/>
    <row r="48307" customFormat="1" x14ac:dyDescent="0.3"/>
    <row r="48308" customFormat="1" x14ac:dyDescent="0.3"/>
    <row r="48309" customFormat="1" x14ac:dyDescent="0.3"/>
    <row r="48310" customFormat="1" x14ac:dyDescent="0.3"/>
    <row r="48311" customFormat="1" x14ac:dyDescent="0.3"/>
    <row r="48312" customFormat="1" x14ac:dyDescent="0.3"/>
    <row r="48313" customFormat="1" x14ac:dyDescent="0.3"/>
    <row r="48314" customFormat="1" x14ac:dyDescent="0.3"/>
    <row r="48315" customFormat="1" x14ac:dyDescent="0.3"/>
    <row r="48316" customFormat="1" x14ac:dyDescent="0.3"/>
    <row r="48317" customFormat="1" x14ac:dyDescent="0.3"/>
    <row r="48318" customFormat="1" x14ac:dyDescent="0.3"/>
    <row r="48319" customFormat="1" x14ac:dyDescent="0.3"/>
    <row r="48320" customFormat="1" x14ac:dyDescent="0.3"/>
    <row r="48321" customFormat="1" x14ac:dyDescent="0.3"/>
    <row r="48322" customFormat="1" x14ac:dyDescent="0.3"/>
    <row r="48323" customFormat="1" x14ac:dyDescent="0.3"/>
    <row r="48324" customFormat="1" x14ac:dyDescent="0.3"/>
    <row r="48325" customFormat="1" x14ac:dyDescent="0.3"/>
    <row r="48326" customFormat="1" x14ac:dyDescent="0.3"/>
    <row r="48327" customFormat="1" x14ac:dyDescent="0.3"/>
    <row r="48328" customFormat="1" x14ac:dyDescent="0.3"/>
    <row r="48329" customFormat="1" x14ac:dyDescent="0.3"/>
    <row r="48330" customFormat="1" x14ac:dyDescent="0.3"/>
    <row r="48331" customFormat="1" x14ac:dyDescent="0.3"/>
    <row r="48332" customFormat="1" x14ac:dyDescent="0.3"/>
    <row r="48333" customFormat="1" x14ac:dyDescent="0.3"/>
    <row r="48334" customFormat="1" x14ac:dyDescent="0.3"/>
    <row r="48335" customFormat="1" x14ac:dyDescent="0.3"/>
    <row r="48336" customFormat="1" x14ac:dyDescent="0.3"/>
    <row r="48337" customFormat="1" x14ac:dyDescent="0.3"/>
    <row r="48338" customFormat="1" x14ac:dyDescent="0.3"/>
    <row r="48339" customFormat="1" x14ac:dyDescent="0.3"/>
    <row r="48340" customFormat="1" x14ac:dyDescent="0.3"/>
    <row r="48341" customFormat="1" x14ac:dyDescent="0.3"/>
    <row r="48342" customFormat="1" x14ac:dyDescent="0.3"/>
    <row r="48343" customFormat="1" x14ac:dyDescent="0.3"/>
    <row r="48344" customFormat="1" x14ac:dyDescent="0.3"/>
    <row r="48345" customFormat="1" x14ac:dyDescent="0.3"/>
    <row r="48346" customFormat="1" x14ac:dyDescent="0.3"/>
    <row r="48347" customFormat="1" x14ac:dyDescent="0.3"/>
    <row r="48348" customFormat="1" x14ac:dyDescent="0.3"/>
    <row r="48349" customFormat="1" x14ac:dyDescent="0.3"/>
    <row r="48350" customFormat="1" x14ac:dyDescent="0.3"/>
    <row r="48351" customFormat="1" x14ac:dyDescent="0.3"/>
    <row r="48352" customFormat="1" x14ac:dyDescent="0.3"/>
    <row r="48353" customFormat="1" x14ac:dyDescent="0.3"/>
    <row r="48354" customFormat="1" x14ac:dyDescent="0.3"/>
    <row r="48355" customFormat="1" x14ac:dyDescent="0.3"/>
    <row r="48356" customFormat="1" x14ac:dyDescent="0.3"/>
    <row r="48357" customFormat="1" x14ac:dyDescent="0.3"/>
    <row r="48358" customFormat="1" x14ac:dyDescent="0.3"/>
    <row r="48359" customFormat="1" x14ac:dyDescent="0.3"/>
    <row r="48360" customFormat="1" x14ac:dyDescent="0.3"/>
    <row r="48361" customFormat="1" x14ac:dyDescent="0.3"/>
    <row r="48362" customFormat="1" x14ac:dyDescent="0.3"/>
    <row r="48363" customFormat="1" x14ac:dyDescent="0.3"/>
    <row r="48364" customFormat="1" x14ac:dyDescent="0.3"/>
    <row r="48365" customFormat="1" x14ac:dyDescent="0.3"/>
    <row r="48366" customFormat="1" x14ac:dyDescent="0.3"/>
    <row r="48367" customFormat="1" x14ac:dyDescent="0.3"/>
    <row r="48368" customFormat="1" x14ac:dyDescent="0.3"/>
    <row r="48369" customFormat="1" x14ac:dyDescent="0.3"/>
    <row r="48370" customFormat="1" x14ac:dyDescent="0.3"/>
    <row r="48371" customFormat="1" x14ac:dyDescent="0.3"/>
    <row r="48372" customFormat="1" x14ac:dyDescent="0.3"/>
    <row r="48373" customFormat="1" x14ac:dyDescent="0.3"/>
    <row r="48374" customFormat="1" x14ac:dyDescent="0.3"/>
    <row r="48375" customFormat="1" x14ac:dyDescent="0.3"/>
    <row r="48376" customFormat="1" x14ac:dyDescent="0.3"/>
    <row r="48377" customFormat="1" x14ac:dyDescent="0.3"/>
    <row r="48378" customFormat="1" x14ac:dyDescent="0.3"/>
    <row r="48379" customFormat="1" x14ac:dyDescent="0.3"/>
    <row r="48380" customFormat="1" x14ac:dyDescent="0.3"/>
    <row r="48381" customFormat="1" x14ac:dyDescent="0.3"/>
    <row r="48382" customFormat="1" x14ac:dyDescent="0.3"/>
    <row r="48383" customFormat="1" x14ac:dyDescent="0.3"/>
    <row r="48384" customFormat="1" x14ac:dyDescent="0.3"/>
    <row r="48385" customFormat="1" x14ac:dyDescent="0.3"/>
    <row r="48386" customFormat="1" x14ac:dyDescent="0.3"/>
    <row r="48387" customFormat="1" x14ac:dyDescent="0.3"/>
    <row r="48388" customFormat="1" x14ac:dyDescent="0.3"/>
    <row r="48389" customFormat="1" x14ac:dyDescent="0.3"/>
    <row r="48390" customFormat="1" x14ac:dyDescent="0.3"/>
    <row r="48391" customFormat="1" x14ac:dyDescent="0.3"/>
    <row r="48392" customFormat="1" x14ac:dyDescent="0.3"/>
    <row r="48393" customFormat="1" x14ac:dyDescent="0.3"/>
    <row r="48394" customFormat="1" x14ac:dyDescent="0.3"/>
    <row r="48395" customFormat="1" x14ac:dyDescent="0.3"/>
    <row r="48396" customFormat="1" x14ac:dyDescent="0.3"/>
    <row r="48397" customFormat="1" x14ac:dyDescent="0.3"/>
    <row r="48398" customFormat="1" x14ac:dyDescent="0.3"/>
    <row r="48399" customFormat="1" x14ac:dyDescent="0.3"/>
    <row r="48400" customFormat="1" x14ac:dyDescent="0.3"/>
    <row r="48401" customFormat="1" x14ac:dyDescent="0.3"/>
    <row r="48402" customFormat="1" x14ac:dyDescent="0.3"/>
    <row r="48403" customFormat="1" x14ac:dyDescent="0.3"/>
    <row r="48404" customFormat="1" x14ac:dyDescent="0.3"/>
    <row r="48405" customFormat="1" x14ac:dyDescent="0.3"/>
    <row r="48406" customFormat="1" x14ac:dyDescent="0.3"/>
    <row r="48407" customFormat="1" x14ac:dyDescent="0.3"/>
    <row r="48408" customFormat="1" x14ac:dyDescent="0.3"/>
    <row r="48409" customFormat="1" x14ac:dyDescent="0.3"/>
    <row r="48410" customFormat="1" x14ac:dyDescent="0.3"/>
    <row r="48411" customFormat="1" x14ac:dyDescent="0.3"/>
    <row r="48412" customFormat="1" x14ac:dyDescent="0.3"/>
    <row r="48413" customFormat="1" x14ac:dyDescent="0.3"/>
    <row r="48414" customFormat="1" x14ac:dyDescent="0.3"/>
    <row r="48415" customFormat="1" x14ac:dyDescent="0.3"/>
    <row r="48416" customFormat="1" x14ac:dyDescent="0.3"/>
    <row r="48417" customFormat="1" x14ac:dyDescent="0.3"/>
    <row r="48418" customFormat="1" x14ac:dyDescent="0.3"/>
    <row r="48419" customFormat="1" x14ac:dyDescent="0.3"/>
    <row r="48420" customFormat="1" x14ac:dyDescent="0.3"/>
    <row r="48421" customFormat="1" x14ac:dyDescent="0.3"/>
    <row r="48422" customFormat="1" x14ac:dyDescent="0.3"/>
    <row r="48423" customFormat="1" x14ac:dyDescent="0.3"/>
    <row r="48424" customFormat="1" x14ac:dyDescent="0.3"/>
    <row r="48425" customFormat="1" x14ac:dyDescent="0.3"/>
    <row r="48426" customFormat="1" x14ac:dyDescent="0.3"/>
    <row r="48427" customFormat="1" x14ac:dyDescent="0.3"/>
    <row r="48428" customFormat="1" x14ac:dyDescent="0.3"/>
    <row r="48429" customFormat="1" x14ac:dyDescent="0.3"/>
    <row r="48430" customFormat="1" x14ac:dyDescent="0.3"/>
    <row r="48431" customFormat="1" x14ac:dyDescent="0.3"/>
    <row r="48432" customFormat="1" x14ac:dyDescent="0.3"/>
    <row r="48433" customFormat="1" x14ac:dyDescent="0.3"/>
    <row r="48434" customFormat="1" x14ac:dyDescent="0.3"/>
    <row r="48435" customFormat="1" x14ac:dyDescent="0.3"/>
    <row r="48436" customFormat="1" x14ac:dyDescent="0.3"/>
    <row r="48437" customFormat="1" x14ac:dyDescent="0.3"/>
    <row r="48438" customFormat="1" x14ac:dyDescent="0.3"/>
    <row r="48439" customFormat="1" x14ac:dyDescent="0.3"/>
    <row r="48440" customFormat="1" x14ac:dyDescent="0.3"/>
    <row r="48441" customFormat="1" x14ac:dyDescent="0.3"/>
    <row r="48442" customFormat="1" x14ac:dyDescent="0.3"/>
    <row r="48443" customFormat="1" x14ac:dyDescent="0.3"/>
    <row r="48444" customFormat="1" x14ac:dyDescent="0.3"/>
    <row r="48445" customFormat="1" x14ac:dyDescent="0.3"/>
    <row r="48446" customFormat="1" x14ac:dyDescent="0.3"/>
    <row r="48447" customFormat="1" x14ac:dyDescent="0.3"/>
    <row r="48448" customFormat="1" x14ac:dyDescent="0.3"/>
    <row r="48449" customFormat="1" x14ac:dyDescent="0.3"/>
    <row r="48450" customFormat="1" x14ac:dyDescent="0.3"/>
    <row r="48451" customFormat="1" x14ac:dyDescent="0.3"/>
    <row r="48452" customFormat="1" x14ac:dyDescent="0.3"/>
    <row r="48453" customFormat="1" x14ac:dyDescent="0.3"/>
    <row r="48454" customFormat="1" x14ac:dyDescent="0.3"/>
    <row r="48455" customFormat="1" x14ac:dyDescent="0.3"/>
    <row r="48456" customFormat="1" x14ac:dyDescent="0.3"/>
    <row r="48457" customFormat="1" x14ac:dyDescent="0.3"/>
    <row r="48458" customFormat="1" x14ac:dyDescent="0.3"/>
    <row r="48459" customFormat="1" x14ac:dyDescent="0.3"/>
    <row r="48460" customFormat="1" x14ac:dyDescent="0.3"/>
    <row r="48461" customFormat="1" x14ac:dyDescent="0.3"/>
    <row r="48462" customFormat="1" x14ac:dyDescent="0.3"/>
    <row r="48463" customFormat="1" x14ac:dyDescent="0.3"/>
    <row r="48464" customFormat="1" x14ac:dyDescent="0.3"/>
    <row r="48465" customFormat="1" x14ac:dyDescent="0.3"/>
    <row r="48466" customFormat="1" x14ac:dyDescent="0.3"/>
    <row r="48467" customFormat="1" x14ac:dyDescent="0.3"/>
    <row r="48468" customFormat="1" x14ac:dyDescent="0.3"/>
    <row r="48469" customFormat="1" x14ac:dyDescent="0.3"/>
    <row r="48470" customFormat="1" x14ac:dyDescent="0.3"/>
    <row r="48471" customFormat="1" x14ac:dyDescent="0.3"/>
    <row r="48472" customFormat="1" x14ac:dyDescent="0.3"/>
    <row r="48473" customFormat="1" x14ac:dyDescent="0.3"/>
    <row r="48474" customFormat="1" x14ac:dyDescent="0.3"/>
    <row r="48475" customFormat="1" x14ac:dyDescent="0.3"/>
    <row r="48476" customFormat="1" x14ac:dyDescent="0.3"/>
    <row r="48477" customFormat="1" x14ac:dyDescent="0.3"/>
    <row r="48478" customFormat="1" x14ac:dyDescent="0.3"/>
    <row r="48479" customFormat="1" x14ac:dyDescent="0.3"/>
    <row r="48480" customFormat="1" x14ac:dyDescent="0.3"/>
    <row r="48481" customFormat="1" x14ac:dyDescent="0.3"/>
    <row r="48482" customFormat="1" x14ac:dyDescent="0.3"/>
    <row r="48483" customFormat="1" x14ac:dyDescent="0.3"/>
    <row r="48484" customFormat="1" x14ac:dyDescent="0.3"/>
    <row r="48485" customFormat="1" x14ac:dyDescent="0.3"/>
    <row r="48486" customFormat="1" x14ac:dyDescent="0.3"/>
    <row r="48487" customFormat="1" x14ac:dyDescent="0.3"/>
    <row r="48488" customFormat="1" x14ac:dyDescent="0.3"/>
    <row r="48489" customFormat="1" x14ac:dyDescent="0.3"/>
    <row r="48490" customFormat="1" x14ac:dyDescent="0.3"/>
    <row r="48491" customFormat="1" x14ac:dyDescent="0.3"/>
    <row r="48492" customFormat="1" x14ac:dyDescent="0.3"/>
    <row r="48493" customFormat="1" x14ac:dyDescent="0.3"/>
    <row r="48494" customFormat="1" x14ac:dyDescent="0.3"/>
    <row r="48495" customFormat="1" x14ac:dyDescent="0.3"/>
    <row r="48496" customFormat="1" x14ac:dyDescent="0.3"/>
    <row r="48497" customFormat="1" x14ac:dyDescent="0.3"/>
    <row r="48498" customFormat="1" x14ac:dyDescent="0.3"/>
    <row r="48499" customFormat="1" x14ac:dyDescent="0.3"/>
    <row r="48500" customFormat="1" x14ac:dyDescent="0.3"/>
    <row r="48501" customFormat="1" x14ac:dyDescent="0.3"/>
    <row r="48502" customFormat="1" x14ac:dyDescent="0.3"/>
    <row r="48503" customFormat="1" x14ac:dyDescent="0.3"/>
    <row r="48504" customFormat="1" x14ac:dyDescent="0.3"/>
    <row r="48505" customFormat="1" x14ac:dyDescent="0.3"/>
    <row r="48506" customFormat="1" x14ac:dyDescent="0.3"/>
    <row r="48507" customFormat="1" x14ac:dyDescent="0.3"/>
    <row r="48508" customFormat="1" x14ac:dyDescent="0.3"/>
    <row r="48509" customFormat="1" x14ac:dyDescent="0.3"/>
    <row r="48510" customFormat="1" x14ac:dyDescent="0.3"/>
    <row r="48511" customFormat="1" x14ac:dyDescent="0.3"/>
    <row r="48512" customFormat="1" x14ac:dyDescent="0.3"/>
    <row r="48513" customFormat="1" x14ac:dyDescent="0.3"/>
    <row r="48514" customFormat="1" x14ac:dyDescent="0.3"/>
    <row r="48515" customFormat="1" x14ac:dyDescent="0.3"/>
    <row r="48516" customFormat="1" x14ac:dyDescent="0.3"/>
    <row r="48517" customFormat="1" x14ac:dyDescent="0.3"/>
    <row r="48518" customFormat="1" x14ac:dyDescent="0.3"/>
    <row r="48519" customFormat="1" x14ac:dyDescent="0.3"/>
    <row r="48520" customFormat="1" x14ac:dyDescent="0.3"/>
    <row r="48521" customFormat="1" x14ac:dyDescent="0.3"/>
    <row r="48522" customFormat="1" x14ac:dyDescent="0.3"/>
    <row r="48523" customFormat="1" x14ac:dyDescent="0.3"/>
    <row r="48524" customFormat="1" x14ac:dyDescent="0.3"/>
    <row r="48525" customFormat="1" x14ac:dyDescent="0.3"/>
    <row r="48526" customFormat="1" x14ac:dyDescent="0.3"/>
    <row r="48527" customFormat="1" x14ac:dyDescent="0.3"/>
    <row r="48528" customFormat="1" x14ac:dyDescent="0.3"/>
    <row r="48529" customFormat="1" x14ac:dyDescent="0.3"/>
    <row r="48530" customFormat="1" x14ac:dyDescent="0.3"/>
    <row r="48531" customFormat="1" x14ac:dyDescent="0.3"/>
    <row r="48532" customFormat="1" x14ac:dyDescent="0.3"/>
    <row r="48533" customFormat="1" x14ac:dyDescent="0.3"/>
    <row r="48534" customFormat="1" x14ac:dyDescent="0.3"/>
    <row r="48535" customFormat="1" x14ac:dyDescent="0.3"/>
    <row r="48536" customFormat="1" x14ac:dyDescent="0.3"/>
    <row r="48537" customFormat="1" x14ac:dyDescent="0.3"/>
    <row r="48538" customFormat="1" x14ac:dyDescent="0.3"/>
    <row r="48539" customFormat="1" x14ac:dyDescent="0.3"/>
    <row r="48540" customFormat="1" x14ac:dyDescent="0.3"/>
    <row r="48541" customFormat="1" x14ac:dyDescent="0.3"/>
    <row r="48542" customFormat="1" x14ac:dyDescent="0.3"/>
    <row r="48543" customFormat="1" x14ac:dyDescent="0.3"/>
    <row r="48544" customFormat="1" x14ac:dyDescent="0.3"/>
    <row r="48545" customFormat="1" x14ac:dyDescent="0.3"/>
    <row r="48546" customFormat="1" x14ac:dyDescent="0.3"/>
    <row r="48547" customFormat="1" x14ac:dyDescent="0.3"/>
    <row r="48548" customFormat="1" x14ac:dyDescent="0.3"/>
    <row r="48549" customFormat="1" x14ac:dyDescent="0.3"/>
    <row r="48550" customFormat="1" x14ac:dyDescent="0.3"/>
    <row r="48551" customFormat="1" x14ac:dyDescent="0.3"/>
    <row r="48552" customFormat="1" x14ac:dyDescent="0.3"/>
    <row r="48553" customFormat="1" x14ac:dyDescent="0.3"/>
    <row r="48554" customFormat="1" x14ac:dyDescent="0.3"/>
    <row r="48555" customFormat="1" x14ac:dyDescent="0.3"/>
    <row r="48556" customFormat="1" x14ac:dyDescent="0.3"/>
    <row r="48557" customFormat="1" x14ac:dyDescent="0.3"/>
    <row r="48558" customFormat="1" x14ac:dyDescent="0.3"/>
    <row r="48559" customFormat="1" x14ac:dyDescent="0.3"/>
    <row r="48560" customFormat="1" x14ac:dyDescent="0.3"/>
    <row r="48561" customFormat="1" x14ac:dyDescent="0.3"/>
    <row r="48562" customFormat="1" x14ac:dyDescent="0.3"/>
    <row r="48563" customFormat="1" x14ac:dyDescent="0.3"/>
    <row r="48564" customFormat="1" x14ac:dyDescent="0.3"/>
    <row r="48565" customFormat="1" x14ac:dyDescent="0.3"/>
    <row r="48566" customFormat="1" x14ac:dyDescent="0.3"/>
    <row r="48567" customFormat="1" x14ac:dyDescent="0.3"/>
    <row r="48568" customFormat="1" x14ac:dyDescent="0.3"/>
    <row r="48569" customFormat="1" x14ac:dyDescent="0.3"/>
    <row r="48570" customFormat="1" x14ac:dyDescent="0.3"/>
    <row r="48571" customFormat="1" x14ac:dyDescent="0.3"/>
    <row r="48572" customFormat="1" x14ac:dyDescent="0.3"/>
    <row r="48573" customFormat="1" x14ac:dyDescent="0.3"/>
    <row r="48574" customFormat="1" x14ac:dyDescent="0.3"/>
    <row r="48575" customFormat="1" x14ac:dyDescent="0.3"/>
    <row r="48576" customFormat="1" x14ac:dyDescent="0.3"/>
    <row r="48577" customFormat="1" x14ac:dyDescent="0.3"/>
    <row r="48578" customFormat="1" x14ac:dyDescent="0.3"/>
    <row r="48579" customFormat="1" x14ac:dyDescent="0.3"/>
    <row r="48580" customFormat="1" x14ac:dyDescent="0.3"/>
    <row r="48581" customFormat="1" x14ac:dyDescent="0.3"/>
    <row r="48582" customFormat="1" x14ac:dyDescent="0.3"/>
    <row r="48583" customFormat="1" x14ac:dyDescent="0.3"/>
    <row r="48584" customFormat="1" x14ac:dyDescent="0.3"/>
    <row r="48585" customFormat="1" x14ac:dyDescent="0.3"/>
    <row r="48586" customFormat="1" x14ac:dyDescent="0.3"/>
    <row r="48587" customFormat="1" x14ac:dyDescent="0.3"/>
    <row r="48588" customFormat="1" x14ac:dyDescent="0.3"/>
    <row r="48589" customFormat="1" x14ac:dyDescent="0.3"/>
    <row r="48590" customFormat="1" x14ac:dyDescent="0.3"/>
    <row r="48591" customFormat="1" x14ac:dyDescent="0.3"/>
    <row r="48592" customFormat="1" x14ac:dyDescent="0.3"/>
    <row r="48593" customFormat="1" x14ac:dyDescent="0.3"/>
    <row r="48594" customFormat="1" x14ac:dyDescent="0.3"/>
    <row r="48595" customFormat="1" x14ac:dyDescent="0.3"/>
    <row r="48596" customFormat="1" x14ac:dyDescent="0.3"/>
    <row r="48597" customFormat="1" x14ac:dyDescent="0.3"/>
    <row r="48598" customFormat="1" x14ac:dyDescent="0.3"/>
    <row r="48599" customFormat="1" x14ac:dyDescent="0.3"/>
    <row r="48600" customFormat="1" x14ac:dyDescent="0.3"/>
    <row r="48601" customFormat="1" x14ac:dyDescent="0.3"/>
    <row r="48602" customFormat="1" x14ac:dyDescent="0.3"/>
    <row r="48603" customFormat="1" x14ac:dyDescent="0.3"/>
    <row r="48604" customFormat="1" x14ac:dyDescent="0.3"/>
    <row r="48605" customFormat="1" x14ac:dyDescent="0.3"/>
    <row r="48606" customFormat="1" x14ac:dyDescent="0.3"/>
    <row r="48607" customFormat="1" x14ac:dyDescent="0.3"/>
    <row r="48608" customFormat="1" x14ac:dyDescent="0.3"/>
    <row r="48609" customFormat="1" x14ac:dyDescent="0.3"/>
    <row r="48610" customFormat="1" x14ac:dyDescent="0.3"/>
    <row r="48611" customFormat="1" x14ac:dyDescent="0.3"/>
    <row r="48612" customFormat="1" x14ac:dyDescent="0.3"/>
    <row r="48613" customFormat="1" x14ac:dyDescent="0.3"/>
    <row r="48614" customFormat="1" x14ac:dyDescent="0.3"/>
    <row r="48615" customFormat="1" x14ac:dyDescent="0.3"/>
    <row r="48616" customFormat="1" x14ac:dyDescent="0.3"/>
    <row r="48617" customFormat="1" x14ac:dyDescent="0.3"/>
    <row r="48618" customFormat="1" x14ac:dyDescent="0.3"/>
    <row r="48619" customFormat="1" x14ac:dyDescent="0.3"/>
    <row r="48620" customFormat="1" x14ac:dyDescent="0.3"/>
    <row r="48621" customFormat="1" x14ac:dyDescent="0.3"/>
    <row r="48622" customFormat="1" x14ac:dyDescent="0.3"/>
    <row r="48623" customFormat="1" x14ac:dyDescent="0.3"/>
    <row r="48624" customFormat="1" x14ac:dyDescent="0.3"/>
    <row r="48625" customFormat="1" x14ac:dyDescent="0.3"/>
    <row r="48626" customFormat="1" x14ac:dyDescent="0.3"/>
    <row r="48627" customFormat="1" x14ac:dyDescent="0.3"/>
    <row r="48628" customFormat="1" x14ac:dyDescent="0.3"/>
    <row r="48629" customFormat="1" x14ac:dyDescent="0.3"/>
    <row r="48630" customFormat="1" x14ac:dyDescent="0.3"/>
    <row r="48631" customFormat="1" x14ac:dyDescent="0.3"/>
    <row r="48632" customFormat="1" x14ac:dyDescent="0.3"/>
    <row r="48633" customFormat="1" x14ac:dyDescent="0.3"/>
    <row r="48634" customFormat="1" x14ac:dyDescent="0.3"/>
    <row r="48635" customFormat="1" x14ac:dyDescent="0.3"/>
    <row r="48636" customFormat="1" x14ac:dyDescent="0.3"/>
    <row r="48637" customFormat="1" x14ac:dyDescent="0.3"/>
    <row r="48638" customFormat="1" x14ac:dyDescent="0.3"/>
    <row r="48639" customFormat="1" x14ac:dyDescent="0.3"/>
    <row r="48640" customFormat="1" x14ac:dyDescent="0.3"/>
    <row r="48641" customFormat="1" x14ac:dyDescent="0.3"/>
    <row r="48642" customFormat="1" x14ac:dyDescent="0.3"/>
    <row r="48643" customFormat="1" x14ac:dyDescent="0.3"/>
    <row r="48644" customFormat="1" x14ac:dyDescent="0.3"/>
    <row r="48645" customFormat="1" x14ac:dyDescent="0.3"/>
    <row r="48646" customFormat="1" x14ac:dyDescent="0.3"/>
    <row r="48647" customFormat="1" x14ac:dyDescent="0.3"/>
    <row r="48648" customFormat="1" x14ac:dyDescent="0.3"/>
    <row r="48649" customFormat="1" x14ac:dyDescent="0.3"/>
    <row r="48650" customFormat="1" x14ac:dyDescent="0.3"/>
    <row r="48651" customFormat="1" x14ac:dyDescent="0.3"/>
    <row r="48652" customFormat="1" x14ac:dyDescent="0.3"/>
    <row r="48653" customFormat="1" x14ac:dyDescent="0.3"/>
    <row r="48654" customFormat="1" x14ac:dyDescent="0.3"/>
    <row r="48655" customFormat="1" x14ac:dyDescent="0.3"/>
    <row r="48656" customFormat="1" x14ac:dyDescent="0.3"/>
    <row r="48657" customFormat="1" x14ac:dyDescent="0.3"/>
    <row r="48658" customFormat="1" x14ac:dyDescent="0.3"/>
    <row r="48659" customFormat="1" x14ac:dyDescent="0.3"/>
    <row r="48660" customFormat="1" x14ac:dyDescent="0.3"/>
    <row r="48661" customFormat="1" x14ac:dyDescent="0.3"/>
    <row r="48662" customFormat="1" x14ac:dyDescent="0.3"/>
    <row r="48663" customFormat="1" x14ac:dyDescent="0.3"/>
    <row r="48664" customFormat="1" x14ac:dyDescent="0.3"/>
    <row r="48665" customFormat="1" x14ac:dyDescent="0.3"/>
    <row r="48666" customFormat="1" x14ac:dyDescent="0.3"/>
    <row r="48667" customFormat="1" x14ac:dyDescent="0.3"/>
    <row r="48668" customFormat="1" x14ac:dyDescent="0.3"/>
    <row r="48669" customFormat="1" x14ac:dyDescent="0.3"/>
    <row r="48670" customFormat="1" x14ac:dyDescent="0.3"/>
    <row r="48671" customFormat="1" x14ac:dyDescent="0.3"/>
    <row r="48672" customFormat="1" x14ac:dyDescent="0.3"/>
    <row r="48673" customFormat="1" x14ac:dyDescent="0.3"/>
    <row r="48674" customFormat="1" x14ac:dyDescent="0.3"/>
    <row r="48675" customFormat="1" x14ac:dyDescent="0.3"/>
    <row r="48676" customFormat="1" x14ac:dyDescent="0.3"/>
    <row r="48677" customFormat="1" x14ac:dyDescent="0.3"/>
    <row r="48678" customFormat="1" x14ac:dyDescent="0.3"/>
    <row r="48679" customFormat="1" x14ac:dyDescent="0.3"/>
    <row r="48680" customFormat="1" x14ac:dyDescent="0.3"/>
    <row r="48681" customFormat="1" x14ac:dyDescent="0.3"/>
    <row r="48682" customFormat="1" x14ac:dyDescent="0.3"/>
    <row r="48683" customFormat="1" x14ac:dyDescent="0.3"/>
    <row r="48684" customFormat="1" x14ac:dyDescent="0.3"/>
    <row r="48685" customFormat="1" x14ac:dyDescent="0.3"/>
    <row r="48686" customFormat="1" x14ac:dyDescent="0.3"/>
    <row r="48687" customFormat="1" x14ac:dyDescent="0.3"/>
    <row r="48688" customFormat="1" x14ac:dyDescent="0.3"/>
    <row r="48689" customFormat="1" x14ac:dyDescent="0.3"/>
    <row r="48690" customFormat="1" x14ac:dyDescent="0.3"/>
    <row r="48691" customFormat="1" x14ac:dyDescent="0.3"/>
    <row r="48692" customFormat="1" x14ac:dyDescent="0.3"/>
    <row r="48693" customFormat="1" x14ac:dyDescent="0.3"/>
    <row r="48694" customFormat="1" x14ac:dyDescent="0.3"/>
    <row r="48695" customFormat="1" x14ac:dyDescent="0.3"/>
    <row r="48696" customFormat="1" x14ac:dyDescent="0.3"/>
    <row r="48697" customFormat="1" x14ac:dyDescent="0.3"/>
    <row r="48698" customFormat="1" x14ac:dyDescent="0.3"/>
    <row r="48699" customFormat="1" x14ac:dyDescent="0.3"/>
    <row r="48700" customFormat="1" x14ac:dyDescent="0.3"/>
    <row r="48701" customFormat="1" x14ac:dyDescent="0.3"/>
    <row r="48702" customFormat="1" x14ac:dyDescent="0.3"/>
    <row r="48703" customFormat="1" x14ac:dyDescent="0.3"/>
    <row r="48704" customFormat="1" x14ac:dyDescent="0.3"/>
    <row r="48705" customFormat="1" x14ac:dyDescent="0.3"/>
    <row r="48706" customFormat="1" x14ac:dyDescent="0.3"/>
    <row r="48707" customFormat="1" x14ac:dyDescent="0.3"/>
    <row r="48708" customFormat="1" x14ac:dyDescent="0.3"/>
    <row r="48709" customFormat="1" x14ac:dyDescent="0.3"/>
    <row r="48710" customFormat="1" x14ac:dyDescent="0.3"/>
    <row r="48711" customFormat="1" x14ac:dyDescent="0.3"/>
    <row r="48712" customFormat="1" x14ac:dyDescent="0.3"/>
    <row r="48713" customFormat="1" x14ac:dyDescent="0.3"/>
    <row r="48714" customFormat="1" x14ac:dyDescent="0.3"/>
    <row r="48715" customFormat="1" x14ac:dyDescent="0.3"/>
    <row r="48716" customFormat="1" x14ac:dyDescent="0.3"/>
    <row r="48717" customFormat="1" x14ac:dyDescent="0.3"/>
    <row r="48718" customFormat="1" x14ac:dyDescent="0.3"/>
    <row r="48719" customFormat="1" x14ac:dyDescent="0.3"/>
    <row r="48720" customFormat="1" x14ac:dyDescent="0.3"/>
    <row r="48721" customFormat="1" x14ac:dyDescent="0.3"/>
    <row r="48722" customFormat="1" x14ac:dyDescent="0.3"/>
    <row r="48723" customFormat="1" x14ac:dyDescent="0.3"/>
    <row r="48724" customFormat="1" x14ac:dyDescent="0.3"/>
    <row r="48725" customFormat="1" x14ac:dyDescent="0.3"/>
    <row r="48726" customFormat="1" x14ac:dyDescent="0.3"/>
    <row r="48727" customFormat="1" x14ac:dyDescent="0.3"/>
    <row r="48728" customFormat="1" x14ac:dyDescent="0.3"/>
    <row r="48729" customFormat="1" x14ac:dyDescent="0.3"/>
    <row r="48730" customFormat="1" x14ac:dyDescent="0.3"/>
    <row r="48731" customFormat="1" x14ac:dyDescent="0.3"/>
    <row r="48732" customFormat="1" x14ac:dyDescent="0.3"/>
    <row r="48733" customFormat="1" x14ac:dyDescent="0.3"/>
    <row r="48734" customFormat="1" x14ac:dyDescent="0.3"/>
    <row r="48735" customFormat="1" x14ac:dyDescent="0.3"/>
    <row r="48736" customFormat="1" x14ac:dyDescent="0.3"/>
    <row r="48737" customFormat="1" x14ac:dyDescent="0.3"/>
    <row r="48738" customFormat="1" x14ac:dyDescent="0.3"/>
    <row r="48739" customFormat="1" x14ac:dyDescent="0.3"/>
    <row r="48740" customFormat="1" x14ac:dyDescent="0.3"/>
    <row r="48741" customFormat="1" x14ac:dyDescent="0.3"/>
    <row r="48742" customFormat="1" x14ac:dyDescent="0.3"/>
    <row r="48743" customFormat="1" x14ac:dyDescent="0.3"/>
    <row r="48744" customFormat="1" x14ac:dyDescent="0.3"/>
    <row r="48745" customFormat="1" x14ac:dyDescent="0.3"/>
    <row r="48746" customFormat="1" x14ac:dyDescent="0.3"/>
    <row r="48747" customFormat="1" x14ac:dyDescent="0.3"/>
    <row r="48748" customFormat="1" x14ac:dyDescent="0.3"/>
    <row r="48749" customFormat="1" x14ac:dyDescent="0.3"/>
    <row r="48750" customFormat="1" x14ac:dyDescent="0.3"/>
    <row r="48751" customFormat="1" x14ac:dyDescent="0.3"/>
    <row r="48752" customFormat="1" x14ac:dyDescent="0.3"/>
    <row r="48753" customFormat="1" x14ac:dyDescent="0.3"/>
    <row r="48754" customFormat="1" x14ac:dyDescent="0.3"/>
    <row r="48755" customFormat="1" x14ac:dyDescent="0.3"/>
    <row r="48756" customFormat="1" x14ac:dyDescent="0.3"/>
    <row r="48757" customFormat="1" x14ac:dyDescent="0.3"/>
    <row r="48758" customFormat="1" x14ac:dyDescent="0.3"/>
    <row r="48759" customFormat="1" x14ac:dyDescent="0.3"/>
    <row r="48760" customFormat="1" x14ac:dyDescent="0.3"/>
    <row r="48761" customFormat="1" x14ac:dyDescent="0.3"/>
    <row r="48762" customFormat="1" x14ac:dyDescent="0.3"/>
    <row r="48763" customFormat="1" x14ac:dyDescent="0.3"/>
    <row r="48764" customFormat="1" x14ac:dyDescent="0.3"/>
    <row r="48765" customFormat="1" x14ac:dyDescent="0.3"/>
    <row r="48766" customFormat="1" x14ac:dyDescent="0.3"/>
    <row r="48767" customFormat="1" x14ac:dyDescent="0.3"/>
    <row r="48768" customFormat="1" x14ac:dyDescent="0.3"/>
    <row r="48769" customFormat="1" x14ac:dyDescent="0.3"/>
    <row r="48770" customFormat="1" x14ac:dyDescent="0.3"/>
    <row r="48771" customFormat="1" x14ac:dyDescent="0.3"/>
    <row r="48772" customFormat="1" x14ac:dyDescent="0.3"/>
    <row r="48773" customFormat="1" x14ac:dyDescent="0.3"/>
    <row r="48774" customFormat="1" x14ac:dyDescent="0.3"/>
    <row r="48775" customFormat="1" x14ac:dyDescent="0.3"/>
    <row r="48776" customFormat="1" x14ac:dyDescent="0.3"/>
    <row r="48777" customFormat="1" x14ac:dyDescent="0.3"/>
    <row r="48778" customFormat="1" x14ac:dyDescent="0.3"/>
    <row r="48779" customFormat="1" x14ac:dyDescent="0.3"/>
    <row r="48780" customFormat="1" x14ac:dyDescent="0.3"/>
    <row r="48781" customFormat="1" x14ac:dyDescent="0.3"/>
    <row r="48782" customFormat="1" x14ac:dyDescent="0.3"/>
    <row r="48783" customFormat="1" x14ac:dyDescent="0.3"/>
    <row r="48784" customFormat="1" x14ac:dyDescent="0.3"/>
    <row r="48785" customFormat="1" x14ac:dyDescent="0.3"/>
    <row r="48786" customFormat="1" x14ac:dyDescent="0.3"/>
    <row r="48787" customFormat="1" x14ac:dyDescent="0.3"/>
    <row r="48788" customFormat="1" x14ac:dyDescent="0.3"/>
    <row r="48789" customFormat="1" x14ac:dyDescent="0.3"/>
    <row r="48790" customFormat="1" x14ac:dyDescent="0.3"/>
    <row r="48791" customFormat="1" x14ac:dyDescent="0.3"/>
    <row r="48792" customFormat="1" x14ac:dyDescent="0.3"/>
    <row r="48793" customFormat="1" x14ac:dyDescent="0.3"/>
    <row r="48794" customFormat="1" x14ac:dyDescent="0.3"/>
    <row r="48795" customFormat="1" x14ac:dyDescent="0.3"/>
    <row r="48796" customFormat="1" x14ac:dyDescent="0.3"/>
    <row r="48797" customFormat="1" x14ac:dyDescent="0.3"/>
    <row r="48798" customFormat="1" x14ac:dyDescent="0.3"/>
    <row r="48799" customFormat="1" x14ac:dyDescent="0.3"/>
    <row r="48800" customFormat="1" x14ac:dyDescent="0.3"/>
    <row r="48801" customFormat="1" x14ac:dyDescent="0.3"/>
    <row r="48802" customFormat="1" x14ac:dyDescent="0.3"/>
    <row r="48803" customFormat="1" x14ac:dyDescent="0.3"/>
    <row r="48804" customFormat="1" x14ac:dyDescent="0.3"/>
    <row r="48805" customFormat="1" x14ac:dyDescent="0.3"/>
    <row r="48806" customFormat="1" x14ac:dyDescent="0.3"/>
    <row r="48807" customFormat="1" x14ac:dyDescent="0.3"/>
    <row r="48808" customFormat="1" x14ac:dyDescent="0.3"/>
    <row r="48809" customFormat="1" x14ac:dyDescent="0.3"/>
    <row r="48810" customFormat="1" x14ac:dyDescent="0.3"/>
    <row r="48811" customFormat="1" x14ac:dyDescent="0.3"/>
    <row r="48812" customFormat="1" x14ac:dyDescent="0.3"/>
    <row r="48813" customFormat="1" x14ac:dyDescent="0.3"/>
    <row r="48814" customFormat="1" x14ac:dyDescent="0.3"/>
    <row r="48815" customFormat="1" x14ac:dyDescent="0.3"/>
    <row r="48816" customFormat="1" x14ac:dyDescent="0.3"/>
    <row r="48817" customFormat="1" x14ac:dyDescent="0.3"/>
    <row r="48818" customFormat="1" x14ac:dyDescent="0.3"/>
    <row r="48819" customFormat="1" x14ac:dyDescent="0.3"/>
    <row r="48820" customFormat="1" x14ac:dyDescent="0.3"/>
    <row r="48821" customFormat="1" x14ac:dyDescent="0.3"/>
    <row r="48822" customFormat="1" x14ac:dyDescent="0.3"/>
    <row r="48823" customFormat="1" x14ac:dyDescent="0.3"/>
    <row r="48824" customFormat="1" x14ac:dyDescent="0.3"/>
    <row r="48825" customFormat="1" x14ac:dyDescent="0.3"/>
    <row r="48826" customFormat="1" x14ac:dyDescent="0.3"/>
    <row r="48827" customFormat="1" x14ac:dyDescent="0.3"/>
    <row r="48828" customFormat="1" x14ac:dyDescent="0.3"/>
    <row r="48829" customFormat="1" x14ac:dyDescent="0.3"/>
    <row r="48830" customFormat="1" x14ac:dyDescent="0.3"/>
    <row r="48831" customFormat="1" x14ac:dyDescent="0.3"/>
    <row r="48832" customFormat="1" x14ac:dyDescent="0.3"/>
    <row r="48833" customFormat="1" x14ac:dyDescent="0.3"/>
    <row r="48834" customFormat="1" x14ac:dyDescent="0.3"/>
    <row r="48835" customFormat="1" x14ac:dyDescent="0.3"/>
    <row r="48836" customFormat="1" x14ac:dyDescent="0.3"/>
    <row r="48837" customFormat="1" x14ac:dyDescent="0.3"/>
    <row r="48838" customFormat="1" x14ac:dyDescent="0.3"/>
    <row r="48839" customFormat="1" x14ac:dyDescent="0.3"/>
    <row r="48840" customFormat="1" x14ac:dyDescent="0.3"/>
    <row r="48841" customFormat="1" x14ac:dyDescent="0.3"/>
    <row r="48842" customFormat="1" x14ac:dyDescent="0.3"/>
    <row r="48843" customFormat="1" x14ac:dyDescent="0.3"/>
    <row r="48844" customFormat="1" x14ac:dyDescent="0.3"/>
    <row r="48845" customFormat="1" x14ac:dyDescent="0.3"/>
    <row r="48846" customFormat="1" x14ac:dyDescent="0.3"/>
    <row r="48847" customFormat="1" x14ac:dyDescent="0.3"/>
    <row r="48848" customFormat="1" x14ac:dyDescent="0.3"/>
    <row r="48849" customFormat="1" x14ac:dyDescent="0.3"/>
    <row r="48850" customFormat="1" x14ac:dyDescent="0.3"/>
    <row r="48851" customFormat="1" x14ac:dyDescent="0.3"/>
    <row r="48852" customFormat="1" x14ac:dyDescent="0.3"/>
    <row r="48853" customFormat="1" x14ac:dyDescent="0.3"/>
    <row r="48854" customFormat="1" x14ac:dyDescent="0.3"/>
    <row r="48855" customFormat="1" x14ac:dyDescent="0.3"/>
    <row r="48856" customFormat="1" x14ac:dyDescent="0.3"/>
    <row r="48857" customFormat="1" x14ac:dyDescent="0.3"/>
    <row r="48858" customFormat="1" x14ac:dyDescent="0.3"/>
    <row r="48859" customFormat="1" x14ac:dyDescent="0.3"/>
    <row r="48860" customFormat="1" x14ac:dyDescent="0.3"/>
    <row r="48861" customFormat="1" x14ac:dyDescent="0.3"/>
    <row r="48862" customFormat="1" x14ac:dyDescent="0.3"/>
    <row r="48863" customFormat="1" x14ac:dyDescent="0.3"/>
    <row r="48864" customFormat="1" x14ac:dyDescent="0.3"/>
    <row r="48865" customFormat="1" x14ac:dyDescent="0.3"/>
    <row r="48866" customFormat="1" x14ac:dyDescent="0.3"/>
    <row r="48867" customFormat="1" x14ac:dyDescent="0.3"/>
    <row r="48868" customFormat="1" x14ac:dyDescent="0.3"/>
    <row r="48869" customFormat="1" x14ac:dyDescent="0.3"/>
    <row r="48870" customFormat="1" x14ac:dyDescent="0.3"/>
    <row r="48871" customFormat="1" x14ac:dyDescent="0.3"/>
    <row r="48872" customFormat="1" x14ac:dyDescent="0.3"/>
    <row r="48873" customFormat="1" x14ac:dyDescent="0.3"/>
    <row r="48874" customFormat="1" x14ac:dyDescent="0.3"/>
    <row r="48875" customFormat="1" x14ac:dyDescent="0.3"/>
    <row r="48876" customFormat="1" x14ac:dyDescent="0.3"/>
    <row r="48877" customFormat="1" x14ac:dyDescent="0.3"/>
    <row r="48878" customFormat="1" x14ac:dyDescent="0.3"/>
    <row r="48879" customFormat="1" x14ac:dyDescent="0.3"/>
    <row r="48880" customFormat="1" x14ac:dyDescent="0.3"/>
    <row r="48881" customFormat="1" x14ac:dyDescent="0.3"/>
    <row r="48882" customFormat="1" x14ac:dyDescent="0.3"/>
    <row r="48883" customFormat="1" x14ac:dyDescent="0.3"/>
    <row r="48884" customFormat="1" x14ac:dyDescent="0.3"/>
    <row r="48885" customFormat="1" x14ac:dyDescent="0.3"/>
    <row r="48886" customFormat="1" x14ac:dyDescent="0.3"/>
    <row r="48887" customFormat="1" x14ac:dyDescent="0.3"/>
    <row r="48888" customFormat="1" x14ac:dyDescent="0.3"/>
    <row r="48889" customFormat="1" x14ac:dyDescent="0.3"/>
    <row r="48890" customFormat="1" x14ac:dyDescent="0.3"/>
    <row r="48891" customFormat="1" x14ac:dyDescent="0.3"/>
    <row r="48892" customFormat="1" x14ac:dyDescent="0.3"/>
    <row r="48893" customFormat="1" x14ac:dyDescent="0.3"/>
    <row r="48894" customFormat="1" x14ac:dyDescent="0.3"/>
    <row r="48895" customFormat="1" x14ac:dyDescent="0.3"/>
    <row r="48896" customFormat="1" x14ac:dyDescent="0.3"/>
    <row r="48897" customFormat="1" x14ac:dyDescent="0.3"/>
    <row r="48898" customFormat="1" x14ac:dyDescent="0.3"/>
    <row r="48899" customFormat="1" x14ac:dyDescent="0.3"/>
    <row r="48900" customFormat="1" x14ac:dyDescent="0.3"/>
    <row r="48901" customFormat="1" x14ac:dyDescent="0.3"/>
    <row r="48902" customFormat="1" x14ac:dyDescent="0.3"/>
    <row r="48903" customFormat="1" x14ac:dyDescent="0.3"/>
    <row r="48904" customFormat="1" x14ac:dyDescent="0.3"/>
    <row r="48905" customFormat="1" x14ac:dyDescent="0.3"/>
    <row r="48906" customFormat="1" x14ac:dyDescent="0.3"/>
    <row r="48907" customFormat="1" x14ac:dyDescent="0.3"/>
    <row r="48908" customFormat="1" x14ac:dyDescent="0.3"/>
    <row r="48909" customFormat="1" x14ac:dyDescent="0.3"/>
    <row r="48910" customFormat="1" x14ac:dyDescent="0.3"/>
    <row r="48911" customFormat="1" x14ac:dyDescent="0.3"/>
    <row r="48912" customFormat="1" x14ac:dyDescent="0.3"/>
    <row r="48913" customFormat="1" x14ac:dyDescent="0.3"/>
    <row r="48914" customFormat="1" x14ac:dyDescent="0.3"/>
    <row r="48915" customFormat="1" x14ac:dyDescent="0.3"/>
    <row r="48916" customFormat="1" x14ac:dyDescent="0.3"/>
    <row r="48917" customFormat="1" x14ac:dyDescent="0.3"/>
    <row r="48918" customFormat="1" x14ac:dyDescent="0.3"/>
    <row r="48919" customFormat="1" x14ac:dyDescent="0.3"/>
    <row r="48920" customFormat="1" x14ac:dyDescent="0.3"/>
    <row r="48921" customFormat="1" x14ac:dyDescent="0.3"/>
    <row r="48922" customFormat="1" x14ac:dyDescent="0.3"/>
    <row r="48923" customFormat="1" x14ac:dyDescent="0.3"/>
    <row r="48924" customFormat="1" x14ac:dyDescent="0.3"/>
    <row r="48925" customFormat="1" x14ac:dyDescent="0.3"/>
    <row r="48926" customFormat="1" x14ac:dyDescent="0.3"/>
    <row r="48927" customFormat="1" x14ac:dyDescent="0.3"/>
    <row r="48928" customFormat="1" x14ac:dyDescent="0.3"/>
    <row r="48929" customFormat="1" x14ac:dyDescent="0.3"/>
    <row r="48930" customFormat="1" x14ac:dyDescent="0.3"/>
    <row r="48931" customFormat="1" x14ac:dyDescent="0.3"/>
    <row r="48932" customFormat="1" x14ac:dyDescent="0.3"/>
    <row r="48933" customFormat="1" x14ac:dyDescent="0.3"/>
    <row r="48934" customFormat="1" x14ac:dyDescent="0.3"/>
    <row r="48935" customFormat="1" x14ac:dyDescent="0.3"/>
    <row r="48936" customFormat="1" x14ac:dyDescent="0.3"/>
    <row r="48937" customFormat="1" x14ac:dyDescent="0.3"/>
    <row r="48938" customFormat="1" x14ac:dyDescent="0.3"/>
    <row r="48939" customFormat="1" x14ac:dyDescent="0.3"/>
    <row r="48940" customFormat="1" x14ac:dyDescent="0.3"/>
    <row r="48941" customFormat="1" x14ac:dyDescent="0.3"/>
    <row r="48942" customFormat="1" x14ac:dyDescent="0.3"/>
    <row r="48943" customFormat="1" x14ac:dyDescent="0.3"/>
    <row r="48944" customFormat="1" x14ac:dyDescent="0.3"/>
    <row r="48945" customFormat="1" x14ac:dyDescent="0.3"/>
    <row r="48946" customFormat="1" x14ac:dyDescent="0.3"/>
    <row r="48947" customFormat="1" x14ac:dyDescent="0.3"/>
    <row r="48948" customFormat="1" x14ac:dyDescent="0.3"/>
    <row r="48949" customFormat="1" x14ac:dyDescent="0.3"/>
    <row r="48950" customFormat="1" x14ac:dyDescent="0.3"/>
    <row r="48951" customFormat="1" x14ac:dyDescent="0.3"/>
    <row r="48952" customFormat="1" x14ac:dyDescent="0.3"/>
    <row r="48953" customFormat="1" x14ac:dyDescent="0.3"/>
    <row r="48954" customFormat="1" x14ac:dyDescent="0.3"/>
    <row r="48955" customFormat="1" x14ac:dyDescent="0.3"/>
    <row r="48956" customFormat="1" x14ac:dyDescent="0.3"/>
    <row r="48957" customFormat="1" x14ac:dyDescent="0.3"/>
    <row r="48958" customFormat="1" x14ac:dyDescent="0.3"/>
    <row r="48959" customFormat="1" x14ac:dyDescent="0.3"/>
    <row r="48960" customFormat="1" x14ac:dyDescent="0.3"/>
    <row r="48961" customFormat="1" x14ac:dyDescent="0.3"/>
    <row r="48962" customFormat="1" x14ac:dyDescent="0.3"/>
    <row r="48963" customFormat="1" x14ac:dyDescent="0.3"/>
    <row r="48964" customFormat="1" x14ac:dyDescent="0.3"/>
    <row r="48965" customFormat="1" x14ac:dyDescent="0.3"/>
    <row r="48966" customFormat="1" x14ac:dyDescent="0.3"/>
    <row r="48967" customFormat="1" x14ac:dyDescent="0.3"/>
    <row r="48968" customFormat="1" x14ac:dyDescent="0.3"/>
    <row r="48969" customFormat="1" x14ac:dyDescent="0.3"/>
    <row r="48970" customFormat="1" x14ac:dyDescent="0.3"/>
    <row r="48971" customFormat="1" x14ac:dyDescent="0.3"/>
    <row r="48972" customFormat="1" x14ac:dyDescent="0.3"/>
    <row r="48973" customFormat="1" x14ac:dyDescent="0.3"/>
    <row r="48974" customFormat="1" x14ac:dyDescent="0.3"/>
    <row r="48975" customFormat="1" x14ac:dyDescent="0.3"/>
    <row r="48976" customFormat="1" x14ac:dyDescent="0.3"/>
    <row r="48977" customFormat="1" x14ac:dyDescent="0.3"/>
    <row r="48978" customFormat="1" x14ac:dyDescent="0.3"/>
    <row r="48979" customFormat="1" x14ac:dyDescent="0.3"/>
    <row r="48980" customFormat="1" x14ac:dyDescent="0.3"/>
    <row r="48981" customFormat="1" x14ac:dyDescent="0.3"/>
    <row r="48982" customFormat="1" x14ac:dyDescent="0.3"/>
    <row r="48983" customFormat="1" x14ac:dyDescent="0.3"/>
    <row r="48984" customFormat="1" x14ac:dyDescent="0.3"/>
    <row r="48985" customFormat="1" x14ac:dyDescent="0.3"/>
    <row r="48986" customFormat="1" x14ac:dyDescent="0.3"/>
    <row r="48987" customFormat="1" x14ac:dyDescent="0.3"/>
    <row r="48988" customFormat="1" x14ac:dyDescent="0.3"/>
    <row r="48989" customFormat="1" x14ac:dyDescent="0.3"/>
    <row r="48990" customFormat="1" x14ac:dyDescent="0.3"/>
    <row r="48991" customFormat="1" x14ac:dyDescent="0.3"/>
    <row r="48992" customFormat="1" x14ac:dyDescent="0.3"/>
    <row r="48993" customFormat="1" x14ac:dyDescent="0.3"/>
    <row r="48994" customFormat="1" x14ac:dyDescent="0.3"/>
    <row r="48995" customFormat="1" x14ac:dyDescent="0.3"/>
    <row r="48996" customFormat="1" x14ac:dyDescent="0.3"/>
    <row r="48997" customFormat="1" x14ac:dyDescent="0.3"/>
    <row r="48998" customFormat="1" x14ac:dyDescent="0.3"/>
    <row r="48999" customFormat="1" x14ac:dyDescent="0.3"/>
    <row r="49000" customFormat="1" x14ac:dyDescent="0.3"/>
    <row r="49001" customFormat="1" x14ac:dyDescent="0.3"/>
    <row r="49002" customFormat="1" x14ac:dyDescent="0.3"/>
    <row r="49003" customFormat="1" x14ac:dyDescent="0.3"/>
    <row r="49004" customFormat="1" x14ac:dyDescent="0.3"/>
    <row r="49005" customFormat="1" x14ac:dyDescent="0.3"/>
    <row r="49006" customFormat="1" x14ac:dyDescent="0.3"/>
    <row r="49007" customFormat="1" x14ac:dyDescent="0.3"/>
    <row r="49008" customFormat="1" x14ac:dyDescent="0.3"/>
    <row r="49009" customFormat="1" x14ac:dyDescent="0.3"/>
    <row r="49010" customFormat="1" x14ac:dyDescent="0.3"/>
    <row r="49011" customFormat="1" x14ac:dyDescent="0.3"/>
    <row r="49012" customFormat="1" x14ac:dyDescent="0.3"/>
    <row r="49013" customFormat="1" x14ac:dyDescent="0.3"/>
    <row r="49014" customFormat="1" x14ac:dyDescent="0.3"/>
    <row r="49015" customFormat="1" x14ac:dyDescent="0.3"/>
    <row r="49016" customFormat="1" x14ac:dyDescent="0.3"/>
    <row r="49017" customFormat="1" x14ac:dyDescent="0.3"/>
    <row r="49018" customFormat="1" x14ac:dyDescent="0.3"/>
    <row r="49019" customFormat="1" x14ac:dyDescent="0.3"/>
    <row r="49020" customFormat="1" x14ac:dyDescent="0.3"/>
    <row r="49021" customFormat="1" x14ac:dyDescent="0.3"/>
    <row r="49022" customFormat="1" x14ac:dyDescent="0.3"/>
    <row r="49023" customFormat="1" x14ac:dyDescent="0.3"/>
    <row r="49024" customFormat="1" x14ac:dyDescent="0.3"/>
    <row r="49025" customFormat="1" x14ac:dyDescent="0.3"/>
    <row r="49026" customFormat="1" x14ac:dyDescent="0.3"/>
    <row r="49027" customFormat="1" x14ac:dyDescent="0.3"/>
    <row r="49028" customFormat="1" x14ac:dyDescent="0.3"/>
    <row r="49029" customFormat="1" x14ac:dyDescent="0.3"/>
    <row r="49030" customFormat="1" x14ac:dyDescent="0.3"/>
    <row r="49031" customFormat="1" x14ac:dyDescent="0.3"/>
    <row r="49032" customFormat="1" x14ac:dyDescent="0.3"/>
    <row r="49033" customFormat="1" x14ac:dyDescent="0.3"/>
    <row r="49034" customFormat="1" x14ac:dyDescent="0.3"/>
    <row r="49035" customFormat="1" x14ac:dyDescent="0.3"/>
    <row r="49036" customFormat="1" x14ac:dyDescent="0.3"/>
    <row r="49037" customFormat="1" x14ac:dyDescent="0.3"/>
    <row r="49038" customFormat="1" x14ac:dyDescent="0.3"/>
    <row r="49039" customFormat="1" x14ac:dyDescent="0.3"/>
    <row r="49040" customFormat="1" x14ac:dyDescent="0.3"/>
    <row r="49041" customFormat="1" x14ac:dyDescent="0.3"/>
    <row r="49042" customFormat="1" x14ac:dyDescent="0.3"/>
    <row r="49043" customFormat="1" x14ac:dyDescent="0.3"/>
    <row r="49044" customFormat="1" x14ac:dyDescent="0.3"/>
    <row r="49045" customFormat="1" x14ac:dyDescent="0.3"/>
    <row r="49046" customFormat="1" x14ac:dyDescent="0.3"/>
    <row r="49047" customFormat="1" x14ac:dyDescent="0.3"/>
    <row r="49048" customFormat="1" x14ac:dyDescent="0.3"/>
    <row r="49049" customFormat="1" x14ac:dyDescent="0.3"/>
    <row r="49050" customFormat="1" x14ac:dyDescent="0.3"/>
    <row r="49051" customFormat="1" x14ac:dyDescent="0.3"/>
    <row r="49052" customFormat="1" x14ac:dyDescent="0.3"/>
    <row r="49053" customFormat="1" x14ac:dyDescent="0.3"/>
    <row r="49054" customFormat="1" x14ac:dyDescent="0.3"/>
    <row r="49055" customFormat="1" x14ac:dyDescent="0.3"/>
    <row r="49056" customFormat="1" x14ac:dyDescent="0.3"/>
    <row r="49057" customFormat="1" x14ac:dyDescent="0.3"/>
    <row r="49058" customFormat="1" x14ac:dyDescent="0.3"/>
    <row r="49059" customFormat="1" x14ac:dyDescent="0.3"/>
    <row r="49060" customFormat="1" x14ac:dyDescent="0.3"/>
    <row r="49061" customFormat="1" x14ac:dyDescent="0.3"/>
    <row r="49062" customFormat="1" x14ac:dyDescent="0.3"/>
    <row r="49063" customFormat="1" x14ac:dyDescent="0.3"/>
    <row r="49064" customFormat="1" x14ac:dyDescent="0.3"/>
    <row r="49065" customFormat="1" x14ac:dyDescent="0.3"/>
    <row r="49066" customFormat="1" x14ac:dyDescent="0.3"/>
    <row r="49067" customFormat="1" x14ac:dyDescent="0.3"/>
    <row r="49068" customFormat="1" x14ac:dyDescent="0.3"/>
    <row r="49069" customFormat="1" x14ac:dyDescent="0.3"/>
    <row r="49070" customFormat="1" x14ac:dyDescent="0.3"/>
    <row r="49071" customFormat="1" x14ac:dyDescent="0.3"/>
    <row r="49072" customFormat="1" x14ac:dyDescent="0.3"/>
    <row r="49073" customFormat="1" x14ac:dyDescent="0.3"/>
    <row r="49074" customFormat="1" x14ac:dyDescent="0.3"/>
    <row r="49075" customFormat="1" x14ac:dyDescent="0.3"/>
    <row r="49076" customFormat="1" x14ac:dyDescent="0.3"/>
    <row r="49077" customFormat="1" x14ac:dyDescent="0.3"/>
    <row r="49078" customFormat="1" x14ac:dyDescent="0.3"/>
    <row r="49079" customFormat="1" x14ac:dyDescent="0.3"/>
    <row r="49080" customFormat="1" x14ac:dyDescent="0.3"/>
    <row r="49081" customFormat="1" x14ac:dyDescent="0.3"/>
    <row r="49082" customFormat="1" x14ac:dyDescent="0.3"/>
    <row r="49083" customFormat="1" x14ac:dyDescent="0.3"/>
    <row r="49084" customFormat="1" x14ac:dyDescent="0.3"/>
    <row r="49085" customFormat="1" x14ac:dyDescent="0.3"/>
    <row r="49086" customFormat="1" x14ac:dyDescent="0.3"/>
    <row r="49087" customFormat="1" x14ac:dyDescent="0.3"/>
    <row r="49088" customFormat="1" x14ac:dyDescent="0.3"/>
    <row r="49089" customFormat="1" x14ac:dyDescent="0.3"/>
    <row r="49090" customFormat="1" x14ac:dyDescent="0.3"/>
    <row r="49091" customFormat="1" x14ac:dyDescent="0.3"/>
    <row r="49092" customFormat="1" x14ac:dyDescent="0.3"/>
    <row r="49093" customFormat="1" x14ac:dyDescent="0.3"/>
    <row r="49094" customFormat="1" x14ac:dyDescent="0.3"/>
    <row r="49095" customFormat="1" x14ac:dyDescent="0.3"/>
    <row r="49096" customFormat="1" x14ac:dyDescent="0.3"/>
    <row r="49097" customFormat="1" x14ac:dyDescent="0.3"/>
    <row r="49098" customFormat="1" x14ac:dyDescent="0.3"/>
    <row r="49099" customFormat="1" x14ac:dyDescent="0.3"/>
    <row r="49100" customFormat="1" x14ac:dyDescent="0.3"/>
    <row r="49101" customFormat="1" x14ac:dyDescent="0.3"/>
    <row r="49102" customFormat="1" x14ac:dyDescent="0.3"/>
    <row r="49103" customFormat="1" x14ac:dyDescent="0.3"/>
    <row r="49104" customFormat="1" x14ac:dyDescent="0.3"/>
    <row r="49105" customFormat="1" x14ac:dyDescent="0.3"/>
    <row r="49106" customFormat="1" x14ac:dyDescent="0.3"/>
    <row r="49107" customFormat="1" x14ac:dyDescent="0.3"/>
    <row r="49108" customFormat="1" x14ac:dyDescent="0.3"/>
    <row r="49109" customFormat="1" x14ac:dyDescent="0.3"/>
    <row r="49110" customFormat="1" x14ac:dyDescent="0.3"/>
    <row r="49111" customFormat="1" x14ac:dyDescent="0.3"/>
    <row r="49112" customFormat="1" x14ac:dyDescent="0.3"/>
    <row r="49113" customFormat="1" x14ac:dyDescent="0.3"/>
    <row r="49114" customFormat="1" x14ac:dyDescent="0.3"/>
    <row r="49115" customFormat="1" x14ac:dyDescent="0.3"/>
    <row r="49116" customFormat="1" x14ac:dyDescent="0.3"/>
    <row r="49117" customFormat="1" x14ac:dyDescent="0.3"/>
    <row r="49118" customFormat="1" x14ac:dyDescent="0.3"/>
    <row r="49119" customFormat="1" x14ac:dyDescent="0.3"/>
    <row r="49120" customFormat="1" x14ac:dyDescent="0.3"/>
    <row r="49121" customFormat="1" x14ac:dyDescent="0.3"/>
    <row r="49122" customFormat="1" x14ac:dyDescent="0.3"/>
    <row r="49123" customFormat="1" x14ac:dyDescent="0.3"/>
    <row r="49124" customFormat="1" x14ac:dyDescent="0.3"/>
    <row r="49125" customFormat="1" x14ac:dyDescent="0.3"/>
    <row r="49126" customFormat="1" x14ac:dyDescent="0.3"/>
    <row r="49127" customFormat="1" x14ac:dyDescent="0.3"/>
    <row r="49128" customFormat="1" x14ac:dyDescent="0.3"/>
    <row r="49129" customFormat="1" x14ac:dyDescent="0.3"/>
    <row r="49130" customFormat="1" x14ac:dyDescent="0.3"/>
    <row r="49131" customFormat="1" x14ac:dyDescent="0.3"/>
    <row r="49132" customFormat="1" x14ac:dyDescent="0.3"/>
    <row r="49133" customFormat="1" x14ac:dyDescent="0.3"/>
    <row r="49134" customFormat="1" x14ac:dyDescent="0.3"/>
    <row r="49135" customFormat="1" x14ac:dyDescent="0.3"/>
    <row r="49136" customFormat="1" x14ac:dyDescent="0.3"/>
    <row r="49137" customFormat="1" x14ac:dyDescent="0.3"/>
    <row r="49138" customFormat="1" x14ac:dyDescent="0.3"/>
    <row r="49139" customFormat="1" x14ac:dyDescent="0.3"/>
    <row r="49140" customFormat="1" x14ac:dyDescent="0.3"/>
    <row r="49141" customFormat="1" x14ac:dyDescent="0.3"/>
    <row r="49142" customFormat="1" x14ac:dyDescent="0.3"/>
    <row r="49143" customFormat="1" x14ac:dyDescent="0.3"/>
    <row r="49144" customFormat="1" x14ac:dyDescent="0.3"/>
    <row r="49145" customFormat="1" x14ac:dyDescent="0.3"/>
    <row r="49146" customFormat="1" x14ac:dyDescent="0.3"/>
    <row r="49147" customFormat="1" x14ac:dyDescent="0.3"/>
    <row r="49148" customFormat="1" x14ac:dyDescent="0.3"/>
    <row r="49149" customFormat="1" x14ac:dyDescent="0.3"/>
    <row r="49150" customFormat="1" x14ac:dyDescent="0.3"/>
    <row r="49151" customFormat="1" x14ac:dyDescent="0.3"/>
    <row r="49152" customFormat="1" x14ac:dyDescent="0.3"/>
    <row r="49153" customFormat="1" x14ac:dyDescent="0.3"/>
    <row r="49154" customFormat="1" x14ac:dyDescent="0.3"/>
    <row r="49155" customFormat="1" x14ac:dyDescent="0.3"/>
    <row r="49156" customFormat="1" x14ac:dyDescent="0.3"/>
    <row r="49157" customFormat="1" x14ac:dyDescent="0.3"/>
    <row r="49158" customFormat="1" x14ac:dyDescent="0.3"/>
    <row r="49159" customFormat="1" x14ac:dyDescent="0.3"/>
    <row r="49160" customFormat="1" x14ac:dyDescent="0.3"/>
    <row r="49161" customFormat="1" x14ac:dyDescent="0.3"/>
    <row r="49162" customFormat="1" x14ac:dyDescent="0.3"/>
    <row r="49163" customFormat="1" x14ac:dyDescent="0.3"/>
    <row r="49164" customFormat="1" x14ac:dyDescent="0.3"/>
    <row r="49165" customFormat="1" x14ac:dyDescent="0.3"/>
    <row r="49166" customFormat="1" x14ac:dyDescent="0.3"/>
    <row r="49167" customFormat="1" x14ac:dyDescent="0.3"/>
    <row r="49168" customFormat="1" x14ac:dyDescent="0.3"/>
    <row r="49169" customFormat="1" x14ac:dyDescent="0.3"/>
    <row r="49170" customFormat="1" x14ac:dyDescent="0.3"/>
    <row r="49171" customFormat="1" x14ac:dyDescent="0.3"/>
    <row r="49172" customFormat="1" x14ac:dyDescent="0.3"/>
    <row r="49173" customFormat="1" x14ac:dyDescent="0.3"/>
    <row r="49174" customFormat="1" x14ac:dyDescent="0.3"/>
    <row r="49175" customFormat="1" x14ac:dyDescent="0.3"/>
    <row r="49176" customFormat="1" x14ac:dyDescent="0.3"/>
    <row r="49177" customFormat="1" x14ac:dyDescent="0.3"/>
    <row r="49178" customFormat="1" x14ac:dyDescent="0.3"/>
    <row r="49179" customFormat="1" x14ac:dyDescent="0.3"/>
    <row r="49180" customFormat="1" x14ac:dyDescent="0.3"/>
    <row r="49181" customFormat="1" x14ac:dyDescent="0.3"/>
    <row r="49182" customFormat="1" x14ac:dyDescent="0.3"/>
    <row r="49183" customFormat="1" x14ac:dyDescent="0.3"/>
    <row r="49184" customFormat="1" x14ac:dyDescent="0.3"/>
    <row r="49185" customFormat="1" x14ac:dyDescent="0.3"/>
    <row r="49186" customFormat="1" x14ac:dyDescent="0.3"/>
    <row r="49187" customFormat="1" x14ac:dyDescent="0.3"/>
    <row r="49188" customFormat="1" x14ac:dyDescent="0.3"/>
    <row r="49189" customFormat="1" x14ac:dyDescent="0.3"/>
    <row r="49190" customFormat="1" x14ac:dyDescent="0.3"/>
    <row r="49191" customFormat="1" x14ac:dyDescent="0.3"/>
    <row r="49192" customFormat="1" x14ac:dyDescent="0.3"/>
    <row r="49193" customFormat="1" x14ac:dyDescent="0.3"/>
    <row r="49194" customFormat="1" x14ac:dyDescent="0.3"/>
    <row r="49195" customFormat="1" x14ac:dyDescent="0.3"/>
    <row r="49196" customFormat="1" x14ac:dyDescent="0.3"/>
    <row r="49197" customFormat="1" x14ac:dyDescent="0.3"/>
    <row r="49198" customFormat="1" x14ac:dyDescent="0.3"/>
    <row r="49199" customFormat="1" x14ac:dyDescent="0.3"/>
    <row r="49200" customFormat="1" x14ac:dyDescent="0.3"/>
    <row r="49201" customFormat="1" x14ac:dyDescent="0.3"/>
    <row r="49202" customFormat="1" x14ac:dyDescent="0.3"/>
    <row r="49203" customFormat="1" x14ac:dyDescent="0.3"/>
    <row r="49204" customFormat="1" x14ac:dyDescent="0.3"/>
    <row r="49205" customFormat="1" x14ac:dyDescent="0.3"/>
    <row r="49206" customFormat="1" x14ac:dyDescent="0.3"/>
    <row r="49207" customFormat="1" x14ac:dyDescent="0.3"/>
    <row r="49208" customFormat="1" x14ac:dyDescent="0.3"/>
    <row r="49209" customFormat="1" x14ac:dyDescent="0.3"/>
    <row r="49210" customFormat="1" x14ac:dyDescent="0.3"/>
    <row r="49211" customFormat="1" x14ac:dyDescent="0.3"/>
    <row r="49212" customFormat="1" x14ac:dyDescent="0.3"/>
    <row r="49213" customFormat="1" x14ac:dyDescent="0.3"/>
    <row r="49214" customFormat="1" x14ac:dyDescent="0.3"/>
    <row r="49215" customFormat="1" x14ac:dyDescent="0.3"/>
    <row r="49216" customFormat="1" x14ac:dyDescent="0.3"/>
    <row r="49217" customFormat="1" x14ac:dyDescent="0.3"/>
    <row r="49218" customFormat="1" x14ac:dyDescent="0.3"/>
    <row r="49219" customFormat="1" x14ac:dyDescent="0.3"/>
    <row r="49220" customFormat="1" x14ac:dyDescent="0.3"/>
    <row r="49221" customFormat="1" x14ac:dyDescent="0.3"/>
    <row r="49222" customFormat="1" x14ac:dyDescent="0.3"/>
    <row r="49223" customFormat="1" x14ac:dyDescent="0.3"/>
    <row r="49224" customFormat="1" x14ac:dyDescent="0.3"/>
    <row r="49225" customFormat="1" x14ac:dyDescent="0.3"/>
    <row r="49226" customFormat="1" x14ac:dyDescent="0.3"/>
    <row r="49227" customFormat="1" x14ac:dyDescent="0.3"/>
    <row r="49228" customFormat="1" x14ac:dyDescent="0.3"/>
    <row r="49229" customFormat="1" x14ac:dyDescent="0.3"/>
    <row r="49230" customFormat="1" x14ac:dyDescent="0.3"/>
    <row r="49231" customFormat="1" x14ac:dyDescent="0.3"/>
    <row r="49232" customFormat="1" x14ac:dyDescent="0.3"/>
    <row r="49233" customFormat="1" x14ac:dyDescent="0.3"/>
    <row r="49234" customFormat="1" x14ac:dyDescent="0.3"/>
    <row r="49235" customFormat="1" x14ac:dyDescent="0.3"/>
    <row r="49236" customFormat="1" x14ac:dyDescent="0.3"/>
    <row r="49237" customFormat="1" x14ac:dyDescent="0.3"/>
    <row r="49238" customFormat="1" x14ac:dyDescent="0.3"/>
    <row r="49239" customFormat="1" x14ac:dyDescent="0.3"/>
    <row r="49240" customFormat="1" x14ac:dyDescent="0.3"/>
    <row r="49241" customFormat="1" x14ac:dyDescent="0.3"/>
    <row r="49242" customFormat="1" x14ac:dyDescent="0.3"/>
    <row r="49243" customFormat="1" x14ac:dyDescent="0.3"/>
    <row r="49244" customFormat="1" x14ac:dyDescent="0.3"/>
    <row r="49245" customFormat="1" x14ac:dyDescent="0.3"/>
    <row r="49246" customFormat="1" x14ac:dyDescent="0.3"/>
    <row r="49247" customFormat="1" x14ac:dyDescent="0.3"/>
    <row r="49248" customFormat="1" x14ac:dyDescent="0.3"/>
    <row r="49249" customFormat="1" x14ac:dyDescent="0.3"/>
    <row r="49250" customFormat="1" x14ac:dyDescent="0.3"/>
    <row r="49251" customFormat="1" x14ac:dyDescent="0.3"/>
    <row r="49252" customFormat="1" x14ac:dyDescent="0.3"/>
    <row r="49253" customFormat="1" x14ac:dyDescent="0.3"/>
    <row r="49254" customFormat="1" x14ac:dyDescent="0.3"/>
    <row r="49255" customFormat="1" x14ac:dyDescent="0.3"/>
    <row r="49256" customFormat="1" x14ac:dyDescent="0.3"/>
    <row r="49257" customFormat="1" x14ac:dyDescent="0.3"/>
    <row r="49258" customFormat="1" x14ac:dyDescent="0.3"/>
    <row r="49259" customFormat="1" x14ac:dyDescent="0.3"/>
    <row r="49260" customFormat="1" x14ac:dyDescent="0.3"/>
    <row r="49261" customFormat="1" x14ac:dyDescent="0.3"/>
    <row r="49262" customFormat="1" x14ac:dyDescent="0.3"/>
    <row r="49263" customFormat="1" x14ac:dyDescent="0.3"/>
    <row r="49264" customFormat="1" x14ac:dyDescent="0.3"/>
    <row r="49265" customFormat="1" x14ac:dyDescent="0.3"/>
    <row r="49266" customFormat="1" x14ac:dyDescent="0.3"/>
    <row r="49267" customFormat="1" x14ac:dyDescent="0.3"/>
    <row r="49268" customFormat="1" x14ac:dyDescent="0.3"/>
    <row r="49269" customFormat="1" x14ac:dyDescent="0.3"/>
    <row r="49270" customFormat="1" x14ac:dyDescent="0.3"/>
    <row r="49271" customFormat="1" x14ac:dyDescent="0.3"/>
    <row r="49272" customFormat="1" x14ac:dyDescent="0.3"/>
    <row r="49273" customFormat="1" x14ac:dyDescent="0.3"/>
    <row r="49274" customFormat="1" x14ac:dyDescent="0.3"/>
    <row r="49275" customFormat="1" x14ac:dyDescent="0.3"/>
    <row r="49276" customFormat="1" x14ac:dyDescent="0.3"/>
    <row r="49277" customFormat="1" x14ac:dyDescent="0.3"/>
    <row r="49278" customFormat="1" x14ac:dyDescent="0.3"/>
    <row r="49279" customFormat="1" x14ac:dyDescent="0.3"/>
    <row r="49280" customFormat="1" x14ac:dyDescent="0.3"/>
    <row r="49281" customFormat="1" x14ac:dyDescent="0.3"/>
    <row r="49282" customFormat="1" x14ac:dyDescent="0.3"/>
    <row r="49283" customFormat="1" x14ac:dyDescent="0.3"/>
    <row r="49284" customFormat="1" x14ac:dyDescent="0.3"/>
    <row r="49285" customFormat="1" x14ac:dyDescent="0.3"/>
    <row r="49286" customFormat="1" x14ac:dyDescent="0.3"/>
    <row r="49287" customFormat="1" x14ac:dyDescent="0.3"/>
    <row r="49288" customFormat="1" x14ac:dyDescent="0.3"/>
    <row r="49289" customFormat="1" x14ac:dyDescent="0.3"/>
    <row r="49290" customFormat="1" x14ac:dyDescent="0.3"/>
    <row r="49291" customFormat="1" x14ac:dyDescent="0.3"/>
    <row r="49292" customFormat="1" x14ac:dyDescent="0.3"/>
    <row r="49293" customFormat="1" x14ac:dyDescent="0.3"/>
    <row r="49294" customFormat="1" x14ac:dyDescent="0.3"/>
    <row r="49295" customFormat="1" x14ac:dyDescent="0.3"/>
    <row r="49296" customFormat="1" x14ac:dyDescent="0.3"/>
    <row r="49297" customFormat="1" x14ac:dyDescent="0.3"/>
    <row r="49298" customFormat="1" x14ac:dyDescent="0.3"/>
    <row r="49299" customFormat="1" x14ac:dyDescent="0.3"/>
    <row r="49300" customFormat="1" x14ac:dyDescent="0.3"/>
    <row r="49301" customFormat="1" x14ac:dyDescent="0.3"/>
    <row r="49302" customFormat="1" x14ac:dyDescent="0.3"/>
    <row r="49303" customFormat="1" x14ac:dyDescent="0.3"/>
    <row r="49304" customFormat="1" x14ac:dyDescent="0.3"/>
    <row r="49305" customFormat="1" x14ac:dyDescent="0.3"/>
    <row r="49306" customFormat="1" x14ac:dyDescent="0.3"/>
    <row r="49307" customFormat="1" x14ac:dyDescent="0.3"/>
    <row r="49308" customFormat="1" x14ac:dyDescent="0.3"/>
    <row r="49309" customFormat="1" x14ac:dyDescent="0.3"/>
    <row r="49310" customFormat="1" x14ac:dyDescent="0.3"/>
    <row r="49311" customFormat="1" x14ac:dyDescent="0.3"/>
    <row r="49312" customFormat="1" x14ac:dyDescent="0.3"/>
    <row r="49313" customFormat="1" x14ac:dyDescent="0.3"/>
    <row r="49314" customFormat="1" x14ac:dyDescent="0.3"/>
    <row r="49315" customFormat="1" x14ac:dyDescent="0.3"/>
    <row r="49316" customFormat="1" x14ac:dyDescent="0.3"/>
    <row r="49317" customFormat="1" x14ac:dyDescent="0.3"/>
    <row r="49318" customFormat="1" x14ac:dyDescent="0.3"/>
    <row r="49319" customFormat="1" x14ac:dyDescent="0.3"/>
    <row r="49320" customFormat="1" x14ac:dyDescent="0.3"/>
    <row r="49321" customFormat="1" x14ac:dyDescent="0.3"/>
    <row r="49322" customFormat="1" x14ac:dyDescent="0.3"/>
    <row r="49323" customFormat="1" x14ac:dyDescent="0.3"/>
    <row r="49324" customFormat="1" x14ac:dyDescent="0.3"/>
    <row r="49325" customFormat="1" x14ac:dyDescent="0.3"/>
    <row r="49326" customFormat="1" x14ac:dyDescent="0.3"/>
    <row r="49327" customFormat="1" x14ac:dyDescent="0.3"/>
    <row r="49328" customFormat="1" x14ac:dyDescent="0.3"/>
    <row r="49329" customFormat="1" x14ac:dyDescent="0.3"/>
    <row r="49330" customFormat="1" x14ac:dyDescent="0.3"/>
    <row r="49331" customFormat="1" x14ac:dyDescent="0.3"/>
    <row r="49332" customFormat="1" x14ac:dyDescent="0.3"/>
    <row r="49333" customFormat="1" x14ac:dyDescent="0.3"/>
    <row r="49334" customFormat="1" x14ac:dyDescent="0.3"/>
    <row r="49335" customFormat="1" x14ac:dyDescent="0.3"/>
    <row r="49336" customFormat="1" x14ac:dyDescent="0.3"/>
    <row r="49337" customFormat="1" x14ac:dyDescent="0.3"/>
    <row r="49338" customFormat="1" x14ac:dyDescent="0.3"/>
    <row r="49339" customFormat="1" x14ac:dyDescent="0.3"/>
    <row r="49340" customFormat="1" x14ac:dyDescent="0.3"/>
    <row r="49341" customFormat="1" x14ac:dyDescent="0.3"/>
    <row r="49342" customFormat="1" x14ac:dyDescent="0.3"/>
    <row r="49343" customFormat="1" x14ac:dyDescent="0.3"/>
    <row r="49344" customFormat="1" x14ac:dyDescent="0.3"/>
    <row r="49345" customFormat="1" x14ac:dyDescent="0.3"/>
    <row r="49346" customFormat="1" x14ac:dyDescent="0.3"/>
    <row r="49347" customFormat="1" x14ac:dyDescent="0.3"/>
    <row r="49348" customFormat="1" x14ac:dyDescent="0.3"/>
    <row r="49349" customFormat="1" x14ac:dyDescent="0.3"/>
    <row r="49350" customFormat="1" x14ac:dyDescent="0.3"/>
    <row r="49351" customFormat="1" x14ac:dyDescent="0.3"/>
    <row r="49352" customFormat="1" x14ac:dyDescent="0.3"/>
    <row r="49353" customFormat="1" x14ac:dyDescent="0.3"/>
    <row r="49354" customFormat="1" x14ac:dyDescent="0.3"/>
    <row r="49355" customFormat="1" x14ac:dyDescent="0.3"/>
    <row r="49356" customFormat="1" x14ac:dyDescent="0.3"/>
    <row r="49357" customFormat="1" x14ac:dyDescent="0.3"/>
    <row r="49358" customFormat="1" x14ac:dyDescent="0.3"/>
    <row r="49359" customFormat="1" x14ac:dyDescent="0.3"/>
    <row r="49360" customFormat="1" x14ac:dyDescent="0.3"/>
    <row r="49361" customFormat="1" x14ac:dyDescent="0.3"/>
    <row r="49362" customFormat="1" x14ac:dyDescent="0.3"/>
    <row r="49363" customFormat="1" x14ac:dyDescent="0.3"/>
    <row r="49364" customFormat="1" x14ac:dyDescent="0.3"/>
    <row r="49365" customFormat="1" x14ac:dyDescent="0.3"/>
    <row r="49366" customFormat="1" x14ac:dyDescent="0.3"/>
    <row r="49367" customFormat="1" x14ac:dyDescent="0.3"/>
    <row r="49368" customFormat="1" x14ac:dyDescent="0.3"/>
    <row r="49369" customFormat="1" x14ac:dyDescent="0.3"/>
    <row r="49370" customFormat="1" x14ac:dyDescent="0.3"/>
    <row r="49371" customFormat="1" x14ac:dyDescent="0.3"/>
    <row r="49372" customFormat="1" x14ac:dyDescent="0.3"/>
    <row r="49373" customFormat="1" x14ac:dyDescent="0.3"/>
    <row r="49374" customFormat="1" x14ac:dyDescent="0.3"/>
    <row r="49375" customFormat="1" x14ac:dyDescent="0.3"/>
    <row r="49376" customFormat="1" x14ac:dyDescent="0.3"/>
    <row r="49377" customFormat="1" x14ac:dyDescent="0.3"/>
    <row r="49378" customFormat="1" x14ac:dyDescent="0.3"/>
    <row r="49379" customFormat="1" x14ac:dyDescent="0.3"/>
    <row r="49380" customFormat="1" x14ac:dyDescent="0.3"/>
    <row r="49381" customFormat="1" x14ac:dyDescent="0.3"/>
    <row r="49382" customFormat="1" x14ac:dyDescent="0.3"/>
    <row r="49383" customFormat="1" x14ac:dyDescent="0.3"/>
    <row r="49384" customFormat="1" x14ac:dyDescent="0.3"/>
    <row r="49385" customFormat="1" x14ac:dyDescent="0.3"/>
    <row r="49386" customFormat="1" x14ac:dyDescent="0.3"/>
    <row r="49387" customFormat="1" x14ac:dyDescent="0.3"/>
    <row r="49388" customFormat="1" x14ac:dyDescent="0.3"/>
    <row r="49389" customFormat="1" x14ac:dyDescent="0.3"/>
    <row r="49390" customFormat="1" x14ac:dyDescent="0.3"/>
    <row r="49391" customFormat="1" x14ac:dyDescent="0.3"/>
    <row r="49392" customFormat="1" x14ac:dyDescent="0.3"/>
    <row r="49393" customFormat="1" x14ac:dyDescent="0.3"/>
    <row r="49394" customFormat="1" x14ac:dyDescent="0.3"/>
    <row r="49395" customFormat="1" x14ac:dyDescent="0.3"/>
    <row r="49396" customFormat="1" x14ac:dyDescent="0.3"/>
    <row r="49397" customFormat="1" x14ac:dyDescent="0.3"/>
    <row r="49398" customFormat="1" x14ac:dyDescent="0.3"/>
    <row r="49399" customFormat="1" x14ac:dyDescent="0.3"/>
    <row r="49400" customFormat="1" x14ac:dyDescent="0.3"/>
    <row r="49401" customFormat="1" x14ac:dyDescent="0.3"/>
    <row r="49402" customFormat="1" x14ac:dyDescent="0.3"/>
    <row r="49403" customFormat="1" x14ac:dyDescent="0.3"/>
    <row r="49404" customFormat="1" x14ac:dyDescent="0.3"/>
    <row r="49405" customFormat="1" x14ac:dyDescent="0.3"/>
    <row r="49406" customFormat="1" x14ac:dyDescent="0.3"/>
    <row r="49407" customFormat="1" x14ac:dyDescent="0.3"/>
    <row r="49408" customFormat="1" x14ac:dyDescent="0.3"/>
    <row r="49409" customFormat="1" x14ac:dyDescent="0.3"/>
    <row r="49410" customFormat="1" x14ac:dyDescent="0.3"/>
    <row r="49411" customFormat="1" x14ac:dyDescent="0.3"/>
    <row r="49412" customFormat="1" x14ac:dyDescent="0.3"/>
    <row r="49413" customFormat="1" x14ac:dyDescent="0.3"/>
    <row r="49414" customFormat="1" x14ac:dyDescent="0.3"/>
    <row r="49415" customFormat="1" x14ac:dyDescent="0.3"/>
    <row r="49416" customFormat="1" x14ac:dyDescent="0.3"/>
    <row r="49417" customFormat="1" x14ac:dyDescent="0.3"/>
    <row r="49418" customFormat="1" x14ac:dyDescent="0.3"/>
    <row r="49419" customFormat="1" x14ac:dyDescent="0.3"/>
    <row r="49420" customFormat="1" x14ac:dyDescent="0.3"/>
    <row r="49421" customFormat="1" x14ac:dyDescent="0.3"/>
    <row r="49422" customFormat="1" x14ac:dyDescent="0.3"/>
    <row r="49423" customFormat="1" x14ac:dyDescent="0.3"/>
    <row r="49424" customFormat="1" x14ac:dyDescent="0.3"/>
    <row r="49425" customFormat="1" x14ac:dyDescent="0.3"/>
    <row r="49426" customFormat="1" x14ac:dyDescent="0.3"/>
    <row r="49427" customFormat="1" x14ac:dyDescent="0.3"/>
    <row r="49428" customFormat="1" x14ac:dyDescent="0.3"/>
    <row r="49429" customFormat="1" x14ac:dyDescent="0.3"/>
    <row r="49430" customFormat="1" x14ac:dyDescent="0.3"/>
    <row r="49431" customFormat="1" x14ac:dyDescent="0.3"/>
    <row r="49432" customFormat="1" x14ac:dyDescent="0.3"/>
    <row r="49433" customFormat="1" x14ac:dyDescent="0.3"/>
    <row r="49434" customFormat="1" x14ac:dyDescent="0.3"/>
    <row r="49435" customFormat="1" x14ac:dyDescent="0.3"/>
    <row r="49436" customFormat="1" x14ac:dyDescent="0.3"/>
    <row r="49437" customFormat="1" x14ac:dyDescent="0.3"/>
    <row r="49438" customFormat="1" x14ac:dyDescent="0.3"/>
    <row r="49439" customFormat="1" x14ac:dyDescent="0.3"/>
    <row r="49440" customFormat="1" x14ac:dyDescent="0.3"/>
    <row r="49441" customFormat="1" x14ac:dyDescent="0.3"/>
    <row r="49442" customFormat="1" x14ac:dyDescent="0.3"/>
    <row r="49443" customFormat="1" x14ac:dyDescent="0.3"/>
    <row r="49444" customFormat="1" x14ac:dyDescent="0.3"/>
    <row r="49445" customFormat="1" x14ac:dyDescent="0.3"/>
    <row r="49446" customFormat="1" x14ac:dyDescent="0.3"/>
    <row r="49447" customFormat="1" x14ac:dyDescent="0.3"/>
    <row r="49448" customFormat="1" x14ac:dyDescent="0.3"/>
    <row r="49449" customFormat="1" x14ac:dyDescent="0.3"/>
    <row r="49450" customFormat="1" x14ac:dyDescent="0.3"/>
    <row r="49451" customFormat="1" x14ac:dyDescent="0.3"/>
    <row r="49452" customFormat="1" x14ac:dyDescent="0.3"/>
    <row r="49453" customFormat="1" x14ac:dyDescent="0.3"/>
    <row r="49454" customFormat="1" x14ac:dyDescent="0.3"/>
    <row r="49455" customFormat="1" x14ac:dyDescent="0.3"/>
    <row r="49456" customFormat="1" x14ac:dyDescent="0.3"/>
    <row r="49457" customFormat="1" x14ac:dyDescent="0.3"/>
    <row r="49458" customFormat="1" x14ac:dyDescent="0.3"/>
    <row r="49459" customFormat="1" x14ac:dyDescent="0.3"/>
    <row r="49460" customFormat="1" x14ac:dyDescent="0.3"/>
    <row r="49461" customFormat="1" x14ac:dyDescent="0.3"/>
    <row r="49462" customFormat="1" x14ac:dyDescent="0.3"/>
    <row r="49463" customFormat="1" x14ac:dyDescent="0.3"/>
    <row r="49464" customFormat="1" x14ac:dyDescent="0.3"/>
    <row r="49465" customFormat="1" x14ac:dyDescent="0.3"/>
    <row r="49466" customFormat="1" x14ac:dyDescent="0.3"/>
    <row r="49467" customFormat="1" x14ac:dyDescent="0.3"/>
    <row r="49468" customFormat="1" x14ac:dyDescent="0.3"/>
    <row r="49469" customFormat="1" x14ac:dyDescent="0.3"/>
    <row r="49470" customFormat="1" x14ac:dyDescent="0.3"/>
    <row r="49471" customFormat="1" x14ac:dyDescent="0.3"/>
    <row r="49472" customFormat="1" x14ac:dyDescent="0.3"/>
    <row r="49473" customFormat="1" x14ac:dyDescent="0.3"/>
    <row r="49474" customFormat="1" x14ac:dyDescent="0.3"/>
    <row r="49475" customFormat="1" x14ac:dyDescent="0.3"/>
    <row r="49476" customFormat="1" x14ac:dyDescent="0.3"/>
    <row r="49477" customFormat="1" x14ac:dyDescent="0.3"/>
    <row r="49478" customFormat="1" x14ac:dyDescent="0.3"/>
    <row r="49479" customFormat="1" x14ac:dyDescent="0.3"/>
    <row r="49480" customFormat="1" x14ac:dyDescent="0.3"/>
    <row r="49481" customFormat="1" x14ac:dyDescent="0.3"/>
    <row r="49482" customFormat="1" x14ac:dyDescent="0.3"/>
    <row r="49483" customFormat="1" x14ac:dyDescent="0.3"/>
    <row r="49484" customFormat="1" x14ac:dyDescent="0.3"/>
    <row r="49485" customFormat="1" x14ac:dyDescent="0.3"/>
    <row r="49486" customFormat="1" x14ac:dyDescent="0.3"/>
    <row r="49487" customFormat="1" x14ac:dyDescent="0.3"/>
    <row r="49488" customFormat="1" x14ac:dyDescent="0.3"/>
    <row r="49489" customFormat="1" x14ac:dyDescent="0.3"/>
    <row r="49490" customFormat="1" x14ac:dyDescent="0.3"/>
    <row r="49491" customFormat="1" x14ac:dyDescent="0.3"/>
    <row r="49492" customFormat="1" x14ac:dyDescent="0.3"/>
    <row r="49493" customFormat="1" x14ac:dyDescent="0.3"/>
    <row r="49494" customFormat="1" x14ac:dyDescent="0.3"/>
    <row r="49495" customFormat="1" x14ac:dyDescent="0.3"/>
    <row r="49496" customFormat="1" x14ac:dyDescent="0.3"/>
    <row r="49497" customFormat="1" x14ac:dyDescent="0.3"/>
    <row r="49498" customFormat="1" x14ac:dyDescent="0.3"/>
    <row r="49499" customFormat="1" x14ac:dyDescent="0.3"/>
    <row r="49500" customFormat="1" x14ac:dyDescent="0.3"/>
    <row r="49501" customFormat="1" x14ac:dyDescent="0.3"/>
    <row r="49502" customFormat="1" x14ac:dyDescent="0.3"/>
    <row r="49503" customFormat="1" x14ac:dyDescent="0.3"/>
    <row r="49504" customFormat="1" x14ac:dyDescent="0.3"/>
    <row r="49505" customFormat="1" x14ac:dyDescent="0.3"/>
    <row r="49506" customFormat="1" x14ac:dyDescent="0.3"/>
    <row r="49507" customFormat="1" x14ac:dyDescent="0.3"/>
    <row r="49508" customFormat="1" x14ac:dyDescent="0.3"/>
    <row r="49509" customFormat="1" x14ac:dyDescent="0.3"/>
    <row r="49510" customFormat="1" x14ac:dyDescent="0.3"/>
    <row r="49511" customFormat="1" x14ac:dyDescent="0.3"/>
    <row r="49512" customFormat="1" x14ac:dyDescent="0.3"/>
    <row r="49513" customFormat="1" x14ac:dyDescent="0.3"/>
    <row r="49514" customFormat="1" x14ac:dyDescent="0.3"/>
    <row r="49515" customFormat="1" x14ac:dyDescent="0.3"/>
    <row r="49516" customFormat="1" x14ac:dyDescent="0.3"/>
    <row r="49517" customFormat="1" x14ac:dyDescent="0.3"/>
    <row r="49518" customFormat="1" x14ac:dyDescent="0.3"/>
    <row r="49519" customFormat="1" x14ac:dyDescent="0.3"/>
    <row r="49520" customFormat="1" x14ac:dyDescent="0.3"/>
    <row r="49521" customFormat="1" x14ac:dyDescent="0.3"/>
    <row r="49522" customFormat="1" x14ac:dyDescent="0.3"/>
    <row r="49523" customFormat="1" x14ac:dyDescent="0.3"/>
    <row r="49524" customFormat="1" x14ac:dyDescent="0.3"/>
    <row r="49525" customFormat="1" x14ac:dyDescent="0.3"/>
    <row r="49526" customFormat="1" x14ac:dyDescent="0.3"/>
    <row r="49527" customFormat="1" x14ac:dyDescent="0.3"/>
    <row r="49528" customFormat="1" x14ac:dyDescent="0.3"/>
    <row r="49529" customFormat="1" x14ac:dyDescent="0.3"/>
    <row r="49530" customFormat="1" x14ac:dyDescent="0.3"/>
    <row r="49531" customFormat="1" x14ac:dyDescent="0.3"/>
    <row r="49532" customFormat="1" x14ac:dyDescent="0.3"/>
    <row r="49533" customFormat="1" x14ac:dyDescent="0.3"/>
    <row r="49534" customFormat="1" x14ac:dyDescent="0.3"/>
    <row r="49535" customFormat="1" x14ac:dyDescent="0.3"/>
    <row r="49536" customFormat="1" x14ac:dyDescent="0.3"/>
    <row r="49537" customFormat="1" x14ac:dyDescent="0.3"/>
    <row r="49538" customFormat="1" x14ac:dyDescent="0.3"/>
    <row r="49539" customFormat="1" x14ac:dyDescent="0.3"/>
    <row r="49540" customFormat="1" x14ac:dyDescent="0.3"/>
    <row r="49541" customFormat="1" x14ac:dyDescent="0.3"/>
    <row r="49542" customFormat="1" x14ac:dyDescent="0.3"/>
    <row r="49543" customFormat="1" x14ac:dyDescent="0.3"/>
    <row r="49544" customFormat="1" x14ac:dyDescent="0.3"/>
    <row r="49545" customFormat="1" x14ac:dyDescent="0.3"/>
    <row r="49546" customFormat="1" x14ac:dyDescent="0.3"/>
    <row r="49547" customFormat="1" x14ac:dyDescent="0.3"/>
    <row r="49548" customFormat="1" x14ac:dyDescent="0.3"/>
    <row r="49549" customFormat="1" x14ac:dyDescent="0.3"/>
    <row r="49550" customFormat="1" x14ac:dyDescent="0.3"/>
    <row r="49551" customFormat="1" x14ac:dyDescent="0.3"/>
    <row r="49552" customFormat="1" x14ac:dyDescent="0.3"/>
    <row r="49553" customFormat="1" x14ac:dyDescent="0.3"/>
    <row r="49554" customFormat="1" x14ac:dyDescent="0.3"/>
    <row r="49555" customFormat="1" x14ac:dyDescent="0.3"/>
    <row r="49556" customFormat="1" x14ac:dyDescent="0.3"/>
    <row r="49557" customFormat="1" x14ac:dyDescent="0.3"/>
    <row r="49558" customFormat="1" x14ac:dyDescent="0.3"/>
    <row r="49559" customFormat="1" x14ac:dyDescent="0.3"/>
    <row r="49560" customFormat="1" x14ac:dyDescent="0.3"/>
    <row r="49561" customFormat="1" x14ac:dyDescent="0.3"/>
    <row r="49562" customFormat="1" x14ac:dyDescent="0.3"/>
    <row r="49563" customFormat="1" x14ac:dyDescent="0.3"/>
    <row r="49564" customFormat="1" x14ac:dyDescent="0.3"/>
    <row r="49565" customFormat="1" x14ac:dyDescent="0.3"/>
    <row r="49566" customFormat="1" x14ac:dyDescent="0.3"/>
    <row r="49567" customFormat="1" x14ac:dyDescent="0.3"/>
    <row r="49568" customFormat="1" x14ac:dyDescent="0.3"/>
    <row r="49569" customFormat="1" x14ac:dyDescent="0.3"/>
    <row r="49570" customFormat="1" x14ac:dyDescent="0.3"/>
    <row r="49571" customFormat="1" x14ac:dyDescent="0.3"/>
    <row r="49572" customFormat="1" x14ac:dyDescent="0.3"/>
    <row r="49573" customFormat="1" x14ac:dyDescent="0.3"/>
    <row r="49574" customFormat="1" x14ac:dyDescent="0.3"/>
    <row r="49575" customFormat="1" x14ac:dyDescent="0.3"/>
    <row r="49576" customFormat="1" x14ac:dyDescent="0.3"/>
    <row r="49577" customFormat="1" x14ac:dyDescent="0.3"/>
    <row r="49578" customFormat="1" x14ac:dyDescent="0.3"/>
    <row r="49579" customFormat="1" x14ac:dyDescent="0.3"/>
    <row r="49580" customFormat="1" x14ac:dyDescent="0.3"/>
    <row r="49581" customFormat="1" x14ac:dyDescent="0.3"/>
    <row r="49582" customFormat="1" x14ac:dyDescent="0.3"/>
    <row r="49583" customFormat="1" x14ac:dyDescent="0.3"/>
    <row r="49584" customFormat="1" x14ac:dyDescent="0.3"/>
    <row r="49585" customFormat="1" x14ac:dyDescent="0.3"/>
    <row r="49586" customFormat="1" x14ac:dyDescent="0.3"/>
    <row r="49587" customFormat="1" x14ac:dyDescent="0.3"/>
    <row r="49588" customFormat="1" x14ac:dyDescent="0.3"/>
    <row r="49589" customFormat="1" x14ac:dyDescent="0.3"/>
    <row r="49590" customFormat="1" x14ac:dyDescent="0.3"/>
    <row r="49591" customFormat="1" x14ac:dyDescent="0.3"/>
    <row r="49592" customFormat="1" x14ac:dyDescent="0.3"/>
    <row r="49593" customFormat="1" x14ac:dyDescent="0.3"/>
    <row r="49594" customFormat="1" x14ac:dyDescent="0.3"/>
    <row r="49595" customFormat="1" x14ac:dyDescent="0.3"/>
    <row r="49596" customFormat="1" x14ac:dyDescent="0.3"/>
    <row r="49597" customFormat="1" x14ac:dyDescent="0.3"/>
    <row r="49598" customFormat="1" x14ac:dyDescent="0.3"/>
    <row r="49599" customFormat="1" x14ac:dyDescent="0.3"/>
    <row r="49600" customFormat="1" x14ac:dyDescent="0.3"/>
    <row r="49601" customFormat="1" x14ac:dyDescent="0.3"/>
    <row r="49602" customFormat="1" x14ac:dyDescent="0.3"/>
    <row r="49603" customFormat="1" x14ac:dyDescent="0.3"/>
    <row r="49604" customFormat="1" x14ac:dyDescent="0.3"/>
    <row r="49605" customFormat="1" x14ac:dyDescent="0.3"/>
    <row r="49606" customFormat="1" x14ac:dyDescent="0.3"/>
    <row r="49607" customFormat="1" x14ac:dyDescent="0.3"/>
    <row r="49608" customFormat="1" x14ac:dyDescent="0.3"/>
    <row r="49609" customFormat="1" x14ac:dyDescent="0.3"/>
    <row r="49610" customFormat="1" x14ac:dyDescent="0.3"/>
    <row r="49611" customFormat="1" x14ac:dyDescent="0.3"/>
    <row r="49612" customFormat="1" x14ac:dyDescent="0.3"/>
    <row r="49613" customFormat="1" x14ac:dyDescent="0.3"/>
    <row r="49614" customFormat="1" x14ac:dyDescent="0.3"/>
    <row r="49615" customFormat="1" x14ac:dyDescent="0.3"/>
    <row r="49616" customFormat="1" x14ac:dyDescent="0.3"/>
    <row r="49617" customFormat="1" x14ac:dyDescent="0.3"/>
    <row r="49618" customFormat="1" x14ac:dyDescent="0.3"/>
    <row r="49619" customFormat="1" x14ac:dyDescent="0.3"/>
    <row r="49620" customFormat="1" x14ac:dyDescent="0.3"/>
    <row r="49621" customFormat="1" x14ac:dyDescent="0.3"/>
    <row r="49622" customFormat="1" x14ac:dyDescent="0.3"/>
    <row r="49623" customFormat="1" x14ac:dyDescent="0.3"/>
    <row r="49624" customFormat="1" x14ac:dyDescent="0.3"/>
    <row r="49625" customFormat="1" x14ac:dyDescent="0.3"/>
    <row r="49626" customFormat="1" x14ac:dyDescent="0.3"/>
    <row r="49627" customFormat="1" x14ac:dyDescent="0.3"/>
    <row r="49628" customFormat="1" x14ac:dyDescent="0.3"/>
    <row r="49629" customFormat="1" x14ac:dyDescent="0.3"/>
    <row r="49630" customFormat="1" x14ac:dyDescent="0.3"/>
    <row r="49631" customFormat="1" x14ac:dyDescent="0.3"/>
    <row r="49632" customFormat="1" x14ac:dyDescent="0.3"/>
    <row r="49633" customFormat="1" x14ac:dyDescent="0.3"/>
    <row r="49634" customFormat="1" x14ac:dyDescent="0.3"/>
    <row r="49635" customFormat="1" x14ac:dyDescent="0.3"/>
    <row r="49636" customFormat="1" x14ac:dyDescent="0.3"/>
    <row r="49637" customFormat="1" x14ac:dyDescent="0.3"/>
    <row r="49638" customFormat="1" x14ac:dyDescent="0.3"/>
    <row r="49639" customFormat="1" x14ac:dyDescent="0.3"/>
    <row r="49640" customFormat="1" x14ac:dyDescent="0.3"/>
    <row r="49641" customFormat="1" x14ac:dyDescent="0.3"/>
    <row r="49642" customFormat="1" x14ac:dyDescent="0.3"/>
    <row r="49643" customFormat="1" x14ac:dyDescent="0.3"/>
    <row r="49644" customFormat="1" x14ac:dyDescent="0.3"/>
    <row r="49645" customFormat="1" x14ac:dyDescent="0.3"/>
    <row r="49646" customFormat="1" x14ac:dyDescent="0.3"/>
    <row r="49647" customFormat="1" x14ac:dyDescent="0.3"/>
    <row r="49648" customFormat="1" x14ac:dyDescent="0.3"/>
    <row r="49649" customFormat="1" x14ac:dyDescent="0.3"/>
    <row r="49650" customFormat="1" x14ac:dyDescent="0.3"/>
    <row r="49651" customFormat="1" x14ac:dyDescent="0.3"/>
    <row r="49652" customFormat="1" x14ac:dyDescent="0.3"/>
    <row r="49653" customFormat="1" x14ac:dyDescent="0.3"/>
    <row r="49654" customFormat="1" x14ac:dyDescent="0.3"/>
    <row r="49655" customFormat="1" x14ac:dyDescent="0.3"/>
    <row r="49656" customFormat="1" x14ac:dyDescent="0.3"/>
    <row r="49657" customFormat="1" x14ac:dyDescent="0.3"/>
    <row r="49658" customFormat="1" x14ac:dyDescent="0.3"/>
    <row r="49659" customFormat="1" x14ac:dyDescent="0.3"/>
    <row r="49660" customFormat="1" x14ac:dyDescent="0.3"/>
    <row r="49661" customFormat="1" x14ac:dyDescent="0.3"/>
    <row r="49662" customFormat="1" x14ac:dyDescent="0.3"/>
    <row r="49663" customFormat="1" x14ac:dyDescent="0.3"/>
    <row r="49664" customFormat="1" x14ac:dyDescent="0.3"/>
    <row r="49665" customFormat="1" x14ac:dyDescent="0.3"/>
    <row r="49666" customFormat="1" x14ac:dyDescent="0.3"/>
    <row r="49667" customFormat="1" x14ac:dyDescent="0.3"/>
    <row r="49668" customFormat="1" x14ac:dyDescent="0.3"/>
    <row r="49669" customFormat="1" x14ac:dyDescent="0.3"/>
    <row r="49670" customFormat="1" x14ac:dyDescent="0.3"/>
    <row r="49671" customFormat="1" x14ac:dyDescent="0.3"/>
    <row r="49672" customFormat="1" x14ac:dyDescent="0.3"/>
    <row r="49673" customFormat="1" x14ac:dyDescent="0.3"/>
    <row r="49674" customFormat="1" x14ac:dyDescent="0.3"/>
    <row r="49675" customFormat="1" x14ac:dyDescent="0.3"/>
    <row r="49676" customFormat="1" x14ac:dyDescent="0.3"/>
    <row r="49677" customFormat="1" x14ac:dyDescent="0.3"/>
    <row r="49678" customFormat="1" x14ac:dyDescent="0.3"/>
    <row r="49679" customFormat="1" x14ac:dyDescent="0.3"/>
    <row r="49680" customFormat="1" x14ac:dyDescent="0.3"/>
    <row r="49681" customFormat="1" x14ac:dyDescent="0.3"/>
    <row r="49682" customFormat="1" x14ac:dyDescent="0.3"/>
    <row r="49683" customFormat="1" x14ac:dyDescent="0.3"/>
    <row r="49684" customFormat="1" x14ac:dyDescent="0.3"/>
    <row r="49685" customFormat="1" x14ac:dyDescent="0.3"/>
    <row r="49686" customFormat="1" x14ac:dyDescent="0.3"/>
    <row r="49687" customFormat="1" x14ac:dyDescent="0.3"/>
    <row r="49688" customFormat="1" x14ac:dyDescent="0.3"/>
    <row r="49689" customFormat="1" x14ac:dyDescent="0.3"/>
    <row r="49690" customFormat="1" x14ac:dyDescent="0.3"/>
    <row r="49691" customFormat="1" x14ac:dyDescent="0.3"/>
    <row r="49692" customFormat="1" x14ac:dyDescent="0.3"/>
    <row r="49693" customFormat="1" x14ac:dyDescent="0.3"/>
    <row r="49694" customFormat="1" x14ac:dyDescent="0.3"/>
    <row r="49695" customFormat="1" x14ac:dyDescent="0.3"/>
    <row r="49696" customFormat="1" x14ac:dyDescent="0.3"/>
    <row r="49697" customFormat="1" x14ac:dyDescent="0.3"/>
    <row r="49698" customFormat="1" x14ac:dyDescent="0.3"/>
    <row r="49699" customFormat="1" x14ac:dyDescent="0.3"/>
    <row r="49700" customFormat="1" x14ac:dyDescent="0.3"/>
    <row r="49701" customFormat="1" x14ac:dyDescent="0.3"/>
    <row r="49702" customFormat="1" x14ac:dyDescent="0.3"/>
    <row r="49703" customFormat="1" x14ac:dyDescent="0.3"/>
    <row r="49704" customFormat="1" x14ac:dyDescent="0.3"/>
    <row r="49705" customFormat="1" x14ac:dyDescent="0.3"/>
    <row r="49706" customFormat="1" x14ac:dyDescent="0.3"/>
    <row r="49707" customFormat="1" x14ac:dyDescent="0.3"/>
    <row r="49708" customFormat="1" x14ac:dyDescent="0.3"/>
    <row r="49709" customFormat="1" x14ac:dyDescent="0.3"/>
    <row r="49710" customFormat="1" x14ac:dyDescent="0.3"/>
    <row r="49711" customFormat="1" x14ac:dyDescent="0.3"/>
    <row r="49712" customFormat="1" x14ac:dyDescent="0.3"/>
    <row r="49713" customFormat="1" x14ac:dyDescent="0.3"/>
    <row r="49714" customFormat="1" x14ac:dyDescent="0.3"/>
    <row r="49715" customFormat="1" x14ac:dyDescent="0.3"/>
    <row r="49716" customFormat="1" x14ac:dyDescent="0.3"/>
    <row r="49717" customFormat="1" x14ac:dyDescent="0.3"/>
    <row r="49718" customFormat="1" x14ac:dyDescent="0.3"/>
    <row r="49719" customFormat="1" x14ac:dyDescent="0.3"/>
    <row r="49720" customFormat="1" x14ac:dyDescent="0.3"/>
    <row r="49721" customFormat="1" x14ac:dyDescent="0.3"/>
    <row r="49722" customFormat="1" x14ac:dyDescent="0.3"/>
    <row r="49723" customFormat="1" x14ac:dyDescent="0.3"/>
    <row r="49724" customFormat="1" x14ac:dyDescent="0.3"/>
    <row r="49725" customFormat="1" x14ac:dyDescent="0.3"/>
    <row r="49726" customFormat="1" x14ac:dyDescent="0.3"/>
    <row r="49727" customFormat="1" x14ac:dyDescent="0.3"/>
    <row r="49728" customFormat="1" x14ac:dyDescent="0.3"/>
    <row r="49729" customFormat="1" x14ac:dyDescent="0.3"/>
    <row r="49730" customFormat="1" x14ac:dyDescent="0.3"/>
    <row r="49731" customFormat="1" x14ac:dyDescent="0.3"/>
    <row r="49732" customFormat="1" x14ac:dyDescent="0.3"/>
    <row r="49733" customFormat="1" x14ac:dyDescent="0.3"/>
    <row r="49734" customFormat="1" x14ac:dyDescent="0.3"/>
    <row r="49735" customFormat="1" x14ac:dyDescent="0.3"/>
    <row r="49736" customFormat="1" x14ac:dyDescent="0.3"/>
    <row r="49737" customFormat="1" x14ac:dyDescent="0.3"/>
    <row r="49738" customFormat="1" x14ac:dyDescent="0.3"/>
    <row r="49739" customFormat="1" x14ac:dyDescent="0.3"/>
    <row r="49740" customFormat="1" x14ac:dyDescent="0.3"/>
    <row r="49741" customFormat="1" x14ac:dyDescent="0.3"/>
    <row r="49742" customFormat="1" x14ac:dyDescent="0.3"/>
    <row r="49743" customFormat="1" x14ac:dyDescent="0.3"/>
    <row r="49744" customFormat="1" x14ac:dyDescent="0.3"/>
    <row r="49745" customFormat="1" x14ac:dyDescent="0.3"/>
    <row r="49746" customFormat="1" x14ac:dyDescent="0.3"/>
    <row r="49747" customFormat="1" x14ac:dyDescent="0.3"/>
    <row r="49748" customFormat="1" x14ac:dyDescent="0.3"/>
    <row r="49749" customFormat="1" x14ac:dyDescent="0.3"/>
    <row r="49750" customFormat="1" x14ac:dyDescent="0.3"/>
    <row r="49751" customFormat="1" x14ac:dyDescent="0.3"/>
    <row r="49752" customFormat="1" x14ac:dyDescent="0.3"/>
    <row r="49753" customFormat="1" x14ac:dyDescent="0.3"/>
    <row r="49754" customFormat="1" x14ac:dyDescent="0.3"/>
    <row r="49755" customFormat="1" x14ac:dyDescent="0.3"/>
    <row r="49756" customFormat="1" x14ac:dyDescent="0.3"/>
    <row r="49757" customFormat="1" x14ac:dyDescent="0.3"/>
    <row r="49758" customFormat="1" x14ac:dyDescent="0.3"/>
    <row r="49759" customFormat="1" x14ac:dyDescent="0.3"/>
    <row r="49760" customFormat="1" x14ac:dyDescent="0.3"/>
    <row r="49761" customFormat="1" x14ac:dyDescent="0.3"/>
    <row r="49762" customFormat="1" x14ac:dyDescent="0.3"/>
    <row r="49763" customFormat="1" x14ac:dyDescent="0.3"/>
    <row r="49764" customFormat="1" x14ac:dyDescent="0.3"/>
    <row r="49765" customFormat="1" x14ac:dyDescent="0.3"/>
    <row r="49766" customFormat="1" x14ac:dyDescent="0.3"/>
    <row r="49767" customFormat="1" x14ac:dyDescent="0.3"/>
    <row r="49768" customFormat="1" x14ac:dyDescent="0.3"/>
    <row r="49769" customFormat="1" x14ac:dyDescent="0.3"/>
    <row r="49770" customFormat="1" x14ac:dyDescent="0.3"/>
    <row r="49771" customFormat="1" x14ac:dyDescent="0.3"/>
    <row r="49772" customFormat="1" x14ac:dyDescent="0.3"/>
    <row r="49773" customFormat="1" x14ac:dyDescent="0.3"/>
    <row r="49774" customFormat="1" x14ac:dyDescent="0.3"/>
    <row r="49775" customFormat="1" x14ac:dyDescent="0.3"/>
    <row r="49776" customFormat="1" x14ac:dyDescent="0.3"/>
    <row r="49777" customFormat="1" x14ac:dyDescent="0.3"/>
    <row r="49778" customFormat="1" x14ac:dyDescent="0.3"/>
    <row r="49779" customFormat="1" x14ac:dyDescent="0.3"/>
    <row r="49780" customFormat="1" x14ac:dyDescent="0.3"/>
    <row r="49781" customFormat="1" x14ac:dyDescent="0.3"/>
    <row r="49782" customFormat="1" x14ac:dyDescent="0.3"/>
    <row r="49783" customFormat="1" x14ac:dyDescent="0.3"/>
    <row r="49784" customFormat="1" x14ac:dyDescent="0.3"/>
    <row r="49785" customFormat="1" x14ac:dyDescent="0.3"/>
    <row r="49786" customFormat="1" x14ac:dyDescent="0.3"/>
    <row r="49787" customFormat="1" x14ac:dyDescent="0.3"/>
    <row r="49788" customFormat="1" x14ac:dyDescent="0.3"/>
    <row r="49789" customFormat="1" x14ac:dyDescent="0.3"/>
    <row r="49790" customFormat="1" x14ac:dyDescent="0.3"/>
    <row r="49791" customFormat="1" x14ac:dyDescent="0.3"/>
    <row r="49792" customFormat="1" x14ac:dyDescent="0.3"/>
    <row r="49793" customFormat="1" x14ac:dyDescent="0.3"/>
    <row r="49794" customFormat="1" x14ac:dyDescent="0.3"/>
    <row r="49795" customFormat="1" x14ac:dyDescent="0.3"/>
    <row r="49796" customFormat="1" x14ac:dyDescent="0.3"/>
    <row r="49797" customFormat="1" x14ac:dyDescent="0.3"/>
    <row r="49798" customFormat="1" x14ac:dyDescent="0.3"/>
    <row r="49799" customFormat="1" x14ac:dyDescent="0.3"/>
    <row r="49800" customFormat="1" x14ac:dyDescent="0.3"/>
    <row r="49801" customFormat="1" x14ac:dyDescent="0.3"/>
    <row r="49802" customFormat="1" x14ac:dyDescent="0.3"/>
    <row r="49803" customFormat="1" x14ac:dyDescent="0.3"/>
    <row r="49804" customFormat="1" x14ac:dyDescent="0.3"/>
    <row r="49805" customFormat="1" x14ac:dyDescent="0.3"/>
    <row r="49806" customFormat="1" x14ac:dyDescent="0.3"/>
    <row r="49807" customFormat="1" x14ac:dyDescent="0.3"/>
    <row r="49808" customFormat="1" x14ac:dyDescent="0.3"/>
    <row r="49809" customFormat="1" x14ac:dyDescent="0.3"/>
    <row r="49810" customFormat="1" x14ac:dyDescent="0.3"/>
    <row r="49811" customFormat="1" x14ac:dyDescent="0.3"/>
    <row r="49812" customFormat="1" x14ac:dyDescent="0.3"/>
    <row r="49813" customFormat="1" x14ac:dyDescent="0.3"/>
    <row r="49814" customFormat="1" x14ac:dyDescent="0.3"/>
    <row r="49815" customFormat="1" x14ac:dyDescent="0.3"/>
    <row r="49816" customFormat="1" x14ac:dyDescent="0.3"/>
    <row r="49817" customFormat="1" x14ac:dyDescent="0.3"/>
    <row r="49818" customFormat="1" x14ac:dyDescent="0.3"/>
    <row r="49819" customFormat="1" x14ac:dyDescent="0.3"/>
    <row r="49820" customFormat="1" x14ac:dyDescent="0.3"/>
    <row r="49821" customFormat="1" x14ac:dyDescent="0.3"/>
    <row r="49822" customFormat="1" x14ac:dyDescent="0.3"/>
    <row r="49823" customFormat="1" x14ac:dyDescent="0.3"/>
    <row r="49824" customFormat="1" x14ac:dyDescent="0.3"/>
    <row r="49825" customFormat="1" x14ac:dyDescent="0.3"/>
    <row r="49826" customFormat="1" x14ac:dyDescent="0.3"/>
    <row r="49827" customFormat="1" x14ac:dyDescent="0.3"/>
    <row r="49828" customFormat="1" x14ac:dyDescent="0.3"/>
    <row r="49829" customFormat="1" x14ac:dyDescent="0.3"/>
    <row r="49830" customFormat="1" x14ac:dyDescent="0.3"/>
    <row r="49831" customFormat="1" x14ac:dyDescent="0.3"/>
    <row r="49832" customFormat="1" x14ac:dyDescent="0.3"/>
    <row r="49833" customFormat="1" x14ac:dyDescent="0.3"/>
    <row r="49834" customFormat="1" x14ac:dyDescent="0.3"/>
    <row r="49835" customFormat="1" x14ac:dyDescent="0.3"/>
    <row r="49836" customFormat="1" x14ac:dyDescent="0.3"/>
    <row r="49837" customFormat="1" x14ac:dyDescent="0.3"/>
    <row r="49838" customFormat="1" x14ac:dyDescent="0.3"/>
    <row r="49839" customFormat="1" x14ac:dyDescent="0.3"/>
    <row r="49840" customFormat="1" x14ac:dyDescent="0.3"/>
    <row r="49841" customFormat="1" x14ac:dyDescent="0.3"/>
    <row r="49842" customFormat="1" x14ac:dyDescent="0.3"/>
    <row r="49843" customFormat="1" x14ac:dyDescent="0.3"/>
    <row r="49844" customFormat="1" x14ac:dyDescent="0.3"/>
    <row r="49845" customFormat="1" x14ac:dyDescent="0.3"/>
    <row r="49846" customFormat="1" x14ac:dyDescent="0.3"/>
    <row r="49847" customFormat="1" x14ac:dyDescent="0.3"/>
    <row r="49848" customFormat="1" x14ac:dyDescent="0.3"/>
    <row r="49849" customFormat="1" x14ac:dyDescent="0.3"/>
    <row r="49850" customFormat="1" x14ac:dyDescent="0.3"/>
    <row r="49851" customFormat="1" x14ac:dyDescent="0.3"/>
    <row r="49852" customFormat="1" x14ac:dyDescent="0.3"/>
    <row r="49853" customFormat="1" x14ac:dyDescent="0.3"/>
    <row r="49854" customFormat="1" x14ac:dyDescent="0.3"/>
    <row r="49855" customFormat="1" x14ac:dyDescent="0.3"/>
    <row r="49856" customFormat="1" x14ac:dyDescent="0.3"/>
    <row r="49857" customFormat="1" x14ac:dyDescent="0.3"/>
    <row r="49858" customFormat="1" x14ac:dyDescent="0.3"/>
    <row r="49859" customFormat="1" x14ac:dyDescent="0.3"/>
    <row r="49860" customFormat="1" x14ac:dyDescent="0.3"/>
    <row r="49861" customFormat="1" x14ac:dyDescent="0.3"/>
    <row r="49862" customFormat="1" x14ac:dyDescent="0.3"/>
    <row r="49863" customFormat="1" x14ac:dyDescent="0.3"/>
    <row r="49864" customFormat="1" x14ac:dyDescent="0.3"/>
    <row r="49865" customFormat="1" x14ac:dyDescent="0.3"/>
    <row r="49866" customFormat="1" x14ac:dyDescent="0.3"/>
    <row r="49867" customFormat="1" x14ac:dyDescent="0.3"/>
    <row r="49868" customFormat="1" x14ac:dyDescent="0.3"/>
    <row r="49869" customFormat="1" x14ac:dyDescent="0.3"/>
    <row r="49870" customFormat="1" x14ac:dyDescent="0.3"/>
    <row r="49871" customFormat="1" x14ac:dyDescent="0.3"/>
    <row r="49872" customFormat="1" x14ac:dyDescent="0.3"/>
    <row r="49873" customFormat="1" x14ac:dyDescent="0.3"/>
    <row r="49874" customFormat="1" x14ac:dyDescent="0.3"/>
    <row r="49875" customFormat="1" x14ac:dyDescent="0.3"/>
    <row r="49876" customFormat="1" x14ac:dyDescent="0.3"/>
    <row r="49877" customFormat="1" x14ac:dyDescent="0.3"/>
    <row r="49878" customFormat="1" x14ac:dyDescent="0.3"/>
    <row r="49879" customFormat="1" x14ac:dyDescent="0.3"/>
    <row r="49880" customFormat="1" x14ac:dyDescent="0.3"/>
    <row r="49881" customFormat="1" x14ac:dyDescent="0.3"/>
    <row r="49882" customFormat="1" x14ac:dyDescent="0.3"/>
    <row r="49883" customFormat="1" x14ac:dyDescent="0.3"/>
    <row r="49884" customFormat="1" x14ac:dyDescent="0.3"/>
    <row r="49885" customFormat="1" x14ac:dyDescent="0.3"/>
    <row r="49886" customFormat="1" x14ac:dyDescent="0.3"/>
    <row r="49887" customFormat="1" x14ac:dyDescent="0.3"/>
    <row r="49888" customFormat="1" x14ac:dyDescent="0.3"/>
    <row r="49889" customFormat="1" x14ac:dyDescent="0.3"/>
    <row r="49890" customFormat="1" x14ac:dyDescent="0.3"/>
    <row r="49891" customFormat="1" x14ac:dyDescent="0.3"/>
    <row r="49892" customFormat="1" x14ac:dyDescent="0.3"/>
    <row r="49893" customFormat="1" x14ac:dyDescent="0.3"/>
    <row r="49894" customFormat="1" x14ac:dyDescent="0.3"/>
    <row r="49895" customFormat="1" x14ac:dyDescent="0.3"/>
    <row r="49896" customFormat="1" x14ac:dyDescent="0.3"/>
    <row r="49897" customFormat="1" x14ac:dyDescent="0.3"/>
    <row r="49898" customFormat="1" x14ac:dyDescent="0.3"/>
    <row r="49899" customFormat="1" x14ac:dyDescent="0.3"/>
    <row r="49900" customFormat="1" x14ac:dyDescent="0.3"/>
    <row r="49901" customFormat="1" x14ac:dyDescent="0.3"/>
    <row r="49902" customFormat="1" x14ac:dyDescent="0.3"/>
    <row r="49903" customFormat="1" x14ac:dyDescent="0.3"/>
    <row r="49904" customFormat="1" x14ac:dyDescent="0.3"/>
    <row r="49905" customFormat="1" x14ac:dyDescent="0.3"/>
    <row r="49906" customFormat="1" x14ac:dyDescent="0.3"/>
    <row r="49907" customFormat="1" x14ac:dyDescent="0.3"/>
    <row r="49908" customFormat="1" x14ac:dyDescent="0.3"/>
    <row r="49909" customFormat="1" x14ac:dyDescent="0.3"/>
    <row r="49910" customFormat="1" x14ac:dyDescent="0.3"/>
    <row r="49911" customFormat="1" x14ac:dyDescent="0.3"/>
    <row r="49912" customFormat="1" x14ac:dyDescent="0.3"/>
    <row r="49913" customFormat="1" x14ac:dyDescent="0.3"/>
    <row r="49914" customFormat="1" x14ac:dyDescent="0.3"/>
    <row r="49915" customFormat="1" x14ac:dyDescent="0.3"/>
    <row r="49916" customFormat="1" x14ac:dyDescent="0.3"/>
    <row r="49917" customFormat="1" x14ac:dyDescent="0.3"/>
    <row r="49918" customFormat="1" x14ac:dyDescent="0.3"/>
    <row r="49919" customFormat="1" x14ac:dyDescent="0.3"/>
    <row r="49920" customFormat="1" x14ac:dyDescent="0.3"/>
    <row r="49921" customFormat="1" x14ac:dyDescent="0.3"/>
    <row r="49922" customFormat="1" x14ac:dyDescent="0.3"/>
    <row r="49923" customFormat="1" x14ac:dyDescent="0.3"/>
    <row r="49924" customFormat="1" x14ac:dyDescent="0.3"/>
    <row r="49925" customFormat="1" x14ac:dyDescent="0.3"/>
    <row r="49926" customFormat="1" x14ac:dyDescent="0.3"/>
    <row r="49927" customFormat="1" x14ac:dyDescent="0.3"/>
    <row r="49928" customFormat="1" x14ac:dyDescent="0.3"/>
    <row r="49929" customFormat="1" x14ac:dyDescent="0.3"/>
    <row r="49930" customFormat="1" x14ac:dyDescent="0.3"/>
    <row r="49931" customFormat="1" x14ac:dyDescent="0.3"/>
    <row r="49932" customFormat="1" x14ac:dyDescent="0.3"/>
    <row r="49933" customFormat="1" x14ac:dyDescent="0.3"/>
    <row r="49934" customFormat="1" x14ac:dyDescent="0.3"/>
    <row r="49935" customFormat="1" x14ac:dyDescent="0.3"/>
    <row r="49936" customFormat="1" x14ac:dyDescent="0.3"/>
    <row r="49937" customFormat="1" x14ac:dyDescent="0.3"/>
    <row r="49938" customFormat="1" x14ac:dyDescent="0.3"/>
    <row r="49939" customFormat="1" x14ac:dyDescent="0.3"/>
    <row r="49940" customFormat="1" x14ac:dyDescent="0.3"/>
    <row r="49941" customFormat="1" x14ac:dyDescent="0.3"/>
    <row r="49942" customFormat="1" x14ac:dyDescent="0.3"/>
    <row r="49943" customFormat="1" x14ac:dyDescent="0.3"/>
    <row r="49944" customFormat="1" x14ac:dyDescent="0.3"/>
    <row r="49945" customFormat="1" x14ac:dyDescent="0.3"/>
    <row r="49946" customFormat="1" x14ac:dyDescent="0.3"/>
    <row r="49947" customFormat="1" x14ac:dyDescent="0.3"/>
    <row r="49948" customFormat="1" x14ac:dyDescent="0.3"/>
    <row r="49949" customFormat="1" x14ac:dyDescent="0.3"/>
    <row r="49950" customFormat="1" x14ac:dyDescent="0.3"/>
    <row r="49951" customFormat="1" x14ac:dyDescent="0.3"/>
    <row r="49952" customFormat="1" x14ac:dyDescent="0.3"/>
    <row r="49953" customFormat="1" x14ac:dyDescent="0.3"/>
    <row r="49954" customFormat="1" x14ac:dyDescent="0.3"/>
    <row r="49955" customFormat="1" x14ac:dyDescent="0.3"/>
    <row r="49956" customFormat="1" x14ac:dyDescent="0.3"/>
    <row r="49957" customFormat="1" x14ac:dyDescent="0.3"/>
    <row r="49958" customFormat="1" x14ac:dyDescent="0.3"/>
    <row r="49959" customFormat="1" x14ac:dyDescent="0.3"/>
    <row r="49960" customFormat="1" x14ac:dyDescent="0.3"/>
    <row r="49961" customFormat="1" x14ac:dyDescent="0.3"/>
    <row r="49962" customFormat="1" x14ac:dyDescent="0.3"/>
    <row r="49963" customFormat="1" x14ac:dyDescent="0.3"/>
    <row r="49964" customFormat="1" x14ac:dyDescent="0.3"/>
    <row r="49965" customFormat="1" x14ac:dyDescent="0.3"/>
    <row r="49966" customFormat="1" x14ac:dyDescent="0.3"/>
    <row r="49967" customFormat="1" x14ac:dyDescent="0.3"/>
    <row r="49968" customFormat="1" x14ac:dyDescent="0.3"/>
    <row r="49969" customFormat="1" x14ac:dyDescent="0.3"/>
    <row r="49970" customFormat="1" x14ac:dyDescent="0.3"/>
    <row r="49971" customFormat="1" x14ac:dyDescent="0.3"/>
    <row r="49972" customFormat="1" x14ac:dyDescent="0.3"/>
    <row r="49973" customFormat="1" x14ac:dyDescent="0.3"/>
    <row r="49974" customFormat="1" x14ac:dyDescent="0.3"/>
    <row r="49975" customFormat="1" x14ac:dyDescent="0.3"/>
    <row r="49976" customFormat="1" x14ac:dyDescent="0.3"/>
    <row r="49977" customFormat="1" x14ac:dyDescent="0.3"/>
    <row r="49978" customFormat="1" x14ac:dyDescent="0.3"/>
    <row r="49979" customFormat="1" x14ac:dyDescent="0.3"/>
    <row r="49980" customFormat="1" x14ac:dyDescent="0.3"/>
    <row r="49981" customFormat="1" x14ac:dyDescent="0.3"/>
    <row r="49982" customFormat="1" x14ac:dyDescent="0.3"/>
    <row r="49983" customFormat="1" x14ac:dyDescent="0.3"/>
    <row r="49984" customFormat="1" x14ac:dyDescent="0.3"/>
    <row r="49985" customFormat="1" x14ac:dyDescent="0.3"/>
    <row r="49986" customFormat="1" x14ac:dyDescent="0.3"/>
    <row r="49987" customFormat="1" x14ac:dyDescent="0.3"/>
    <row r="49988" customFormat="1" x14ac:dyDescent="0.3"/>
    <row r="49989" customFormat="1" x14ac:dyDescent="0.3"/>
    <row r="49990" customFormat="1" x14ac:dyDescent="0.3"/>
    <row r="49991" customFormat="1" x14ac:dyDescent="0.3"/>
    <row r="49992" customFormat="1" x14ac:dyDescent="0.3"/>
    <row r="49993" customFormat="1" x14ac:dyDescent="0.3"/>
    <row r="49994" customFormat="1" x14ac:dyDescent="0.3"/>
    <row r="49995" customFormat="1" x14ac:dyDescent="0.3"/>
    <row r="49996" customFormat="1" x14ac:dyDescent="0.3"/>
    <row r="49997" customFormat="1" x14ac:dyDescent="0.3"/>
    <row r="49998" customFormat="1" x14ac:dyDescent="0.3"/>
    <row r="49999" customFormat="1" x14ac:dyDescent="0.3"/>
    <row r="50000" customFormat="1" x14ac:dyDescent="0.3"/>
    <row r="50001" customFormat="1" x14ac:dyDescent="0.3"/>
    <row r="50002" customFormat="1" x14ac:dyDescent="0.3"/>
    <row r="50003" customFormat="1" x14ac:dyDescent="0.3"/>
    <row r="50004" customFormat="1" x14ac:dyDescent="0.3"/>
    <row r="50005" customFormat="1" x14ac:dyDescent="0.3"/>
    <row r="50006" customFormat="1" x14ac:dyDescent="0.3"/>
    <row r="50007" customFormat="1" x14ac:dyDescent="0.3"/>
    <row r="50008" customFormat="1" x14ac:dyDescent="0.3"/>
    <row r="50009" customFormat="1" x14ac:dyDescent="0.3"/>
    <row r="50010" customFormat="1" x14ac:dyDescent="0.3"/>
    <row r="50011" customFormat="1" x14ac:dyDescent="0.3"/>
    <row r="50012" customFormat="1" x14ac:dyDescent="0.3"/>
    <row r="50013" customFormat="1" x14ac:dyDescent="0.3"/>
    <row r="50014" customFormat="1" x14ac:dyDescent="0.3"/>
    <row r="50015" customFormat="1" x14ac:dyDescent="0.3"/>
    <row r="50016" customFormat="1" x14ac:dyDescent="0.3"/>
    <row r="50017" customFormat="1" x14ac:dyDescent="0.3"/>
    <row r="50018" customFormat="1" x14ac:dyDescent="0.3"/>
    <row r="50019" customFormat="1" x14ac:dyDescent="0.3"/>
    <row r="50020" customFormat="1" x14ac:dyDescent="0.3"/>
    <row r="50021" customFormat="1" x14ac:dyDescent="0.3"/>
    <row r="50022" customFormat="1" x14ac:dyDescent="0.3"/>
    <row r="50023" customFormat="1" x14ac:dyDescent="0.3"/>
    <row r="50024" customFormat="1" x14ac:dyDescent="0.3"/>
    <row r="50025" customFormat="1" x14ac:dyDescent="0.3"/>
    <row r="50026" customFormat="1" x14ac:dyDescent="0.3"/>
    <row r="50027" customFormat="1" x14ac:dyDescent="0.3"/>
    <row r="50028" customFormat="1" x14ac:dyDescent="0.3"/>
    <row r="50029" customFormat="1" x14ac:dyDescent="0.3"/>
    <row r="50030" customFormat="1" x14ac:dyDescent="0.3"/>
    <row r="50031" customFormat="1" x14ac:dyDescent="0.3"/>
    <row r="50032" customFormat="1" x14ac:dyDescent="0.3"/>
    <row r="50033" customFormat="1" x14ac:dyDescent="0.3"/>
    <row r="50034" customFormat="1" x14ac:dyDescent="0.3"/>
    <row r="50035" customFormat="1" x14ac:dyDescent="0.3"/>
    <row r="50036" customFormat="1" x14ac:dyDescent="0.3"/>
    <row r="50037" customFormat="1" x14ac:dyDescent="0.3"/>
    <row r="50038" customFormat="1" x14ac:dyDescent="0.3"/>
    <row r="50039" customFormat="1" x14ac:dyDescent="0.3"/>
    <row r="50040" customFormat="1" x14ac:dyDescent="0.3"/>
    <row r="50041" customFormat="1" x14ac:dyDescent="0.3"/>
    <row r="50042" customFormat="1" x14ac:dyDescent="0.3"/>
    <row r="50043" customFormat="1" x14ac:dyDescent="0.3"/>
    <row r="50044" customFormat="1" x14ac:dyDescent="0.3"/>
    <row r="50045" customFormat="1" x14ac:dyDescent="0.3"/>
    <row r="50046" customFormat="1" x14ac:dyDescent="0.3"/>
    <row r="50047" customFormat="1" x14ac:dyDescent="0.3"/>
    <row r="50048" customFormat="1" x14ac:dyDescent="0.3"/>
    <row r="50049" customFormat="1" x14ac:dyDescent="0.3"/>
    <row r="50050" customFormat="1" x14ac:dyDescent="0.3"/>
    <row r="50051" customFormat="1" x14ac:dyDescent="0.3"/>
    <row r="50052" customFormat="1" x14ac:dyDescent="0.3"/>
    <row r="50053" customFormat="1" x14ac:dyDescent="0.3"/>
    <row r="50054" customFormat="1" x14ac:dyDescent="0.3"/>
    <row r="50055" customFormat="1" x14ac:dyDescent="0.3"/>
    <row r="50056" customFormat="1" x14ac:dyDescent="0.3"/>
    <row r="50057" customFormat="1" x14ac:dyDescent="0.3"/>
    <row r="50058" customFormat="1" x14ac:dyDescent="0.3"/>
    <row r="50059" customFormat="1" x14ac:dyDescent="0.3"/>
    <row r="50060" customFormat="1" x14ac:dyDescent="0.3"/>
    <row r="50061" customFormat="1" x14ac:dyDescent="0.3"/>
    <row r="50062" customFormat="1" x14ac:dyDescent="0.3"/>
    <row r="50063" customFormat="1" x14ac:dyDescent="0.3"/>
    <row r="50064" customFormat="1" x14ac:dyDescent="0.3"/>
    <row r="50065" customFormat="1" x14ac:dyDescent="0.3"/>
    <row r="50066" customFormat="1" x14ac:dyDescent="0.3"/>
    <row r="50067" customFormat="1" x14ac:dyDescent="0.3"/>
    <row r="50068" customFormat="1" x14ac:dyDescent="0.3"/>
    <row r="50069" customFormat="1" x14ac:dyDescent="0.3"/>
    <row r="50070" customFormat="1" x14ac:dyDescent="0.3"/>
    <row r="50071" customFormat="1" x14ac:dyDescent="0.3"/>
    <row r="50072" customFormat="1" x14ac:dyDescent="0.3"/>
    <row r="50073" customFormat="1" x14ac:dyDescent="0.3"/>
    <row r="50074" customFormat="1" x14ac:dyDescent="0.3"/>
    <row r="50075" customFormat="1" x14ac:dyDescent="0.3"/>
    <row r="50076" customFormat="1" x14ac:dyDescent="0.3"/>
    <row r="50077" customFormat="1" x14ac:dyDescent="0.3"/>
    <row r="50078" customFormat="1" x14ac:dyDescent="0.3"/>
    <row r="50079" customFormat="1" x14ac:dyDescent="0.3"/>
    <row r="50080" customFormat="1" x14ac:dyDescent="0.3"/>
    <row r="50081" customFormat="1" x14ac:dyDescent="0.3"/>
    <row r="50082" customFormat="1" x14ac:dyDescent="0.3"/>
    <row r="50083" customFormat="1" x14ac:dyDescent="0.3"/>
    <row r="50084" customFormat="1" x14ac:dyDescent="0.3"/>
    <row r="50085" customFormat="1" x14ac:dyDescent="0.3"/>
    <row r="50086" customFormat="1" x14ac:dyDescent="0.3"/>
    <row r="50087" customFormat="1" x14ac:dyDescent="0.3"/>
    <row r="50088" customFormat="1" x14ac:dyDescent="0.3"/>
    <row r="50089" customFormat="1" x14ac:dyDescent="0.3"/>
    <row r="50090" customFormat="1" x14ac:dyDescent="0.3"/>
    <row r="50091" customFormat="1" x14ac:dyDescent="0.3"/>
    <row r="50092" customFormat="1" x14ac:dyDescent="0.3"/>
    <row r="50093" customFormat="1" x14ac:dyDescent="0.3"/>
    <row r="50094" customFormat="1" x14ac:dyDescent="0.3"/>
    <row r="50095" customFormat="1" x14ac:dyDescent="0.3"/>
    <row r="50096" customFormat="1" x14ac:dyDescent="0.3"/>
    <row r="50097" customFormat="1" x14ac:dyDescent="0.3"/>
    <row r="50098" customFormat="1" x14ac:dyDescent="0.3"/>
    <row r="50099" customFormat="1" x14ac:dyDescent="0.3"/>
    <row r="50100" customFormat="1" x14ac:dyDescent="0.3"/>
    <row r="50101" customFormat="1" x14ac:dyDescent="0.3"/>
    <row r="50102" customFormat="1" x14ac:dyDescent="0.3"/>
    <row r="50103" customFormat="1" x14ac:dyDescent="0.3"/>
    <row r="50104" customFormat="1" x14ac:dyDescent="0.3"/>
    <row r="50105" customFormat="1" x14ac:dyDescent="0.3"/>
    <row r="50106" customFormat="1" x14ac:dyDescent="0.3"/>
    <row r="50107" customFormat="1" x14ac:dyDescent="0.3"/>
    <row r="50108" customFormat="1" x14ac:dyDescent="0.3"/>
    <row r="50109" customFormat="1" x14ac:dyDescent="0.3"/>
    <row r="50110" customFormat="1" x14ac:dyDescent="0.3"/>
    <row r="50111" customFormat="1" x14ac:dyDescent="0.3"/>
    <row r="50112" customFormat="1" x14ac:dyDescent="0.3"/>
    <row r="50113" customFormat="1" x14ac:dyDescent="0.3"/>
    <row r="50114" customFormat="1" x14ac:dyDescent="0.3"/>
    <row r="50115" customFormat="1" x14ac:dyDescent="0.3"/>
    <row r="50116" customFormat="1" x14ac:dyDescent="0.3"/>
    <row r="50117" customFormat="1" x14ac:dyDescent="0.3"/>
    <row r="50118" customFormat="1" x14ac:dyDescent="0.3"/>
    <row r="50119" customFormat="1" x14ac:dyDescent="0.3"/>
    <row r="50120" customFormat="1" x14ac:dyDescent="0.3"/>
    <row r="50121" customFormat="1" x14ac:dyDescent="0.3"/>
    <row r="50122" customFormat="1" x14ac:dyDescent="0.3"/>
    <row r="50123" customFormat="1" x14ac:dyDescent="0.3"/>
    <row r="50124" customFormat="1" x14ac:dyDescent="0.3"/>
    <row r="50125" customFormat="1" x14ac:dyDescent="0.3"/>
    <row r="50126" customFormat="1" x14ac:dyDescent="0.3"/>
    <row r="50127" customFormat="1" x14ac:dyDescent="0.3"/>
    <row r="50128" customFormat="1" x14ac:dyDescent="0.3"/>
    <row r="50129" customFormat="1" x14ac:dyDescent="0.3"/>
    <row r="50130" customFormat="1" x14ac:dyDescent="0.3"/>
    <row r="50131" customFormat="1" x14ac:dyDescent="0.3"/>
    <row r="50132" customFormat="1" x14ac:dyDescent="0.3"/>
    <row r="50133" customFormat="1" x14ac:dyDescent="0.3"/>
    <row r="50134" customFormat="1" x14ac:dyDescent="0.3"/>
    <row r="50135" customFormat="1" x14ac:dyDescent="0.3"/>
    <row r="50136" customFormat="1" x14ac:dyDescent="0.3"/>
    <row r="50137" customFormat="1" x14ac:dyDescent="0.3"/>
    <row r="50138" customFormat="1" x14ac:dyDescent="0.3"/>
    <row r="50139" customFormat="1" x14ac:dyDescent="0.3"/>
    <row r="50140" customFormat="1" x14ac:dyDescent="0.3"/>
    <row r="50141" customFormat="1" x14ac:dyDescent="0.3"/>
    <row r="50142" customFormat="1" x14ac:dyDescent="0.3"/>
    <row r="50143" customFormat="1" x14ac:dyDescent="0.3"/>
    <row r="50144" customFormat="1" x14ac:dyDescent="0.3"/>
    <row r="50145" customFormat="1" x14ac:dyDescent="0.3"/>
    <row r="50146" customFormat="1" x14ac:dyDescent="0.3"/>
    <row r="50147" customFormat="1" x14ac:dyDescent="0.3"/>
    <row r="50148" customFormat="1" x14ac:dyDescent="0.3"/>
    <row r="50149" customFormat="1" x14ac:dyDescent="0.3"/>
    <row r="50150" customFormat="1" x14ac:dyDescent="0.3"/>
    <row r="50151" customFormat="1" x14ac:dyDescent="0.3"/>
    <row r="50152" customFormat="1" x14ac:dyDescent="0.3"/>
    <row r="50153" customFormat="1" x14ac:dyDescent="0.3"/>
    <row r="50154" customFormat="1" x14ac:dyDescent="0.3"/>
    <row r="50155" customFormat="1" x14ac:dyDescent="0.3"/>
    <row r="50156" customFormat="1" x14ac:dyDescent="0.3"/>
    <row r="50157" customFormat="1" x14ac:dyDescent="0.3"/>
    <row r="50158" customFormat="1" x14ac:dyDescent="0.3"/>
    <row r="50159" customFormat="1" x14ac:dyDescent="0.3"/>
    <row r="50160" customFormat="1" x14ac:dyDescent="0.3"/>
    <row r="50161" customFormat="1" x14ac:dyDescent="0.3"/>
    <row r="50162" customFormat="1" x14ac:dyDescent="0.3"/>
    <row r="50163" customFormat="1" x14ac:dyDescent="0.3"/>
    <row r="50164" customFormat="1" x14ac:dyDescent="0.3"/>
    <row r="50165" customFormat="1" x14ac:dyDescent="0.3"/>
    <row r="50166" customFormat="1" x14ac:dyDescent="0.3"/>
    <row r="50167" customFormat="1" x14ac:dyDescent="0.3"/>
    <row r="50168" customFormat="1" x14ac:dyDescent="0.3"/>
    <row r="50169" customFormat="1" x14ac:dyDescent="0.3"/>
    <row r="50170" customFormat="1" x14ac:dyDescent="0.3"/>
    <row r="50171" customFormat="1" x14ac:dyDescent="0.3"/>
    <row r="50172" customFormat="1" x14ac:dyDescent="0.3"/>
    <row r="50173" customFormat="1" x14ac:dyDescent="0.3"/>
    <row r="50174" customFormat="1" x14ac:dyDescent="0.3"/>
    <row r="50175" customFormat="1" x14ac:dyDescent="0.3"/>
    <row r="50176" customFormat="1" x14ac:dyDescent="0.3"/>
    <row r="50177" customFormat="1" x14ac:dyDescent="0.3"/>
    <row r="50178" customFormat="1" x14ac:dyDescent="0.3"/>
    <row r="50179" customFormat="1" x14ac:dyDescent="0.3"/>
    <row r="50180" customFormat="1" x14ac:dyDescent="0.3"/>
    <row r="50181" customFormat="1" x14ac:dyDescent="0.3"/>
    <row r="50182" customFormat="1" x14ac:dyDescent="0.3"/>
    <row r="50183" customFormat="1" x14ac:dyDescent="0.3"/>
    <row r="50184" customFormat="1" x14ac:dyDescent="0.3"/>
    <row r="50185" customFormat="1" x14ac:dyDescent="0.3"/>
    <row r="50186" customFormat="1" x14ac:dyDescent="0.3"/>
    <row r="50187" customFormat="1" x14ac:dyDescent="0.3"/>
    <row r="50188" customFormat="1" x14ac:dyDescent="0.3"/>
    <row r="50189" customFormat="1" x14ac:dyDescent="0.3"/>
    <row r="50190" customFormat="1" x14ac:dyDescent="0.3"/>
    <row r="50191" customFormat="1" x14ac:dyDescent="0.3"/>
    <row r="50192" customFormat="1" x14ac:dyDescent="0.3"/>
    <row r="50193" customFormat="1" x14ac:dyDescent="0.3"/>
    <row r="50194" customFormat="1" x14ac:dyDescent="0.3"/>
    <row r="50195" customFormat="1" x14ac:dyDescent="0.3"/>
    <row r="50196" customFormat="1" x14ac:dyDescent="0.3"/>
    <row r="50197" customFormat="1" x14ac:dyDescent="0.3"/>
    <row r="50198" customFormat="1" x14ac:dyDescent="0.3"/>
    <row r="50199" customFormat="1" x14ac:dyDescent="0.3"/>
    <row r="50200" customFormat="1" x14ac:dyDescent="0.3"/>
    <row r="50201" customFormat="1" x14ac:dyDescent="0.3"/>
    <row r="50202" customFormat="1" x14ac:dyDescent="0.3"/>
    <row r="50203" customFormat="1" x14ac:dyDescent="0.3"/>
    <row r="50204" customFormat="1" x14ac:dyDescent="0.3"/>
    <row r="50205" customFormat="1" x14ac:dyDescent="0.3"/>
    <row r="50206" customFormat="1" x14ac:dyDescent="0.3"/>
    <row r="50207" customFormat="1" x14ac:dyDescent="0.3"/>
    <row r="50208" customFormat="1" x14ac:dyDescent="0.3"/>
    <row r="50209" customFormat="1" x14ac:dyDescent="0.3"/>
    <row r="50210" customFormat="1" x14ac:dyDescent="0.3"/>
    <row r="50211" customFormat="1" x14ac:dyDescent="0.3"/>
    <row r="50212" customFormat="1" x14ac:dyDescent="0.3"/>
    <row r="50213" customFormat="1" x14ac:dyDescent="0.3"/>
    <row r="50214" customFormat="1" x14ac:dyDescent="0.3"/>
    <row r="50215" customFormat="1" x14ac:dyDescent="0.3"/>
    <row r="50216" customFormat="1" x14ac:dyDescent="0.3"/>
    <row r="50217" customFormat="1" x14ac:dyDescent="0.3"/>
    <row r="50218" customFormat="1" x14ac:dyDescent="0.3"/>
    <row r="50219" customFormat="1" x14ac:dyDescent="0.3"/>
    <row r="50220" customFormat="1" x14ac:dyDescent="0.3"/>
    <row r="50221" customFormat="1" x14ac:dyDescent="0.3"/>
    <row r="50222" customFormat="1" x14ac:dyDescent="0.3"/>
    <row r="50223" customFormat="1" x14ac:dyDescent="0.3"/>
    <row r="50224" customFormat="1" x14ac:dyDescent="0.3"/>
    <row r="50225" customFormat="1" x14ac:dyDescent="0.3"/>
    <row r="50226" customFormat="1" x14ac:dyDescent="0.3"/>
    <row r="50227" customFormat="1" x14ac:dyDescent="0.3"/>
    <row r="50228" customFormat="1" x14ac:dyDescent="0.3"/>
    <row r="50229" customFormat="1" x14ac:dyDescent="0.3"/>
    <row r="50230" customFormat="1" x14ac:dyDescent="0.3"/>
    <row r="50231" customFormat="1" x14ac:dyDescent="0.3"/>
    <row r="50232" customFormat="1" x14ac:dyDescent="0.3"/>
    <row r="50233" customFormat="1" x14ac:dyDescent="0.3"/>
    <row r="50234" customFormat="1" x14ac:dyDescent="0.3"/>
    <row r="50235" customFormat="1" x14ac:dyDescent="0.3"/>
    <row r="50236" customFormat="1" x14ac:dyDescent="0.3"/>
    <row r="50237" customFormat="1" x14ac:dyDescent="0.3"/>
    <row r="50238" customFormat="1" x14ac:dyDescent="0.3"/>
    <row r="50239" customFormat="1" x14ac:dyDescent="0.3"/>
    <row r="50240" customFormat="1" x14ac:dyDescent="0.3"/>
    <row r="50241" customFormat="1" x14ac:dyDescent="0.3"/>
    <row r="50242" customFormat="1" x14ac:dyDescent="0.3"/>
    <row r="50243" customFormat="1" x14ac:dyDescent="0.3"/>
    <row r="50244" customFormat="1" x14ac:dyDescent="0.3"/>
    <row r="50245" customFormat="1" x14ac:dyDescent="0.3"/>
    <row r="50246" customFormat="1" x14ac:dyDescent="0.3"/>
    <row r="50247" customFormat="1" x14ac:dyDescent="0.3"/>
    <row r="50248" customFormat="1" x14ac:dyDescent="0.3"/>
    <row r="50249" customFormat="1" x14ac:dyDescent="0.3"/>
    <row r="50250" customFormat="1" x14ac:dyDescent="0.3"/>
    <row r="50251" customFormat="1" x14ac:dyDescent="0.3"/>
    <row r="50252" customFormat="1" x14ac:dyDescent="0.3"/>
    <row r="50253" customFormat="1" x14ac:dyDescent="0.3"/>
    <row r="50254" customFormat="1" x14ac:dyDescent="0.3"/>
    <row r="50255" customFormat="1" x14ac:dyDescent="0.3"/>
    <row r="50256" customFormat="1" x14ac:dyDescent="0.3"/>
    <row r="50257" customFormat="1" x14ac:dyDescent="0.3"/>
    <row r="50258" customFormat="1" x14ac:dyDescent="0.3"/>
    <row r="50259" customFormat="1" x14ac:dyDescent="0.3"/>
    <row r="50260" customFormat="1" x14ac:dyDescent="0.3"/>
    <row r="50261" customFormat="1" x14ac:dyDescent="0.3"/>
    <row r="50262" customFormat="1" x14ac:dyDescent="0.3"/>
    <row r="50263" customFormat="1" x14ac:dyDescent="0.3"/>
    <row r="50264" customFormat="1" x14ac:dyDescent="0.3"/>
    <row r="50265" customFormat="1" x14ac:dyDescent="0.3"/>
    <row r="50266" customFormat="1" x14ac:dyDescent="0.3"/>
    <row r="50267" customFormat="1" x14ac:dyDescent="0.3"/>
    <row r="50268" customFormat="1" x14ac:dyDescent="0.3"/>
    <row r="50269" customFormat="1" x14ac:dyDescent="0.3"/>
    <row r="50270" customFormat="1" x14ac:dyDescent="0.3"/>
    <row r="50271" customFormat="1" x14ac:dyDescent="0.3"/>
    <row r="50272" customFormat="1" x14ac:dyDescent="0.3"/>
    <row r="50273" customFormat="1" x14ac:dyDescent="0.3"/>
    <row r="50274" customFormat="1" x14ac:dyDescent="0.3"/>
    <row r="50275" customFormat="1" x14ac:dyDescent="0.3"/>
    <row r="50276" customFormat="1" x14ac:dyDescent="0.3"/>
    <row r="50277" customFormat="1" x14ac:dyDescent="0.3"/>
    <row r="50278" customFormat="1" x14ac:dyDescent="0.3"/>
    <row r="50279" customFormat="1" x14ac:dyDescent="0.3"/>
    <row r="50280" customFormat="1" x14ac:dyDescent="0.3"/>
    <row r="50281" customFormat="1" x14ac:dyDescent="0.3"/>
    <row r="50282" customFormat="1" x14ac:dyDescent="0.3"/>
    <row r="50283" customFormat="1" x14ac:dyDescent="0.3"/>
    <row r="50284" customFormat="1" x14ac:dyDescent="0.3"/>
    <row r="50285" customFormat="1" x14ac:dyDescent="0.3"/>
    <row r="50286" customFormat="1" x14ac:dyDescent="0.3"/>
    <row r="50287" customFormat="1" x14ac:dyDescent="0.3"/>
    <row r="50288" customFormat="1" x14ac:dyDescent="0.3"/>
    <row r="50289" customFormat="1" x14ac:dyDescent="0.3"/>
    <row r="50290" customFormat="1" x14ac:dyDescent="0.3"/>
    <row r="50291" customFormat="1" x14ac:dyDescent="0.3"/>
    <row r="50292" customFormat="1" x14ac:dyDescent="0.3"/>
    <row r="50293" customFormat="1" x14ac:dyDescent="0.3"/>
    <row r="50294" customFormat="1" x14ac:dyDescent="0.3"/>
    <row r="50295" customFormat="1" x14ac:dyDescent="0.3"/>
    <row r="50296" customFormat="1" x14ac:dyDescent="0.3"/>
    <row r="50297" customFormat="1" x14ac:dyDescent="0.3"/>
    <row r="50298" customFormat="1" x14ac:dyDescent="0.3"/>
    <row r="50299" customFormat="1" x14ac:dyDescent="0.3"/>
    <row r="50300" customFormat="1" x14ac:dyDescent="0.3"/>
    <row r="50301" customFormat="1" x14ac:dyDescent="0.3"/>
    <row r="50302" customFormat="1" x14ac:dyDescent="0.3"/>
    <row r="50303" customFormat="1" x14ac:dyDescent="0.3"/>
    <row r="50304" customFormat="1" x14ac:dyDescent="0.3"/>
    <row r="50305" customFormat="1" x14ac:dyDescent="0.3"/>
    <row r="50306" customFormat="1" x14ac:dyDescent="0.3"/>
    <row r="50307" customFormat="1" x14ac:dyDescent="0.3"/>
    <row r="50308" customFormat="1" x14ac:dyDescent="0.3"/>
    <row r="50309" customFormat="1" x14ac:dyDescent="0.3"/>
    <row r="50310" customFormat="1" x14ac:dyDescent="0.3"/>
    <row r="50311" customFormat="1" x14ac:dyDescent="0.3"/>
    <row r="50312" customFormat="1" x14ac:dyDescent="0.3"/>
    <row r="50313" customFormat="1" x14ac:dyDescent="0.3"/>
    <row r="50314" customFormat="1" x14ac:dyDescent="0.3"/>
    <row r="50315" customFormat="1" x14ac:dyDescent="0.3"/>
    <row r="50316" customFormat="1" x14ac:dyDescent="0.3"/>
    <row r="50317" customFormat="1" x14ac:dyDescent="0.3"/>
    <row r="50318" customFormat="1" x14ac:dyDescent="0.3"/>
    <row r="50319" customFormat="1" x14ac:dyDescent="0.3"/>
    <row r="50320" customFormat="1" x14ac:dyDescent="0.3"/>
    <row r="50321" customFormat="1" x14ac:dyDescent="0.3"/>
    <row r="50322" customFormat="1" x14ac:dyDescent="0.3"/>
    <row r="50323" customFormat="1" x14ac:dyDescent="0.3"/>
    <row r="50324" customFormat="1" x14ac:dyDescent="0.3"/>
    <row r="50325" customFormat="1" x14ac:dyDescent="0.3"/>
    <row r="50326" customFormat="1" x14ac:dyDescent="0.3"/>
    <row r="50327" customFormat="1" x14ac:dyDescent="0.3"/>
    <row r="50328" customFormat="1" x14ac:dyDescent="0.3"/>
    <row r="50329" customFormat="1" x14ac:dyDescent="0.3"/>
    <row r="50330" customFormat="1" x14ac:dyDescent="0.3"/>
    <row r="50331" customFormat="1" x14ac:dyDescent="0.3"/>
    <row r="50332" customFormat="1" x14ac:dyDescent="0.3"/>
    <row r="50333" customFormat="1" x14ac:dyDescent="0.3"/>
    <row r="50334" customFormat="1" x14ac:dyDescent="0.3"/>
    <row r="50335" customFormat="1" x14ac:dyDescent="0.3"/>
    <row r="50336" customFormat="1" x14ac:dyDescent="0.3"/>
    <row r="50337" customFormat="1" x14ac:dyDescent="0.3"/>
    <row r="50338" customFormat="1" x14ac:dyDescent="0.3"/>
    <row r="50339" customFormat="1" x14ac:dyDescent="0.3"/>
    <row r="50340" customFormat="1" x14ac:dyDescent="0.3"/>
    <row r="50341" customFormat="1" x14ac:dyDescent="0.3"/>
    <row r="50342" customFormat="1" x14ac:dyDescent="0.3"/>
    <row r="50343" customFormat="1" x14ac:dyDescent="0.3"/>
    <row r="50344" customFormat="1" x14ac:dyDescent="0.3"/>
    <row r="50345" customFormat="1" x14ac:dyDescent="0.3"/>
    <row r="50346" customFormat="1" x14ac:dyDescent="0.3"/>
    <row r="50347" customFormat="1" x14ac:dyDescent="0.3"/>
    <row r="50348" customFormat="1" x14ac:dyDescent="0.3"/>
    <row r="50349" customFormat="1" x14ac:dyDescent="0.3"/>
    <row r="50350" customFormat="1" x14ac:dyDescent="0.3"/>
    <row r="50351" customFormat="1" x14ac:dyDescent="0.3"/>
    <row r="50352" customFormat="1" x14ac:dyDescent="0.3"/>
    <row r="50353" customFormat="1" x14ac:dyDescent="0.3"/>
    <row r="50354" customFormat="1" x14ac:dyDescent="0.3"/>
    <row r="50355" customFormat="1" x14ac:dyDescent="0.3"/>
    <row r="50356" customFormat="1" x14ac:dyDescent="0.3"/>
    <row r="50357" customFormat="1" x14ac:dyDescent="0.3"/>
    <row r="50358" customFormat="1" x14ac:dyDescent="0.3"/>
    <row r="50359" customFormat="1" x14ac:dyDescent="0.3"/>
    <row r="50360" customFormat="1" x14ac:dyDescent="0.3"/>
    <row r="50361" customFormat="1" x14ac:dyDescent="0.3"/>
    <row r="50362" customFormat="1" x14ac:dyDescent="0.3"/>
    <row r="50363" customFormat="1" x14ac:dyDescent="0.3"/>
    <row r="50364" customFormat="1" x14ac:dyDescent="0.3"/>
    <row r="50365" customFormat="1" x14ac:dyDescent="0.3"/>
    <row r="50366" customFormat="1" x14ac:dyDescent="0.3"/>
    <row r="50367" customFormat="1" x14ac:dyDescent="0.3"/>
    <row r="50368" customFormat="1" x14ac:dyDescent="0.3"/>
    <row r="50369" customFormat="1" x14ac:dyDescent="0.3"/>
    <row r="50370" customFormat="1" x14ac:dyDescent="0.3"/>
    <row r="50371" customFormat="1" x14ac:dyDescent="0.3"/>
    <row r="50372" customFormat="1" x14ac:dyDescent="0.3"/>
    <row r="50373" customFormat="1" x14ac:dyDescent="0.3"/>
    <row r="50374" customFormat="1" x14ac:dyDescent="0.3"/>
    <row r="50375" customFormat="1" x14ac:dyDescent="0.3"/>
    <row r="50376" customFormat="1" x14ac:dyDescent="0.3"/>
    <row r="50377" customFormat="1" x14ac:dyDescent="0.3"/>
    <row r="50378" customFormat="1" x14ac:dyDescent="0.3"/>
    <row r="50379" customFormat="1" x14ac:dyDescent="0.3"/>
    <row r="50380" customFormat="1" x14ac:dyDescent="0.3"/>
    <row r="50381" customFormat="1" x14ac:dyDescent="0.3"/>
    <row r="50382" customFormat="1" x14ac:dyDescent="0.3"/>
    <row r="50383" customFormat="1" x14ac:dyDescent="0.3"/>
    <row r="50384" customFormat="1" x14ac:dyDescent="0.3"/>
    <row r="50385" customFormat="1" x14ac:dyDescent="0.3"/>
    <row r="50386" customFormat="1" x14ac:dyDescent="0.3"/>
    <row r="50387" customFormat="1" x14ac:dyDescent="0.3"/>
    <row r="50388" customFormat="1" x14ac:dyDescent="0.3"/>
    <row r="50389" customFormat="1" x14ac:dyDescent="0.3"/>
    <row r="50390" customFormat="1" x14ac:dyDescent="0.3"/>
    <row r="50391" customFormat="1" x14ac:dyDescent="0.3"/>
    <row r="50392" customFormat="1" x14ac:dyDescent="0.3"/>
    <row r="50393" customFormat="1" x14ac:dyDescent="0.3"/>
    <row r="50394" customFormat="1" x14ac:dyDescent="0.3"/>
    <row r="50395" customFormat="1" x14ac:dyDescent="0.3"/>
    <row r="50396" customFormat="1" x14ac:dyDescent="0.3"/>
    <row r="50397" customFormat="1" x14ac:dyDescent="0.3"/>
    <row r="50398" customFormat="1" x14ac:dyDescent="0.3"/>
    <row r="50399" customFormat="1" x14ac:dyDescent="0.3"/>
    <row r="50400" customFormat="1" x14ac:dyDescent="0.3"/>
    <row r="50401" customFormat="1" x14ac:dyDescent="0.3"/>
    <row r="50402" customFormat="1" x14ac:dyDescent="0.3"/>
    <row r="50403" customFormat="1" x14ac:dyDescent="0.3"/>
    <row r="50404" customFormat="1" x14ac:dyDescent="0.3"/>
    <row r="50405" customFormat="1" x14ac:dyDescent="0.3"/>
    <row r="50406" customFormat="1" x14ac:dyDescent="0.3"/>
    <row r="50407" customFormat="1" x14ac:dyDescent="0.3"/>
    <row r="50408" customFormat="1" x14ac:dyDescent="0.3"/>
    <row r="50409" customFormat="1" x14ac:dyDescent="0.3"/>
    <row r="50410" customFormat="1" x14ac:dyDescent="0.3"/>
    <row r="50411" customFormat="1" x14ac:dyDescent="0.3"/>
    <row r="50412" customFormat="1" x14ac:dyDescent="0.3"/>
    <row r="50413" customFormat="1" x14ac:dyDescent="0.3"/>
    <row r="50414" customFormat="1" x14ac:dyDescent="0.3"/>
    <row r="50415" customFormat="1" x14ac:dyDescent="0.3"/>
    <row r="50416" customFormat="1" x14ac:dyDescent="0.3"/>
    <row r="50417" customFormat="1" x14ac:dyDescent="0.3"/>
    <row r="50418" customFormat="1" x14ac:dyDescent="0.3"/>
    <row r="50419" customFormat="1" x14ac:dyDescent="0.3"/>
    <row r="50420" customFormat="1" x14ac:dyDescent="0.3"/>
    <row r="50421" customFormat="1" x14ac:dyDescent="0.3"/>
    <row r="50422" customFormat="1" x14ac:dyDescent="0.3"/>
    <row r="50423" customFormat="1" x14ac:dyDescent="0.3"/>
    <row r="50424" customFormat="1" x14ac:dyDescent="0.3"/>
    <row r="50425" customFormat="1" x14ac:dyDescent="0.3"/>
    <row r="50426" customFormat="1" x14ac:dyDescent="0.3"/>
    <row r="50427" customFormat="1" x14ac:dyDescent="0.3"/>
    <row r="50428" customFormat="1" x14ac:dyDescent="0.3"/>
    <row r="50429" customFormat="1" x14ac:dyDescent="0.3"/>
    <row r="50430" customFormat="1" x14ac:dyDescent="0.3"/>
    <row r="50431" customFormat="1" x14ac:dyDescent="0.3"/>
    <row r="50432" customFormat="1" x14ac:dyDescent="0.3"/>
    <row r="50433" customFormat="1" x14ac:dyDescent="0.3"/>
    <row r="50434" customFormat="1" x14ac:dyDescent="0.3"/>
    <row r="50435" customFormat="1" x14ac:dyDescent="0.3"/>
    <row r="50436" customFormat="1" x14ac:dyDescent="0.3"/>
    <row r="50437" customFormat="1" x14ac:dyDescent="0.3"/>
    <row r="50438" customFormat="1" x14ac:dyDescent="0.3"/>
    <row r="50439" customFormat="1" x14ac:dyDescent="0.3"/>
    <row r="50440" customFormat="1" x14ac:dyDescent="0.3"/>
    <row r="50441" customFormat="1" x14ac:dyDescent="0.3"/>
    <row r="50442" customFormat="1" x14ac:dyDescent="0.3"/>
    <row r="50443" customFormat="1" x14ac:dyDescent="0.3"/>
    <row r="50444" customFormat="1" x14ac:dyDescent="0.3"/>
    <row r="50445" customFormat="1" x14ac:dyDescent="0.3"/>
    <row r="50446" customFormat="1" x14ac:dyDescent="0.3"/>
    <row r="50447" customFormat="1" x14ac:dyDescent="0.3"/>
    <row r="50448" customFormat="1" x14ac:dyDescent="0.3"/>
    <row r="50449" customFormat="1" x14ac:dyDescent="0.3"/>
    <row r="50450" customFormat="1" x14ac:dyDescent="0.3"/>
    <row r="50451" customFormat="1" x14ac:dyDescent="0.3"/>
    <row r="50452" customFormat="1" x14ac:dyDescent="0.3"/>
    <row r="50453" customFormat="1" x14ac:dyDescent="0.3"/>
    <row r="50454" customFormat="1" x14ac:dyDescent="0.3"/>
    <row r="50455" customFormat="1" x14ac:dyDescent="0.3"/>
    <row r="50456" customFormat="1" x14ac:dyDescent="0.3"/>
    <row r="50457" customFormat="1" x14ac:dyDescent="0.3"/>
    <row r="50458" customFormat="1" x14ac:dyDescent="0.3"/>
    <row r="50459" customFormat="1" x14ac:dyDescent="0.3"/>
    <row r="50460" customFormat="1" x14ac:dyDescent="0.3"/>
    <row r="50461" customFormat="1" x14ac:dyDescent="0.3"/>
    <row r="50462" customFormat="1" x14ac:dyDescent="0.3"/>
    <row r="50463" customFormat="1" x14ac:dyDescent="0.3"/>
    <row r="50464" customFormat="1" x14ac:dyDescent="0.3"/>
    <row r="50465" customFormat="1" x14ac:dyDescent="0.3"/>
    <row r="50466" customFormat="1" x14ac:dyDescent="0.3"/>
    <row r="50467" customFormat="1" x14ac:dyDescent="0.3"/>
    <row r="50468" customFormat="1" x14ac:dyDescent="0.3"/>
    <row r="50469" customFormat="1" x14ac:dyDescent="0.3"/>
    <row r="50470" customFormat="1" x14ac:dyDescent="0.3"/>
    <row r="50471" customFormat="1" x14ac:dyDescent="0.3"/>
    <row r="50472" customFormat="1" x14ac:dyDescent="0.3"/>
    <row r="50473" customFormat="1" x14ac:dyDescent="0.3"/>
    <row r="50474" customFormat="1" x14ac:dyDescent="0.3"/>
    <row r="50475" customFormat="1" x14ac:dyDescent="0.3"/>
    <row r="50476" customFormat="1" x14ac:dyDescent="0.3"/>
    <row r="50477" customFormat="1" x14ac:dyDescent="0.3"/>
    <row r="50478" customFormat="1" x14ac:dyDescent="0.3"/>
    <row r="50479" customFormat="1" x14ac:dyDescent="0.3"/>
    <row r="50480" customFormat="1" x14ac:dyDescent="0.3"/>
    <row r="50481" customFormat="1" x14ac:dyDescent="0.3"/>
    <row r="50482" customFormat="1" x14ac:dyDescent="0.3"/>
    <row r="50483" customFormat="1" x14ac:dyDescent="0.3"/>
    <row r="50484" customFormat="1" x14ac:dyDescent="0.3"/>
    <row r="50485" customFormat="1" x14ac:dyDescent="0.3"/>
    <row r="50486" customFormat="1" x14ac:dyDescent="0.3"/>
    <row r="50487" customFormat="1" x14ac:dyDescent="0.3"/>
    <row r="50488" customFormat="1" x14ac:dyDescent="0.3"/>
    <row r="50489" customFormat="1" x14ac:dyDescent="0.3"/>
    <row r="50490" customFormat="1" x14ac:dyDescent="0.3"/>
    <row r="50491" customFormat="1" x14ac:dyDescent="0.3"/>
    <row r="50492" customFormat="1" x14ac:dyDescent="0.3"/>
    <row r="50493" customFormat="1" x14ac:dyDescent="0.3"/>
    <row r="50494" customFormat="1" x14ac:dyDescent="0.3"/>
    <row r="50495" customFormat="1" x14ac:dyDescent="0.3"/>
    <row r="50496" customFormat="1" x14ac:dyDescent="0.3"/>
    <row r="50497" customFormat="1" x14ac:dyDescent="0.3"/>
    <row r="50498" customFormat="1" x14ac:dyDescent="0.3"/>
    <row r="50499" customFormat="1" x14ac:dyDescent="0.3"/>
    <row r="50500" customFormat="1" x14ac:dyDescent="0.3"/>
    <row r="50501" customFormat="1" x14ac:dyDescent="0.3"/>
    <row r="50502" customFormat="1" x14ac:dyDescent="0.3"/>
    <row r="50503" customFormat="1" x14ac:dyDescent="0.3"/>
    <row r="50504" customFormat="1" x14ac:dyDescent="0.3"/>
    <row r="50505" customFormat="1" x14ac:dyDescent="0.3"/>
    <row r="50506" customFormat="1" x14ac:dyDescent="0.3"/>
    <row r="50507" customFormat="1" x14ac:dyDescent="0.3"/>
    <row r="50508" customFormat="1" x14ac:dyDescent="0.3"/>
    <row r="50509" customFormat="1" x14ac:dyDescent="0.3"/>
    <row r="50510" customFormat="1" x14ac:dyDescent="0.3"/>
    <row r="50511" customFormat="1" x14ac:dyDescent="0.3"/>
    <row r="50512" customFormat="1" x14ac:dyDescent="0.3"/>
    <row r="50513" customFormat="1" x14ac:dyDescent="0.3"/>
    <row r="50514" customFormat="1" x14ac:dyDescent="0.3"/>
    <row r="50515" customFormat="1" x14ac:dyDescent="0.3"/>
    <row r="50516" customFormat="1" x14ac:dyDescent="0.3"/>
    <row r="50517" customFormat="1" x14ac:dyDescent="0.3"/>
    <row r="50518" customFormat="1" x14ac:dyDescent="0.3"/>
    <row r="50519" customFormat="1" x14ac:dyDescent="0.3"/>
    <row r="50520" customFormat="1" x14ac:dyDescent="0.3"/>
    <row r="50521" customFormat="1" x14ac:dyDescent="0.3"/>
    <row r="50522" customFormat="1" x14ac:dyDescent="0.3"/>
    <row r="50523" customFormat="1" x14ac:dyDescent="0.3"/>
    <row r="50524" customFormat="1" x14ac:dyDescent="0.3"/>
    <row r="50525" customFormat="1" x14ac:dyDescent="0.3"/>
    <row r="50526" customFormat="1" x14ac:dyDescent="0.3"/>
    <row r="50527" customFormat="1" x14ac:dyDescent="0.3"/>
    <row r="50528" customFormat="1" x14ac:dyDescent="0.3"/>
    <row r="50529" customFormat="1" x14ac:dyDescent="0.3"/>
    <row r="50530" customFormat="1" x14ac:dyDescent="0.3"/>
    <row r="50531" customFormat="1" x14ac:dyDescent="0.3"/>
    <row r="50532" customFormat="1" x14ac:dyDescent="0.3"/>
    <row r="50533" customFormat="1" x14ac:dyDescent="0.3"/>
    <row r="50534" customFormat="1" x14ac:dyDescent="0.3"/>
    <row r="50535" customFormat="1" x14ac:dyDescent="0.3"/>
    <row r="50536" customFormat="1" x14ac:dyDescent="0.3"/>
    <row r="50537" customFormat="1" x14ac:dyDescent="0.3"/>
    <row r="50538" customFormat="1" x14ac:dyDescent="0.3"/>
    <row r="50539" customFormat="1" x14ac:dyDescent="0.3"/>
    <row r="50540" customFormat="1" x14ac:dyDescent="0.3"/>
    <row r="50541" customFormat="1" x14ac:dyDescent="0.3"/>
    <row r="50542" customFormat="1" x14ac:dyDescent="0.3"/>
    <row r="50543" customFormat="1" x14ac:dyDescent="0.3"/>
    <row r="50544" customFormat="1" x14ac:dyDescent="0.3"/>
    <row r="50545" customFormat="1" x14ac:dyDescent="0.3"/>
    <row r="50546" customFormat="1" x14ac:dyDescent="0.3"/>
    <row r="50547" customFormat="1" x14ac:dyDescent="0.3"/>
    <row r="50548" customFormat="1" x14ac:dyDescent="0.3"/>
    <row r="50549" customFormat="1" x14ac:dyDescent="0.3"/>
    <row r="50550" customFormat="1" x14ac:dyDescent="0.3"/>
    <row r="50551" customFormat="1" x14ac:dyDescent="0.3"/>
    <row r="50552" customFormat="1" x14ac:dyDescent="0.3"/>
    <row r="50553" customFormat="1" x14ac:dyDescent="0.3"/>
    <row r="50554" customFormat="1" x14ac:dyDescent="0.3"/>
    <row r="50555" customFormat="1" x14ac:dyDescent="0.3"/>
    <row r="50556" customFormat="1" x14ac:dyDescent="0.3"/>
    <row r="50557" customFormat="1" x14ac:dyDescent="0.3"/>
    <row r="50558" customFormat="1" x14ac:dyDescent="0.3"/>
    <row r="50559" customFormat="1" x14ac:dyDescent="0.3"/>
    <row r="50560" customFormat="1" x14ac:dyDescent="0.3"/>
    <row r="50561" customFormat="1" x14ac:dyDescent="0.3"/>
    <row r="50562" customFormat="1" x14ac:dyDescent="0.3"/>
    <row r="50563" customFormat="1" x14ac:dyDescent="0.3"/>
    <row r="50564" customFormat="1" x14ac:dyDescent="0.3"/>
    <row r="50565" customFormat="1" x14ac:dyDescent="0.3"/>
    <row r="50566" customFormat="1" x14ac:dyDescent="0.3"/>
    <row r="50567" customFormat="1" x14ac:dyDescent="0.3"/>
    <row r="50568" customFormat="1" x14ac:dyDescent="0.3"/>
    <row r="50569" customFormat="1" x14ac:dyDescent="0.3"/>
    <row r="50570" customFormat="1" x14ac:dyDescent="0.3"/>
    <row r="50571" customFormat="1" x14ac:dyDescent="0.3"/>
    <row r="50572" customFormat="1" x14ac:dyDescent="0.3"/>
    <row r="50573" customFormat="1" x14ac:dyDescent="0.3"/>
    <row r="50574" customFormat="1" x14ac:dyDescent="0.3"/>
    <row r="50575" customFormat="1" x14ac:dyDescent="0.3"/>
    <row r="50576" customFormat="1" x14ac:dyDescent="0.3"/>
    <row r="50577" customFormat="1" x14ac:dyDescent="0.3"/>
    <row r="50578" customFormat="1" x14ac:dyDescent="0.3"/>
    <row r="50579" customFormat="1" x14ac:dyDescent="0.3"/>
    <row r="50580" customFormat="1" x14ac:dyDescent="0.3"/>
    <row r="50581" customFormat="1" x14ac:dyDescent="0.3"/>
    <row r="50582" customFormat="1" x14ac:dyDescent="0.3"/>
    <row r="50583" customFormat="1" x14ac:dyDescent="0.3"/>
    <row r="50584" customFormat="1" x14ac:dyDescent="0.3"/>
    <row r="50585" customFormat="1" x14ac:dyDescent="0.3"/>
    <row r="50586" customFormat="1" x14ac:dyDescent="0.3"/>
    <row r="50587" customFormat="1" x14ac:dyDescent="0.3"/>
    <row r="50588" customFormat="1" x14ac:dyDescent="0.3"/>
    <row r="50589" customFormat="1" x14ac:dyDescent="0.3"/>
    <row r="50590" customFormat="1" x14ac:dyDescent="0.3"/>
    <row r="50591" customFormat="1" x14ac:dyDescent="0.3"/>
    <row r="50592" customFormat="1" x14ac:dyDescent="0.3"/>
    <row r="50593" customFormat="1" x14ac:dyDescent="0.3"/>
    <row r="50594" customFormat="1" x14ac:dyDescent="0.3"/>
    <row r="50595" customFormat="1" x14ac:dyDescent="0.3"/>
    <row r="50596" customFormat="1" x14ac:dyDescent="0.3"/>
    <row r="50597" customFormat="1" x14ac:dyDescent="0.3"/>
    <row r="50598" customFormat="1" x14ac:dyDescent="0.3"/>
    <row r="50599" customFormat="1" x14ac:dyDescent="0.3"/>
    <row r="50600" customFormat="1" x14ac:dyDescent="0.3"/>
    <row r="50601" customFormat="1" x14ac:dyDescent="0.3"/>
    <row r="50602" customFormat="1" x14ac:dyDescent="0.3"/>
    <row r="50603" customFormat="1" x14ac:dyDescent="0.3"/>
    <row r="50604" customFormat="1" x14ac:dyDescent="0.3"/>
    <row r="50605" customFormat="1" x14ac:dyDescent="0.3"/>
    <row r="50606" customFormat="1" x14ac:dyDescent="0.3"/>
    <row r="50607" customFormat="1" x14ac:dyDescent="0.3"/>
    <row r="50608" customFormat="1" x14ac:dyDescent="0.3"/>
    <row r="50609" customFormat="1" x14ac:dyDescent="0.3"/>
    <row r="50610" customFormat="1" x14ac:dyDescent="0.3"/>
    <row r="50611" customFormat="1" x14ac:dyDescent="0.3"/>
    <row r="50612" customFormat="1" x14ac:dyDescent="0.3"/>
    <row r="50613" customFormat="1" x14ac:dyDescent="0.3"/>
    <row r="50614" customFormat="1" x14ac:dyDescent="0.3"/>
    <row r="50615" customFormat="1" x14ac:dyDescent="0.3"/>
    <row r="50616" customFormat="1" x14ac:dyDescent="0.3"/>
    <row r="50617" customFormat="1" x14ac:dyDescent="0.3"/>
    <row r="50618" customFormat="1" x14ac:dyDescent="0.3"/>
    <row r="50619" customFormat="1" x14ac:dyDescent="0.3"/>
    <row r="50620" customFormat="1" x14ac:dyDescent="0.3"/>
    <row r="50621" customFormat="1" x14ac:dyDescent="0.3"/>
    <row r="50622" customFormat="1" x14ac:dyDescent="0.3"/>
    <row r="50623" customFormat="1" x14ac:dyDescent="0.3"/>
    <row r="50624" customFormat="1" x14ac:dyDescent="0.3"/>
    <row r="50625" customFormat="1" x14ac:dyDescent="0.3"/>
    <row r="50626" customFormat="1" x14ac:dyDescent="0.3"/>
    <row r="50627" customFormat="1" x14ac:dyDescent="0.3"/>
    <row r="50628" customFormat="1" x14ac:dyDescent="0.3"/>
    <row r="50629" customFormat="1" x14ac:dyDescent="0.3"/>
    <row r="50630" customFormat="1" x14ac:dyDescent="0.3"/>
    <row r="50631" customFormat="1" x14ac:dyDescent="0.3"/>
    <row r="50632" customFormat="1" x14ac:dyDescent="0.3"/>
    <row r="50633" customFormat="1" x14ac:dyDescent="0.3"/>
    <row r="50634" customFormat="1" x14ac:dyDescent="0.3"/>
    <row r="50635" customFormat="1" x14ac:dyDescent="0.3"/>
    <row r="50636" customFormat="1" x14ac:dyDescent="0.3"/>
    <row r="50637" customFormat="1" x14ac:dyDescent="0.3"/>
    <row r="50638" customFormat="1" x14ac:dyDescent="0.3"/>
    <row r="50639" customFormat="1" x14ac:dyDescent="0.3"/>
    <row r="50640" customFormat="1" x14ac:dyDescent="0.3"/>
    <row r="50641" customFormat="1" x14ac:dyDescent="0.3"/>
    <row r="50642" customFormat="1" x14ac:dyDescent="0.3"/>
    <row r="50643" customFormat="1" x14ac:dyDescent="0.3"/>
    <row r="50644" customFormat="1" x14ac:dyDescent="0.3"/>
    <row r="50645" customFormat="1" x14ac:dyDescent="0.3"/>
    <row r="50646" customFormat="1" x14ac:dyDescent="0.3"/>
    <row r="50647" customFormat="1" x14ac:dyDescent="0.3"/>
    <row r="50648" customFormat="1" x14ac:dyDescent="0.3"/>
    <row r="50649" customFormat="1" x14ac:dyDescent="0.3"/>
    <row r="50650" customFormat="1" x14ac:dyDescent="0.3"/>
    <row r="50651" customFormat="1" x14ac:dyDescent="0.3"/>
    <row r="50652" customFormat="1" x14ac:dyDescent="0.3"/>
    <row r="50653" customFormat="1" x14ac:dyDescent="0.3"/>
    <row r="50654" customFormat="1" x14ac:dyDescent="0.3"/>
    <row r="50655" customFormat="1" x14ac:dyDescent="0.3"/>
    <row r="50656" customFormat="1" x14ac:dyDescent="0.3"/>
    <row r="50657" customFormat="1" x14ac:dyDescent="0.3"/>
    <row r="50658" customFormat="1" x14ac:dyDescent="0.3"/>
    <row r="50659" customFormat="1" x14ac:dyDescent="0.3"/>
    <row r="50660" customFormat="1" x14ac:dyDescent="0.3"/>
    <row r="50661" customFormat="1" x14ac:dyDescent="0.3"/>
    <row r="50662" customFormat="1" x14ac:dyDescent="0.3"/>
    <row r="50663" customFormat="1" x14ac:dyDescent="0.3"/>
    <row r="50664" customFormat="1" x14ac:dyDescent="0.3"/>
    <row r="50665" customFormat="1" x14ac:dyDescent="0.3"/>
    <row r="50666" customFormat="1" x14ac:dyDescent="0.3"/>
    <row r="50667" customFormat="1" x14ac:dyDescent="0.3"/>
    <row r="50668" customFormat="1" x14ac:dyDescent="0.3"/>
    <row r="50669" customFormat="1" x14ac:dyDescent="0.3"/>
    <row r="50670" customFormat="1" x14ac:dyDescent="0.3"/>
    <row r="50671" customFormat="1" x14ac:dyDescent="0.3"/>
    <row r="50672" customFormat="1" x14ac:dyDescent="0.3"/>
    <row r="50673" customFormat="1" x14ac:dyDescent="0.3"/>
    <row r="50674" customFormat="1" x14ac:dyDescent="0.3"/>
    <row r="50675" customFormat="1" x14ac:dyDescent="0.3"/>
    <row r="50676" customFormat="1" x14ac:dyDescent="0.3"/>
    <row r="50677" customFormat="1" x14ac:dyDescent="0.3"/>
    <row r="50678" customFormat="1" x14ac:dyDescent="0.3"/>
    <row r="50679" customFormat="1" x14ac:dyDescent="0.3"/>
    <row r="50680" customFormat="1" x14ac:dyDescent="0.3"/>
    <row r="50681" customFormat="1" x14ac:dyDescent="0.3"/>
    <row r="50682" customFormat="1" x14ac:dyDescent="0.3"/>
    <row r="50683" customFormat="1" x14ac:dyDescent="0.3"/>
    <row r="50684" customFormat="1" x14ac:dyDescent="0.3"/>
    <row r="50685" customFormat="1" x14ac:dyDescent="0.3"/>
    <row r="50686" customFormat="1" x14ac:dyDescent="0.3"/>
    <row r="50687" customFormat="1" x14ac:dyDescent="0.3"/>
    <row r="50688" customFormat="1" x14ac:dyDescent="0.3"/>
    <row r="50689" customFormat="1" x14ac:dyDescent="0.3"/>
    <row r="50690" customFormat="1" x14ac:dyDescent="0.3"/>
    <row r="50691" customFormat="1" x14ac:dyDescent="0.3"/>
    <row r="50692" customFormat="1" x14ac:dyDescent="0.3"/>
    <row r="50693" customFormat="1" x14ac:dyDescent="0.3"/>
    <row r="50694" customFormat="1" x14ac:dyDescent="0.3"/>
    <row r="50695" customFormat="1" x14ac:dyDescent="0.3"/>
    <row r="50696" customFormat="1" x14ac:dyDescent="0.3"/>
    <row r="50697" customFormat="1" x14ac:dyDescent="0.3"/>
    <row r="50698" customFormat="1" x14ac:dyDescent="0.3"/>
    <row r="50699" customFormat="1" x14ac:dyDescent="0.3"/>
    <row r="50700" customFormat="1" x14ac:dyDescent="0.3"/>
    <row r="50701" customFormat="1" x14ac:dyDescent="0.3"/>
    <row r="50702" customFormat="1" x14ac:dyDescent="0.3"/>
    <row r="50703" customFormat="1" x14ac:dyDescent="0.3"/>
    <row r="50704" customFormat="1" x14ac:dyDescent="0.3"/>
    <row r="50705" customFormat="1" x14ac:dyDescent="0.3"/>
    <row r="50706" customFormat="1" x14ac:dyDescent="0.3"/>
    <row r="50707" customFormat="1" x14ac:dyDescent="0.3"/>
    <row r="50708" customFormat="1" x14ac:dyDescent="0.3"/>
    <row r="50709" customFormat="1" x14ac:dyDescent="0.3"/>
    <row r="50710" customFormat="1" x14ac:dyDescent="0.3"/>
    <row r="50711" customFormat="1" x14ac:dyDescent="0.3"/>
    <row r="50712" customFormat="1" x14ac:dyDescent="0.3"/>
    <row r="50713" customFormat="1" x14ac:dyDescent="0.3"/>
    <row r="50714" customFormat="1" x14ac:dyDescent="0.3"/>
    <row r="50715" customFormat="1" x14ac:dyDescent="0.3"/>
    <row r="50716" customFormat="1" x14ac:dyDescent="0.3"/>
    <row r="50717" customFormat="1" x14ac:dyDescent="0.3"/>
    <row r="50718" customFormat="1" x14ac:dyDescent="0.3"/>
    <row r="50719" customFormat="1" x14ac:dyDescent="0.3"/>
    <row r="50720" customFormat="1" x14ac:dyDescent="0.3"/>
    <row r="50721" customFormat="1" x14ac:dyDescent="0.3"/>
    <row r="50722" customFormat="1" x14ac:dyDescent="0.3"/>
    <row r="50723" customFormat="1" x14ac:dyDescent="0.3"/>
    <row r="50724" customFormat="1" x14ac:dyDescent="0.3"/>
    <row r="50725" customFormat="1" x14ac:dyDescent="0.3"/>
    <row r="50726" customFormat="1" x14ac:dyDescent="0.3"/>
    <row r="50727" customFormat="1" x14ac:dyDescent="0.3"/>
    <row r="50728" customFormat="1" x14ac:dyDescent="0.3"/>
    <row r="50729" customFormat="1" x14ac:dyDescent="0.3"/>
    <row r="50730" customFormat="1" x14ac:dyDescent="0.3"/>
    <row r="50731" customFormat="1" x14ac:dyDescent="0.3"/>
    <row r="50732" customFormat="1" x14ac:dyDescent="0.3"/>
    <row r="50733" customFormat="1" x14ac:dyDescent="0.3"/>
    <row r="50734" customFormat="1" x14ac:dyDescent="0.3"/>
    <row r="50735" customFormat="1" x14ac:dyDescent="0.3"/>
    <row r="50736" customFormat="1" x14ac:dyDescent="0.3"/>
    <row r="50737" customFormat="1" x14ac:dyDescent="0.3"/>
    <row r="50738" customFormat="1" x14ac:dyDescent="0.3"/>
    <row r="50739" customFormat="1" x14ac:dyDescent="0.3"/>
    <row r="50740" customFormat="1" x14ac:dyDescent="0.3"/>
    <row r="50741" customFormat="1" x14ac:dyDescent="0.3"/>
    <row r="50742" customFormat="1" x14ac:dyDescent="0.3"/>
    <row r="50743" customFormat="1" x14ac:dyDescent="0.3"/>
    <row r="50744" customFormat="1" x14ac:dyDescent="0.3"/>
    <row r="50745" customFormat="1" x14ac:dyDescent="0.3"/>
    <row r="50746" customFormat="1" x14ac:dyDescent="0.3"/>
    <row r="50747" customFormat="1" x14ac:dyDescent="0.3"/>
    <row r="50748" customFormat="1" x14ac:dyDescent="0.3"/>
    <row r="50749" customFormat="1" x14ac:dyDescent="0.3"/>
    <row r="50750" customFormat="1" x14ac:dyDescent="0.3"/>
    <row r="50751" customFormat="1" x14ac:dyDescent="0.3"/>
    <row r="50752" customFormat="1" x14ac:dyDescent="0.3"/>
    <row r="50753" customFormat="1" x14ac:dyDescent="0.3"/>
    <row r="50754" customFormat="1" x14ac:dyDescent="0.3"/>
    <row r="50755" customFormat="1" x14ac:dyDescent="0.3"/>
    <row r="50756" customFormat="1" x14ac:dyDescent="0.3"/>
    <row r="50757" customFormat="1" x14ac:dyDescent="0.3"/>
    <row r="50758" customFormat="1" x14ac:dyDescent="0.3"/>
    <row r="50759" customFormat="1" x14ac:dyDescent="0.3"/>
    <row r="50760" customFormat="1" x14ac:dyDescent="0.3"/>
    <row r="50761" customFormat="1" x14ac:dyDescent="0.3"/>
    <row r="50762" customFormat="1" x14ac:dyDescent="0.3"/>
    <row r="50763" customFormat="1" x14ac:dyDescent="0.3"/>
    <row r="50764" customFormat="1" x14ac:dyDescent="0.3"/>
    <row r="50765" customFormat="1" x14ac:dyDescent="0.3"/>
    <row r="50766" customFormat="1" x14ac:dyDescent="0.3"/>
    <row r="50767" customFormat="1" x14ac:dyDescent="0.3"/>
    <row r="50768" customFormat="1" x14ac:dyDescent="0.3"/>
    <row r="50769" customFormat="1" x14ac:dyDescent="0.3"/>
    <row r="50770" customFormat="1" x14ac:dyDescent="0.3"/>
    <row r="50771" customFormat="1" x14ac:dyDescent="0.3"/>
    <row r="50772" customFormat="1" x14ac:dyDescent="0.3"/>
    <row r="50773" customFormat="1" x14ac:dyDescent="0.3"/>
    <row r="50774" customFormat="1" x14ac:dyDescent="0.3"/>
    <row r="50775" customFormat="1" x14ac:dyDescent="0.3"/>
    <row r="50776" customFormat="1" x14ac:dyDescent="0.3"/>
    <row r="50777" customFormat="1" x14ac:dyDescent="0.3"/>
    <row r="50778" customFormat="1" x14ac:dyDescent="0.3"/>
    <row r="50779" customFormat="1" x14ac:dyDescent="0.3"/>
    <row r="50780" customFormat="1" x14ac:dyDescent="0.3"/>
    <row r="50781" customFormat="1" x14ac:dyDescent="0.3"/>
    <row r="50782" customFormat="1" x14ac:dyDescent="0.3"/>
    <row r="50783" customFormat="1" x14ac:dyDescent="0.3"/>
    <row r="50784" customFormat="1" x14ac:dyDescent="0.3"/>
    <row r="50785" customFormat="1" x14ac:dyDescent="0.3"/>
    <row r="50786" customFormat="1" x14ac:dyDescent="0.3"/>
    <row r="50787" customFormat="1" x14ac:dyDescent="0.3"/>
    <row r="50788" customFormat="1" x14ac:dyDescent="0.3"/>
    <row r="50789" customFormat="1" x14ac:dyDescent="0.3"/>
    <row r="50790" customFormat="1" x14ac:dyDescent="0.3"/>
    <row r="50791" customFormat="1" x14ac:dyDescent="0.3"/>
    <row r="50792" customFormat="1" x14ac:dyDescent="0.3"/>
    <row r="50793" customFormat="1" x14ac:dyDescent="0.3"/>
    <row r="50794" customFormat="1" x14ac:dyDescent="0.3"/>
    <row r="50795" customFormat="1" x14ac:dyDescent="0.3"/>
    <row r="50796" customFormat="1" x14ac:dyDescent="0.3"/>
    <row r="50797" customFormat="1" x14ac:dyDescent="0.3"/>
    <row r="50798" customFormat="1" x14ac:dyDescent="0.3"/>
    <row r="50799" customFormat="1" x14ac:dyDescent="0.3"/>
    <row r="50800" customFormat="1" x14ac:dyDescent="0.3"/>
    <row r="50801" customFormat="1" x14ac:dyDescent="0.3"/>
    <row r="50802" customFormat="1" x14ac:dyDescent="0.3"/>
    <row r="50803" customFormat="1" x14ac:dyDescent="0.3"/>
    <row r="50804" customFormat="1" x14ac:dyDescent="0.3"/>
    <row r="50805" customFormat="1" x14ac:dyDescent="0.3"/>
    <row r="50806" customFormat="1" x14ac:dyDescent="0.3"/>
    <row r="50807" customFormat="1" x14ac:dyDescent="0.3"/>
    <row r="50808" customFormat="1" x14ac:dyDescent="0.3"/>
    <row r="50809" customFormat="1" x14ac:dyDescent="0.3"/>
    <row r="50810" customFormat="1" x14ac:dyDescent="0.3"/>
    <row r="50811" customFormat="1" x14ac:dyDescent="0.3"/>
    <row r="50812" customFormat="1" x14ac:dyDescent="0.3"/>
    <row r="50813" customFormat="1" x14ac:dyDescent="0.3"/>
    <row r="50814" customFormat="1" x14ac:dyDescent="0.3"/>
    <row r="50815" customFormat="1" x14ac:dyDescent="0.3"/>
    <row r="50816" customFormat="1" x14ac:dyDescent="0.3"/>
    <row r="50817" customFormat="1" x14ac:dyDescent="0.3"/>
    <row r="50818" customFormat="1" x14ac:dyDescent="0.3"/>
    <row r="50819" customFormat="1" x14ac:dyDescent="0.3"/>
    <row r="50820" customFormat="1" x14ac:dyDescent="0.3"/>
    <row r="50821" customFormat="1" x14ac:dyDescent="0.3"/>
    <row r="50822" customFormat="1" x14ac:dyDescent="0.3"/>
    <row r="50823" customFormat="1" x14ac:dyDescent="0.3"/>
    <row r="50824" customFormat="1" x14ac:dyDescent="0.3"/>
    <row r="50825" customFormat="1" x14ac:dyDescent="0.3"/>
    <row r="50826" customFormat="1" x14ac:dyDescent="0.3"/>
    <row r="50827" customFormat="1" x14ac:dyDescent="0.3"/>
    <row r="50828" customFormat="1" x14ac:dyDescent="0.3"/>
    <row r="50829" customFormat="1" x14ac:dyDescent="0.3"/>
    <row r="50830" customFormat="1" x14ac:dyDescent="0.3"/>
    <row r="50831" customFormat="1" x14ac:dyDescent="0.3"/>
    <row r="50832" customFormat="1" x14ac:dyDescent="0.3"/>
    <row r="50833" customFormat="1" x14ac:dyDescent="0.3"/>
    <row r="50834" customFormat="1" x14ac:dyDescent="0.3"/>
    <row r="50835" customFormat="1" x14ac:dyDescent="0.3"/>
    <row r="50836" customFormat="1" x14ac:dyDescent="0.3"/>
    <row r="50837" customFormat="1" x14ac:dyDescent="0.3"/>
    <row r="50838" customFormat="1" x14ac:dyDescent="0.3"/>
    <row r="50839" customFormat="1" x14ac:dyDescent="0.3"/>
    <row r="50840" customFormat="1" x14ac:dyDescent="0.3"/>
    <row r="50841" customFormat="1" x14ac:dyDescent="0.3"/>
    <row r="50842" customFormat="1" x14ac:dyDescent="0.3"/>
    <row r="50843" customFormat="1" x14ac:dyDescent="0.3"/>
    <row r="50844" customFormat="1" x14ac:dyDescent="0.3"/>
    <row r="50845" customFormat="1" x14ac:dyDescent="0.3"/>
    <row r="50846" customFormat="1" x14ac:dyDescent="0.3"/>
    <row r="50847" customFormat="1" x14ac:dyDescent="0.3"/>
    <row r="50848" customFormat="1" x14ac:dyDescent="0.3"/>
    <row r="50849" customFormat="1" x14ac:dyDescent="0.3"/>
    <row r="50850" customFormat="1" x14ac:dyDescent="0.3"/>
    <row r="50851" customFormat="1" x14ac:dyDescent="0.3"/>
    <row r="50852" customFormat="1" x14ac:dyDescent="0.3"/>
    <row r="50853" customFormat="1" x14ac:dyDescent="0.3"/>
    <row r="50854" customFormat="1" x14ac:dyDescent="0.3"/>
    <row r="50855" customFormat="1" x14ac:dyDescent="0.3"/>
    <row r="50856" customFormat="1" x14ac:dyDescent="0.3"/>
    <row r="50857" customFormat="1" x14ac:dyDescent="0.3"/>
    <row r="50858" customFormat="1" x14ac:dyDescent="0.3"/>
    <row r="50859" customFormat="1" x14ac:dyDescent="0.3"/>
    <row r="50860" customFormat="1" x14ac:dyDescent="0.3"/>
    <row r="50861" customFormat="1" x14ac:dyDescent="0.3"/>
    <row r="50862" customFormat="1" x14ac:dyDescent="0.3"/>
    <row r="50863" customFormat="1" x14ac:dyDescent="0.3"/>
    <row r="50864" customFormat="1" x14ac:dyDescent="0.3"/>
    <row r="50865" customFormat="1" x14ac:dyDescent="0.3"/>
    <row r="50866" customFormat="1" x14ac:dyDescent="0.3"/>
    <row r="50867" customFormat="1" x14ac:dyDescent="0.3"/>
    <row r="50868" customFormat="1" x14ac:dyDescent="0.3"/>
    <row r="50869" customFormat="1" x14ac:dyDescent="0.3"/>
    <row r="50870" customFormat="1" x14ac:dyDescent="0.3"/>
    <row r="50871" customFormat="1" x14ac:dyDescent="0.3"/>
    <row r="50872" customFormat="1" x14ac:dyDescent="0.3"/>
    <row r="50873" customFormat="1" x14ac:dyDescent="0.3"/>
    <row r="50874" customFormat="1" x14ac:dyDescent="0.3"/>
    <row r="50875" customFormat="1" x14ac:dyDescent="0.3"/>
    <row r="50876" customFormat="1" x14ac:dyDescent="0.3"/>
    <row r="50877" customFormat="1" x14ac:dyDescent="0.3"/>
    <row r="50878" customFormat="1" x14ac:dyDescent="0.3"/>
    <row r="50879" customFormat="1" x14ac:dyDescent="0.3"/>
    <row r="50880" customFormat="1" x14ac:dyDescent="0.3"/>
    <row r="50881" customFormat="1" x14ac:dyDescent="0.3"/>
    <row r="50882" customFormat="1" x14ac:dyDescent="0.3"/>
    <row r="50883" customFormat="1" x14ac:dyDescent="0.3"/>
    <row r="50884" customFormat="1" x14ac:dyDescent="0.3"/>
    <row r="50885" customFormat="1" x14ac:dyDescent="0.3"/>
    <row r="50886" customFormat="1" x14ac:dyDescent="0.3"/>
    <row r="50887" customFormat="1" x14ac:dyDescent="0.3"/>
    <row r="50888" customFormat="1" x14ac:dyDescent="0.3"/>
    <row r="50889" customFormat="1" x14ac:dyDescent="0.3"/>
    <row r="50890" customFormat="1" x14ac:dyDescent="0.3"/>
    <row r="50891" customFormat="1" x14ac:dyDescent="0.3"/>
    <row r="50892" customFormat="1" x14ac:dyDescent="0.3"/>
    <row r="50893" customFormat="1" x14ac:dyDescent="0.3"/>
    <row r="50894" customFormat="1" x14ac:dyDescent="0.3"/>
    <row r="50895" customFormat="1" x14ac:dyDescent="0.3"/>
    <row r="50896" customFormat="1" x14ac:dyDescent="0.3"/>
    <row r="50897" customFormat="1" x14ac:dyDescent="0.3"/>
    <row r="50898" customFormat="1" x14ac:dyDescent="0.3"/>
    <row r="50899" customFormat="1" x14ac:dyDescent="0.3"/>
    <row r="50900" customFormat="1" x14ac:dyDescent="0.3"/>
    <row r="50901" customFormat="1" x14ac:dyDescent="0.3"/>
    <row r="50902" customFormat="1" x14ac:dyDescent="0.3"/>
    <row r="50903" customFormat="1" x14ac:dyDescent="0.3"/>
    <row r="50904" customFormat="1" x14ac:dyDescent="0.3"/>
    <row r="50905" customFormat="1" x14ac:dyDescent="0.3"/>
    <row r="50906" customFormat="1" x14ac:dyDescent="0.3"/>
    <row r="50907" customFormat="1" x14ac:dyDescent="0.3"/>
    <row r="50908" customFormat="1" x14ac:dyDescent="0.3"/>
    <row r="50909" customFormat="1" x14ac:dyDescent="0.3"/>
    <row r="50910" customFormat="1" x14ac:dyDescent="0.3"/>
    <row r="50911" customFormat="1" x14ac:dyDescent="0.3"/>
    <row r="50912" customFormat="1" x14ac:dyDescent="0.3"/>
    <row r="50913" customFormat="1" x14ac:dyDescent="0.3"/>
    <row r="50914" customFormat="1" x14ac:dyDescent="0.3"/>
    <row r="50915" customFormat="1" x14ac:dyDescent="0.3"/>
    <row r="50916" customFormat="1" x14ac:dyDescent="0.3"/>
    <row r="50917" customFormat="1" x14ac:dyDescent="0.3"/>
    <row r="50918" customFormat="1" x14ac:dyDescent="0.3"/>
    <row r="50919" customFormat="1" x14ac:dyDescent="0.3"/>
    <row r="50920" customFormat="1" x14ac:dyDescent="0.3"/>
    <row r="50921" customFormat="1" x14ac:dyDescent="0.3"/>
    <row r="50922" customFormat="1" x14ac:dyDescent="0.3"/>
    <row r="50923" customFormat="1" x14ac:dyDescent="0.3"/>
    <row r="50924" customFormat="1" x14ac:dyDescent="0.3"/>
    <row r="50925" customFormat="1" x14ac:dyDescent="0.3"/>
    <row r="50926" customFormat="1" x14ac:dyDescent="0.3"/>
    <row r="50927" customFormat="1" x14ac:dyDescent="0.3"/>
    <row r="50928" customFormat="1" x14ac:dyDescent="0.3"/>
    <row r="50929" customFormat="1" x14ac:dyDescent="0.3"/>
    <row r="50930" customFormat="1" x14ac:dyDescent="0.3"/>
    <row r="50931" customFormat="1" x14ac:dyDescent="0.3"/>
    <row r="50932" customFormat="1" x14ac:dyDescent="0.3"/>
    <row r="50933" customFormat="1" x14ac:dyDescent="0.3"/>
    <row r="50934" customFormat="1" x14ac:dyDescent="0.3"/>
    <row r="50935" customFormat="1" x14ac:dyDescent="0.3"/>
    <row r="50936" customFormat="1" x14ac:dyDescent="0.3"/>
    <row r="50937" customFormat="1" x14ac:dyDescent="0.3"/>
    <row r="50938" customFormat="1" x14ac:dyDescent="0.3"/>
    <row r="50939" customFormat="1" x14ac:dyDescent="0.3"/>
    <row r="50940" customFormat="1" x14ac:dyDescent="0.3"/>
    <row r="50941" customFormat="1" x14ac:dyDescent="0.3"/>
    <row r="50942" customFormat="1" x14ac:dyDescent="0.3"/>
    <row r="50943" customFormat="1" x14ac:dyDescent="0.3"/>
    <row r="50944" customFormat="1" x14ac:dyDescent="0.3"/>
    <row r="50945" customFormat="1" x14ac:dyDescent="0.3"/>
    <row r="50946" customFormat="1" x14ac:dyDescent="0.3"/>
    <row r="50947" customFormat="1" x14ac:dyDescent="0.3"/>
    <row r="50948" customFormat="1" x14ac:dyDescent="0.3"/>
    <row r="50949" customFormat="1" x14ac:dyDescent="0.3"/>
    <row r="50950" customFormat="1" x14ac:dyDescent="0.3"/>
    <row r="50951" customFormat="1" x14ac:dyDescent="0.3"/>
    <row r="50952" customFormat="1" x14ac:dyDescent="0.3"/>
    <row r="50953" customFormat="1" x14ac:dyDescent="0.3"/>
    <row r="50954" customFormat="1" x14ac:dyDescent="0.3"/>
    <row r="50955" customFormat="1" x14ac:dyDescent="0.3"/>
    <row r="50956" customFormat="1" x14ac:dyDescent="0.3"/>
    <row r="50957" customFormat="1" x14ac:dyDescent="0.3"/>
    <row r="50958" customFormat="1" x14ac:dyDescent="0.3"/>
    <row r="50959" customFormat="1" x14ac:dyDescent="0.3"/>
    <row r="50960" customFormat="1" x14ac:dyDescent="0.3"/>
    <row r="50961" customFormat="1" x14ac:dyDescent="0.3"/>
    <row r="50962" customFormat="1" x14ac:dyDescent="0.3"/>
    <row r="50963" customFormat="1" x14ac:dyDescent="0.3"/>
    <row r="50964" customFormat="1" x14ac:dyDescent="0.3"/>
    <row r="50965" customFormat="1" x14ac:dyDescent="0.3"/>
    <row r="50966" customFormat="1" x14ac:dyDescent="0.3"/>
    <row r="50967" customFormat="1" x14ac:dyDescent="0.3"/>
    <row r="50968" customFormat="1" x14ac:dyDescent="0.3"/>
    <row r="50969" customFormat="1" x14ac:dyDescent="0.3"/>
    <row r="50970" customFormat="1" x14ac:dyDescent="0.3"/>
    <row r="50971" customFormat="1" x14ac:dyDescent="0.3"/>
    <row r="50972" customFormat="1" x14ac:dyDescent="0.3"/>
    <row r="50973" customFormat="1" x14ac:dyDescent="0.3"/>
    <row r="50974" customFormat="1" x14ac:dyDescent="0.3"/>
    <row r="50975" customFormat="1" x14ac:dyDescent="0.3"/>
    <row r="50976" customFormat="1" x14ac:dyDescent="0.3"/>
    <row r="50977" customFormat="1" x14ac:dyDescent="0.3"/>
    <row r="50978" customFormat="1" x14ac:dyDescent="0.3"/>
    <row r="50979" customFormat="1" x14ac:dyDescent="0.3"/>
    <row r="50980" customFormat="1" x14ac:dyDescent="0.3"/>
    <row r="50981" customFormat="1" x14ac:dyDescent="0.3"/>
    <row r="50982" customFormat="1" x14ac:dyDescent="0.3"/>
    <row r="50983" customFormat="1" x14ac:dyDescent="0.3"/>
    <row r="50984" customFormat="1" x14ac:dyDescent="0.3"/>
    <row r="50985" customFormat="1" x14ac:dyDescent="0.3"/>
    <row r="50986" customFormat="1" x14ac:dyDescent="0.3"/>
    <row r="50987" customFormat="1" x14ac:dyDescent="0.3"/>
    <row r="50988" customFormat="1" x14ac:dyDescent="0.3"/>
    <row r="50989" customFormat="1" x14ac:dyDescent="0.3"/>
    <row r="50990" customFormat="1" x14ac:dyDescent="0.3"/>
    <row r="50991" customFormat="1" x14ac:dyDescent="0.3"/>
    <row r="50992" customFormat="1" x14ac:dyDescent="0.3"/>
    <row r="50993" customFormat="1" x14ac:dyDescent="0.3"/>
    <row r="50994" customFormat="1" x14ac:dyDescent="0.3"/>
    <row r="50995" customFormat="1" x14ac:dyDescent="0.3"/>
    <row r="50996" customFormat="1" x14ac:dyDescent="0.3"/>
    <row r="50997" customFormat="1" x14ac:dyDescent="0.3"/>
    <row r="50998" customFormat="1" x14ac:dyDescent="0.3"/>
    <row r="50999" customFormat="1" x14ac:dyDescent="0.3"/>
    <row r="51000" customFormat="1" x14ac:dyDescent="0.3"/>
    <row r="51001" customFormat="1" x14ac:dyDescent="0.3"/>
    <row r="51002" customFormat="1" x14ac:dyDescent="0.3"/>
    <row r="51003" customFormat="1" x14ac:dyDescent="0.3"/>
    <row r="51004" customFormat="1" x14ac:dyDescent="0.3"/>
    <row r="51005" customFormat="1" x14ac:dyDescent="0.3"/>
    <row r="51006" customFormat="1" x14ac:dyDescent="0.3"/>
    <row r="51007" customFormat="1" x14ac:dyDescent="0.3"/>
    <row r="51008" customFormat="1" x14ac:dyDescent="0.3"/>
    <row r="51009" customFormat="1" x14ac:dyDescent="0.3"/>
    <row r="51010" customFormat="1" x14ac:dyDescent="0.3"/>
    <row r="51011" customFormat="1" x14ac:dyDescent="0.3"/>
    <row r="51012" customFormat="1" x14ac:dyDescent="0.3"/>
    <row r="51013" customFormat="1" x14ac:dyDescent="0.3"/>
    <row r="51014" customFormat="1" x14ac:dyDescent="0.3"/>
    <row r="51015" customFormat="1" x14ac:dyDescent="0.3"/>
    <row r="51016" customFormat="1" x14ac:dyDescent="0.3"/>
    <row r="51017" customFormat="1" x14ac:dyDescent="0.3"/>
    <row r="51018" customFormat="1" x14ac:dyDescent="0.3"/>
    <row r="51019" customFormat="1" x14ac:dyDescent="0.3"/>
    <row r="51020" customFormat="1" x14ac:dyDescent="0.3"/>
    <row r="51021" customFormat="1" x14ac:dyDescent="0.3"/>
    <row r="51022" customFormat="1" x14ac:dyDescent="0.3"/>
    <row r="51023" customFormat="1" x14ac:dyDescent="0.3"/>
    <row r="51024" customFormat="1" x14ac:dyDescent="0.3"/>
    <row r="51025" customFormat="1" x14ac:dyDescent="0.3"/>
    <row r="51026" customFormat="1" x14ac:dyDescent="0.3"/>
    <row r="51027" customFormat="1" x14ac:dyDescent="0.3"/>
    <row r="51028" customFormat="1" x14ac:dyDescent="0.3"/>
    <row r="51029" customFormat="1" x14ac:dyDescent="0.3"/>
    <row r="51030" customFormat="1" x14ac:dyDescent="0.3"/>
    <row r="51031" customFormat="1" x14ac:dyDescent="0.3"/>
    <row r="51032" customFormat="1" x14ac:dyDescent="0.3"/>
    <row r="51033" customFormat="1" x14ac:dyDescent="0.3"/>
    <row r="51034" customFormat="1" x14ac:dyDescent="0.3"/>
    <row r="51035" customFormat="1" x14ac:dyDescent="0.3"/>
    <row r="51036" customFormat="1" x14ac:dyDescent="0.3"/>
    <row r="51037" customFormat="1" x14ac:dyDescent="0.3"/>
    <row r="51038" customFormat="1" x14ac:dyDescent="0.3"/>
    <row r="51039" customFormat="1" x14ac:dyDescent="0.3"/>
    <row r="51040" customFormat="1" x14ac:dyDescent="0.3"/>
    <row r="51041" customFormat="1" x14ac:dyDescent="0.3"/>
    <row r="51042" customFormat="1" x14ac:dyDescent="0.3"/>
    <row r="51043" customFormat="1" x14ac:dyDescent="0.3"/>
    <row r="51044" customFormat="1" x14ac:dyDescent="0.3"/>
    <row r="51045" customFormat="1" x14ac:dyDescent="0.3"/>
    <row r="51046" customFormat="1" x14ac:dyDescent="0.3"/>
    <row r="51047" customFormat="1" x14ac:dyDescent="0.3"/>
    <row r="51048" customFormat="1" x14ac:dyDescent="0.3"/>
    <row r="51049" customFormat="1" x14ac:dyDescent="0.3"/>
    <row r="51050" customFormat="1" x14ac:dyDescent="0.3"/>
    <row r="51051" customFormat="1" x14ac:dyDescent="0.3"/>
    <row r="51052" customFormat="1" x14ac:dyDescent="0.3"/>
    <row r="51053" customFormat="1" x14ac:dyDescent="0.3"/>
    <row r="51054" customFormat="1" x14ac:dyDescent="0.3"/>
    <row r="51055" customFormat="1" x14ac:dyDescent="0.3"/>
    <row r="51056" customFormat="1" x14ac:dyDescent="0.3"/>
    <row r="51057" customFormat="1" x14ac:dyDescent="0.3"/>
    <row r="51058" customFormat="1" x14ac:dyDescent="0.3"/>
    <row r="51059" customFormat="1" x14ac:dyDescent="0.3"/>
    <row r="51060" customFormat="1" x14ac:dyDescent="0.3"/>
    <row r="51061" customFormat="1" x14ac:dyDescent="0.3"/>
    <row r="51062" customFormat="1" x14ac:dyDescent="0.3"/>
    <row r="51063" customFormat="1" x14ac:dyDescent="0.3"/>
    <row r="51064" customFormat="1" x14ac:dyDescent="0.3"/>
    <row r="51065" customFormat="1" x14ac:dyDescent="0.3"/>
    <row r="51066" customFormat="1" x14ac:dyDescent="0.3"/>
    <row r="51067" customFormat="1" x14ac:dyDescent="0.3"/>
    <row r="51068" customFormat="1" x14ac:dyDescent="0.3"/>
    <row r="51069" customFormat="1" x14ac:dyDescent="0.3"/>
    <row r="51070" customFormat="1" x14ac:dyDescent="0.3"/>
    <row r="51071" customFormat="1" x14ac:dyDescent="0.3"/>
    <row r="51072" customFormat="1" x14ac:dyDescent="0.3"/>
    <row r="51073" customFormat="1" x14ac:dyDescent="0.3"/>
    <row r="51074" customFormat="1" x14ac:dyDescent="0.3"/>
    <row r="51075" customFormat="1" x14ac:dyDescent="0.3"/>
    <row r="51076" customFormat="1" x14ac:dyDescent="0.3"/>
    <row r="51077" customFormat="1" x14ac:dyDescent="0.3"/>
    <row r="51078" customFormat="1" x14ac:dyDescent="0.3"/>
    <row r="51079" customFormat="1" x14ac:dyDescent="0.3"/>
    <row r="51080" customFormat="1" x14ac:dyDescent="0.3"/>
    <row r="51081" customFormat="1" x14ac:dyDescent="0.3"/>
    <row r="51082" customFormat="1" x14ac:dyDescent="0.3"/>
    <row r="51083" customFormat="1" x14ac:dyDescent="0.3"/>
    <row r="51084" customFormat="1" x14ac:dyDescent="0.3"/>
    <row r="51085" customFormat="1" x14ac:dyDescent="0.3"/>
    <row r="51086" customFormat="1" x14ac:dyDescent="0.3"/>
    <row r="51087" customFormat="1" x14ac:dyDescent="0.3"/>
    <row r="51088" customFormat="1" x14ac:dyDescent="0.3"/>
    <row r="51089" customFormat="1" x14ac:dyDescent="0.3"/>
    <row r="51090" customFormat="1" x14ac:dyDescent="0.3"/>
    <row r="51091" customFormat="1" x14ac:dyDescent="0.3"/>
    <row r="51092" customFormat="1" x14ac:dyDescent="0.3"/>
    <row r="51093" customFormat="1" x14ac:dyDescent="0.3"/>
    <row r="51094" customFormat="1" x14ac:dyDescent="0.3"/>
    <row r="51095" customFormat="1" x14ac:dyDescent="0.3"/>
    <row r="51096" customFormat="1" x14ac:dyDescent="0.3"/>
    <row r="51097" customFormat="1" x14ac:dyDescent="0.3"/>
    <row r="51098" customFormat="1" x14ac:dyDescent="0.3"/>
    <row r="51099" customFormat="1" x14ac:dyDescent="0.3"/>
    <row r="51100" customFormat="1" x14ac:dyDescent="0.3"/>
    <row r="51101" customFormat="1" x14ac:dyDescent="0.3"/>
    <row r="51102" customFormat="1" x14ac:dyDescent="0.3"/>
    <row r="51103" customFormat="1" x14ac:dyDescent="0.3"/>
    <row r="51104" customFormat="1" x14ac:dyDescent="0.3"/>
    <row r="51105" customFormat="1" x14ac:dyDescent="0.3"/>
    <row r="51106" customFormat="1" x14ac:dyDescent="0.3"/>
    <row r="51107" customFormat="1" x14ac:dyDescent="0.3"/>
    <row r="51108" customFormat="1" x14ac:dyDescent="0.3"/>
    <row r="51109" customFormat="1" x14ac:dyDescent="0.3"/>
    <row r="51110" customFormat="1" x14ac:dyDescent="0.3"/>
    <row r="51111" customFormat="1" x14ac:dyDescent="0.3"/>
    <row r="51112" customFormat="1" x14ac:dyDescent="0.3"/>
    <row r="51113" customFormat="1" x14ac:dyDescent="0.3"/>
    <row r="51114" customFormat="1" x14ac:dyDescent="0.3"/>
    <row r="51115" customFormat="1" x14ac:dyDescent="0.3"/>
    <row r="51116" customFormat="1" x14ac:dyDescent="0.3"/>
    <row r="51117" customFormat="1" x14ac:dyDescent="0.3"/>
    <row r="51118" customFormat="1" x14ac:dyDescent="0.3"/>
    <row r="51119" customFormat="1" x14ac:dyDescent="0.3"/>
    <row r="51120" customFormat="1" x14ac:dyDescent="0.3"/>
    <row r="51121" customFormat="1" x14ac:dyDescent="0.3"/>
    <row r="51122" customFormat="1" x14ac:dyDescent="0.3"/>
    <row r="51123" customFormat="1" x14ac:dyDescent="0.3"/>
    <row r="51124" customFormat="1" x14ac:dyDescent="0.3"/>
    <row r="51125" customFormat="1" x14ac:dyDescent="0.3"/>
    <row r="51126" customFormat="1" x14ac:dyDescent="0.3"/>
    <row r="51127" customFormat="1" x14ac:dyDescent="0.3"/>
    <row r="51128" customFormat="1" x14ac:dyDescent="0.3"/>
    <row r="51129" customFormat="1" x14ac:dyDescent="0.3"/>
    <row r="51130" customFormat="1" x14ac:dyDescent="0.3"/>
    <row r="51131" customFormat="1" x14ac:dyDescent="0.3"/>
    <row r="51132" customFormat="1" x14ac:dyDescent="0.3"/>
    <row r="51133" customFormat="1" x14ac:dyDescent="0.3"/>
    <row r="51134" customFormat="1" x14ac:dyDescent="0.3"/>
    <row r="51135" customFormat="1" x14ac:dyDescent="0.3"/>
    <row r="51136" customFormat="1" x14ac:dyDescent="0.3"/>
    <row r="51137" customFormat="1" x14ac:dyDescent="0.3"/>
    <row r="51138" customFormat="1" x14ac:dyDescent="0.3"/>
    <row r="51139" customFormat="1" x14ac:dyDescent="0.3"/>
    <row r="51140" customFormat="1" x14ac:dyDescent="0.3"/>
    <row r="51141" customFormat="1" x14ac:dyDescent="0.3"/>
    <row r="51142" customFormat="1" x14ac:dyDescent="0.3"/>
    <row r="51143" customFormat="1" x14ac:dyDescent="0.3"/>
    <row r="51144" customFormat="1" x14ac:dyDescent="0.3"/>
    <row r="51145" customFormat="1" x14ac:dyDescent="0.3"/>
    <row r="51146" customFormat="1" x14ac:dyDescent="0.3"/>
    <row r="51147" customFormat="1" x14ac:dyDescent="0.3"/>
    <row r="51148" customFormat="1" x14ac:dyDescent="0.3"/>
    <row r="51149" customFormat="1" x14ac:dyDescent="0.3"/>
    <row r="51150" customFormat="1" x14ac:dyDescent="0.3"/>
    <row r="51151" customFormat="1" x14ac:dyDescent="0.3"/>
    <row r="51152" customFormat="1" x14ac:dyDescent="0.3"/>
    <row r="51153" customFormat="1" x14ac:dyDescent="0.3"/>
    <row r="51154" customFormat="1" x14ac:dyDescent="0.3"/>
    <row r="51155" customFormat="1" x14ac:dyDescent="0.3"/>
    <row r="51156" customFormat="1" x14ac:dyDescent="0.3"/>
    <row r="51157" customFormat="1" x14ac:dyDescent="0.3"/>
    <row r="51158" customFormat="1" x14ac:dyDescent="0.3"/>
    <row r="51159" customFormat="1" x14ac:dyDescent="0.3"/>
    <row r="51160" customFormat="1" x14ac:dyDescent="0.3"/>
    <row r="51161" customFormat="1" x14ac:dyDescent="0.3"/>
    <row r="51162" customFormat="1" x14ac:dyDescent="0.3"/>
    <row r="51163" customFormat="1" x14ac:dyDescent="0.3"/>
    <row r="51164" customFormat="1" x14ac:dyDescent="0.3"/>
    <row r="51165" customFormat="1" x14ac:dyDescent="0.3"/>
    <row r="51166" customFormat="1" x14ac:dyDescent="0.3"/>
    <row r="51167" customFormat="1" x14ac:dyDescent="0.3"/>
    <row r="51168" customFormat="1" x14ac:dyDescent="0.3"/>
    <row r="51169" customFormat="1" x14ac:dyDescent="0.3"/>
    <row r="51170" customFormat="1" x14ac:dyDescent="0.3"/>
    <row r="51171" customFormat="1" x14ac:dyDescent="0.3"/>
    <row r="51172" customFormat="1" x14ac:dyDescent="0.3"/>
    <row r="51173" customFormat="1" x14ac:dyDescent="0.3"/>
    <row r="51174" customFormat="1" x14ac:dyDescent="0.3"/>
    <row r="51175" customFormat="1" x14ac:dyDescent="0.3"/>
    <row r="51176" customFormat="1" x14ac:dyDescent="0.3"/>
    <row r="51177" customFormat="1" x14ac:dyDescent="0.3"/>
    <row r="51178" customFormat="1" x14ac:dyDescent="0.3"/>
    <row r="51179" customFormat="1" x14ac:dyDescent="0.3"/>
    <row r="51180" customFormat="1" x14ac:dyDescent="0.3"/>
    <row r="51181" customFormat="1" x14ac:dyDescent="0.3"/>
    <row r="51182" customFormat="1" x14ac:dyDescent="0.3"/>
    <row r="51183" customFormat="1" x14ac:dyDescent="0.3"/>
    <row r="51184" customFormat="1" x14ac:dyDescent="0.3"/>
    <row r="51185" customFormat="1" x14ac:dyDescent="0.3"/>
    <row r="51186" customFormat="1" x14ac:dyDescent="0.3"/>
    <row r="51187" customFormat="1" x14ac:dyDescent="0.3"/>
    <row r="51188" customFormat="1" x14ac:dyDescent="0.3"/>
    <row r="51189" customFormat="1" x14ac:dyDescent="0.3"/>
    <row r="51190" customFormat="1" x14ac:dyDescent="0.3"/>
    <row r="51191" customFormat="1" x14ac:dyDescent="0.3"/>
    <row r="51192" customFormat="1" x14ac:dyDescent="0.3"/>
    <row r="51193" customFormat="1" x14ac:dyDescent="0.3"/>
    <row r="51194" customFormat="1" x14ac:dyDescent="0.3"/>
    <row r="51195" customFormat="1" x14ac:dyDescent="0.3"/>
    <row r="51196" customFormat="1" x14ac:dyDescent="0.3"/>
    <row r="51197" customFormat="1" x14ac:dyDescent="0.3"/>
    <row r="51198" customFormat="1" x14ac:dyDescent="0.3"/>
    <row r="51199" customFormat="1" x14ac:dyDescent="0.3"/>
    <row r="51200" customFormat="1" x14ac:dyDescent="0.3"/>
    <row r="51201" customFormat="1" x14ac:dyDescent="0.3"/>
    <row r="51202" customFormat="1" x14ac:dyDescent="0.3"/>
    <row r="51203" customFormat="1" x14ac:dyDescent="0.3"/>
    <row r="51204" customFormat="1" x14ac:dyDescent="0.3"/>
    <row r="51205" customFormat="1" x14ac:dyDescent="0.3"/>
    <row r="51206" customFormat="1" x14ac:dyDescent="0.3"/>
    <row r="51207" customFormat="1" x14ac:dyDescent="0.3"/>
    <row r="51208" customFormat="1" x14ac:dyDescent="0.3"/>
    <row r="51209" customFormat="1" x14ac:dyDescent="0.3"/>
    <row r="51210" customFormat="1" x14ac:dyDescent="0.3"/>
    <row r="51211" customFormat="1" x14ac:dyDescent="0.3"/>
    <row r="51212" customFormat="1" x14ac:dyDescent="0.3"/>
    <row r="51213" customFormat="1" x14ac:dyDescent="0.3"/>
    <row r="51214" customFormat="1" x14ac:dyDescent="0.3"/>
    <row r="51215" customFormat="1" x14ac:dyDescent="0.3"/>
    <row r="51216" customFormat="1" x14ac:dyDescent="0.3"/>
    <row r="51217" customFormat="1" x14ac:dyDescent="0.3"/>
    <row r="51218" customFormat="1" x14ac:dyDescent="0.3"/>
    <row r="51219" customFormat="1" x14ac:dyDescent="0.3"/>
    <row r="51220" customFormat="1" x14ac:dyDescent="0.3"/>
    <row r="51221" customFormat="1" x14ac:dyDescent="0.3"/>
    <row r="51222" customFormat="1" x14ac:dyDescent="0.3"/>
    <row r="51223" customFormat="1" x14ac:dyDescent="0.3"/>
    <row r="51224" customFormat="1" x14ac:dyDescent="0.3"/>
    <row r="51225" customFormat="1" x14ac:dyDescent="0.3"/>
    <row r="51226" customFormat="1" x14ac:dyDescent="0.3"/>
    <row r="51227" customFormat="1" x14ac:dyDescent="0.3"/>
    <row r="51228" customFormat="1" x14ac:dyDescent="0.3"/>
    <row r="51229" customFormat="1" x14ac:dyDescent="0.3"/>
    <row r="51230" customFormat="1" x14ac:dyDescent="0.3"/>
    <row r="51231" customFormat="1" x14ac:dyDescent="0.3"/>
    <row r="51232" customFormat="1" x14ac:dyDescent="0.3"/>
    <row r="51233" customFormat="1" x14ac:dyDescent="0.3"/>
    <row r="51234" customFormat="1" x14ac:dyDescent="0.3"/>
    <row r="51235" customFormat="1" x14ac:dyDescent="0.3"/>
    <row r="51236" customFormat="1" x14ac:dyDescent="0.3"/>
    <row r="51237" customFormat="1" x14ac:dyDescent="0.3"/>
    <row r="51238" customFormat="1" x14ac:dyDescent="0.3"/>
    <row r="51239" customFormat="1" x14ac:dyDescent="0.3"/>
    <row r="51240" customFormat="1" x14ac:dyDescent="0.3"/>
    <row r="51241" customFormat="1" x14ac:dyDescent="0.3"/>
    <row r="51242" customFormat="1" x14ac:dyDescent="0.3"/>
    <row r="51243" customFormat="1" x14ac:dyDescent="0.3"/>
    <row r="51244" customFormat="1" x14ac:dyDescent="0.3"/>
    <row r="51245" customFormat="1" x14ac:dyDescent="0.3"/>
    <row r="51246" customFormat="1" x14ac:dyDescent="0.3"/>
    <row r="51247" customFormat="1" x14ac:dyDescent="0.3"/>
    <row r="51248" customFormat="1" x14ac:dyDescent="0.3"/>
    <row r="51249" customFormat="1" x14ac:dyDescent="0.3"/>
    <row r="51250" customFormat="1" x14ac:dyDescent="0.3"/>
    <row r="51251" customFormat="1" x14ac:dyDescent="0.3"/>
    <row r="51252" customFormat="1" x14ac:dyDescent="0.3"/>
    <row r="51253" customFormat="1" x14ac:dyDescent="0.3"/>
    <row r="51254" customFormat="1" x14ac:dyDescent="0.3"/>
    <row r="51255" customFormat="1" x14ac:dyDescent="0.3"/>
    <row r="51256" customFormat="1" x14ac:dyDescent="0.3"/>
    <row r="51257" customFormat="1" x14ac:dyDescent="0.3"/>
    <row r="51258" customFormat="1" x14ac:dyDescent="0.3"/>
    <row r="51259" customFormat="1" x14ac:dyDescent="0.3"/>
    <row r="51260" customFormat="1" x14ac:dyDescent="0.3"/>
    <row r="51261" customFormat="1" x14ac:dyDescent="0.3"/>
    <row r="51262" customFormat="1" x14ac:dyDescent="0.3"/>
    <row r="51263" customFormat="1" x14ac:dyDescent="0.3"/>
    <row r="51264" customFormat="1" x14ac:dyDescent="0.3"/>
    <row r="51265" customFormat="1" x14ac:dyDescent="0.3"/>
    <row r="51266" customFormat="1" x14ac:dyDescent="0.3"/>
    <row r="51267" customFormat="1" x14ac:dyDescent="0.3"/>
    <row r="51268" customFormat="1" x14ac:dyDescent="0.3"/>
    <row r="51269" customFormat="1" x14ac:dyDescent="0.3"/>
    <row r="51270" customFormat="1" x14ac:dyDescent="0.3"/>
    <row r="51271" customFormat="1" x14ac:dyDescent="0.3"/>
    <row r="51272" customFormat="1" x14ac:dyDescent="0.3"/>
    <row r="51273" customFormat="1" x14ac:dyDescent="0.3"/>
    <row r="51274" customFormat="1" x14ac:dyDescent="0.3"/>
    <row r="51275" customFormat="1" x14ac:dyDescent="0.3"/>
    <row r="51276" customFormat="1" x14ac:dyDescent="0.3"/>
    <row r="51277" customFormat="1" x14ac:dyDescent="0.3"/>
    <row r="51278" customFormat="1" x14ac:dyDescent="0.3"/>
    <row r="51279" customFormat="1" x14ac:dyDescent="0.3"/>
    <row r="51280" customFormat="1" x14ac:dyDescent="0.3"/>
    <row r="51281" customFormat="1" x14ac:dyDescent="0.3"/>
    <row r="51282" customFormat="1" x14ac:dyDescent="0.3"/>
    <row r="51283" customFormat="1" x14ac:dyDescent="0.3"/>
    <row r="51284" customFormat="1" x14ac:dyDescent="0.3"/>
    <row r="51285" customFormat="1" x14ac:dyDescent="0.3"/>
    <row r="51286" customFormat="1" x14ac:dyDescent="0.3"/>
    <row r="51287" customFormat="1" x14ac:dyDescent="0.3"/>
    <row r="51288" customFormat="1" x14ac:dyDescent="0.3"/>
    <row r="51289" customFormat="1" x14ac:dyDescent="0.3"/>
    <row r="51290" customFormat="1" x14ac:dyDescent="0.3"/>
    <row r="51291" customFormat="1" x14ac:dyDescent="0.3"/>
    <row r="51292" customFormat="1" x14ac:dyDescent="0.3"/>
    <row r="51293" customFormat="1" x14ac:dyDescent="0.3"/>
    <row r="51294" customFormat="1" x14ac:dyDescent="0.3"/>
    <row r="51295" customFormat="1" x14ac:dyDescent="0.3"/>
    <row r="51296" customFormat="1" x14ac:dyDescent="0.3"/>
    <row r="51297" customFormat="1" x14ac:dyDescent="0.3"/>
    <row r="51298" customFormat="1" x14ac:dyDescent="0.3"/>
    <row r="51299" customFormat="1" x14ac:dyDescent="0.3"/>
    <row r="51300" customFormat="1" x14ac:dyDescent="0.3"/>
    <row r="51301" customFormat="1" x14ac:dyDescent="0.3"/>
    <row r="51302" customFormat="1" x14ac:dyDescent="0.3"/>
    <row r="51303" customFormat="1" x14ac:dyDescent="0.3"/>
    <row r="51304" customFormat="1" x14ac:dyDescent="0.3"/>
    <row r="51305" customFormat="1" x14ac:dyDescent="0.3"/>
    <row r="51306" customFormat="1" x14ac:dyDescent="0.3"/>
    <row r="51307" customFormat="1" x14ac:dyDescent="0.3"/>
    <row r="51308" customFormat="1" x14ac:dyDescent="0.3"/>
    <row r="51309" customFormat="1" x14ac:dyDescent="0.3"/>
    <row r="51310" customFormat="1" x14ac:dyDescent="0.3"/>
    <row r="51311" customFormat="1" x14ac:dyDescent="0.3"/>
    <row r="51312" customFormat="1" x14ac:dyDescent="0.3"/>
    <row r="51313" customFormat="1" x14ac:dyDescent="0.3"/>
    <row r="51314" customFormat="1" x14ac:dyDescent="0.3"/>
    <row r="51315" customFormat="1" x14ac:dyDescent="0.3"/>
    <row r="51316" customFormat="1" x14ac:dyDescent="0.3"/>
    <row r="51317" customFormat="1" x14ac:dyDescent="0.3"/>
    <row r="51318" customFormat="1" x14ac:dyDescent="0.3"/>
    <row r="51319" customFormat="1" x14ac:dyDescent="0.3"/>
    <row r="51320" customFormat="1" x14ac:dyDescent="0.3"/>
    <row r="51321" customFormat="1" x14ac:dyDescent="0.3"/>
    <row r="51322" customFormat="1" x14ac:dyDescent="0.3"/>
    <row r="51323" customFormat="1" x14ac:dyDescent="0.3"/>
    <row r="51324" customFormat="1" x14ac:dyDescent="0.3"/>
    <row r="51325" customFormat="1" x14ac:dyDescent="0.3"/>
    <row r="51326" customFormat="1" x14ac:dyDescent="0.3"/>
    <row r="51327" customFormat="1" x14ac:dyDescent="0.3"/>
    <row r="51328" customFormat="1" x14ac:dyDescent="0.3"/>
    <row r="51329" customFormat="1" x14ac:dyDescent="0.3"/>
    <row r="51330" customFormat="1" x14ac:dyDescent="0.3"/>
    <row r="51331" customFormat="1" x14ac:dyDescent="0.3"/>
    <row r="51332" customFormat="1" x14ac:dyDescent="0.3"/>
    <row r="51333" customFormat="1" x14ac:dyDescent="0.3"/>
    <row r="51334" customFormat="1" x14ac:dyDescent="0.3"/>
    <row r="51335" customFormat="1" x14ac:dyDescent="0.3"/>
    <row r="51336" customFormat="1" x14ac:dyDescent="0.3"/>
    <row r="51337" customFormat="1" x14ac:dyDescent="0.3"/>
    <row r="51338" customFormat="1" x14ac:dyDescent="0.3"/>
    <row r="51339" customFormat="1" x14ac:dyDescent="0.3"/>
    <row r="51340" customFormat="1" x14ac:dyDescent="0.3"/>
    <row r="51341" customFormat="1" x14ac:dyDescent="0.3"/>
    <row r="51342" customFormat="1" x14ac:dyDescent="0.3"/>
    <row r="51343" customFormat="1" x14ac:dyDescent="0.3"/>
    <row r="51344" customFormat="1" x14ac:dyDescent="0.3"/>
    <row r="51345" customFormat="1" x14ac:dyDescent="0.3"/>
    <row r="51346" customFormat="1" x14ac:dyDescent="0.3"/>
    <row r="51347" customFormat="1" x14ac:dyDescent="0.3"/>
    <row r="51348" customFormat="1" x14ac:dyDescent="0.3"/>
    <row r="51349" customFormat="1" x14ac:dyDescent="0.3"/>
    <row r="51350" customFormat="1" x14ac:dyDescent="0.3"/>
    <row r="51351" customFormat="1" x14ac:dyDescent="0.3"/>
    <row r="51352" customFormat="1" x14ac:dyDescent="0.3"/>
    <row r="51353" customFormat="1" x14ac:dyDescent="0.3"/>
    <row r="51354" customFormat="1" x14ac:dyDescent="0.3"/>
    <row r="51355" customFormat="1" x14ac:dyDescent="0.3"/>
    <row r="51356" customFormat="1" x14ac:dyDescent="0.3"/>
    <row r="51357" customFormat="1" x14ac:dyDescent="0.3"/>
    <row r="51358" customFormat="1" x14ac:dyDescent="0.3"/>
    <row r="51359" customFormat="1" x14ac:dyDescent="0.3"/>
    <row r="51360" customFormat="1" x14ac:dyDescent="0.3"/>
    <row r="51361" customFormat="1" x14ac:dyDescent="0.3"/>
    <row r="51362" customFormat="1" x14ac:dyDescent="0.3"/>
    <row r="51363" customFormat="1" x14ac:dyDescent="0.3"/>
    <row r="51364" customFormat="1" x14ac:dyDescent="0.3"/>
    <row r="51365" customFormat="1" x14ac:dyDescent="0.3"/>
    <row r="51366" customFormat="1" x14ac:dyDescent="0.3"/>
    <row r="51367" customFormat="1" x14ac:dyDescent="0.3"/>
    <row r="51368" customFormat="1" x14ac:dyDescent="0.3"/>
    <row r="51369" customFormat="1" x14ac:dyDescent="0.3"/>
    <row r="51370" customFormat="1" x14ac:dyDescent="0.3"/>
    <row r="51371" customFormat="1" x14ac:dyDescent="0.3"/>
    <row r="51372" customFormat="1" x14ac:dyDescent="0.3"/>
    <row r="51373" customFormat="1" x14ac:dyDescent="0.3"/>
    <row r="51374" customFormat="1" x14ac:dyDescent="0.3"/>
    <row r="51375" customFormat="1" x14ac:dyDescent="0.3"/>
    <row r="51376" customFormat="1" x14ac:dyDescent="0.3"/>
    <row r="51377" customFormat="1" x14ac:dyDescent="0.3"/>
    <row r="51378" customFormat="1" x14ac:dyDescent="0.3"/>
    <row r="51379" customFormat="1" x14ac:dyDescent="0.3"/>
    <row r="51380" customFormat="1" x14ac:dyDescent="0.3"/>
    <row r="51381" customFormat="1" x14ac:dyDescent="0.3"/>
    <row r="51382" customFormat="1" x14ac:dyDescent="0.3"/>
    <row r="51383" customFormat="1" x14ac:dyDescent="0.3"/>
    <row r="51384" customFormat="1" x14ac:dyDescent="0.3"/>
    <row r="51385" customFormat="1" x14ac:dyDescent="0.3"/>
    <row r="51386" customFormat="1" x14ac:dyDescent="0.3"/>
    <row r="51387" customFormat="1" x14ac:dyDescent="0.3"/>
    <row r="51388" customFormat="1" x14ac:dyDescent="0.3"/>
    <row r="51389" customFormat="1" x14ac:dyDescent="0.3"/>
    <row r="51390" customFormat="1" x14ac:dyDescent="0.3"/>
    <row r="51391" customFormat="1" x14ac:dyDescent="0.3"/>
    <row r="51392" customFormat="1" x14ac:dyDescent="0.3"/>
    <row r="51393" customFormat="1" x14ac:dyDescent="0.3"/>
    <row r="51394" customFormat="1" x14ac:dyDescent="0.3"/>
    <row r="51395" customFormat="1" x14ac:dyDescent="0.3"/>
    <row r="51396" customFormat="1" x14ac:dyDescent="0.3"/>
    <row r="51397" customFormat="1" x14ac:dyDescent="0.3"/>
    <row r="51398" customFormat="1" x14ac:dyDescent="0.3"/>
    <row r="51399" customFormat="1" x14ac:dyDescent="0.3"/>
    <row r="51400" customFormat="1" x14ac:dyDescent="0.3"/>
    <row r="51401" customFormat="1" x14ac:dyDescent="0.3"/>
    <row r="51402" customFormat="1" x14ac:dyDescent="0.3"/>
    <row r="51403" customFormat="1" x14ac:dyDescent="0.3"/>
    <row r="51404" customFormat="1" x14ac:dyDescent="0.3"/>
    <row r="51405" customFormat="1" x14ac:dyDescent="0.3"/>
    <row r="51406" customFormat="1" x14ac:dyDescent="0.3"/>
    <row r="51407" customFormat="1" x14ac:dyDescent="0.3"/>
    <row r="51408" customFormat="1" x14ac:dyDescent="0.3"/>
    <row r="51409" customFormat="1" x14ac:dyDescent="0.3"/>
    <row r="51410" customFormat="1" x14ac:dyDescent="0.3"/>
    <row r="51411" customFormat="1" x14ac:dyDescent="0.3"/>
    <row r="51412" customFormat="1" x14ac:dyDescent="0.3"/>
    <row r="51413" customFormat="1" x14ac:dyDescent="0.3"/>
    <row r="51414" customFormat="1" x14ac:dyDescent="0.3"/>
    <row r="51415" customFormat="1" x14ac:dyDescent="0.3"/>
    <row r="51416" customFormat="1" x14ac:dyDescent="0.3"/>
    <row r="51417" customFormat="1" x14ac:dyDescent="0.3"/>
    <row r="51418" customFormat="1" x14ac:dyDescent="0.3"/>
    <row r="51419" customFormat="1" x14ac:dyDescent="0.3"/>
    <row r="51420" customFormat="1" x14ac:dyDescent="0.3"/>
    <row r="51421" customFormat="1" x14ac:dyDescent="0.3"/>
    <row r="51422" customFormat="1" x14ac:dyDescent="0.3"/>
    <row r="51423" customFormat="1" x14ac:dyDescent="0.3"/>
    <row r="51424" customFormat="1" x14ac:dyDescent="0.3"/>
    <row r="51425" customFormat="1" x14ac:dyDescent="0.3"/>
    <row r="51426" customFormat="1" x14ac:dyDescent="0.3"/>
    <row r="51427" customFormat="1" x14ac:dyDescent="0.3"/>
    <row r="51428" customFormat="1" x14ac:dyDescent="0.3"/>
    <row r="51429" customFormat="1" x14ac:dyDescent="0.3"/>
    <row r="51430" customFormat="1" x14ac:dyDescent="0.3"/>
    <row r="51431" customFormat="1" x14ac:dyDescent="0.3"/>
    <row r="51432" customFormat="1" x14ac:dyDescent="0.3"/>
    <row r="51433" customFormat="1" x14ac:dyDescent="0.3"/>
    <row r="51434" customFormat="1" x14ac:dyDescent="0.3"/>
    <row r="51435" customFormat="1" x14ac:dyDescent="0.3"/>
    <row r="51436" customFormat="1" x14ac:dyDescent="0.3"/>
    <row r="51437" customFormat="1" x14ac:dyDescent="0.3"/>
    <row r="51438" customFormat="1" x14ac:dyDescent="0.3"/>
    <row r="51439" customFormat="1" x14ac:dyDescent="0.3"/>
    <row r="51440" customFormat="1" x14ac:dyDescent="0.3"/>
    <row r="51441" customFormat="1" x14ac:dyDescent="0.3"/>
    <row r="51442" customFormat="1" x14ac:dyDescent="0.3"/>
    <row r="51443" customFormat="1" x14ac:dyDescent="0.3"/>
    <row r="51444" customFormat="1" x14ac:dyDescent="0.3"/>
    <row r="51445" customFormat="1" x14ac:dyDescent="0.3"/>
    <row r="51446" customFormat="1" x14ac:dyDescent="0.3"/>
    <row r="51447" customFormat="1" x14ac:dyDescent="0.3"/>
    <row r="51448" customFormat="1" x14ac:dyDescent="0.3"/>
    <row r="51449" customFormat="1" x14ac:dyDescent="0.3"/>
    <row r="51450" customFormat="1" x14ac:dyDescent="0.3"/>
    <row r="51451" customFormat="1" x14ac:dyDescent="0.3"/>
    <row r="51452" customFormat="1" x14ac:dyDescent="0.3"/>
    <row r="51453" customFormat="1" x14ac:dyDescent="0.3"/>
    <row r="51454" customFormat="1" x14ac:dyDescent="0.3"/>
    <row r="51455" customFormat="1" x14ac:dyDescent="0.3"/>
    <row r="51456" customFormat="1" x14ac:dyDescent="0.3"/>
    <row r="51457" customFormat="1" x14ac:dyDescent="0.3"/>
    <row r="51458" customFormat="1" x14ac:dyDescent="0.3"/>
    <row r="51459" customFormat="1" x14ac:dyDescent="0.3"/>
    <row r="51460" customFormat="1" x14ac:dyDescent="0.3"/>
    <row r="51461" customFormat="1" x14ac:dyDescent="0.3"/>
    <row r="51462" customFormat="1" x14ac:dyDescent="0.3"/>
    <row r="51463" customFormat="1" x14ac:dyDescent="0.3"/>
    <row r="51464" customFormat="1" x14ac:dyDescent="0.3"/>
    <row r="51465" customFormat="1" x14ac:dyDescent="0.3"/>
    <row r="51466" customFormat="1" x14ac:dyDescent="0.3"/>
    <row r="51467" customFormat="1" x14ac:dyDescent="0.3"/>
    <row r="51468" customFormat="1" x14ac:dyDescent="0.3"/>
    <row r="51469" customFormat="1" x14ac:dyDescent="0.3"/>
    <row r="51470" customFormat="1" x14ac:dyDescent="0.3"/>
    <row r="51471" customFormat="1" x14ac:dyDescent="0.3"/>
    <row r="51472" customFormat="1" x14ac:dyDescent="0.3"/>
    <row r="51473" customFormat="1" x14ac:dyDescent="0.3"/>
    <row r="51474" customFormat="1" x14ac:dyDescent="0.3"/>
    <row r="51475" customFormat="1" x14ac:dyDescent="0.3"/>
    <row r="51476" customFormat="1" x14ac:dyDescent="0.3"/>
    <row r="51477" customFormat="1" x14ac:dyDescent="0.3"/>
    <row r="51478" customFormat="1" x14ac:dyDescent="0.3"/>
    <row r="51479" customFormat="1" x14ac:dyDescent="0.3"/>
    <row r="51480" customFormat="1" x14ac:dyDescent="0.3"/>
    <row r="51481" customFormat="1" x14ac:dyDescent="0.3"/>
    <row r="51482" customFormat="1" x14ac:dyDescent="0.3"/>
    <row r="51483" customFormat="1" x14ac:dyDescent="0.3"/>
    <row r="51484" customFormat="1" x14ac:dyDescent="0.3"/>
    <row r="51485" customFormat="1" x14ac:dyDescent="0.3"/>
    <row r="51486" customFormat="1" x14ac:dyDescent="0.3"/>
    <row r="51487" customFormat="1" x14ac:dyDescent="0.3"/>
    <row r="51488" customFormat="1" x14ac:dyDescent="0.3"/>
    <row r="51489" customFormat="1" x14ac:dyDescent="0.3"/>
    <row r="51490" customFormat="1" x14ac:dyDescent="0.3"/>
    <row r="51491" customFormat="1" x14ac:dyDescent="0.3"/>
    <row r="51492" customFormat="1" x14ac:dyDescent="0.3"/>
    <row r="51493" customFormat="1" x14ac:dyDescent="0.3"/>
    <row r="51494" customFormat="1" x14ac:dyDescent="0.3"/>
    <row r="51495" customFormat="1" x14ac:dyDescent="0.3"/>
    <row r="51496" customFormat="1" x14ac:dyDescent="0.3"/>
    <row r="51497" customFormat="1" x14ac:dyDescent="0.3"/>
    <row r="51498" customFormat="1" x14ac:dyDescent="0.3"/>
    <row r="51499" customFormat="1" x14ac:dyDescent="0.3"/>
    <row r="51500" customFormat="1" x14ac:dyDescent="0.3"/>
    <row r="51501" customFormat="1" x14ac:dyDescent="0.3"/>
    <row r="51502" customFormat="1" x14ac:dyDescent="0.3"/>
    <row r="51503" customFormat="1" x14ac:dyDescent="0.3"/>
    <row r="51504" customFormat="1" x14ac:dyDescent="0.3"/>
    <row r="51505" customFormat="1" x14ac:dyDescent="0.3"/>
    <row r="51506" customFormat="1" x14ac:dyDescent="0.3"/>
    <row r="51507" customFormat="1" x14ac:dyDescent="0.3"/>
    <row r="51508" customFormat="1" x14ac:dyDescent="0.3"/>
    <row r="51509" customFormat="1" x14ac:dyDescent="0.3"/>
    <row r="51510" customFormat="1" x14ac:dyDescent="0.3"/>
    <row r="51511" customFormat="1" x14ac:dyDescent="0.3"/>
    <row r="51512" customFormat="1" x14ac:dyDescent="0.3"/>
    <row r="51513" customFormat="1" x14ac:dyDescent="0.3"/>
    <row r="51514" customFormat="1" x14ac:dyDescent="0.3"/>
    <row r="51515" customFormat="1" x14ac:dyDescent="0.3"/>
    <row r="51516" customFormat="1" x14ac:dyDescent="0.3"/>
    <row r="51517" customFormat="1" x14ac:dyDescent="0.3"/>
    <row r="51518" customFormat="1" x14ac:dyDescent="0.3"/>
    <row r="51519" customFormat="1" x14ac:dyDescent="0.3"/>
    <row r="51520" customFormat="1" x14ac:dyDescent="0.3"/>
    <row r="51521" customFormat="1" x14ac:dyDescent="0.3"/>
    <row r="51522" customFormat="1" x14ac:dyDescent="0.3"/>
    <row r="51523" customFormat="1" x14ac:dyDescent="0.3"/>
    <row r="51524" customFormat="1" x14ac:dyDescent="0.3"/>
    <row r="51525" customFormat="1" x14ac:dyDescent="0.3"/>
    <row r="51526" customFormat="1" x14ac:dyDescent="0.3"/>
    <row r="51527" customFormat="1" x14ac:dyDescent="0.3"/>
    <row r="51528" customFormat="1" x14ac:dyDescent="0.3"/>
    <row r="51529" customFormat="1" x14ac:dyDescent="0.3"/>
    <row r="51530" customFormat="1" x14ac:dyDescent="0.3"/>
    <row r="51531" customFormat="1" x14ac:dyDescent="0.3"/>
    <row r="51532" customFormat="1" x14ac:dyDescent="0.3"/>
    <row r="51533" customFormat="1" x14ac:dyDescent="0.3"/>
    <row r="51534" customFormat="1" x14ac:dyDescent="0.3"/>
    <row r="51535" customFormat="1" x14ac:dyDescent="0.3"/>
    <row r="51536" customFormat="1" x14ac:dyDescent="0.3"/>
    <row r="51537" customFormat="1" x14ac:dyDescent="0.3"/>
    <row r="51538" customFormat="1" x14ac:dyDescent="0.3"/>
    <row r="51539" customFormat="1" x14ac:dyDescent="0.3"/>
    <row r="51540" customFormat="1" x14ac:dyDescent="0.3"/>
    <row r="51541" customFormat="1" x14ac:dyDescent="0.3"/>
    <row r="51542" customFormat="1" x14ac:dyDescent="0.3"/>
    <row r="51543" customFormat="1" x14ac:dyDescent="0.3"/>
    <row r="51544" customFormat="1" x14ac:dyDescent="0.3"/>
    <row r="51545" customFormat="1" x14ac:dyDescent="0.3"/>
    <row r="51546" customFormat="1" x14ac:dyDescent="0.3"/>
    <row r="51547" customFormat="1" x14ac:dyDescent="0.3"/>
    <row r="51548" customFormat="1" x14ac:dyDescent="0.3"/>
    <row r="51549" customFormat="1" x14ac:dyDescent="0.3"/>
    <row r="51550" customFormat="1" x14ac:dyDescent="0.3"/>
    <row r="51551" customFormat="1" x14ac:dyDescent="0.3"/>
    <row r="51552" customFormat="1" x14ac:dyDescent="0.3"/>
    <row r="51553" customFormat="1" x14ac:dyDescent="0.3"/>
    <row r="51554" customFormat="1" x14ac:dyDescent="0.3"/>
    <row r="51555" customFormat="1" x14ac:dyDescent="0.3"/>
    <row r="51556" customFormat="1" x14ac:dyDescent="0.3"/>
    <row r="51557" customFormat="1" x14ac:dyDescent="0.3"/>
    <row r="51558" customFormat="1" x14ac:dyDescent="0.3"/>
    <row r="51559" customFormat="1" x14ac:dyDescent="0.3"/>
    <row r="51560" customFormat="1" x14ac:dyDescent="0.3"/>
    <row r="51561" customFormat="1" x14ac:dyDescent="0.3"/>
    <row r="51562" customFormat="1" x14ac:dyDescent="0.3"/>
    <row r="51563" customFormat="1" x14ac:dyDescent="0.3"/>
    <row r="51564" customFormat="1" x14ac:dyDescent="0.3"/>
    <row r="51565" customFormat="1" x14ac:dyDescent="0.3"/>
    <row r="51566" customFormat="1" x14ac:dyDescent="0.3"/>
    <row r="51567" customFormat="1" x14ac:dyDescent="0.3"/>
    <row r="51568" customFormat="1" x14ac:dyDescent="0.3"/>
    <row r="51569" customFormat="1" x14ac:dyDescent="0.3"/>
    <row r="51570" customFormat="1" x14ac:dyDescent="0.3"/>
    <row r="51571" customFormat="1" x14ac:dyDescent="0.3"/>
    <row r="51572" customFormat="1" x14ac:dyDescent="0.3"/>
    <row r="51573" customFormat="1" x14ac:dyDescent="0.3"/>
    <row r="51574" customFormat="1" x14ac:dyDescent="0.3"/>
    <row r="51575" customFormat="1" x14ac:dyDescent="0.3"/>
    <row r="51576" customFormat="1" x14ac:dyDescent="0.3"/>
    <row r="51577" customFormat="1" x14ac:dyDescent="0.3"/>
    <row r="51578" customFormat="1" x14ac:dyDescent="0.3"/>
    <row r="51579" customFormat="1" x14ac:dyDescent="0.3"/>
    <row r="51580" customFormat="1" x14ac:dyDescent="0.3"/>
    <row r="51581" customFormat="1" x14ac:dyDescent="0.3"/>
    <row r="51582" customFormat="1" x14ac:dyDescent="0.3"/>
    <row r="51583" customFormat="1" x14ac:dyDescent="0.3"/>
    <row r="51584" customFormat="1" x14ac:dyDescent="0.3"/>
    <row r="51585" customFormat="1" x14ac:dyDescent="0.3"/>
    <row r="51586" customFormat="1" x14ac:dyDescent="0.3"/>
    <row r="51587" customFormat="1" x14ac:dyDescent="0.3"/>
    <row r="51588" customFormat="1" x14ac:dyDescent="0.3"/>
    <row r="51589" customFormat="1" x14ac:dyDescent="0.3"/>
    <row r="51590" customFormat="1" x14ac:dyDescent="0.3"/>
    <row r="51591" customFormat="1" x14ac:dyDescent="0.3"/>
    <row r="51592" customFormat="1" x14ac:dyDescent="0.3"/>
    <row r="51593" customFormat="1" x14ac:dyDescent="0.3"/>
    <row r="51594" customFormat="1" x14ac:dyDescent="0.3"/>
    <row r="51595" customFormat="1" x14ac:dyDescent="0.3"/>
    <row r="51596" customFormat="1" x14ac:dyDescent="0.3"/>
    <row r="51597" customFormat="1" x14ac:dyDescent="0.3"/>
    <row r="51598" customFormat="1" x14ac:dyDescent="0.3"/>
    <row r="51599" customFormat="1" x14ac:dyDescent="0.3"/>
    <row r="51600" customFormat="1" x14ac:dyDescent="0.3"/>
    <row r="51601" customFormat="1" x14ac:dyDescent="0.3"/>
    <row r="51602" customFormat="1" x14ac:dyDescent="0.3"/>
    <row r="51603" customFormat="1" x14ac:dyDescent="0.3"/>
    <row r="51604" customFormat="1" x14ac:dyDescent="0.3"/>
    <row r="51605" customFormat="1" x14ac:dyDescent="0.3"/>
    <row r="51606" customFormat="1" x14ac:dyDescent="0.3"/>
    <row r="51607" customFormat="1" x14ac:dyDescent="0.3"/>
    <row r="51608" customFormat="1" x14ac:dyDescent="0.3"/>
    <row r="51609" customFormat="1" x14ac:dyDescent="0.3"/>
    <row r="51610" customFormat="1" x14ac:dyDescent="0.3"/>
    <row r="51611" customFormat="1" x14ac:dyDescent="0.3"/>
    <row r="51612" customFormat="1" x14ac:dyDescent="0.3"/>
    <row r="51613" customFormat="1" x14ac:dyDescent="0.3"/>
    <row r="51614" customFormat="1" x14ac:dyDescent="0.3"/>
    <row r="51615" customFormat="1" x14ac:dyDescent="0.3"/>
    <row r="51616" customFormat="1" x14ac:dyDescent="0.3"/>
    <row r="51617" customFormat="1" x14ac:dyDescent="0.3"/>
    <row r="51618" customFormat="1" x14ac:dyDescent="0.3"/>
    <row r="51619" customFormat="1" x14ac:dyDescent="0.3"/>
    <row r="51620" customFormat="1" x14ac:dyDescent="0.3"/>
    <row r="51621" customFormat="1" x14ac:dyDescent="0.3"/>
    <row r="51622" customFormat="1" x14ac:dyDescent="0.3"/>
    <row r="51623" customFormat="1" x14ac:dyDescent="0.3"/>
    <row r="51624" customFormat="1" x14ac:dyDescent="0.3"/>
    <row r="51625" customFormat="1" x14ac:dyDescent="0.3"/>
    <row r="51626" customFormat="1" x14ac:dyDescent="0.3"/>
    <row r="51627" customFormat="1" x14ac:dyDescent="0.3"/>
    <row r="51628" customFormat="1" x14ac:dyDescent="0.3"/>
    <row r="51629" customFormat="1" x14ac:dyDescent="0.3"/>
    <row r="51630" customFormat="1" x14ac:dyDescent="0.3"/>
    <row r="51631" customFormat="1" x14ac:dyDescent="0.3"/>
    <row r="51632" customFormat="1" x14ac:dyDescent="0.3"/>
    <row r="51633" customFormat="1" x14ac:dyDescent="0.3"/>
    <row r="51634" customFormat="1" x14ac:dyDescent="0.3"/>
    <row r="51635" customFormat="1" x14ac:dyDescent="0.3"/>
    <row r="51636" customFormat="1" x14ac:dyDescent="0.3"/>
    <row r="51637" customFormat="1" x14ac:dyDescent="0.3"/>
    <row r="51638" customFormat="1" x14ac:dyDescent="0.3"/>
    <row r="51639" customFormat="1" x14ac:dyDescent="0.3"/>
    <row r="51640" customFormat="1" x14ac:dyDescent="0.3"/>
    <row r="51641" customFormat="1" x14ac:dyDescent="0.3"/>
    <row r="51642" customFormat="1" x14ac:dyDescent="0.3"/>
    <row r="51643" customFormat="1" x14ac:dyDescent="0.3"/>
    <row r="51644" customFormat="1" x14ac:dyDescent="0.3"/>
    <row r="51645" customFormat="1" x14ac:dyDescent="0.3"/>
    <row r="51646" customFormat="1" x14ac:dyDescent="0.3"/>
    <row r="51647" customFormat="1" x14ac:dyDescent="0.3"/>
    <row r="51648" customFormat="1" x14ac:dyDescent="0.3"/>
    <row r="51649" customFormat="1" x14ac:dyDescent="0.3"/>
    <row r="51650" customFormat="1" x14ac:dyDescent="0.3"/>
    <row r="51651" customFormat="1" x14ac:dyDescent="0.3"/>
    <row r="51652" customFormat="1" x14ac:dyDescent="0.3"/>
    <row r="51653" customFormat="1" x14ac:dyDescent="0.3"/>
    <row r="51654" customFormat="1" x14ac:dyDescent="0.3"/>
    <row r="51655" customFormat="1" x14ac:dyDescent="0.3"/>
    <row r="51656" customFormat="1" x14ac:dyDescent="0.3"/>
    <row r="51657" customFormat="1" x14ac:dyDescent="0.3"/>
    <row r="51658" customFormat="1" x14ac:dyDescent="0.3"/>
    <row r="51659" customFormat="1" x14ac:dyDescent="0.3"/>
    <row r="51660" customFormat="1" x14ac:dyDescent="0.3"/>
    <row r="51661" customFormat="1" x14ac:dyDescent="0.3"/>
    <row r="51662" customFormat="1" x14ac:dyDescent="0.3"/>
    <row r="51663" customFormat="1" x14ac:dyDescent="0.3"/>
    <row r="51664" customFormat="1" x14ac:dyDescent="0.3"/>
    <row r="51665" customFormat="1" x14ac:dyDescent="0.3"/>
    <row r="51666" customFormat="1" x14ac:dyDescent="0.3"/>
    <row r="51667" customFormat="1" x14ac:dyDescent="0.3"/>
    <row r="51668" customFormat="1" x14ac:dyDescent="0.3"/>
    <row r="51669" customFormat="1" x14ac:dyDescent="0.3"/>
    <row r="51670" customFormat="1" x14ac:dyDescent="0.3"/>
    <row r="51671" customFormat="1" x14ac:dyDescent="0.3"/>
    <row r="51672" customFormat="1" x14ac:dyDescent="0.3"/>
    <row r="51673" customFormat="1" x14ac:dyDescent="0.3"/>
    <row r="51674" customFormat="1" x14ac:dyDescent="0.3"/>
    <row r="51675" customFormat="1" x14ac:dyDescent="0.3"/>
    <row r="51676" customFormat="1" x14ac:dyDescent="0.3"/>
    <row r="51677" customFormat="1" x14ac:dyDescent="0.3"/>
    <row r="51678" customFormat="1" x14ac:dyDescent="0.3"/>
    <row r="51679" customFormat="1" x14ac:dyDescent="0.3"/>
    <row r="51680" customFormat="1" x14ac:dyDescent="0.3"/>
    <row r="51681" customFormat="1" x14ac:dyDescent="0.3"/>
    <row r="51682" customFormat="1" x14ac:dyDescent="0.3"/>
    <row r="51683" customFormat="1" x14ac:dyDescent="0.3"/>
    <row r="51684" customFormat="1" x14ac:dyDescent="0.3"/>
    <row r="51685" customFormat="1" x14ac:dyDescent="0.3"/>
    <row r="51686" customFormat="1" x14ac:dyDescent="0.3"/>
    <row r="51687" customFormat="1" x14ac:dyDescent="0.3"/>
    <row r="51688" customFormat="1" x14ac:dyDescent="0.3"/>
    <row r="51689" customFormat="1" x14ac:dyDescent="0.3"/>
    <row r="51690" customFormat="1" x14ac:dyDescent="0.3"/>
    <row r="51691" customFormat="1" x14ac:dyDescent="0.3"/>
    <row r="51692" customFormat="1" x14ac:dyDescent="0.3"/>
    <row r="51693" customFormat="1" x14ac:dyDescent="0.3"/>
    <row r="51694" customFormat="1" x14ac:dyDescent="0.3"/>
    <row r="51695" customFormat="1" x14ac:dyDescent="0.3"/>
    <row r="51696" customFormat="1" x14ac:dyDescent="0.3"/>
    <row r="51697" customFormat="1" x14ac:dyDescent="0.3"/>
    <row r="51698" customFormat="1" x14ac:dyDescent="0.3"/>
    <row r="51699" customFormat="1" x14ac:dyDescent="0.3"/>
    <row r="51700" customFormat="1" x14ac:dyDescent="0.3"/>
    <row r="51701" customFormat="1" x14ac:dyDescent="0.3"/>
    <row r="51702" customFormat="1" x14ac:dyDescent="0.3"/>
    <row r="51703" customFormat="1" x14ac:dyDescent="0.3"/>
    <row r="51704" customFormat="1" x14ac:dyDescent="0.3"/>
    <row r="51705" customFormat="1" x14ac:dyDescent="0.3"/>
    <row r="51706" customFormat="1" x14ac:dyDescent="0.3"/>
    <row r="51707" customFormat="1" x14ac:dyDescent="0.3"/>
    <row r="51708" customFormat="1" x14ac:dyDescent="0.3"/>
    <row r="51709" customFormat="1" x14ac:dyDescent="0.3"/>
    <row r="51710" customFormat="1" x14ac:dyDescent="0.3"/>
    <row r="51711" customFormat="1" x14ac:dyDescent="0.3"/>
    <row r="51712" customFormat="1" x14ac:dyDescent="0.3"/>
    <row r="51713" customFormat="1" x14ac:dyDescent="0.3"/>
    <row r="51714" customFormat="1" x14ac:dyDescent="0.3"/>
    <row r="51715" customFormat="1" x14ac:dyDescent="0.3"/>
    <row r="51716" customFormat="1" x14ac:dyDescent="0.3"/>
    <row r="51717" customFormat="1" x14ac:dyDescent="0.3"/>
    <row r="51718" customFormat="1" x14ac:dyDescent="0.3"/>
    <row r="51719" customFormat="1" x14ac:dyDescent="0.3"/>
    <row r="51720" customFormat="1" x14ac:dyDescent="0.3"/>
    <row r="51721" customFormat="1" x14ac:dyDescent="0.3"/>
    <row r="51722" customFormat="1" x14ac:dyDescent="0.3"/>
    <row r="51723" customFormat="1" x14ac:dyDescent="0.3"/>
    <row r="51724" customFormat="1" x14ac:dyDescent="0.3"/>
    <row r="51725" customFormat="1" x14ac:dyDescent="0.3"/>
    <row r="51726" customFormat="1" x14ac:dyDescent="0.3"/>
    <row r="51727" customFormat="1" x14ac:dyDescent="0.3"/>
    <row r="51728" customFormat="1" x14ac:dyDescent="0.3"/>
    <row r="51729" customFormat="1" x14ac:dyDescent="0.3"/>
    <row r="51730" customFormat="1" x14ac:dyDescent="0.3"/>
    <row r="51731" customFormat="1" x14ac:dyDescent="0.3"/>
    <row r="51732" customFormat="1" x14ac:dyDescent="0.3"/>
    <row r="51733" customFormat="1" x14ac:dyDescent="0.3"/>
    <row r="51734" customFormat="1" x14ac:dyDescent="0.3"/>
    <row r="51735" customFormat="1" x14ac:dyDescent="0.3"/>
    <row r="51736" customFormat="1" x14ac:dyDescent="0.3"/>
    <row r="51737" customFormat="1" x14ac:dyDescent="0.3"/>
    <row r="51738" customFormat="1" x14ac:dyDescent="0.3"/>
    <row r="51739" customFormat="1" x14ac:dyDescent="0.3"/>
    <row r="51740" customFormat="1" x14ac:dyDescent="0.3"/>
    <row r="51741" customFormat="1" x14ac:dyDescent="0.3"/>
    <row r="51742" customFormat="1" x14ac:dyDescent="0.3"/>
    <row r="51743" customFormat="1" x14ac:dyDescent="0.3"/>
    <row r="51744" customFormat="1" x14ac:dyDescent="0.3"/>
    <row r="51745" customFormat="1" x14ac:dyDescent="0.3"/>
    <row r="51746" customFormat="1" x14ac:dyDescent="0.3"/>
    <row r="51747" customFormat="1" x14ac:dyDescent="0.3"/>
    <row r="51748" customFormat="1" x14ac:dyDescent="0.3"/>
    <row r="51749" customFormat="1" x14ac:dyDescent="0.3"/>
    <row r="51750" customFormat="1" x14ac:dyDescent="0.3"/>
    <row r="51751" customFormat="1" x14ac:dyDescent="0.3"/>
    <row r="51752" customFormat="1" x14ac:dyDescent="0.3"/>
    <row r="51753" customFormat="1" x14ac:dyDescent="0.3"/>
    <row r="51754" customFormat="1" x14ac:dyDescent="0.3"/>
    <row r="51755" customFormat="1" x14ac:dyDescent="0.3"/>
    <row r="51756" customFormat="1" x14ac:dyDescent="0.3"/>
    <row r="51757" customFormat="1" x14ac:dyDescent="0.3"/>
    <row r="51758" customFormat="1" x14ac:dyDescent="0.3"/>
    <row r="51759" customFormat="1" x14ac:dyDescent="0.3"/>
    <row r="51760" customFormat="1" x14ac:dyDescent="0.3"/>
    <row r="51761" customFormat="1" x14ac:dyDescent="0.3"/>
    <row r="51762" customFormat="1" x14ac:dyDescent="0.3"/>
    <row r="51763" customFormat="1" x14ac:dyDescent="0.3"/>
    <row r="51764" customFormat="1" x14ac:dyDescent="0.3"/>
    <row r="51765" customFormat="1" x14ac:dyDescent="0.3"/>
    <row r="51766" customFormat="1" x14ac:dyDescent="0.3"/>
    <row r="51767" customFormat="1" x14ac:dyDescent="0.3"/>
    <row r="51768" customFormat="1" x14ac:dyDescent="0.3"/>
    <row r="51769" customFormat="1" x14ac:dyDescent="0.3"/>
    <row r="51770" customFormat="1" x14ac:dyDescent="0.3"/>
    <row r="51771" customFormat="1" x14ac:dyDescent="0.3"/>
    <row r="51772" customFormat="1" x14ac:dyDescent="0.3"/>
    <row r="51773" customFormat="1" x14ac:dyDescent="0.3"/>
    <row r="51774" customFormat="1" x14ac:dyDescent="0.3"/>
    <row r="51775" customFormat="1" x14ac:dyDescent="0.3"/>
    <row r="51776" customFormat="1" x14ac:dyDescent="0.3"/>
    <row r="51777" customFormat="1" x14ac:dyDescent="0.3"/>
    <row r="51778" customFormat="1" x14ac:dyDescent="0.3"/>
    <row r="51779" customFormat="1" x14ac:dyDescent="0.3"/>
    <row r="51780" customFormat="1" x14ac:dyDescent="0.3"/>
    <row r="51781" customFormat="1" x14ac:dyDescent="0.3"/>
    <row r="51782" customFormat="1" x14ac:dyDescent="0.3"/>
    <row r="51783" customFormat="1" x14ac:dyDescent="0.3"/>
    <row r="51784" customFormat="1" x14ac:dyDescent="0.3"/>
    <row r="51785" customFormat="1" x14ac:dyDescent="0.3"/>
    <row r="51786" customFormat="1" x14ac:dyDescent="0.3"/>
    <row r="51787" customFormat="1" x14ac:dyDescent="0.3"/>
    <row r="51788" customFormat="1" x14ac:dyDescent="0.3"/>
    <row r="51789" customFormat="1" x14ac:dyDescent="0.3"/>
    <row r="51790" customFormat="1" x14ac:dyDescent="0.3"/>
    <row r="51791" customFormat="1" x14ac:dyDescent="0.3"/>
    <row r="51792" customFormat="1" x14ac:dyDescent="0.3"/>
    <row r="51793" customFormat="1" x14ac:dyDescent="0.3"/>
    <row r="51794" customFormat="1" x14ac:dyDescent="0.3"/>
    <row r="51795" customFormat="1" x14ac:dyDescent="0.3"/>
    <row r="51796" customFormat="1" x14ac:dyDescent="0.3"/>
    <row r="51797" customFormat="1" x14ac:dyDescent="0.3"/>
    <row r="51798" customFormat="1" x14ac:dyDescent="0.3"/>
    <row r="51799" customFormat="1" x14ac:dyDescent="0.3"/>
    <row r="51800" customFormat="1" x14ac:dyDescent="0.3"/>
    <row r="51801" customFormat="1" x14ac:dyDescent="0.3"/>
    <row r="51802" customFormat="1" x14ac:dyDescent="0.3"/>
    <row r="51803" customFormat="1" x14ac:dyDescent="0.3"/>
    <row r="51804" customFormat="1" x14ac:dyDescent="0.3"/>
    <row r="51805" customFormat="1" x14ac:dyDescent="0.3"/>
    <row r="51806" customFormat="1" x14ac:dyDescent="0.3"/>
    <row r="51807" customFormat="1" x14ac:dyDescent="0.3"/>
    <row r="51808" customFormat="1" x14ac:dyDescent="0.3"/>
    <row r="51809" customFormat="1" x14ac:dyDescent="0.3"/>
    <row r="51810" customFormat="1" x14ac:dyDescent="0.3"/>
    <row r="51811" customFormat="1" x14ac:dyDescent="0.3"/>
    <row r="51812" customFormat="1" x14ac:dyDescent="0.3"/>
    <row r="51813" customFormat="1" x14ac:dyDescent="0.3"/>
    <row r="51814" customFormat="1" x14ac:dyDescent="0.3"/>
    <row r="51815" customFormat="1" x14ac:dyDescent="0.3"/>
    <row r="51816" customFormat="1" x14ac:dyDescent="0.3"/>
    <row r="51817" customFormat="1" x14ac:dyDescent="0.3"/>
    <row r="51818" customFormat="1" x14ac:dyDescent="0.3"/>
    <row r="51819" customFormat="1" x14ac:dyDescent="0.3"/>
    <row r="51820" customFormat="1" x14ac:dyDescent="0.3"/>
    <row r="51821" customFormat="1" x14ac:dyDescent="0.3"/>
    <row r="51822" customFormat="1" x14ac:dyDescent="0.3"/>
    <row r="51823" customFormat="1" x14ac:dyDescent="0.3"/>
    <row r="51824" customFormat="1" x14ac:dyDescent="0.3"/>
    <row r="51825" customFormat="1" x14ac:dyDescent="0.3"/>
    <row r="51826" customFormat="1" x14ac:dyDescent="0.3"/>
    <row r="51827" customFormat="1" x14ac:dyDescent="0.3"/>
    <row r="51828" customFormat="1" x14ac:dyDescent="0.3"/>
    <row r="51829" customFormat="1" x14ac:dyDescent="0.3"/>
    <row r="51830" customFormat="1" x14ac:dyDescent="0.3"/>
    <row r="51831" customFormat="1" x14ac:dyDescent="0.3"/>
    <row r="51832" customFormat="1" x14ac:dyDescent="0.3"/>
    <row r="51833" customFormat="1" x14ac:dyDescent="0.3"/>
    <row r="51834" customFormat="1" x14ac:dyDescent="0.3"/>
    <row r="51835" customFormat="1" x14ac:dyDescent="0.3"/>
    <row r="51836" customFormat="1" x14ac:dyDescent="0.3"/>
    <row r="51837" customFormat="1" x14ac:dyDescent="0.3"/>
    <row r="51838" customFormat="1" x14ac:dyDescent="0.3"/>
    <row r="51839" customFormat="1" x14ac:dyDescent="0.3"/>
    <row r="51840" customFormat="1" x14ac:dyDescent="0.3"/>
    <row r="51841" customFormat="1" x14ac:dyDescent="0.3"/>
    <row r="51842" customFormat="1" x14ac:dyDescent="0.3"/>
    <row r="51843" customFormat="1" x14ac:dyDescent="0.3"/>
    <row r="51844" customFormat="1" x14ac:dyDescent="0.3"/>
    <row r="51845" customFormat="1" x14ac:dyDescent="0.3"/>
    <row r="51846" customFormat="1" x14ac:dyDescent="0.3"/>
    <row r="51847" customFormat="1" x14ac:dyDescent="0.3"/>
    <row r="51848" customFormat="1" x14ac:dyDescent="0.3"/>
    <row r="51849" customFormat="1" x14ac:dyDescent="0.3"/>
    <row r="51850" customFormat="1" x14ac:dyDescent="0.3"/>
    <row r="51851" customFormat="1" x14ac:dyDescent="0.3"/>
    <row r="51852" customFormat="1" x14ac:dyDescent="0.3"/>
    <row r="51853" customFormat="1" x14ac:dyDescent="0.3"/>
    <row r="51854" customFormat="1" x14ac:dyDescent="0.3"/>
    <row r="51855" customFormat="1" x14ac:dyDescent="0.3"/>
    <row r="51856" customFormat="1" x14ac:dyDescent="0.3"/>
    <row r="51857" customFormat="1" x14ac:dyDescent="0.3"/>
    <row r="51858" customFormat="1" x14ac:dyDescent="0.3"/>
    <row r="51859" customFormat="1" x14ac:dyDescent="0.3"/>
    <row r="51860" customFormat="1" x14ac:dyDescent="0.3"/>
    <row r="51861" customFormat="1" x14ac:dyDescent="0.3"/>
    <row r="51862" customFormat="1" x14ac:dyDescent="0.3"/>
    <row r="51863" customFormat="1" x14ac:dyDescent="0.3"/>
    <row r="51864" customFormat="1" x14ac:dyDescent="0.3"/>
    <row r="51865" customFormat="1" x14ac:dyDescent="0.3"/>
    <row r="51866" customFormat="1" x14ac:dyDescent="0.3"/>
    <row r="51867" customFormat="1" x14ac:dyDescent="0.3"/>
    <row r="51868" customFormat="1" x14ac:dyDescent="0.3"/>
    <row r="51869" customFormat="1" x14ac:dyDescent="0.3"/>
    <row r="51870" customFormat="1" x14ac:dyDescent="0.3"/>
    <row r="51871" customFormat="1" x14ac:dyDescent="0.3"/>
    <row r="51872" customFormat="1" x14ac:dyDescent="0.3"/>
    <row r="51873" customFormat="1" x14ac:dyDescent="0.3"/>
    <row r="51874" customFormat="1" x14ac:dyDescent="0.3"/>
    <row r="51875" customFormat="1" x14ac:dyDescent="0.3"/>
    <row r="51876" customFormat="1" x14ac:dyDescent="0.3"/>
    <row r="51877" customFormat="1" x14ac:dyDescent="0.3"/>
    <row r="51878" customFormat="1" x14ac:dyDescent="0.3"/>
    <row r="51879" customFormat="1" x14ac:dyDescent="0.3"/>
    <row r="51880" customFormat="1" x14ac:dyDescent="0.3"/>
    <row r="51881" customFormat="1" x14ac:dyDescent="0.3"/>
    <row r="51882" customFormat="1" x14ac:dyDescent="0.3"/>
    <row r="51883" customFormat="1" x14ac:dyDescent="0.3"/>
    <row r="51884" customFormat="1" x14ac:dyDescent="0.3"/>
    <row r="51885" customFormat="1" x14ac:dyDescent="0.3"/>
    <row r="51886" customFormat="1" x14ac:dyDescent="0.3"/>
    <row r="51887" customFormat="1" x14ac:dyDescent="0.3"/>
    <row r="51888" customFormat="1" x14ac:dyDescent="0.3"/>
    <row r="51889" customFormat="1" x14ac:dyDescent="0.3"/>
    <row r="51890" customFormat="1" x14ac:dyDescent="0.3"/>
    <row r="51891" customFormat="1" x14ac:dyDescent="0.3"/>
    <row r="51892" customFormat="1" x14ac:dyDescent="0.3"/>
    <row r="51893" customFormat="1" x14ac:dyDescent="0.3"/>
    <row r="51894" customFormat="1" x14ac:dyDescent="0.3"/>
    <row r="51895" customFormat="1" x14ac:dyDescent="0.3"/>
    <row r="51896" customFormat="1" x14ac:dyDescent="0.3"/>
    <row r="51897" customFormat="1" x14ac:dyDescent="0.3"/>
    <row r="51898" customFormat="1" x14ac:dyDescent="0.3"/>
    <row r="51899" customFormat="1" x14ac:dyDescent="0.3"/>
    <row r="51900" customFormat="1" x14ac:dyDescent="0.3"/>
    <row r="51901" customFormat="1" x14ac:dyDescent="0.3"/>
    <row r="51902" customFormat="1" x14ac:dyDescent="0.3"/>
    <row r="51903" customFormat="1" x14ac:dyDescent="0.3"/>
    <row r="51904" customFormat="1" x14ac:dyDescent="0.3"/>
    <row r="51905" customFormat="1" x14ac:dyDescent="0.3"/>
    <row r="51906" customFormat="1" x14ac:dyDescent="0.3"/>
    <row r="51907" customFormat="1" x14ac:dyDescent="0.3"/>
    <row r="51908" customFormat="1" x14ac:dyDescent="0.3"/>
    <row r="51909" customFormat="1" x14ac:dyDescent="0.3"/>
    <row r="51910" customFormat="1" x14ac:dyDescent="0.3"/>
    <row r="51911" customFormat="1" x14ac:dyDescent="0.3"/>
    <row r="51912" customFormat="1" x14ac:dyDescent="0.3"/>
    <row r="51913" customFormat="1" x14ac:dyDescent="0.3"/>
    <row r="51914" customFormat="1" x14ac:dyDescent="0.3"/>
    <row r="51915" customFormat="1" x14ac:dyDescent="0.3"/>
    <row r="51916" customFormat="1" x14ac:dyDescent="0.3"/>
    <row r="51917" customFormat="1" x14ac:dyDescent="0.3"/>
    <row r="51918" customFormat="1" x14ac:dyDescent="0.3"/>
    <row r="51919" customFormat="1" x14ac:dyDescent="0.3"/>
    <row r="51920" customFormat="1" x14ac:dyDescent="0.3"/>
    <row r="51921" customFormat="1" x14ac:dyDescent="0.3"/>
    <row r="51922" customFormat="1" x14ac:dyDescent="0.3"/>
    <row r="51923" customFormat="1" x14ac:dyDescent="0.3"/>
    <row r="51924" customFormat="1" x14ac:dyDescent="0.3"/>
    <row r="51925" customFormat="1" x14ac:dyDescent="0.3"/>
    <row r="51926" customFormat="1" x14ac:dyDescent="0.3"/>
    <row r="51927" customFormat="1" x14ac:dyDescent="0.3"/>
    <row r="51928" customFormat="1" x14ac:dyDescent="0.3"/>
    <row r="51929" customFormat="1" x14ac:dyDescent="0.3"/>
    <row r="51930" customFormat="1" x14ac:dyDescent="0.3"/>
    <row r="51931" customFormat="1" x14ac:dyDescent="0.3"/>
    <row r="51932" customFormat="1" x14ac:dyDescent="0.3"/>
    <row r="51933" customFormat="1" x14ac:dyDescent="0.3"/>
    <row r="51934" customFormat="1" x14ac:dyDescent="0.3"/>
    <row r="51935" customFormat="1" x14ac:dyDescent="0.3"/>
    <row r="51936" customFormat="1" x14ac:dyDescent="0.3"/>
    <row r="51937" customFormat="1" x14ac:dyDescent="0.3"/>
    <row r="51938" customFormat="1" x14ac:dyDescent="0.3"/>
    <row r="51939" customFormat="1" x14ac:dyDescent="0.3"/>
    <row r="51940" customFormat="1" x14ac:dyDescent="0.3"/>
    <row r="51941" customFormat="1" x14ac:dyDescent="0.3"/>
    <row r="51942" customFormat="1" x14ac:dyDescent="0.3"/>
    <row r="51943" customFormat="1" x14ac:dyDescent="0.3"/>
    <row r="51944" customFormat="1" x14ac:dyDescent="0.3"/>
    <row r="51945" customFormat="1" x14ac:dyDescent="0.3"/>
    <row r="51946" customFormat="1" x14ac:dyDescent="0.3"/>
    <row r="51947" customFormat="1" x14ac:dyDescent="0.3"/>
    <row r="51948" customFormat="1" x14ac:dyDescent="0.3"/>
    <row r="51949" customFormat="1" x14ac:dyDescent="0.3"/>
    <row r="51950" customFormat="1" x14ac:dyDescent="0.3"/>
    <row r="51951" customFormat="1" x14ac:dyDescent="0.3"/>
    <row r="51952" customFormat="1" x14ac:dyDescent="0.3"/>
    <row r="51953" customFormat="1" x14ac:dyDescent="0.3"/>
    <row r="51954" customFormat="1" x14ac:dyDescent="0.3"/>
    <row r="51955" customFormat="1" x14ac:dyDescent="0.3"/>
    <row r="51956" customFormat="1" x14ac:dyDescent="0.3"/>
    <row r="51957" customFormat="1" x14ac:dyDescent="0.3"/>
    <row r="51958" customFormat="1" x14ac:dyDescent="0.3"/>
    <row r="51959" customFormat="1" x14ac:dyDescent="0.3"/>
    <row r="51960" customFormat="1" x14ac:dyDescent="0.3"/>
    <row r="51961" customFormat="1" x14ac:dyDescent="0.3"/>
    <row r="51962" customFormat="1" x14ac:dyDescent="0.3"/>
    <row r="51963" customFormat="1" x14ac:dyDescent="0.3"/>
    <row r="51964" customFormat="1" x14ac:dyDescent="0.3"/>
    <row r="51965" customFormat="1" x14ac:dyDescent="0.3"/>
    <row r="51966" customFormat="1" x14ac:dyDescent="0.3"/>
    <row r="51967" customFormat="1" x14ac:dyDescent="0.3"/>
    <row r="51968" customFormat="1" x14ac:dyDescent="0.3"/>
    <row r="51969" customFormat="1" x14ac:dyDescent="0.3"/>
    <row r="51970" customFormat="1" x14ac:dyDescent="0.3"/>
    <row r="51971" customFormat="1" x14ac:dyDescent="0.3"/>
    <row r="51972" customFormat="1" x14ac:dyDescent="0.3"/>
    <row r="51973" customFormat="1" x14ac:dyDescent="0.3"/>
    <row r="51974" customFormat="1" x14ac:dyDescent="0.3"/>
    <row r="51975" customFormat="1" x14ac:dyDescent="0.3"/>
    <row r="51976" customFormat="1" x14ac:dyDescent="0.3"/>
    <row r="51977" customFormat="1" x14ac:dyDescent="0.3"/>
    <row r="51978" customFormat="1" x14ac:dyDescent="0.3"/>
    <row r="51979" customFormat="1" x14ac:dyDescent="0.3"/>
    <row r="51980" customFormat="1" x14ac:dyDescent="0.3"/>
    <row r="51981" customFormat="1" x14ac:dyDescent="0.3"/>
    <row r="51982" customFormat="1" x14ac:dyDescent="0.3"/>
    <row r="51983" customFormat="1" x14ac:dyDescent="0.3"/>
    <row r="51984" customFormat="1" x14ac:dyDescent="0.3"/>
    <row r="51985" customFormat="1" x14ac:dyDescent="0.3"/>
    <row r="51986" customFormat="1" x14ac:dyDescent="0.3"/>
    <row r="51987" customFormat="1" x14ac:dyDescent="0.3"/>
    <row r="51988" customFormat="1" x14ac:dyDescent="0.3"/>
    <row r="51989" customFormat="1" x14ac:dyDescent="0.3"/>
    <row r="51990" customFormat="1" x14ac:dyDescent="0.3"/>
    <row r="51991" customFormat="1" x14ac:dyDescent="0.3"/>
    <row r="51992" customFormat="1" x14ac:dyDescent="0.3"/>
    <row r="51993" customFormat="1" x14ac:dyDescent="0.3"/>
    <row r="51994" customFormat="1" x14ac:dyDescent="0.3"/>
    <row r="51995" customFormat="1" x14ac:dyDescent="0.3"/>
    <row r="51996" customFormat="1" x14ac:dyDescent="0.3"/>
    <row r="51997" customFormat="1" x14ac:dyDescent="0.3"/>
    <row r="51998" customFormat="1" x14ac:dyDescent="0.3"/>
    <row r="51999" customFormat="1" x14ac:dyDescent="0.3"/>
    <row r="52000" customFormat="1" x14ac:dyDescent="0.3"/>
    <row r="52001" customFormat="1" x14ac:dyDescent="0.3"/>
    <row r="52002" customFormat="1" x14ac:dyDescent="0.3"/>
    <row r="52003" customFormat="1" x14ac:dyDescent="0.3"/>
    <row r="52004" customFormat="1" x14ac:dyDescent="0.3"/>
    <row r="52005" customFormat="1" x14ac:dyDescent="0.3"/>
    <row r="52006" customFormat="1" x14ac:dyDescent="0.3"/>
    <row r="52007" customFormat="1" x14ac:dyDescent="0.3"/>
    <row r="52008" customFormat="1" x14ac:dyDescent="0.3"/>
    <row r="52009" customFormat="1" x14ac:dyDescent="0.3"/>
    <row r="52010" customFormat="1" x14ac:dyDescent="0.3"/>
    <row r="52011" customFormat="1" x14ac:dyDescent="0.3"/>
    <row r="52012" customFormat="1" x14ac:dyDescent="0.3"/>
    <row r="52013" customFormat="1" x14ac:dyDescent="0.3"/>
    <row r="52014" customFormat="1" x14ac:dyDescent="0.3"/>
    <row r="52015" customFormat="1" x14ac:dyDescent="0.3"/>
    <row r="52016" customFormat="1" x14ac:dyDescent="0.3"/>
    <row r="52017" customFormat="1" x14ac:dyDescent="0.3"/>
    <row r="52018" customFormat="1" x14ac:dyDescent="0.3"/>
    <row r="52019" customFormat="1" x14ac:dyDescent="0.3"/>
    <row r="52020" customFormat="1" x14ac:dyDescent="0.3"/>
    <row r="52021" customFormat="1" x14ac:dyDescent="0.3"/>
    <row r="52022" customFormat="1" x14ac:dyDescent="0.3"/>
    <row r="52023" customFormat="1" x14ac:dyDescent="0.3"/>
    <row r="52024" customFormat="1" x14ac:dyDescent="0.3"/>
    <row r="52025" customFormat="1" x14ac:dyDescent="0.3"/>
    <row r="52026" customFormat="1" x14ac:dyDescent="0.3"/>
    <row r="52027" customFormat="1" x14ac:dyDescent="0.3"/>
    <row r="52028" customFormat="1" x14ac:dyDescent="0.3"/>
    <row r="52029" customFormat="1" x14ac:dyDescent="0.3"/>
    <row r="52030" customFormat="1" x14ac:dyDescent="0.3"/>
    <row r="52031" customFormat="1" x14ac:dyDescent="0.3"/>
    <row r="52032" customFormat="1" x14ac:dyDescent="0.3"/>
    <row r="52033" customFormat="1" x14ac:dyDescent="0.3"/>
    <row r="52034" customFormat="1" x14ac:dyDescent="0.3"/>
    <row r="52035" customFormat="1" x14ac:dyDescent="0.3"/>
    <row r="52036" customFormat="1" x14ac:dyDescent="0.3"/>
    <row r="52037" customFormat="1" x14ac:dyDescent="0.3"/>
    <row r="52038" customFormat="1" x14ac:dyDescent="0.3"/>
    <row r="52039" customFormat="1" x14ac:dyDescent="0.3"/>
    <row r="52040" customFormat="1" x14ac:dyDescent="0.3"/>
    <row r="52041" customFormat="1" x14ac:dyDescent="0.3"/>
    <row r="52042" customFormat="1" x14ac:dyDescent="0.3"/>
    <row r="52043" customFormat="1" x14ac:dyDescent="0.3"/>
    <row r="52044" customFormat="1" x14ac:dyDescent="0.3"/>
    <row r="52045" customFormat="1" x14ac:dyDescent="0.3"/>
    <row r="52046" customFormat="1" x14ac:dyDescent="0.3"/>
    <row r="52047" customFormat="1" x14ac:dyDescent="0.3"/>
    <row r="52048" customFormat="1" x14ac:dyDescent="0.3"/>
    <row r="52049" customFormat="1" x14ac:dyDescent="0.3"/>
    <row r="52050" customFormat="1" x14ac:dyDescent="0.3"/>
    <row r="52051" customFormat="1" x14ac:dyDescent="0.3"/>
    <row r="52052" customFormat="1" x14ac:dyDescent="0.3"/>
    <row r="52053" customFormat="1" x14ac:dyDescent="0.3"/>
    <row r="52054" customFormat="1" x14ac:dyDescent="0.3"/>
    <row r="52055" customFormat="1" x14ac:dyDescent="0.3"/>
    <row r="52056" customFormat="1" x14ac:dyDescent="0.3"/>
    <row r="52057" customFormat="1" x14ac:dyDescent="0.3"/>
    <row r="52058" customFormat="1" x14ac:dyDescent="0.3"/>
    <row r="52059" customFormat="1" x14ac:dyDescent="0.3"/>
    <row r="52060" customFormat="1" x14ac:dyDescent="0.3"/>
    <row r="52061" customFormat="1" x14ac:dyDescent="0.3"/>
    <row r="52062" customFormat="1" x14ac:dyDescent="0.3"/>
    <row r="52063" customFormat="1" x14ac:dyDescent="0.3"/>
    <row r="52064" customFormat="1" x14ac:dyDescent="0.3"/>
    <row r="52065" customFormat="1" x14ac:dyDescent="0.3"/>
    <row r="52066" customFormat="1" x14ac:dyDescent="0.3"/>
    <row r="52067" customFormat="1" x14ac:dyDescent="0.3"/>
    <row r="52068" customFormat="1" x14ac:dyDescent="0.3"/>
    <row r="52069" customFormat="1" x14ac:dyDescent="0.3"/>
    <row r="52070" customFormat="1" x14ac:dyDescent="0.3"/>
    <row r="52071" customFormat="1" x14ac:dyDescent="0.3"/>
    <row r="52072" customFormat="1" x14ac:dyDescent="0.3"/>
    <row r="52073" customFormat="1" x14ac:dyDescent="0.3"/>
    <row r="52074" customFormat="1" x14ac:dyDescent="0.3"/>
    <row r="52075" customFormat="1" x14ac:dyDescent="0.3"/>
    <row r="52076" customFormat="1" x14ac:dyDescent="0.3"/>
    <row r="52077" customFormat="1" x14ac:dyDescent="0.3"/>
    <row r="52078" customFormat="1" x14ac:dyDescent="0.3"/>
    <row r="52079" customFormat="1" x14ac:dyDescent="0.3"/>
    <row r="52080" customFormat="1" x14ac:dyDescent="0.3"/>
    <row r="52081" customFormat="1" x14ac:dyDescent="0.3"/>
    <row r="52082" customFormat="1" x14ac:dyDescent="0.3"/>
    <row r="52083" customFormat="1" x14ac:dyDescent="0.3"/>
    <row r="52084" customFormat="1" x14ac:dyDescent="0.3"/>
    <row r="52085" customFormat="1" x14ac:dyDescent="0.3"/>
    <row r="52086" customFormat="1" x14ac:dyDescent="0.3"/>
    <row r="52087" customFormat="1" x14ac:dyDescent="0.3"/>
    <row r="52088" customFormat="1" x14ac:dyDescent="0.3"/>
    <row r="52089" customFormat="1" x14ac:dyDescent="0.3"/>
    <row r="52090" customFormat="1" x14ac:dyDescent="0.3"/>
    <row r="52091" customFormat="1" x14ac:dyDescent="0.3"/>
    <row r="52092" customFormat="1" x14ac:dyDescent="0.3"/>
    <row r="52093" customFormat="1" x14ac:dyDescent="0.3"/>
    <row r="52094" customFormat="1" x14ac:dyDescent="0.3"/>
    <row r="52095" customFormat="1" x14ac:dyDescent="0.3"/>
    <row r="52096" customFormat="1" x14ac:dyDescent="0.3"/>
    <row r="52097" customFormat="1" x14ac:dyDescent="0.3"/>
    <row r="52098" customFormat="1" x14ac:dyDescent="0.3"/>
    <row r="52099" customFormat="1" x14ac:dyDescent="0.3"/>
    <row r="52100" customFormat="1" x14ac:dyDescent="0.3"/>
    <row r="52101" customFormat="1" x14ac:dyDescent="0.3"/>
    <row r="52102" customFormat="1" x14ac:dyDescent="0.3"/>
    <row r="52103" customFormat="1" x14ac:dyDescent="0.3"/>
    <row r="52104" customFormat="1" x14ac:dyDescent="0.3"/>
    <row r="52105" customFormat="1" x14ac:dyDescent="0.3"/>
    <row r="52106" customFormat="1" x14ac:dyDescent="0.3"/>
    <row r="52107" customFormat="1" x14ac:dyDescent="0.3"/>
    <row r="52108" customFormat="1" x14ac:dyDescent="0.3"/>
    <row r="52109" customFormat="1" x14ac:dyDescent="0.3"/>
    <row r="52110" customFormat="1" x14ac:dyDescent="0.3"/>
    <row r="52111" customFormat="1" x14ac:dyDescent="0.3"/>
    <row r="52112" customFormat="1" x14ac:dyDescent="0.3"/>
    <row r="52113" customFormat="1" x14ac:dyDescent="0.3"/>
    <row r="52114" customFormat="1" x14ac:dyDescent="0.3"/>
    <row r="52115" customFormat="1" x14ac:dyDescent="0.3"/>
    <row r="52116" customFormat="1" x14ac:dyDescent="0.3"/>
    <row r="52117" customFormat="1" x14ac:dyDescent="0.3"/>
    <row r="52118" customFormat="1" x14ac:dyDescent="0.3"/>
    <row r="52119" customFormat="1" x14ac:dyDescent="0.3"/>
    <row r="52120" customFormat="1" x14ac:dyDescent="0.3"/>
    <row r="52121" customFormat="1" x14ac:dyDescent="0.3"/>
    <row r="52122" customFormat="1" x14ac:dyDescent="0.3"/>
    <row r="52123" customFormat="1" x14ac:dyDescent="0.3"/>
    <row r="52124" customFormat="1" x14ac:dyDescent="0.3"/>
    <row r="52125" customFormat="1" x14ac:dyDescent="0.3"/>
    <row r="52126" customFormat="1" x14ac:dyDescent="0.3"/>
    <row r="52127" customFormat="1" x14ac:dyDescent="0.3"/>
    <row r="52128" customFormat="1" x14ac:dyDescent="0.3"/>
    <row r="52129" customFormat="1" x14ac:dyDescent="0.3"/>
    <row r="52130" customFormat="1" x14ac:dyDescent="0.3"/>
    <row r="52131" customFormat="1" x14ac:dyDescent="0.3"/>
    <row r="52132" customFormat="1" x14ac:dyDescent="0.3"/>
    <row r="52133" customFormat="1" x14ac:dyDescent="0.3"/>
    <row r="52134" customFormat="1" x14ac:dyDescent="0.3"/>
    <row r="52135" customFormat="1" x14ac:dyDescent="0.3"/>
    <row r="52136" customFormat="1" x14ac:dyDescent="0.3"/>
    <row r="52137" customFormat="1" x14ac:dyDescent="0.3"/>
    <row r="52138" customFormat="1" x14ac:dyDescent="0.3"/>
    <row r="52139" customFormat="1" x14ac:dyDescent="0.3"/>
    <row r="52140" customFormat="1" x14ac:dyDescent="0.3"/>
    <row r="52141" customFormat="1" x14ac:dyDescent="0.3"/>
    <row r="52142" customFormat="1" x14ac:dyDescent="0.3"/>
    <row r="52143" customFormat="1" x14ac:dyDescent="0.3"/>
    <row r="52144" customFormat="1" x14ac:dyDescent="0.3"/>
    <row r="52145" customFormat="1" x14ac:dyDescent="0.3"/>
    <row r="52146" customFormat="1" x14ac:dyDescent="0.3"/>
    <row r="52147" customFormat="1" x14ac:dyDescent="0.3"/>
    <row r="52148" customFormat="1" x14ac:dyDescent="0.3"/>
    <row r="52149" customFormat="1" x14ac:dyDescent="0.3"/>
    <row r="52150" customFormat="1" x14ac:dyDescent="0.3"/>
    <row r="52151" customFormat="1" x14ac:dyDescent="0.3"/>
    <row r="52152" customFormat="1" x14ac:dyDescent="0.3"/>
    <row r="52153" customFormat="1" x14ac:dyDescent="0.3"/>
    <row r="52154" customFormat="1" x14ac:dyDescent="0.3"/>
    <row r="52155" customFormat="1" x14ac:dyDescent="0.3"/>
    <row r="52156" customFormat="1" x14ac:dyDescent="0.3"/>
    <row r="52157" customFormat="1" x14ac:dyDescent="0.3"/>
    <row r="52158" customFormat="1" x14ac:dyDescent="0.3"/>
    <row r="52159" customFormat="1" x14ac:dyDescent="0.3"/>
    <row r="52160" customFormat="1" x14ac:dyDescent="0.3"/>
    <row r="52161" customFormat="1" x14ac:dyDescent="0.3"/>
    <row r="52162" customFormat="1" x14ac:dyDescent="0.3"/>
    <row r="52163" customFormat="1" x14ac:dyDescent="0.3"/>
    <row r="52164" customFormat="1" x14ac:dyDescent="0.3"/>
    <row r="52165" customFormat="1" x14ac:dyDescent="0.3"/>
    <row r="52166" customFormat="1" x14ac:dyDescent="0.3"/>
    <row r="52167" customFormat="1" x14ac:dyDescent="0.3"/>
    <row r="52168" customFormat="1" x14ac:dyDescent="0.3"/>
    <row r="52169" customFormat="1" x14ac:dyDescent="0.3"/>
    <row r="52170" customFormat="1" x14ac:dyDescent="0.3"/>
    <row r="52171" customFormat="1" x14ac:dyDescent="0.3"/>
    <row r="52172" customFormat="1" x14ac:dyDescent="0.3"/>
    <row r="52173" customFormat="1" x14ac:dyDescent="0.3"/>
    <row r="52174" customFormat="1" x14ac:dyDescent="0.3"/>
    <row r="52175" customFormat="1" x14ac:dyDescent="0.3"/>
    <row r="52176" customFormat="1" x14ac:dyDescent="0.3"/>
    <row r="52177" customFormat="1" x14ac:dyDescent="0.3"/>
    <row r="52178" customFormat="1" x14ac:dyDescent="0.3"/>
    <row r="52179" customFormat="1" x14ac:dyDescent="0.3"/>
    <row r="52180" customFormat="1" x14ac:dyDescent="0.3"/>
    <row r="52181" customFormat="1" x14ac:dyDescent="0.3"/>
    <row r="52182" customFormat="1" x14ac:dyDescent="0.3"/>
    <row r="52183" customFormat="1" x14ac:dyDescent="0.3"/>
    <row r="52184" customFormat="1" x14ac:dyDescent="0.3"/>
    <row r="52185" customFormat="1" x14ac:dyDescent="0.3"/>
    <row r="52186" customFormat="1" x14ac:dyDescent="0.3"/>
    <row r="52187" customFormat="1" x14ac:dyDescent="0.3"/>
    <row r="52188" customFormat="1" x14ac:dyDescent="0.3"/>
    <row r="52189" customFormat="1" x14ac:dyDescent="0.3"/>
    <row r="52190" customFormat="1" x14ac:dyDescent="0.3"/>
    <row r="52191" customFormat="1" x14ac:dyDescent="0.3"/>
    <row r="52192" customFormat="1" x14ac:dyDescent="0.3"/>
    <row r="52193" customFormat="1" x14ac:dyDescent="0.3"/>
    <row r="52194" customFormat="1" x14ac:dyDescent="0.3"/>
    <row r="52195" customFormat="1" x14ac:dyDescent="0.3"/>
    <row r="52196" customFormat="1" x14ac:dyDescent="0.3"/>
    <row r="52197" customFormat="1" x14ac:dyDescent="0.3"/>
    <row r="52198" customFormat="1" x14ac:dyDescent="0.3"/>
    <row r="52199" customFormat="1" x14ac:dyDescent="0.3"/>
    <row r="52200" customFormat="1" x14ac:dyDescent="0.3"/>
    <row r="52201" customFormat="1" x14ac:dyDescent="0.3"/>
    <row r="52202" customFormat="1" x14ac:dyDescent="0.3"/>
    <row r="52203" customFormat="1" x14ac:dyDescent="0.3"/>
    <row r="52204" customFormat="1" x14ac:dyDescent="0.3"/>
    <row r="52205" customFormat="1" x14ac:dyDescent="0.3"/>
    <row r="52206" customFormat="1" x14ac:dyDescent="0.3"/>
    <row r="52207" customFormat="1" x14ac:dyDescent="0.3"/>
    <row r="52208" customFormat="1" x14ac:dyDescent="0.3"/>
    <row r="52209" customFormat="1" x14ac:dyDescent="0.3"/>
    <row r="52210" customFormat="1" x14ac:dyDescent="0.3"/>
    <row r="52211" customFormat="1" x14ac:dyDescent="0.3"/>
    <row r="52212" customFormat="1" x14ac:dyDescent="0.3"/>
    <row r="52213" customFormat="1" x14ac:dyDescent="0.3"/>
    <row r="52214" customFormat="1" x14ac:dyDescent="0.3"/>
    <row r="52215" customFormat="1" x14ac:dyDescent="0.3"/>
    <row r="52216" customFormat="1" x14ac:dyDescent="0.3"/>
    <row r="52217" customFormat="1" x14ac:dyDescent="0.3"/>
    <row r="52218" customFormat="1" x14ac:dyDescent="0.3"/>
    <row r="52219" customFormat="1" x14ac:dyDescent="0.3"/>
    <row r="52220" customFormat="1" x14ac:dyDescent="0.3"/>
    <row r="52221" customFormat="1" x14ac:dyDescent="0.3"/>
    <row r="52222" customFormat="1" x14ac:dyDescent="0.3"/>
    <row r="52223" customFormat="1" x14ac:dyDescent="0.3"/>
    <row r="52224" customFormat="1" x14ac:dyDescent="0.3"/>
    <row r="52225" customFormat="1" x14ac:dyDescent="0.3"/>
    <row r="52226" customFormat="1" x14ac:dyDescent="0.3"/>
    <row r="52227" customFormat="1" x14ac:dyDescent="0.3"/>
    <row r="52228" customFormat="1" x14ac:dyDescent="0.3"/>
    <row r="52229" customFormat="1" x14ac:dyDescent="0.3"/>
    <row r="52230" customFormat="1" x14ac:dyDescent="0.3"/>
    <row r="52231" customFormat="1" x14ac:dyDescent="0.3"/>
    <row r="52232" customFormat="1" x14ac:dyDescent="0.3"/>
    <row r="52233" customFormat="1" x14ac:dyDescent="0.3"/>
    <row r="52234" customFormat="1" x14ac:dyDescent="0.3"/>
    <row r="52235" customFormat="1" x14ac:dyDescent="0.3"/>
    <row r="52236" customFormat="1" x14ac:dyDescent="0.3"/>
    <row r="52237" customFormat="1" x14ac:dyDescent="0.3"/>
    <row r="52238" customFormat="1" x14ac:dyDescent="0.3"/>
    <row r="52239" customFormat="1" x14ac:dyDescent="0.3"/>
    <row r="52240" customFormat="1" x14ac:dyDescent="0.3"/>
    <row r="52241" customFormat="1" x14ac:dyDescent="0.3"/>
    <row r="52242" customFormat="1" x14ac:dyDescent="0.3"/>
    <row r="52243" customFormat="1" x14ac:dyDescent="0.3"/>
    <row r="52244" customFormat="1" x14ac:dyDescent="0.3"/>
    <row r="52245" customFormat="1" x14ac:dyDescent="0.3"/>
    <row r="52246" customFormat="1" x14ac:dyDescent="0.3"/>
    <row r="52247" customFormat="1" x14ac:dyDescent="0.3"/>
    <row r="52248" customFormat="1" x14ac:dyDescent="0.3"/>
    <row r="52249" customFormat="1" x14ac:dyDescent="0.3"/>
    <row r="52250" customFormat="1" x14ac:dyDescent="0.3"/>
    <row r="52251" customFormat="1" x14ac:dyDescent="0.3"/>
    <row r="52252" customFormat="1" x14ac:dyDescent="0.3"/>
    <row r="52253" customFormat="1" x14ac:dyDescent="0.3"/>
    <row r="52254" customFormat="1" x14ac:dyDescent="0.3"/>
    <row r="52255" customFormat="1" x14ac:dyDescent="0.3"/>
    <row r="52256" customFormat="1" x14ac:dyDescent="0.3"/>
    <row r="52257" customFormat="1" x14ac:dyDescent="0.3"/>
    <row r="52258" customFormat="1" x14ac:dyDescent="0.3"/>
    <row r="52259" customFormat="1" x14ac:dyDescent="0.3"/>
    <row r="52260" customFormat="1" x14ac:dyDescent="0.3"/>
    <row r="52261" customFormat="1" x14ac:dyDescent="0.3"/>
    <row r="52262" customFormat="1" x14ac:dyDescent="0.3"/>
    <row r="52263" customFormat="1" x14ac:dyDescent="0.3"/>
    <row r="52264" customFormat="1" x14ac:dyDescent="0.3"/>
    <row r="52265" customFormat="1" x14ac:dyDescent="0.3"/>
    <row r="52266" customFormat="1" x14ac:dyDescent="0.3"/>
    <row r="52267" customFormat="1" x14ac:dyDescent="0.3"/>
    <row r="52268" customFormat="1" x14ac:dyDescent="0.3"/>
    <row r="52269" customFormat="1" x14ac:dyDescent="0.3"/>
    <row r="52270" customFormat="1" x14ac:dyDescent="0.3"/>
    <row r="52271" customFormat="1" x14ac:dyDescent="0.3"/>
    <row r="52272" customFormat="1" x14ac:dyDescent="0.3"/>
    <row r="52273" customFormat="1" x14ac:dyDescent="0.3"/>
    <row r="52274" customFormat="1" x14ac:dyDescent="0.3"/>
    <row r="52275" customFormat="1" x14ac:dyDescent="0.3"/>
    <row r="52276" customFormat="1" x14ac:dyDescent="0.3"/>
    <row r="52277" customFormat="1" x14ac:dyDescent="0.3"/>
    <row r="52278" customFormat="1" x14ac:dyDescent="0.3"/>
    <row r="52279" customFormat="1" x14ac:dyDescent="0.3"/>
    <row r="52280" customFormat="1" x14ac:dyDescent="0.3"/>
    <row r="52281" customFormat="1" x14ac:dyDescent="0.3"/>
    <row r="52282" customFormat="1" x14ac:dyDescent="0.3"/>
    <row r="52283" customFormat="1" x14ac:dyDescent="0.3"/>
    <row r="52284" customFormat="1" x14ac:dyDescent="0.3"/>
    <row r="52285" customFormat="1" x14ac:dyDescent="0.3"/>
    <row r="52286" customFormat="1" x14ac:dyDescent="0.3"/>
    <row r="52287" customFormat="1" x14ac:dyDescent="0.3"/>
    <row r="52288" customFormat="1" x14ac:dyDescent="0.3"/>
    <row r="52289" customFormat="1" x14ac:dyDescent="0.3"/>
    <row r="52290" customFormat="1" x14ac:dyDescent="0.3"/>
    <row r="52291" customFormat="1" x14ac:dyDescent="0.3"/>
    <row r="52292" customFormat="1" x14ac:dyDescent="0.3"/>
    <row r="52293" customFormat="1" x14ac:dyDescent="0.3"/>
    <row r="52294" customFormat="1" x14ac:dyDescent="0.3"/>
    <row r="52295" customFormat="1" x14ac:dyDescent="0.3"/>
    <row r="52296" customFormat="1" x14ac:dyDescent="0.3"/>
    <row r="52297" customFormat="1" x14ac:dyDescent="0.3"/>
    <row r="52298" customFormat="1" x14ac:dyDescent="0.3"/>
    <row r="52299" customFormat="1" x14ac:dyDescent="0.3"/>
    <row r="52300" customFormat="1" x14ac:dyDescent="0.3"/>
    <row r="52301" customFormat="1" x14ac:dyDescent="0.3"/>
    <row r="52302" customFormat="1" x14ac:dyDescent="0.3"/>
    <row r="52303" customFormat="1" x14ac:dyDescent="0.3"/>
    <row r="52304" customFormat="1" x14ac:dyDescent="0.3"/>
    <row r="52305" customFormat="1" x14ac:dyDescent="0.3"/>
    <row r="52306" customFormat="1" x14ac:dyDescent="0.3"/>
    <row r="52307" customFormat="1" x14ac:dyDescent="0.3"/>
    <row r="52308" customFormat="1" x14ac:dyDescent="0.3"/>
    <row r="52309" customFormat="1" x14ac:dyDescent="0.3"/>
    <row r="52310" customFormat="1" x14ac:dyDescent="0.3"/>
    <row r="52311" customFormat="1" x14ac:dyDescent="0.3"/>
    <row r="52312" customFormat="1" x14ac:dyDescent="0.3"/>
    <row r="52313" customFormat="1" x14ac:dyDescent="0.3"/>
    <row r="52314" customFormat="1" x14ac:dyDescent="0.3"/>
    <row r="52315" customFormat="1" x14ac:dyDescent="0.3"/>
    <row r="52316" customFormat="1" x14ac:dyDescent="0.3"/>
    <row r="52317" customFormat="1" x14ac:dyDescent="0.3"/>
    <row r="52318" customFormat="1" x14ac:dyDescent="0.3"/>
    <row r="52319" customFormat="1" x14ac:dyDescent="0.3"/>
    <row r="52320" customFormat="1" x14ac:dyDescent="0.3"/>
    <row r="52321" customFormat="1" x14ac:dyDescent="0.3"/>
    <row r="52322" customFormat="1" x14ac:dyDescent="0.3"/>
    <row r="52323" customFormat="1" x14ac:dyDescent="0.3"/>
    <row r="52324" customFormat="1" x14ac:dyDescent="0.3"/>
    <row r="52325" customFormat="1" x14ac:dyDescent="0.3"/>
    <row r="52326" customFormat="1" x14ac:dyDescent="0.3"/>
    <row r="52327" customFormat="1" x14ac:dyDescent="0.3"/>
    <row r="52328" customFormat="1" x14ac:dyDescent="0.3"/>
    <row r="52329" customFormat="1" x14ac:dyDescent="0.3"/>
    <row r="52330" customFormat="1" x14ac:dyDescent="0.3"/>
    <row r="52331" customFormat="1" x14ac:dyDescent="0.3"/>
    <row r="52332" customFormat="1" x14ac:dyDescent="0.3"/>
    <row r="52333" customFormat="1" x14ac:dyDescent="0.3"/>
    <row r="52334" customFormat="1" x14ac:dyDescent="0.3"/>
    <row r="52335" customFormat="1" x14ac:dyDescent="0.3"/>
    <row r="52336" customFormat="1" x14ac:dyDescent="0.3"/>
    <row r="52337" customFormat="1" x14ac:dyDescent="0.3"/>
    <row r="52338" customFormat="1" x14ac:dyDescent="0.3"/>
    <row r="52339" customFormat="1" x14ac:dyDescent="0.3"/>
    <row r="52340" customFormat="1" x14ac:dyDescent="0.3"/>
    <row r="52341" customFormat="1" x14ac:dyDescent="0.3"/>
    <row r="52342" customFormat="1" x14ac:dyDescent="0.3"/>
    <row r="52343" customFormat="1" x14ac:dyDescent="0.3"/>
    <row r="52344" customFormat="1" x14ac:dyDescent="0.3"/>
    <row r="52345" customFormat="1" x14ac:dyDescent="0.3"/>
    <row r="52346" customFormat="1" x14ac:dyDescent="0.3"/>
    <row r="52347" customFormat="1" x14ac:dyDescent="0.3"/>
    <row r="52348" customFormat="1" x14ac:dyDescent="0.3"/>
    <row r="52349" customFormat="1" x14ac:dyDescent="0.3"/>
    <row r="52350" customFormat="1" x14ac:dyDescent="0.3"/>
    <row r="52351" customFormat="1" x14ac:dyDescent="0.3"/>
    <row r="52352" customFormat="1" x14ac:dyDescent="0.3"/>
    <row r="52353" customFormat="1" x14ac:dyDescent="0.3"/>
    <row r="52354" customFormat="1" x14ac:dyDescent="0.3"/>
    <row r="52355" customFormat="1" x14ac:dyDescent="0.3"/>
    <row r="52356" customFormat="1" x14ac:dyDescent="0.3"/>
    <row r="52357" customFormat="1" x14ac:dyDescent="0.3"/>
    <row r="52358" customFormat="1" x14ac:dyDescent="0.3"/>
    <row r="52359" customFormat="1" x14ac:dyDescent="0.3"/>
    <row r="52360" customFormat="1" x14ac:dyDescent="0.3"/>
    <row r="52361" customFormat="1" x14ac:dyDescent="0.3"/>
    <row r="52362" customFormat="1" x14ac:dyDescent="0.3"/>
    <row r="52363" customFormat="1" x14ac:dyDescent="0.3"/>
    <row r="52364" customFormat="1" x14ac:dyDescent="0.3"/>
    <row r="52365" customFormat="1" x14ac:dyDescent="0.3"/>
    <row r="52366" customFormat="1" x14ac:dyDescent="0.3"/>
    <row r="52367" customFormat="1" x14ac:dyDescent="0.3"/>
    <row r="52368" customFormat="1" x14ac:dyDescent="0.3"/>
    <row r="52369" customFormat="1" x14ac:dyDescent="0.3"/>
    <row r="52370" customFormat="1" x14ac:dyDescent="0.3"/>
    <row r="52371" customFormat="1" x14ac:dyDescent="0.3"/>
    <row r="52372" customFormat="1" x14ac:dyDescent="0.3"/>
    <row r="52373" customFormat="1" x14ac:dyDescent="0.3"/>
    <row r="52374" customFormat="1" x14ac:dyDescent="0.3"/>
    <row r="52375" customFormat="1" x14ac:dyDescent="0.3"/>
    <row r="52376" customFormat="1" x14ac:dyDescent="0.3"/>
    <row r="52377" customFormat="1" x14ac:dyDescent="0.3"/>
    <row r="52378" customFormat="1" x14ac:dyDescent="0.3"/>
    <row r="52379" customFormat="1" x14ac:dyDescent="0.3"/>
    <row r="52380" customFormat="1" x14ac:dyDescent="0.3"/>
    <row r="52381" customFormat="1" x14ac:dyDescent="0.3"/>
    <row r="52382" customFormat="1" x14ac:dyDescent="0.3"/>
    <row r="52383" customFormat="1" x14ac:dyDescent="0.3"/>
    <row r="52384" customFormat="1" x14ac:dyDescent="0.3"/>
    <row r="52385" customFormat="1" x14ac:dyDescent="0.3"/>
    <row r="52386" customFormat="1" x14ac:dyDescent="0.3"/>
    <row r="52387" customFormat="1" x14ac:dyDescent="0.3"/>
    <row r="52388" customFormat="1" x14ac:dyDescent="0.3"/>
    <row r="52389" customFormat="1" x14ac:dyDescent="0.3"/>
    <row r="52390" customFormat="1" x14ac:dyDescent="0.3"/>
    <row r="52391" customFormat="1" x14ac:dyDescent="0.3"/>
    <row r="52392" customFormat="1" x14ac:dyDescent="0.3"/>
    <row r="52393" customFormat="1" x14ac:dyDescent="0.3"/>
    <row r="52394" customFormat="1" x14ac:dyDescent="0.3"/>
    <row r="52395" customFormat="1" x14ac:dyDescent="0.3"/>
    <row r="52396" customFormat="1" x14ac:dyDescent="0.3"/>
    <row r="52397" customFormat="1" x14ac:dyDescent="0.3"/>
    <row r="52398" customFormat="1" x14ac:dyDescent="0.3"/>
    <row r="52399" customFormat="1" x14ac:dyDescent="0.3"/>
    <row r="52400" customFormat="1" x14ac:dyDescent="0.3"/>
    <row r="52401" customFormat="1" x14ac:dyDescent="0.3"/>
    <row r="52402" customFormat="1" x14ac:dyDescent="0.3"/>
    <row r="52403" customFormat="1" x14ac:dyDescent="0.3"/>
    <row r="52404" customFormat="1" x14ac:dyDescent="0.3"/>
    <row r="52405" customFormat="1" x14ac:dyDescent="0.3"/>
    <row r="52406" customFormat="1" x14ac:dyDescent="0.3"/>
    <row r="52407" customFormat="1" x14ac:dyDescent="0.3"/>
    <row r="52408" customFormat="1" x14ac:dyDescent="0.3"/>
    <row r="52409" customFormat="1" x14ac:dyDescent="0.3"/>
    <row r="52410" customFormat="1" x14ac:dyDescent="0.3"/>
    <row r="52411" customFormat="1" x14ac:dyDescent="0.3"/>
    <row r="52412" customFormat="1" x14ac:dyDescent="0.3"/>
    <row r="52413" customFormat="1" x14ac:dyDescent="0.3"/>
    <row r="52414" customFormat="1" x14ac:dyDescent="0.3"/>
    <row r="52415" customFormat="1" x14ac:dyDescent="0.3"/>
    <row r="52416" customFormat="1" x14ac:dyDescent="0.3"/>
    <row r="52417" customFormat="1" x14ac:dyDescent="0.3"/>
    <row r="52418" customFormat="1" x14ac:dyDescent="0.3"/>
    <row r="52419" customFormat="1" x14ac:dyDescent="0.3"/>
    <row r="52420" customFormat="1" x14ac:dyDescent="0.3"/>
    <row r="52421" customFormat="1" x14ac:dyDescent="0.3"/>
    <row r="52422" customFormat="1" x14ac:dyDescent="0.3"/>
    <row r="52423" customFormat="1" x14ac:dyDescent="0.3"/>
    <row r="52424" customFormat="1" x14ac:dyDescent="0.3"/>
    <row r="52425" customFormat="1" x14ac:dyDescent="0.3"/>
    <row r="52426" customFormat="1" x14ac:dyDescent="0.3"/>
    <row r="52427" customFormat="1" x14ac:dyDescent="0.3"/>
    <row r="52428" customFormat="1" x14ac:dyDescent="0.3"/>
    <row r="52429" customFormat="1" x14ac:dyDescent="0.3"/>
    <row r="52430" customFormat="1" x14ac:dyDescent="0.3"/>
    <row r="52431" customFormat="1" x14ac:dyDescent="0.3"/>
    <row r="52432" customFormat="1" x14ac:dyDescent="0.3"/>
    <row r="52433" customFormat="1" x14ac:dyDescent="0.3"/>
    <row r="52434" customFormat="1" x14ac:dyDescent="0.3"/>
    <row r="52435" customFormat="1" x14ac:dyDescent="0.3"/>
    <row r="52436" customFormat="1" x14ac:dyDescent="0.3"/>
    <row r="52437" customFormat="1" x14ac:dyDescent="0.3"/>
    <row r="52438" customFormat="1" x14ac:dyDescent="0.3"/>
    <row r="52439" customFormat="1" x14ac:dyDescent="0.3"/>
    <row r="52440" customFormat="1" x14ac:dyDescent="0.3"/>
    <row r="52441" customFormat="1" x14ac:dyDescent="0.3"/>
    <row r="52442" customFormat="1" x14ac:dyDescent="0.3"/>
    <row r="52443" customFormat="1" x14ac:dyDescent="0.3"/>
    <row r="52444" customFormat="1" x14ac:dyDescent="0.3"/>
    <row r="52445" customFormat="1" x14ac:dyDescent="0.3"/>
    <row r="52446" customFormat="1" x14ac:dyDescent="0.3"/>
    <row r="52447" customFormat="1" x14ac:dyDescent="0.3"/>
    <row r="52448" customFormat="1" x14ac:dyDescent="0.3"/>
    <row r="52449" customFormat="1" x14ac:dyDescent="0.3"/>
    <row r="52450" customFormat="1" x14ac:dyDescent="0.3"/>
    <row r="52451" customFormat="1" x14ac:dyDescent="0.3"/>
    <row r="52452" customFormat="1" x14ac:dyDescent="0.3"/>
    <row r="52453" customFormat="1" x14ac:dyDescent="0.3"/>
    <row r="52454" customFormat="1" x14ac:dyDescent="0.3"/>
    <row r="52455" customFormat="1" x14ac:dyDescent="0.3"/>
    <row r="52456" customFormat="1" x14ac:dyDescent="0.3"/>
    <row r="52457" customFormat="1" x14ac:dyDescent="0.3"/>
    <row r="52458" customFormat="1" x14ac:dyDescent="0.3"/>
    <row r="52459" customFormat="1" x14ac:dyDescent="0.3"/>
    <row r="52460" customFormat="1" x14ac:dyDescent="0.3"/>
    <row r="52461" customFormat="1" x14ac:dyDescent="0.3"/>
    <row r="52462" customFormat="1" x14ac:dyDescent="0.3"/>
    <row r="52463" customFormat="1" x14ac:dyDescent="0.3"/>
    <row r="52464" customFormat="1" x14ac:dyDescent="0.3"/>
    <row r="52465" customFormat="1" x14ac:dyDescent="0.3"/>
    <row r="52466" customFormat="1" x14ac:dyDescent="0.3"/>
    <row r="52467" customFormat="1" x14ac:dyDescent="0.3"/>
    <row r="52468" customFormat="1" x14ac:dyDescent="0.3"/>
    <row r="52469" customFormat="1" x14ac:dyDescent="0.3"/>
    <row r="52470" customFormat="1" x14ac:dyDescent="0.3"/>
    <row r="52471" customFormat="1" x14ac:dyDescent="0.3"/>
    <row r="52472" customFormat="1" x14ac:dyDescent="0.3"/>
    <row r="52473" customFormat="1" x14ac:dyDescent="0.3"/>
    <row r="52474" customFormat="1" x14ac:dyDescent="0.3"/>
    <row r="52475" customFormat="1" x14ac:dyDescent="0.3"/>
    <row r="52476" customFormat="1" x14ac:dyDescent="0.3"/>
    <row r="52477" customFormat="1" x14ac:dyDescent="0.3"/>
    <row r="52478" customFormat="1" x14ac:dyDescent="0.3"/>
    <row r="52479" customFormat="1" x14ac:dyDescent="0.3"/>
    <row r="52480" customFormat="1" x14ac:dyDescent="0.3"/>
    <row r="52481" customFormat="1" x14ac:dyDescent="0.3"/>
    <row r="52482" customFormat="1" x14ac:dyDescent="0.3"/>
    <row r="52483" customFormat="1" x14ac:dyDescent="0.3"/>
    <row r="52484" customFormat="1" x14ac:dyDescent="0.3"/>
    <row r="52485" customFormat="1" x14ac:dyDescent="0.3"/>
    <row r="52486" customFormat="1" x14ac:dyDescent="0.3"/>
    <row r="52487" customFormat="1" x14ac:dyDescent="0.3"/>
    <row r="52488" customFormat="1" x14ac:dyDescent="0.3"/>
    <row r="52489" customFormat="1" x14ac:dyDescent="0.3"/>
    <row r="52490" customFormat="1" x14ac:dyDescent="0.3"/>
    <row r="52491" customFormat="1" x14ac:dyDescent="0.3"/>
    <row r="52492" customFormat="1" x14ac:dyDescent="0.3"/>
    <row r="52493" customFormat="1" x14ac:dyDescent="0.3"/>
    <row r="52494" customFormat="1" x14ac:dyDescent="0.3"/>
    <row r="52495" customFormat="1" x14ac:dyDescent="0.3"/>
    <row r="52496" customFormat="1" x14ac:dyDescent="0.3"/>
    <row r="52497" customFormat="1" x14ac:dyDescent="0.3"/>
    <row r="52498" customFormat="1" x14ac:dyDescent="0.3"/>
    <row r="52499" customFormat="1" x14ac:dyDescent="0.3"/>
    <row r="52500" customFormat="1" x14ac:dyDescent="0.3"/>
    <row r="52501" customFormat="1" x14ac:dyDescent="0.3"/>
    <row r="52502" customFormat="1" x14ac:dyDescent="0.3"/>
    <row r="52503" customFormat="1" x14ac:dyDescent="0.3"/>
    <row r="52504" customFormat="1" x14ac:dyDescent="0.3"/>
    <row r="52505" customFormat="1" x14ac:dyDescent="0.3"/>
    <row r="52506" customFormat="1" x14ac:dyDescent="0.3"/>
    <row r="52507" customFormat="1" x14ac:dyDescent="0.3"/>
    <row r="52508" customFormat="1" x14ac:dyDescent="0.3"/>
    <row r="52509" customFormat="1" x14ac:dyDescent="0.3"/>
    <row r="52510" customFormat="1" x14ac:dyDescent="0.3"/>
    <row r="52511" customFormat="1" x14ac:dyDescent="0.3"/>
    <row r="52512" customFormat="1" x14ac:dyDescent="0.3"/>
    <row r="52513" customFormat="1" x14ac:dyDescent="0.3"/>
    <row r="52514" customFormat="1" x14ac:dyDescent="0.3"/>
    <row r="52515" customFormat="1" x14ac:dyDescent="0.3"/>
    <row r="52516" customFormat="1" x14ac:dyDescent="0.3"/>
    <row r="52517" customFormat="1" x14ac:dyDescent="0.3"/>
    <row r="52518" customFormat="1" x14ac:dyDescent="0.3"/>
    <row r="52519" customFormat="1" x14ac:dyDescent="0.3"/>
    <row r="52520" customFormat="1" x14ac:dyDescent="0.3"/>
    <row r="52521" customFormat="1" x14ac:dyDescent="0.3"/>
    <row r="52522" customFormat="1" x14ac:dyDescent="0.3"/>
    <row r="52523" customFormat="1" x14ac:dyDescent="0.3"/>
    <row r="52524" customFormat="1" x14ac:dyDescent="0.3"/>
    <row r="52525" customFormat="1" x14ac:dyDescent="0.3"/>
    <row r="52526" customFormat="1" x14ac:dyDescent="0.3"/>
    <row r="52527" customFormat="1" x14ac:dyDescent="0.3"/>
    <row r="52528" customFormat="1" x14ac:dyDescent="0.3"/>
    <row r="52529" customFormat="1" x14ac:dyDescent="0.3"/>
    <row r="52530" customFormat="1" x14ac:dyDescent="0.3"/>
    <row r="52531" customFormat="1" x14ac:dyDescent="0.3"/>
    <row r="52532" customFormat="1" x14ac:dyDescent="0.3"/>
    <row r="52533" customFormat="1" x14ac:dyDescent="0.3"/>
    <row r="52534" customFormat="1" x14ac:dyDescent="0.3"/>
    <row r="52535" customFormat="1" x14ac:dyDescent="0.3"/>
    <row r="52536" customFormat="1" x14ac:dyDescent="0.3"/>
    <row r="52537" customFormat="1" x14ac:dyDescent="0.3"/>
    <row r="52538" customFormat="1" x14ac:dyDescent="0.3"/>
    <row r="52539" customFormat="1" x14ac:dyDescent="0.3"/>
    <row r="52540" customFormat="1" x14ac:dyDescent="0.3"/>
    <row r="52541" customFormat="1" x14ac:dyDescent="0.3"/>
    <row r="52542" customFormat="1" x14ac:dyDescent="0.3"/>
    <row r="52543" customFormat="1" x14ac:dyDescent="0.3"/>
    <row r="52544" customFormat="1" x14ac:dyDescent="0.3"/>
    <row r="52545" customFormat="1" x14ac:dyDescent="0.3"/>
    <row r="52546" customFormat="1" x14ac:dyDescent="0.3"/>
    <row r="52547" customFormat="1" x14ac:dyDescent="0.3"/>
    <row r="52548" customFormat="1" x14ac:dyDescent="0.3"/>
    <row r="52549" customFormat="1" x14ac:dyDescent="0.3"/>
    <row r="52550" customFormat="1" x14ac:dyDescent="0.3"/>
    <row r="52551" customFormat="1" x14ac:dyDescent="0.3"/>
    <row r="52552" customFormat="1" x14ac:dyDescent="0.3"/>
    <row r="52553" customFormat="1" x14ac:dyDescent="0.3"/>
    <row r="52554" customFormat="1" x14ac:dyDescent="0.3"/>
    <row r="52555" customFormat="1" x14ac:dyDescent="0.3"/>
    <row r="52556" customFormat="1" x14ac:dyDescent="0.3"/>
    <row r="52557" customFormat="1" x14ac:dyDescent="0.3"/>
    <row r="52558" customFormat="1" x14ac:dyDescent="0.3"/>
    <row r="52559" customFormat="1" x14ac:dyDescent="0.3"/>
    <row r="52560" customFormat="1" x14ac:dyDescent="0.3"/>
    <row r="52561" customFormat="1" x14ac:dyDescent="0.3"/>
    <row r="52562" customFormat="1" x14ac:dyDescent="0.3"/>
    <row r="52563" customFormat="1" x14ac:dyDescent="0.3"/>
    <row r="52564" customFormat="1" x14ac:dyDescent="0.3"/>
    <row r="52565" customFormat="1" x14ac:dyDescent="0.3"/>
    <row r="52566" customFormat="1" x14ac:dyDescent="0.3"/>
    <row r="52567" customFormat="1" x14ac:dyDescent="0.3"/>
    <row r="52568" customFormat="1" x14ac:dyDescent="0.3"/>
    <row r="52569" customFormat="1" x14ac:dyDescent="0.3"/>
    <row r="52570" customFormat="1" x14ac:dyDescent="0.3"/>
    <row r="52571" customFormat="1" x14ac:dyDescent="0.3"/>
    <row r="52572" customFormat="1" x14ac:dyDescent="0.3"/>
    <row r="52573" customFormat="1" x14ac:dyDescent="0.3"/>
    <row r="52574" customFormat="1" x14ac:dyDescent="0.3"/>
    <row r="52575" customFormat="1" x14ac:dyDescent="0.3"/>
    <row r="52576" customFormat="1" x14ac:dyDescent="0.3"/>
    <row r="52577" customFormat="1" x14ac:dyDescent="0.3"/>
    <row r="52578" customFormat="1" x14ac:dyDescent="0.3"/>
    <row r="52579" customFormat="1" x14ac:dyDescent="0.3"/>
    <row r="52580" customFormat="1" x14ac:dyDescent="0.3"/>
    <row r="52581" customFormat="1" x14ac:dyDescent="0.3"/>
    <row r="52582" customFormat="1" x14ac:dyDescent="0.3"/>
    <row r="52583" customFormat="1" x14ac:dyDescent="0.3"/>
    <row r="52584" customFormat="1" x14ac:dyDescent="0.3"/>
    <row r="52585" customFormat="1" x14ac:dyDescent="0.3"/>
    <row r="52586" customFormat="1" x14ac:dyDescent="0.3"/>
    <row r="52587" customFormat="1" x14ac:dyDescent="0.3"/>
    <row r="52588" customFormat="1" x14ac:dyDescent="0.3"/>
    <row r="52589" customFormat="1" x14ac:dyDescent="0.3"/>
    <row r="52590" customFormat="1" x14ac:dyDescent="0.3"/>
    <row r="52591" customFormat="1" x14ac:dyDescent="0.3"/>
    <row r="52592" customFormat="1" x14ac:dyDescent="0.3"/>
    <row r="52593" customFormat="1" x14ac:dyDescent="0.3"/>
    <row r="52594" customFormat="1" x14ac:dyDescent="0.3"/>
    <row r="52595" customFormat="1" x14ac:dyDescent="0.3"/>
    <row r="52596" customFormat="1" x14ac:dyDescent="0.3"/>
    <row r="52597" customFormat="1" x14ac:dyDescent="0.3"/>
    <row r="52598" customFormat="1" x14ac:dyDescent="0.3"/>
    <row r="52599" customFormat="1" x14ac:dyDescent="0.3"/>
    <row r="52600" customFormat="1" x14ac:dyDescent="0.3"/>
    <row r="52601" customFormat="1" x14ac:dyDescent="0.3"/>
    <row r="52602" customFormat="1" x14ac:dyDescent="0.3"/>
    <row r="52603" customFormat="1" x14ac:dyDescent="0.3"/>
    <row r="52604" customFormat="1" x14ac:dyDescent="0.3"/>
    <row r="52605" customFormat="1" x14ac:dyDescent="0.3"/>
    <row r="52606" customFormat="1" x14ac:dyDescent="0.3"/>
    <row r="52607" customFormat="1" x14ac:dyDescent="0.3"/>
    <row r="52608" customFormat="1" x14ac:dyDescent="0.3"/>
    <row r="52609" customFormat="1" x14ac:dyDescent="0.3"/>
    <row r="52610" customFormat="1" x14ac:dyDescent="0.3"/>
    <row r="52611" customFormat="1" x14ac:dyDescent="0.3"/>
    <row r="52612" customFormat="1" x14ac:dyDescent="0.3"/>
    <row r="52613" customFormat="1" x14ac:dyDescent="0.3"/>
    <row r="52614" customFormat="1" x14ac:dyDescent="0.3"/>
    <row r="52615" customFormat="1" x14ac:dyDescent="0.3"/>
    <row r="52616" customFormat="1" x14ac:dyDescent="0.3"/>
    <row r="52617" customFormat="1" x14ac:dyDescent="0.3"/>
    <row r="52618" customFormat="1" x14ac:dyDescent="0.3"/>
    <row r="52619" customFormat="1" x14ac:dyDescent="0.3"/>
    <row r="52620" customFormat="1" x14ac:dyDescent="0.3"/>
    <row r="52621" customFormat="1" x14ac:dyDescent="0.3"/>
    <row r="52622" customFormat="1" x14ac:dyDescent="0.3"/>
    <row r="52623" customFormat="1" x14ac:dyDescent="0.3"/>
    <row r="52624" customFormat="1" x14ac:dyDescent="0.3"/>
    <row r="52625" customFormat="1" x14ac:dyDescent="0.3"/>
    <row r="52626" customFormat="1" x14ac:dyDescent="0.3"/>
    <row r="52627" customFormat="1" x14ac:dyDescent="0.3"/>
    <row r="52628" customFormat="1" x14ac:dyDescent="0.3"/>
    <row r="52629" customFormat="1" x14ac:dyDescent="0.3"/>
    <row r="52630" customFormat="1" x14ac:dyDescent="0.3"/>
    <row r="52631" customFormat="1" x14ac:dyDescent="0.3"/>
    <row r="52632" customFormat="1" x14ac:dyDescent="0.3"/>
    <row r="52633" customFormat="1" x14ac:dyDescent="0.3"/>
    <row r="52634" customFormat="1" x14ac:dyDescent="0.3"/>
    <row r="52635" customFormat="1" x14ac:dyDescent="0.3"/>
    <row r="52636" customFormat="1" x14ac:dyDescent="0.3"/>
    <row r="52637" customFormat="1" x14ac:dyDescent="0.3"/>
    <row r="52638" customFormat="1" x14ac:dyDescent="0.3"/>
    <row r="52639" customFormat="1" x14ac:dyDescent="0.3"/>
    <row r="52640" customFormat="1" x14ac:dyDescent="0.3"/>
    <row r="52641" customFormat="1" x14ac:dyDescent="0.3"/>
    <row r="52642" customFormat="1" x14ac:dyDescent="0.3"/>
    <row r="52643" customFormat="1" x14ac:dyDescent="0.3"/>
    <row r="52644" customFormat="1" x14ac:dyDescent="0.3"/>
    <row r="52645" customFormat="1" x14ac:dyDescent="0.3"/>
    <row r="52646" customFormat="1" x14ac:dyDescent="0.3"/>
    <row r="52647" customFormat="1" x14ac:dyDescent="0.3"/>
    <row r="52648" customFormat="1" x14ac:dyDescent="0.3"/>
    <row r="52649" customFormat="1" x14ac:dyDescent="0.3"/>
    <row r="52650" customFormat="1" x14ac:dyDescent="0.3"/>
    <row r="52651" customFormat="1" x14ac:dyDescent="0.3"/>
    <row r="52652" customFormat="1" x14ac:dyDescent="0.3"/>
    <row r="52653" customFormat="1" x14ac:dyDescent="0.3"/>
    <row r="52654" customFormat="1" x14ac:dyDescent="0.3"/>
    <row r="52655" customFormat="1" x14ac:dyDescent="0.3"/>
    <row r="52656" customFormat="1" x14ac:dyDescent="0.3"/>
    <row r="52657" customFormat="1" x14ac:dyDescent="0.3"/>
    <row r="52658" customFormat="1" x14ac:dyDescent="0.3"/>
    <row r="52659" customFormat="1" x14ac:dyDescent="0.3"/>
    <row r="52660" customFormat="1" x14ac:dyDescent="0.3"/>
    <row r="52661" customFormat="1" x14ac:dyDescent="0.3"/>
    <row r="52662" customFormat="1" x14ac:dyDescent="0.3"/>
    <row r="52663" customFormat="1" x14ac:dyDescent="0.3"/>
    <row r="52664" customFormat="1" x14ac:dyDescent="0.3"/>
    <row r="52665" customFormat="1" x14ac:dyDescent="0.3"/>
    <row r="52666" customFormat="1" x14ac:dyDescent="0.3"/>
    <row r="52667" customFormat="1" x14ac:dyDescent="0.3"/>
    <row r="52668" customFormat="1" x14ac:dyDescent="0.3"/>
    <row r="52669" customFormat="1" x14ac:dyDescent="0.3"/>
    <row r="52670" customFormat="1" x14ac:dyDescent="0.3"/>
    <row r="52671" customFormat="1" x14ac:dyDescent="0.3"/>
    <row r="52672" customFormat="1" x14ac:dyDescent="0.3"/>
    <row r="52673" customFormat="1" x14ac:dyDescent="0.3"/>
    <row r="52674" customFormat="1" x14ac:dyDescent="0.3"/>
    <row r="52675" customFormat="1" x14ac:dyDescent="0.3"/>
    <row r="52676" customFormat="1" x14ac:dyDescent="0.3"/>
    <row r="52677" customFormat="1" x14ac:dyDescent="0.3"/>
    <row r="52678" customFormat="1" x14ac:dyDescent="0.3"/>
    <row r="52679" customFormat="1" x14ac:dyDescent="0.3"/>
    <row r="52680" customFormat="1" x14ac:dyDescent="0.3"/>
    <row r="52681" customFormat="1" x14ac:dyDescent="0.3"/>
    <row r="52682" customFormat="1" x14ac:dyDescent="0.3"/>
    <row r="52683" customFormat="1" x14ac:dyDescent="0.3"/>
    <row r="52684" customFormat="1" x14ac:dyDescent="0.3"/>
    <row r="52685" customFormat="1" x14ac:dyDescent="0.3"/>
    <row r="52686" customFormat="1" x14ac:dyDescent="0.3"/>
    <row r="52687" customFormat="1" x14ac:dyDescent="0.3"/>
    <row r="52688" customFormat="1" x14ac:dyDescent="0.3"/>
    <row r="52689" customFormat="1" x14ac:dyDescent="0.3"/>
    <row r="52690" customFormat="1" x14ac:dyDescent="0.3"/>
    <row r="52691" customFormat="1" x14ac:dyDescent="0.3"/>
    <row r="52692" customFormat="1" x14ac:dyDescent="0.3"/>
    <row r="52693" customFormat="1" x14ac:dyDescent="0.3"/>
    <row r="52694" customFormat="1" x14ac:dyDescent="0.3"/>
    <row r="52695" customFormat="1" x14ac:dyDescent="0.3"/>
    <row r="52696" customFormat="1" x14ac:dyDescent="0.3"/>
    <row r="52697" customFormat="1" x14ac:dyDescent="0.3"/>
    <row r="52698" customFormat="1" x14ac:dyDescent="0.3"/>
    <row r="52699" customFormat="1" x14ac:dyDescent="0.3"/>
    <row r="52700" customFormat="1" x14ac:dyDescent="0.3"/>
    <row r="52701" customFormat="1" x14ac:dyDescent="0.3"/>
    <row r="52702" customFormat="1" x14ac:dyDescent="0.3"/>
    <row r="52703" customFormat="1" x14ac:dyDescent="0.3"/>
    <row r="52704" customFormat="1" x14ac:dyDescent="0.3"/>
    <row r="52705" customFormat="1" x14ac:dyDescent="0.3"/>
    <row r="52706" customFormat="1" x14ac:dyDescent="0.3"/>
    <row r="52707" customFormat="1" x14ac:dyDescent="0.3"/>
    <row r="52708" customFormat="1" x14ac:dyDescent="0.3"/>
    <row r="52709" customFormat="1" x14ac:dyDescent="0.3"/>
    <row r="52710" customFormat="1" x14ac:dyDescent="0.3"/>
    <row r="52711" customFormat="1" x14ac:dyDescent="0.3"/>
    <row r="52712" customFormat="1" x14ac:dyDescent="0.3"/>
    <row r="52713" customFormat="1" x14ac:dyDescent="0.3"/>
    <row r="52714" customFormat="1" x14ac:dyDescent="0.3"/>
    <row r="52715" customFormat="1" x14ac:dyDescent="0.3"/>
    <row r="52716" customFormat="1" x14ac:dyDescent="0.3"/>
    <row r="52717" customFormat="1" x14ac:dyDescent="0.3"/>
    <row r="52718" customFormat="1" x14ac:dyDescent="0.3"/>
    <row r="52719" customFormat="1" x14ac:dyDescent="0.3"/>
    <row r="52720" customFormat="1" x14ac:dyDescent="0.3"/>
    <row r="52721" customFormat="1" x14ac:dyDescent="0.3"/>
    <row r="52722" customFormat="1" x14ac:dyDescent="0.3"/>
    <row r="52723" customFormat="1" x14ac:dyDescent="0.3"/>
    <row r="52724" customFormat="1" x14ac:dyDescent="0.3"/>
    <row r="52725" customFormat="1" x14ac:dyDescent="0.3"/>
    <row r="52726" customFormat="1" x14ac:dyDescent="0.3"/>
    <row r="52727" customFormat="1" x14ac:dyDescent="0.3"/>
    <row r="52728" customFormat="1" x14ac:dyDescent="0.3"/>
    <row r="52729" customFormat="1" x14ac:dyDescent="0.3"/>
    <row r="52730" customFormat="1" x14ac:dyDescent="0.3"/>
    <row r="52731" customFormat="1" x14ac:dyDescent="0.3"/>
    <row r="52732" customFormat="1" x14ac:dyDescent="0.3"/>
    <row r="52733" customFormat="1" x14ac:dyDescent="0.3"/>
    <row r="52734" customFormat="1" x14ac:dyDescent="0.3"/>
    <row r="52735" customFormat="1" x14ac:dyDescent="0.3"/>
    <row r="52736" customFormat="1" x14ac:dyDescent="0.3"/>
    <row r="52737" customFormat="1" x14ac:dyDescent="0.3"/>
    <row r="52738" customFormat="1" x14ac:dyDescent="0.3"/>
    <row r="52739" customFormat="1" x14ac:dyDescent="0.3"/>
    <row r="52740" customFormat="1" x14ac:dyDescent="0.3"/>
    <row r="52741" customFormat="1" x14ac:dyDescent="0.3"/>
    <row r="52742" customFormat="1" x14ac:dyDescent="0.3"/>
    <row r="52743" customFormat="1" x14ac:dyDescent="0.3"/>
    <row r="52744" customFormat="1" x14ac:dyDescent="0.3"/>
    <row r="52745" customFormat="1" x14ac:dyDescent="0.3"/>
    <row r="52746" customFormat="1" x14ac:dyDescent="0.3"/>
    <row r="52747" customFormat="1" x14ac:dyDescent="0.3"/>
    <row r="52748" customFormat="1" x14ac:dyDescent="0.3"/>
    <row r="52749" customFormat="1" x14ac:dyDescent="0.3"/>
    <row r="52750" customFormat="1" x14ac:dyDescent="0.3"/>
    <row r="52751" customFormat="1" x14ac:dyDescent="0.3"/>
    <row r="52752" customFormat="1" x14ac:dyDescent="0.3"/>
    <row r="52753" customFormat="1" x14ac:dyDescent="0.3"/>
    <row r="52754" customFormat="1" x14ac:dyDescent="0.3"/>
    <row r="52755" customFormat="1" x14ac:dyDescent="0.3"/>
    <row r="52756" customFormat="1" x14ac:dyDescent="0.3"/>
    <row r="52757" customFormat="1" x14ac:dyDescent="0.3"/>
    <row r="52758" customFormat="1" x14ac:dyDescent="0.3"/>
    <row r="52759" customFormat="1" x14ac:dyDescent="0.3"/>
    <row r="52760" customFormat="1" x14ac:dyDescent="0.3"/>
    <row r="52761" customFormat="1" x14ac:dyDescent="0.3"/>
    <row r="52762" customFormat="1" x14ac:dyDescent="0.3"/>
    <row r="52763" customFormat="1" x14ac:dyDescent="0.3"/>
    <row r="52764" customFormat="1" x14ac:dyDescent="0.3"/>
    <row r="52765" customFormat="1" x14ac:dyDescent="0.3"/>
    <row r="52766" customFormat="1" x14ac:dyDescent="0.3"/>
    <row r="52767" customFormat="1" x14ac:dyDescent="0.3"/>
    <row r="52768" customFormat="1" x14ac:dyDescent="0.3"/>
    <row r="52769" customFormat="1" x14ac:dyDescent="0.3"/>
    <row r="52770" customFormat="1" x14ac:dyDescent="0.3"/>
    <row r="52771" customFormat="1" x14ac:dyDescent="0.3"/>
    <row r="52772" customFormat="1" x14ac:dyDescent="0.3"/>
    <row r="52773" customFormat="1" x14ac:dyDescent="0.3"/>
    <row r="52774" customFormat="1" x14ac:dyDescent="0.3"/>
    <row r="52775" customFormat="1" x14ac:dyDescent="0.3"/>
    <row r="52776" customFormat="1" x14ac:dyDescent="0.3"/>
    <row r="52777" customFormat="1" x14ac:dyDescent="0.3"/>
    <row r="52778" customFormat="1" x14ac:dyDescent="0.3"/>
    <row r="52779" customFormat="1" x14ac:dyDescent="0.3"/>
    <row r="52780" customFormat="1" x14ac:dyDescent="0.3"/>
    <row r="52781" customFormat="1" x14ac:dyDescent="0.3"/>
    <row r="52782" customFormat="1" x14ac:dyDescent="0.3"/>
    <row r="52783" customFormat="1" x14ac:dyDescent="0.3"/>
    <row r="52784" customFormat="1" x14ac:dyDescent="0.3"/>
    <row r="52785" customFormat="1" x14ac:dyDescent="0.3"/>
    <row r="52786" customFormat="1" x14ac:dyDescent="0.3"/>
    <row r="52787" customFormat="1" x14ac:dyDescent="0.3"/>
    <row r="52788" customFormat="1" x14ac:dyDescent="0.3"/>
    <row r="52789" customFormat="1" x14ac:dyDescent="0.3"/>
    <row r="52790" customFormat="1" x14ac:dyDescent="0.3"/>
    <row r="52791" customFormat="1" x14ac:dyDescent="0.3"/>
    <row r="52792" customFormat="1" x14ac:dyDescent="0.3"/>
    <row r="52793" customFormat="1" x14ac:dyDescent="0.3"/>
    <row r="52794" customFormat="1" x14ac:dyDescent="0.3"/>
    <row r="52795" customFormat="1" x14ac:dyDescent="0.3"/>
    <row r="52796" customFormat="1" x14ac:dyDescent="0.3"/>
    <row r="52797" customFormat="1" x14ac:dyDescent="0.3"/>
    <row r="52798" customFormat="1" x14ac:dyDescent="0.3"/>
    <row r="52799" customFormat="1" x14ac:dyDescent="0.3"/>
    <row r="52800" customFormat="1" x14ac:dyDescent="0.3"/>
    <row r="52801" customFormat="1" x14ac:dyDescent="0.3"/>
    <row r="52802" customFormat="1" x14ac:dyDescent="0.3"/>
    <row r="52803" customFormat="1" x14ac:dyDescent="0.3"/>
    <row r="52804" customFormat="1" x14ac:dyDescent="0.3"/>
    <row r="52805" customFormat="1" x14ac:dyDescent="0.3"/>
    <row r="52806" customFormat="1" x14ac:dyDescent="0.3"/>
    <row r="52807" customFormat="1" x14ac:dyDescent="0.3"/>
    <row r="52808" customFormat="1" x14ac:dyDescent="0.3"/>
    <row r="52809" customFormat="1" x14ac:dyDescent="0.3"/>
    <row r="52810" customFormat="1" x14ac:dyDescent="0.3"/>
    <row r="52811" customFormat="1" x14ac:dyDescent="0.3"/>
    <row r="52812" customFormat="1" x14ac:dyDescent="0.3"/>
    <row r="52813" customFormat="1" x14ac:dyDescent="0.3"/>
    <row r="52814" customFormat="1" x14ac:dyDescent="0.3"/>
    <row r="52815" customFormat="1" x14ac:dyDescent="0.3"/>
    <row r="52816" customFormat="1" x14ac:dyDescent="0.3"/>
    <row r="52817" customFormat="1" x14ac:dyDescent="0.3"/>
    <row r="52818" customFormat="1" x14ac:dyDescent="0.3"/>
    <row r="52819" customFormat="1" x14ac:dyDescent="0.3"/>
    <row r="52820" customFormat="1" x14ac:dyDescent="0.3"/>
    <row r="52821" customFormat="1" x14ac:dyDescent="0.3"/>
    <row r="52822" customFormat="1" x14ac:dyDescent="0.3"/>
    <row r="52823" customFormat="1" x14ac:dyDescent="0.3"/>
    <row r="52824" customFormat="1" x14ac:dyDescent="0.3"/>
    <row r="52825" customFormat="1" x14ac:dyDescent="0.3"/>
    <row r="52826" customFormat="1" x14ac:dyDescent="0.3"/>
    <row r="52827" customFormat="1" x14ac:dyDescent="0.3"/>
    <row r="52828" customFormat="1" x14ac:dyDescent="0.3"/>
    <row r="52829" customFormat="1" x14ac:dyDescent="0.3"/>
    <row r="52830" customFormat="1" x14ac:dyDescent="0.3"/>
    <row r="52831" customFormat="1" x14ac:dyDescent="0.3"/>
    <row r="52832" customFormat="1" x14ac:dyDescent="0.3"/>
    <row r="52833" customFormat="1" x14ac:dyDescent="0.3"/>
    <row r="52834" customFormat="1" x14ac:dyDescent="0.3"/>
    <row r="52835" customFormat="1" x14ac:dyDescent="0.3"/>
    <row r="52836" customFormat="1" x14ac:dyDescent="0.3"/>
    <row r="52837" customFormat="1" x14ac:dyDescent="0.3"/>
    <row r="52838" customFormat="1" x14ac:dyDescent="0.3"/>
    <row r="52839" customFormat="1" x14ac:dyDescent="0.3"/>
    <row r="52840" customFormat="1" x14ac:dyDescent="0.3"/>
    <row r="52841" customFormat="1" x14ac:dyDescent="0.3"/>
    <row r="52842" customFormat="1" x14ac:dyDescent="0.3"/>
    <row r="52843" customFormat="1" x14ac:dyDescent="0.3"/>
    <row r="52844" customFormat="1" x14ac:dyDescent="0.3"/>
    <row r="52845" customFormat="1" x14ac:dyDescent="0.3"/>
    <row r="52846" customFormat="1" x14ac:dyDescent="0.3"/>
    <row r="52847" customFormat="1" x14ac:dyDescent="0.3"/>
    <row r="52848" customFormat="1" x14ac:dyDescent="0.3"/>
    <row r="52849" customFormat="1" x14ac:dyDescent="0.3"/>
    <row r="52850" customFormat="1" x14ac:dyDescent="0.3"/>
    <row r="52851" customFormat="1" x14ac:dyDescent="0.3"/>
    <row r="52852" customFormat="1" x14ac:dyDescent="0.3"/>
    <row r="52853" customFormat="1" x14ac:dyDescent="0.3"/>
    <row r="52854" customFormat="1" x14ac:dyDescent="0.3"/>
    <row r="52855" customFormat="1" x14ac:dyDescent="0.3"/>
    <row r="52856" customFormat="1" x14ac:dyDescent="0.3"/>
    <row r="52857" customFormat="1" x14ac:dyDescent="0.3"/>
    <row r="52858" customFormat="1" x14ac:dyDescent="0.3"/>
    <row r="52859" customFormat="1" x14ac:dyDescent="0.3"/>
    <row r="52860" customFormat="1" x14ac:dyDescent="0.3"/>
    <row r="52861" customFormat="1" x14ac:dyDescent="0.3"/>
    <row r="52862" customFormat="1" x14ac:dyDescent="0.3"/>
    <row r="52863" customFormat="1" x14ac:dyDescent="0.3"/>
    <row r="52864" customFormat="1" x14ac:dyDescent="0.3"/>
    <row r="52865" customFormat="1" x14ac:dyDescent="0.3"/>
    <row r="52866" customFormat="1" x14ac:dyDescent="0.3"/>
    <row r="52867" customFormat="1" x14ac:dyDescent="0.3"/>
    <row r="52868" customFormat="1" x14ac:dyDescent="0.3"/>
    <row r="52869" customFormat="1" x14ac:dyDescent="0.3"/>
    <row r="52870" customFormat="1" x14ac:dyDescent="0.3"/>
    <row r="52871" customFormat="1" x14ac:dyDescent="0.3"/>
    <row r="52872" customFormat="1" x14ac:dyDescent="0.3"/>
    <row r="52873" customFormat="1" x14ac:dyDescent="0.3"/>
    <row r="52874" customFormat="1" x14ac:dyDescent="0.3"/>
    <row r="52875" customFormat="1" x14ac:dyDescent="0.3"/>
    <row r="52876" customFormat="1" x14ac:dyDescent="0.3"/>
    <row r="52877" customFormat="1" x14ac:dyDescent="0.3"/>
    <row r="52878" customFormat="1" x14ac:dyDescent="0.3"/>
    <row r="52879" customFormat="1" x14ac:dyDescent="0.3"/>
    <row r="52880" customFormat="1" x14ac:dyDescent="0.3"/>
    <row r="52881" customFormat="1" x14ac:dyDescent="0.3"/>
    <row r="52882" customFormat="1" x14ac:dyDescent="0.3"/>
    <row r="52883" customFormat="1" x14ac:dyDescent="0.3"/>
    <row r="52884" customFormat="1" x14ac:dyDescent="0.3"/>
    <row r="52885" customFormat="1" x14ac:dyDescent="0.3"/>
    <row r="52886" customFormat="1" x14ac:dyDescent="0.3"/>
    <row r="52887" customFormat="1" x14ac:dyDescent="0.3"/>
    <row r="52888" customFormat="1" x14ac:dyDescent="0.3"/>
    <row r="52889" customFormat="1" x14ac:dyDescent="0.3"/>
    <row r="52890" customFormat="1" x14ac:dyDescent="0.3"/>
    <row r="52891" customFormat="1" x14ac:dyDescent="0.3"/>
    <row r="52892" customFormat="1" x14ac:dyDescent="0.3"/>
    <row r="52893" customFormat="1" x14ac:dyDescent="0.3"/>
    <row r="52894" customFormat="1" x14ac:dyDescent="0.3"/>
    <row r="52895" customFormat="1" x14ac:dyDescent="0.3"/>
    <row r="52896" customFormat="1" x14ac:dyDescent="0.3"/>
    <row r="52897" customFormat="1" x14ac:dyDescent="0.3"/>
    <row r="52898" customFormat="1" x14ac:dyDescent="0.3"/>
    <row r="52899" customFormat="1" x14ac:dyDescent="0.3"/>
    <row r="52900" customFormat="1" x14ac:dyDescent="0.3"/>
    <row r="52901" customFormat="1" x14ac:dyDescent="0.3"/>
    <row r="52902" customFormat="1" x14ac:dyDescent="0.3"/>
    <row r="52903" customFormat="1" x14ac:dyDescent="0.3"/>
    <row r="52904" customFormat="1" x14ac:dyDescent="0.3"/>
    <row r="52905" customFormat="1" x14ac:dyDescent="0.3"/>
    <row r="52906" customFormat="1" x14ac:dyDescent="0.3"/>
    <row r="52907" customFormat="1" x14ac:dyDescent="0.3"/>
    <row r="52908" customFormat="1" x14ac:dyDescent="0.3"/>
    <row r="52909" customFormat="1" x14ac:dyDescent="0.3"/>
    <row r="52910" customFormat="1" x14ac:dyDescent="0.3"/>
    <row r="52911" customFormat="1" x14ac:dyDescent="0.3"/>
    <row r="52912" customFormat="1" x14ac:dyDescent="0.3"/>
    <row r="52913" customFormat="1" x14ac:dyDescent="0.3"/>
    <row r="52914" customFormat="1" x14ac:dyDescent="0.3"/>
    <row r="52915" customFormat="1" x14ac:dyDescent="0.3"/>
    <row r="52916" customFormat="1" x14ac:dyDescent="0.3"/>
    <row r="52917" customFormat="1" x14ac:dyDescent="0.3"/>
    <row r="52918" customFormat="1" x14ac:dyDescent="0.3"/>
    <row r="52919" customFormat="1" x14ac:dyDescent="0.3"/>
    <row r="52920" customFormat="1" x14ac:dyDescent="0.3"/>
    <row r="52921" customFormat="1" x14ac:dyDescent="0.3"/>
    <row r="52922" customFormat="1" x14ac:dyDescent="0.3"/>
    <row r="52923" customFormat="1" x14ac:dyDescent="0.3"/>
    <row r="52924" customFormat="1" x14ac:dyDescent="0.3"/>
    <row r="52925" customFormat="1" x14ac:dyDescent="0.3"/>
    <row r="52926" customFormat="1" x14ac:dyDescent="0.3"/>
    <row r="52927" customFormat="1" x14ac:dyDescent="0.3"/>
    <row r="52928" customFormat="1" x14ac:dyDescent="0.3"/>
    <row r="52929" customFormat="1" x14ac:dyDescent="0.3"/>
    <row r="52930" customFormat="1" x14ac:dyDescent="0.3"/>
    <row r="52931" customFormat="1" x14ac:dyDescent="0.3"/>
    <row r="52932" customFormat="1" x14ac:dyDescent="0.3"/>
    <row r="52933" customFormat="1" x14ac:dyDescent="0.3"/>
    <row r="52934" customFormat="1" x14ac:dyDescent="0.3"/>
    <row r="52935" customFormat="1" x14ac:dyDescent="0.3"/>
    <row r="52936" customFormat="1" x14ac:dyDescent="0.3"/>
    <row r="52937" customFormat="1" x14ac:dyDescent="0.3"/>
    <row r="52938" customFormat="1" x14ac:dyDescent="0.3"/>
    <row r="52939" customFormat="1" x14ac:dyDescent="0.3"/>
    <row r="52940" customFormat="1" x14ac:dyDescent="0.3"/>
    <row r="52941" customFormat="1" x14ac:dyDescent="0.3"/>
    <row r="52942" customFormat="1" x14ac:dyDescent="0.3"/>
    <row r="52943" customFormat="1" x14ac:dyDescent="0.3"/>
    <row r="52944" customFormat="1" x14ac:dyDescent="0.3"/>
    <row r="52945" customFormat="1" x14ac:dyDescent="0.3"/>
    <row r="52946" customFormat="1" x14ac:dyDescent="0.3"/>
    <row r="52947" customFormat="1" x14ac:dyDescent="0.3"/>
    <row r="52948" customFormat="1" x14ac:dyDescent="0.3"/>
    <row r="52949" customFormat="1" x14ac:dyDescent="0.3"/>
    <row r="52950" customFormat="1" x14ac:dyDescent="0.3"/>
    <row r="52951" customFormat="1" x14ac:dyDescent="0.3"/>
    <row r="52952" customFormat="1" x14ac:dyDescent="0.3"/>
    <row r="52953" customFormat="1" x14ac:dyDescent="0.3"/>
    <row r="52954" customFormat="1" x14ac:dyDescent="0.3"/>
    <row r="52955" customFormat="1" x14ac:dyDescent="0.3"/>
    <row r="52956" customFormat="1" x14ac:dyDescent="0.3"/>
    <row r="52957" customFormat="1" x14ac:dyDescent="0.3"/>
    <row r="52958" customFormat="1" x14ac:dyDescent="0.3"/>
    <row r="52959" customFormat="1" x14ac:dyDescent="0.3"/>
    <row r="52960" customFormat="1" x14ac:dyDescent="0.3"/>
    <row r="52961" customFormat="1" x14ac:dyDescent="0.3"/>
    <row r="52962" customFormat="1" x14ac:dyDescent="0.3"/>
    <row r="52963" customFormat="1" x14ac:dyDescent="0.3"/>
    <row r="52964" customFormat="1" x14ac:dyDescent="0.3"/>
    <row r="52965" customFormat="1" x14ac:dyDescent="0.3"/>
    <row r="52966" customFormat="1" x14ac:dyDescent="0.3"/>
    <row r="52967" customFormat="1" x14ac:dyDescent="0.3"/>
    <row r="52968" customFormat="1" x14ac:dyDescent="0.3"/>
    <row r="52969" customFormat="1" x14ac:dyDescent="0.3"/>
    <row r="52970" customFormat="1" x14ac:dyDescent="0.3"/>
    <row r="52971" customFormat="1" x14ac:dyDescent="0.3"/>
    <row r="52972" customFormat="1" x14ac:dyDescent="0.3"/>
    <row r="52973" customFormat="1" x14ac:dyDescent="0.3"/>
    <row r="52974" customFormat="1" x14ac:dyDescent="0.3"/>
    <row r="52975" customFormat="1" x14ac:dyDescent="0.3"/>
    <row r="52976" customFormat="1" x14ac:dyDescent="0.3"/>
    <row r="52977" customFormat="1" x14ac:dyDescent="0.3"/>
    <row r="52978" customFormat="1" x14ac:dyDescent="0.3"/>
    <row r="52979" customFormat="1" x14ac:dyDescent="0.3"/>
    <row r="52980" customFormat="1" x14ac:dyDescent="0.3"/>
    <row r="52981" customFormat="1" x14ac:dyDescent="0.3"/>
    <row r="52982" customFormat="1" x14ac:dyDescent="0.3"/>
    <row r="52983" customFormat="1" x14ac:dyDescent="0.3"/>
    <row r="52984" customFormat="1" x14ac:dyDescent="0.3"/>
    <row r="52985" customFormat="1" x14ac:dyDescent="0.3"/>
    <row r="52986" customFormat="1" x14ac:dyDescent="0.3"/>
    <row r="52987" customFormat="1" x14ac:dyDescent="0.3"/>
    <row r="52988" customFormat="1" x14ac:dyDescent="0.3"/>
    <row r="52989" customFormat="1" x14ac:dyDescent="0.3"/>
    <row r="52990" customFormat="1" x14ac:dyDescent="0.3"/>
    <row r="52991" customFormat="1" x14ac:dyDescent="0.3"/>
    <row r="52992" customFormat="1" x14ac:dyDescent="0.3"/>
    <row r="52993" customFormat="1" x14ac:dyDescent="0.3"/>
    <row r="52994" customFormat="1" x14ac:dyDescent="0.3"/>
    <row r="52995" customFormat="1" x14ac:dyDescent="0.3"/>
    <row r="52996" customFormat="1" x14ac:dyDescent="0.3"/>
    <row r="52997" customFormat="1" x14ac:dyDescent="0.3"/>
    <row r="52998" customFormat="1" x14ac:dyDescent="0.3"/>
    <row r="52999" customFormat="1" x14ac:dyDescent="0.3"/>
    <row r="53000" customFormat="1" x14ac:dyDescent="0.3"/>
    <row r="53001" customFormat="1" x14ac:dyDescent="0.3"/>
    <row r="53002" customFormat="1" x14ac:dyDescent="0.3"/>
    <row r="53003" customFormat="1" x14ac:dyDescent="0.3"/>
    <row r="53004" customFormat="1" x14ac:dyDescent="0.3"/>
    <row r="53005" customFormat="1" x14ac:dyDescent="0.3"/>
    <row r="53006" customFormat="1" x14ac:dyDescent="0.3"/>
    <row r="53007" customFormat="1" x14ac:dyDescent="0.3"/>
    <row r="53008" customFormat="1" x14ac:dyDescent="0.3"/>
    <row r="53009" customFormat="1" x14ac:dyDescent="0.3"/>
    <row r="53010" customFormat="1" x14ac:dyDescent="0.3"/>
    <row r="53011" customFormat="1" x14ac:dyDescent="0.3"/>
    <row r="53012" customFormat="1" x14ac:dyDescent="0.3"/>
    <row r="53013" customFormat="1" x14ac:dyDescent="0.3"/>
    <row r="53014" customFormat="1" x14ac:dyDescent="0.3"/>
    <row r="53015" customFormat="1" x14ac:dyDescent="0.3"/>
    <row r="53016" customFormat="1" x14ac:dyDescent="0.3"/>
    <row r="53017" customFormat="1" x14ac:dyDescent="0.3"/>
    <row r="53018" customFormat="1" x14ac:dyDescent="0.3"/>
    <row r="53019" customFormat="1" x14ac:dyDescent="0.3"/>
    <row r="53020" customFormat="1" x14ac:dyDescent="0.3"/>
    <row r="53021" customFormat="1" x14ac:dyDescent="0.3"/>
    <row r="53022" customFormat="1" x14ac:dyDescent="0.3"/>
    <row r="53023" customFormat="1" x14ac:dyDescent="0.3"/>
    <row r="53024" customFormat="1" x14ac:dyDescent="0.3"/>
    <row r="53025" customFormat="1" x14ac:dyDescent="0.3"/>
    <row r="53026" customFormat="1" x14ac:dyDescent="0.3"/>
    <row r="53027" customFormat="1" x14ac:dyDescent="0.3"/>
    <row r="53028" customFormat="1" x14ac:dyDescent="0.3"/>
    <row r="53029" customFormat="1" x14ac:dyDescent="0.3"/>
    <row r="53030" customFormat="1" x14ac:dyDescent="0.3"/>
    <row r="53031" customFormat="1" x14ac:dyDescent="0.3"/>
    <row r="53032" customFormat="1" x14ac:dyDescent="0.3"/>
    <row r="53033" customFormat="1" x14ac:dyDescent="0.3"/>
    <row r="53034" customFormat="1" x14ac:dyDescent="0.3"/>
    <row r="53035" customFormat="1" x14ac:dyDescent="0.3"/>
    <row r="53036" customFormat="1" x14ac:dyDescent="0.3"/>
    <row r="53037" customFormat="1" x14ac:dyDescent="0.3"/>
    <row r="53038" customFormat="1" x14ac:dyDescent="0.3"/>
    <row r="53039" customFormat="1" x14ac:dyDescent="0.3"/>
    <row r="53040" customFormat="1" x14ac:dyDescent="0.3"/>
    <row r="53041" customFormat="1" x14ac:dyDescent="0.3"/>
    <row r="53042" customFormat="1" x14ac:dyDescent="0.3"/>
    <row r="53043" customFormat="1" x14ac:dyDescent="0.3"/>
    <row r="53044" customFormat="1" x14ac:dyDescent="0.3"/>
    <row r="53045" customFormat="1" x14ac:dyDescent="0.3"/>
    <row r="53046" customFormat="1" x14ac:dyDescent="0.3"/>
    <row r="53047" customFormat="1" x14ac:dyDescent="0.3"/>
    <row r="53048" customFormat="1" x14ac:dyDescent="0.3"/>
    <row r="53049" customFormat="1" x14ac:dyDescent="0.3"/>
    <row r="53050" customFormat="1" x14ac:dyDescent="0.3"/>
    <row r="53051" customFormat="1" x14ac:dyDescent="0.3"/>
    <row r="53052" customFormat="1" x14ac:dyDescent="0.3"/>
    <row r="53053" customFormat="1" x14ac:dyDescent="0.3"/>
    <row r="53054" customFormat="1" x14ac:dyDescent="0.3"/>
    <row r="53055" customFormat="1" x14ac:dyDescent="0.3"/>
    <row r="53056" customFormat="1" x14ac:dyDescent="0.3"/>
    <row r="53057" customFormat="1" x14ac:dyDescent="0.3"/>
    <row r="53058" customFormat="1" x14ac:dyDescent="0.3"/>
    <row r="53059" customFormat="1" x14ac:dyDescent="0.3"/>
    <row r="53060" customFormat="1" x14ac:dyDescent="0.3"/>
    <row r="53061" customFormat="1" x14ac:dyDescent="0.3"/>
    <row r="53062" customFormat="1" x14ac:dyDescent="0.3"/>
    <row r="53063" customFormat="1" x14ac:dyDescent="0.3"/>
    <row r="53064" customFormat="1" x14ac:dyDescent="0.3"/>
    <row r="53065" customFormat="1" x14ac:dyDescent="0.3"/>
    <row r="53066" customFormat="1" x14ac:dyDescent="0.3"/>
    <row r="53067" customFormat="1" x14ac:dyDescent="0.3"/>
    <row r="53068" customFormat="1" x14ac:dyDescent="0.3"/>
    <row r="53069" customFormat="1" x14ac:dyDescent="0.3"/>
    <row r="53070" customFormat="1" x14ac:dyDescent="0.3"/>
    <row r="53071" customFormat="1" x14ac:dyDescent="0.3"/>
    <row r="53072" customFormat="1" x14ac:dyDescent="0.3"/>
    <row r="53073" customFormat="1" x14ac:dyDescent="0.3"/>
    <row r="53074" customFormat="1" x14ac:dyDescent="0.3"/>
    <row r="53075" customFormat="1" x14ac:dyDescent="0.3"/>
    <row r="53076" customFormat="1" x14ac:dyDescent="0.3"/>
    <row r="53077" customFormat="1" x14ac:dyDescent="0.3"/>
    <row r="53078" customFormat="1" x14ac:dyDescent="0.3"/>
    <row r="53079" customFormat="1" x14ac:dyDescent="0.3"/>
    <row r="53080" customFormat="1" x14ac:dyDescent="0.3"/>
    <row r="53081" customFormat="1" x14ac:dyDescent="0.3"/>
    <row r="53082" customFormat="1" x14ac:dyDescent="0.3"/>
    <row r="53083" customFormat="1" x14ac:dyDescent="0.3"/>
    <row r="53084" customFormat="1" x14ac:dyDescent="0.3"/>
    <row r="53085" customFormat="1" x14ac:dyDescent="0.3"/>
    <row r="53086" customFormat="1" x14ac:dyDescent="0.3"/>
    <row r="53087" customFormat="1" x14ac:dyDescent="0.3"/>
    <row r="53088" customFormat="1" x14ac:dyDescent="0.3"/>
    <row r="53089" customFormat="1" x14ac:dyDescent="0.3"/>
    <row r="53090" customFormat="1" x14ac:dyDescent="0.3"/>
    <row r="53091" customFormat="1" x14ac:dyDescent="0.3"/>
    <row r="53092" customFormat="1" x14ac:dyDescent="0.3"/>
    <row r="53093" customFormat="1" x14ac:dyDescent="0.3"/>
    <row r="53094" customFormat="1" x14ac:dyDescent="0.3"/>
    <row r="53095" customFormat="1" x14ac:dyDescent="0.3"/>
    <row r="53096" customFormat="1" x14ac:dyDescent="0.3"/>
    <row r="53097" customFormat="1" x14ac:dyDescent="0.3"/>
    <row r="53098" customFormat="1" x14ac:dyDescent="0.3"/>
    <row r="53099" customFormat="1" x14ac:dyDescent="0.3"/>
    <row r="53100" customFormat="1" x14ac:dyDescent="0.3"/>
    <row r="53101" customFormat="1" x14ac:dyDescent="0.3"/>
    <row r="53102" customFormat="1" x14ac:dyDescent="0.3"/>
    <row r="53103" customFormat="1" x14ac:dyDescent="0.3"/>
    <row r="53104" customFormat="1" x14ac:dyDescent="0.3"/>
    <row r="53105" customFormat="1" x14ac:dyDescent="0.3"/>
    <row r="53106" customFormat="1" x14ac:dyDescent="0.3"/>
    <row r="53107" customFormat="1" x14ac:dyDescent="0.3"/>
    <row r="53108" customFormat="1" x14ac:dyDescent="0.3"/>
    <row r="53109" customFormat="1" x14ac:dyDescent="0.3"/>
    <row r="53110" customFormat="1" x14ac:dyDescent="0.3"/>
    <row r="53111" customFormat="1" x14ac:dyDescent="0.3"/>
    <row r="53112" customFormat="1" x14ac:dyDescent="0.3"/>
    <row r="53113" customFormat="1" x14ac:dyDescent="0.3"/>
    <row r="53114" customFormat="1" x14ac:dyDescent="0.3"/>
    <row r="53115" customFormat="1" x14ac:dyDescent="0.3"/>
    <row r="53116" customFormat="1" x14ac:dyDescent="0.3"/>
    <row r="53117" customFormat="1" x14ac:dyDescent="0.3"/>
    <row r="53118" customFormat="1" x14ac:dyDescent="0.3"/>
    <row r="53119" customFormat="1" x14ac:dyDescent="0.3"/>
    <row r="53120" customFormat="1" x14ac:dyDescent="0.3"/>
    <row r="53121" customFormat="1" x14ac:dyDescent="0.3"/>
    <row r="53122" customFormat="1" x14ac:dyDescent="0.3"/>
    <row r="53123" customFormat="1" x14ac:dyDescent="0.3"/>
    <row r="53124" customFormat="1" x14ac:dyDescent="0.3"/>
    <row r="53125" customFormat="1" x14ac:dyDescent="0.3"/>
    <row r="53126" customFormat="1" x14ac:dyDescent="0.3"/>
    <row r="53127" customFormat="1" x14ac:dyDescent="0.3"/>
    <row r="53128" customFormat="1" x14ac:dyDescent="0.3"/>
    <row r="53129" customFormat="1" x14ac:dyDescent="0.3"/>
    <row r="53130" customFormat="1" x14ac:dyDescent="0.3"/>
    <row r="53131" customFormat="1" x14ac:dyDescent="0.3"/>
    <row r="53132" customFormat="1" x14ac:dyDescent="0.3"/>
    <row r="53133" customFormat="1" x14ac:dyDescent="0.3"/>
    <row r="53134" customFormat="1" x14ac:dyDescent="0.3"/>
    <row r="53135" customFormat="1" x14ac:dyDescent="0.3"/>
    <row r="53136" customFormat="1" x14ac:dyDescent="0.3"/>
    <row r="53137" customFormat="1" x14ac:dyDescent="0.3"/>
    <row r="53138" customFormat="1" x14ac:dyDescent="0.3"/>
    <row r="53139" customFormat="1" x14ac:dyDescent="0.3"/>
    <row r="53140" customFormat="1" x14ac:dyDescent="0.3"/>
    <row r="53141" customFormat="1" x14ac:dyDescent="0.3"/>
    <row r="53142" customFormat="1" x14ac:dyDescent="0.3"/>
    <row r="53143" customFormat="1" x14ac:dyDescent="0.3"/>
    <row r="53144" customFormat="1" x14ac:dyDescent="0.3"/>
    <row r="53145" customFormat="1" x14ac:dyDescent="0.3"/>
    <row r="53146" customFormat="1" x14ac:dyDescent="0.3"/>
    <row r="53147" customFormat="1" x14ac:dyDescent="0.3"/>
    <row r="53148" customFormat="1" x14ac:dyDescent="0.3"/>
    <row r="53149" customFormat="1" x14ac:dyDescent="0.3"/>
    <row r="53150" customFormat="1" x14ac:dyDescent="0.3"/>
    <row r="53151" customFormat="1" x14ac:dyDescent="0.3"/>
    <row r="53152" customFormat="1" x14ac:dyDescent="0.3"/>
    <row r="53153" customFormat="1" x14ac:dyDescent="0.3"/>
    <row r="53154" customFormat="1" x14ac:dyDescent="0.3"/>
    <row r="53155" customFormat="1" x14ac:dyDescent="0.3"/>
    <row r="53156" customFormat="1" x14ac:dyDescent="0.3"/>
    <row r="53157" customFormat="1" x14ac:dyDescent="0.3"/>
    <row r="53158" customFormat="1" x14ac:dyDescent="0.3"/>
    <row r="53159" customFormat="1" x14ac:dyDescent="0.3"/>
    <row r="53160" customFormat="1" x14ac:dyDescent="0.3"/>
    <row r="53161" customFormat="1" x14ac:dyDescent="0.3"/>
    <row r="53162" customFormat="1" x14ac:dyDescent="0.3"/>
    <row r="53163" customFormat="1" x14ac:dyDescent="0.3"/>
    <row r="53164" customFormat="1" x14ac:dyDescent="0.3"/>
    <row r="53165" customFormat="1" x14ac:dyDescent="0.3"/>
    <row r="53166" customFormat="1" x14ac:dyDescent="0.3"/>
    <row r="53167" customFormat="1" x14ac:dyDescent="0.3"/>
    <row r="53168" customFormat="1" x14ac:dyDescent="0.3"/>
    <row r="53169" customFormat="1" x14ac:dyDescent="0.3"/>
    <row r="53170" customFormat="1" x14ac:dyDescent="0.3"/>
    <row r="53171" customFormat="1" x14ac:dyDescent="0.3"/>
    <row r="53172" customFormat="1" x14ac:dyDescent="0.3"/>
    <row r="53173" customFormat="1" x14ac:dyDescent="0.3"/>
    <row r="53174" customFormat="1" x14ac:dyDescent="0.3"/>
    <row r="53175" customFormat="1" x14ac:dyDescent="0.3"/>
    <row r="53176" customFormat="1" x14ac:dyDescent="0.3"/>
    <row r="53177" customFormat="1" x14ac:dyDescent="0.3"/>
    <row r="53178" customFormat="1" x14ac:dyDescent="0.3"/>
    <row r="53179" customFormat="1" x14ac:dyDescent="0.3"/>
    <row r="53180" customFormat="1" x14ac:dyDescent="0.3"/>
    <row r="53181" customFormat="1" x14ac:dyDescent="0.3"/>
    <row r="53182" customFormat="1" x14ac:dyDescent="0.3"/>
    <row r="53183" customFormat="1" x14ac:dyDescent="0.3"/>
    <row r="53184" customFormat="1" x14ac:dyDescent="0.3"/>
    <row r="53185" customFormat="1" x14ac:dyDescent="0.3"/>
    <row r="53186" customFormat="1" x14ac:dyDescent="0.3"/>
    <row r="53187" customFormat="1" x14ac:dyDescent="0.3"/>
    <row r="53188" customFormat="1" x14ac:dyDescent="0.3"/>
    <row r="53189" customFormat="1" x14ac:dyDescent="0.3"/>
    <row r="53190" customFormat="1" x14ac:dyDescent="0.3"/>
    <row r="53191" customFormat="1" x14ac:dyDescent="0.3"/>
    <row r="53192" customFormat="1" x14ac:dyDescent="0.3"/>
    <row r="53193" customFormat="1" x14ac:dyDescent="0.3"/>
    <row r="53194" customFormat="1" x14ac:dyDescent="0.3"/>
    <row r="53195" customFormat="1" x14ac:dyDescent="0.3"/>
    <row r="53196" customFormat="1" x14ac:dyDescent="0.3"/>
    <row r="53197" customFormat="1" x14ac:dyDescent="0.3"/>
    <row r="53198" customFormat="1" x14ac:dyDescent="0.3"/>
    <row r="53199" customFormat="1" x14ac:dyDescent="0.3"/>
    <row r="53200" customFormat="1" x14ac:dyDescent="0.3"/>
    <row r="53201" customFormat="1" x14ac:dyDescent="0.3"/>
    <row r="53202" customFormat="1" x14ac:dyDescent="0.3"/>
    <row r="53203" customFormat="1" x14ac:dyDescent="0.3"/>
    <row r="53204" customFormat="1" x14ac:dyDescent="0.3"/>
    <row r="53205" customFormat="1" x14ac:dyDescent="0.3"/>
    <row r="53206" customFormat="1" x14ac:dyDescent="0.3"/>
    <row r="53207" customFormat="1" x14ac:dyDescent="0.3"/>
    <row r="53208" customFormat="1" x14ac:dyDescent="0.3"/>
    <row r="53209" customFormat="1" x14ac:dyDescent="0.3"/>
    <row r="53210" customFormat="1" x14ac:dyDescent="0.3"/>
    <row r="53211" customFormat="1" x14ac:dyDescent="0.3"/>
    <row r="53212" customFormat="1" x14ac:dyDescent="0.3"/>
    <row r="53213" customFormat="1" x14ac:dyDescent="0.3"/>
    <row r="53214" customFormat="1" x14ac:dyDescent="0.3"/>
    <row r="53215" customFormat="1" x14ac:dyDescent="0.3"/>
    <row r="53216" customFormat="1" x14ac:dyDescent="0.3"/>
    <row r="53217" customFormat="1" x14ac:dyDescent="0.3"/>
    <row r="53218" customFormat="1" x14ac:dyDescent="0.3"/>
    <row r="53219" customFormat="1" x14ac:dyDescent="0.3"/>
    <row r="53220" customFormat="1" x14ac:dyDescent="0.3"/>
    <row r="53221" customFormat="1" x14ac:dyDescent="0.3"/>
    <row r="53222" customFormat="1" x14ac:dyDescent="0.3"/>
    <row r="53223" customFormat="1" x14ac:dyDescent="0.3"/>
    <row r="53224" customFormat="1" x14ac:dyDescent="0.3"/>
    <row r="53225" customFormat="1" x14ac:dyDescent="0.3"/>
    <row r="53226" customFormat="1" x14ac:dyDescent="0.3"/>
    <row r="53227" customFormat="1" x14ac:dyDescent="0.3"/>
    <row r="53228" customFormat="1" x14ac:dyDescent="0.3"/>
    <row r="53229" customFormat="1" x14ac:dyDescent="0.3"/>
    <row r="53230" customFormat="1" x14ac:dyDescent="0.3"/>
    <row r="53231" customFormat="1" x14ac:dyDescent="0.3"/>
    <row r="53232" customFormat="1" x14ac:dyDescent="0.3"/>
    <row r="53233" customFormat="1" x14ac:dyDescent="0.3"/>
    <row r="53234" customFormat="1" x14ac:dyDescent="0.3"/>
    <row r="53235" customFormat="1" x14ac:dyDescent="0.3"/>
    <row r="53236" customFormat="1" x14ac:dyDescent="0.3"/>
    <row r="53237" customFormat="1" x14ac:dyDescent="0.3"/>
    <row r="53238" customFormat="1" x14ac:dyDescent="0.3"/>
    <row r="53239" customFormat="1" x14ac:dyDescent="0.3"/>
    <row r="53240" customFormat="1" x14ac:dyDescent="0.3"/>
    <row r="53241" customFormat="1" x14ac:dyDescent="0.3"/>
    <row r="53242" customFormat="1" x14ac:dyDescent="0.3"/>
    <row r="53243" customFormat="1" x14ac:dyDescent="0.3"/>
    <row r="53244" customFormat="1" x14ac:dyDescent="0.3"/>
    <row r="53245" customFormat="1" x14ac:dyDescent="0.3"/>
    <row r="53246" customFormat="1" x14ac:dyDescent="0.3"/>
    <row r="53247" customFormat="1" x14ac:dyDescent="0.3"/>
    <row r="53248" customFormat="1" x14ac:dyDescent="0.3"/>
    <row r="53249" customFormat="1" x14ac:dyDescent="0.3"/>
    <row r="53250" customFormat="1" x14ac:dyDescent="0.3"/>
    <row r="53251" customFormat="1" x14ac:dyDescent="0.3"/>
    <row r="53252" customFormat="1" x14ac:dyDescent="0.3"/>
    <row r="53253" customFormat="1" x14ac:dyDescent="0.3"/>
    <row r="53254" customFormat="1" x14ac:dyDescent="0.3"/>
    <row r="53255" customFormat="1" x14ac:dyDescent="0.3"/>
    <row r="53256" customFormat="1" x14ac:dyDescent="0.3"/>
    <row r="53257" customFormat="1" x14ac:dyDescent="0.3"/>
    <row r="53258" customFormat="1" x14ac:dyDescent="0.3"/>
    <row r="53259" customFormat="1" x14ac:dyDescent="0.3"/>
    <row r="53260" customFormat="1" x14ac:dyDescent="0.3"/>
    <row r="53261" customFormat="1" x14ac:dyDescent="0.3"/>
    <row r="53262" customFormat="1" x14ac:dyDescent="0.3"/>
    <row r="53263" customFormat="1" x14ac:dyDescent="0.3"/>
    <row r="53264" customFormat="1" x14ac:dyDescent="0.3"/>
    <row r="53265" customFormat="1" x14ac:dyDescent="0.3"/>
    <row r="53266" customFormat="1" x14ac:dyDescent="0.3"/>
    <row r="53267" customFormat="1" x14ac:dyDescent="0.3"/>
    <row r="53268" customFormat="1" x14ac:dyDescent="0.3"/>
    <row r="53269" customFormat="1" x14ac:dyDescent="0.3"/>
    <row r="53270" customFormat="1" x14ac:dyDescent="0.3"/>
    <row r="53271" customFormat="1" x14ac:dyDescent="0.3"/>
    <row r="53272" customFormat="1" x14ac:dyDescent="0.3"/>
    <row r="53273" customFormat="1" x14ac:dyDescent="0.3"/>
    <row r="53274" customFormat="1" x14ac:dyDescent="0.3"/>
    <row r="53275" customFormat="1" x14ac:dyDescent="0.3"/>
    <row r="53276" customFormat="1" x14ac:dyDescent="0.3"/>
    <row r="53277" customFormat="1" x14ac:dyDescent="0.3"/>
    <row r="53278" customFormat="1" x14ac:dyDescent="0.3"/>
    <row r="53279" customFormat="1" x14ac:dyDescent="0.3"/>
    <row r="53280" customFormat="1" x14ac:dyDescent="0.3"/>
    <row r="53281" customFormat="1" x14ac:dyDescent="0.3"/>
    <row r="53282" customFormat="1" x14ac:dyDescent="0.3"/>
    <row r="53283" customFormat="1" x14ac:dyDescent="0.3"/>
    <row r="53284" customFormat="1" x14ac:dyDescent="0.3"/>
    <row r="53285" customFormat="1" x14ac:dyDescent="0.3"/>
    <row r="53286" customFormat="1" x14ac:dyDescent="0.3"/>
    <row r="53287" customFormat="1" x14ac:dyDescent="0.3"/>
    <row r="53288" customFormat="1" x14ac:dyDescent="0.3"/>
    <row r="53289" customFormat="1" x14ac:dyDescent="0.3"/>
    <row r="53290" customFormat="1" x14ac:dyDescent="0.3"/>
    <row r="53291" customFormat="1" x14ac:dyDescent="0.3"/>
    <row r="53292" customFormat="1" x14ac:dyDescent="0.3"/>
    <row r="53293" customFormat="1" x14ac:dyDescent="0.3"/>
    <row r="53294" customFormat="1" x14ac:dyDescent="0.3"/>
    <row r="53295" customFormat="1" x14ac:dyDescent="0.3"/>
    <row r="53296" customFormat="1" x14ac:dyDescent="0.3"/>
    <row r="53297" customFormat="1" x14ac:dyDescent="0.3"/>
    <row r="53298" customFormat="1" x14ac:dyDescent="0.3"/>
    <row r="53299" customFormat="1" x14ac:dyDescent="0.3"/>
    <row r="53300" customFormat="1" x14ac:dyDescent="0.3"/>
    <row r="53301" customFormat="1" x14ac:dyDescent="0.3"/>
    <row r="53302" customFormat="1" x14ac:dyDescent="0.3"/>
    <row r="53303" customFormat="1" x14ac:dyDescent="0.3"/>
    <row r="53304" customFormat="1" x14ac:dyDescent="0.3"/>
    <row r="53305" customFormat="1" x14ac:dyDescent="0.3"/>
    <row r="53306" customFormat="1" x14ac:dyDescent="0.3"/>
    <row r="53307" customFormat="1" x14ac:dyDescent="0.3"/>
    <row r="53308" customFormat="1" x14ac:dyDescent="0.3"/>
    <row r="53309" customFormat="1" x14ac:dyDescent="0.3"/>
    <row r="53310" customFormat="1" x14ac:dyDescent="0.3"/>
    <row r="53311" customFormat="1" x14ac:dyDescent="0.3"/>
    <row r="53312" customFormat="1" x14ac:dyDescent="0.3"/>
    <row r="53313" customFormat="1" x14ac:dyDescent="0.3"/>
    <row r="53314" customFormat="1" x14ac:dyDescent="0.3"/>
    <row r="53315" customFormat="1" x14ac:dyDescent="0.3"/>
    <row r="53316" customFormat="1" x14ac:dyDescent="0.3"/>
    <row r="53317" customFormat="1" x14ac:dyDescent="0.3"/>
    <row r="53318" customFormat="1" x14ac:dyDescent="0.3"/>
    <row r="53319" customFormat="1" x14ac:dyDescent="0.3"/>
    <row r="53320" customFormat="1" x14ac:dyDescent="0.3"/>
    <row r="53321" customFormat="1" x14ac:dyDescent="0.3"/>
    <row r="53322" customFormat="1" x14ac:dyDescent="0.3"/>
    <row r="53323" customFormat="1" x14ac:dyDescent="0.3"/>
    <row r="53324" customFormat="1" x14ac:dyDescent="0.3"/>
    <row r="53325" customFormat="1" x14ac:dyDescent="0.3"/>
    <row r="53326" customFormat="1" x14ac:dyDescent="0.3"/>
    <row r="53327" customFormat="1" x14ac:dyDescent="0.3"/>
    <row r="53328" customFormat="1" x14ac:dyDescent="0.3"/>
    <row r="53329" customFormat="1" x14ac:dyDescent="0.3"/>
    <row r="53330" customFormat="1" x14ac:dyDescent="0.3"/>
    <row r="53331" customFormat="1" x14ac:dyDescent="0.3"/>
    <row r="53332" customFormat="1" x14ac:dyDescent="0.3"/>
    <row r="53333" customFormat="1" x14ac:dyDescent="0.3"/>
    <row r="53334" customFormat="1" x14ac:dyDescent="0.3"/>
    <row r="53335" customFormat="1" x14ac:dyDescent="0.3"/>
    <row r="53336" customFormat="1" x14ac:dyDescent="0.3"/>
    <row r="53337" customFormat="1" x14ac:dyDescent="0.3"/>
    <row r="53338" customFormat="1" x14ac:dyDescent="0.3"/>
    <row r="53339" customFormat="1" x14ac:dyDescent="0.3"/>
    <row r="53340" customFormat="1" x14ac:dyDescent="0.3"/>
    <row r="53341" customFormat="1" x14ac:dyDescent="0.3"/>
    <row r="53342" customFormat="1" x14ac:dyDescent="0.3"/>
    <row r="53343" customFormat="1" x14ac:dyDescent="0.3"/>
    <row r="53344" customFormat="1" x14ac:dyDescent="0.3"/>
    <row r="53345" customFormat="1" x14ac:dyDescent="0.3"/>
    <row r="53346" customFormat="1" x14ac:dyDescent="0.3"/>
    <row r="53347" customFormat="1" x14ac:dyDescent="0.3"/>
    <row r="53348" customFormat="1" x14ac:dyDescent="0.3"/>
    <row r="53349" customFormat="1" x14ac:dyDescent="0.3"/>
    <row r="53350" customFormat="1" x14ac:dyDescent="0.3"/>
    <row r="53351" customFormat="1" x14ac:dyDescent="0.3"/>
    <row r="53352" customFormat="1" x14ac:dyDescent="0.3"/>
    <row r="53353" customFormat="1" x14ac:dyDescent="0.3"/>
    <row r="53354" customFormat="1" x14ac:dyDescent="0.3"/>
    <row r="53355" customFormat="1" x14ac:dyDescent="0.3"/>
    <row r="53356" customFormat="1" x14ac:dyDescent="0.3"/>
    <row r="53357" customFormat="1" x14ac:dyDescent="0.3"/>
    <row r="53358" customFormat="1" x14ac:dyDescent="0.3"/>
    <row r="53359" customFormat="1" x14ac:dyDescent="0.3"/>
    <row r="53360" customFormat="1" x14ac:dyDescent="0.3"/>
    <row r="53361" customFormat="1" x14ac:dyDescent="0.3"/>
    <row r="53362" customFormat="1" x14ac:dyDescent="0.3"/>
    <row r="53363" customFormat="1" x14ac:dyDescent="0.3"/>
    <row r="53364" customFormat="1" x14ac:dyDescent="0.3"/>
    <row r="53365" customFormat="1" x14ac:dyDescent="0.3"/>
    <row r="53366" customFormat="1" x14ac:dyDescent="0.3"/>
    <row r="53367" customFormat="1" x14ac:dyDescent="0.3"/>
    <row r="53368" customFormat="1" x14ac:dyDescent="0.3"/>
    <row r="53369" customFormat="1" x14ac:dyDescent="0.3"/>
    <row r="53370" customFormat="1" x14ac:dyDescent="0.3"/>
    <row r="53371" customFormat="1" x14ac:dyDescent="0.3"/>
    <row r="53372" customFormat="1" x14ac:dyDescent="0.3"/>
    <row r="53373" customFormat="1" x14ac:dyDescent="0.3"/>
    <row r="53374" customFormat="1" x14ac:dyDescent="0.3"/>
    <row r="53375" customFormat="1" x14ac:dyDescent="0.3"/>
    <row r="53376" customFormat="1" x14ac:dyDescent="0.3"/>
    <row r="53377" customFormat="1" x14ac:dyDescent="0.3"/>
    <row r="53378" customFormat="1" x14ac:dyDescent="0.3"/>
    <row r="53379" customFormat="1" x14ac:dyDescent="0.3"/>
    <row r="53380" customFormat="1" x14ac:dyDescent="0.3"/>
    <row r="53381" customFormat="1" x14ac:dyDescent="0.3"/>
    <row r="53382" customFormat="1" x14ac:dyDescent="0.3"/>
    <row r="53383" customFormat="1" x14ac:dyDescent="0.3"/>
    <row r="53384" customFormat="1" x14ac:dyDescent="0.3"/>
    <row r="53385" customFormat="1" x14ac:dyDescent="0.3"/>
    <row r="53386" customFormat="1" x14ac:dyDescent="0.3"/>
    <row r="53387" customFormat="1" x14ac:dyDescent="0.3"/>
    <row r="53388" customFormat="1" x14ac:dyDescent="0.3"/>
    <row r="53389" customFormat="1" x14ac:dyDescent="0.3"/>
    <row r="53390" customFormat="1" x14ac:dyDescent="0.3"/>
    <row r="53391" customFormat="1" x14ac:dyDescent="0.3"/>
    <row r="53392" customFormat="1" x14ac:dyDescent="0.3"/>
    <row r="53393" customFormat="1" x14ac:dyDescent="0.3"/>
    <row r="53394" customFormat="1" x14ac:dyDescent="0.3"/>
    <row r="53395" customFormat="1" x14ac:dyDescent="0.3"/>
    <row r="53396" customFormat="1" x14ac:dyDescent="0.3"/>
    <row r="53397" customFormat="1" x14ac:dyDescent="0.3"/>
    <row r="53398" customFormat="1" x14ac:dyDescent="0.3"/>
    <row r="53399" customFormat="1" x14ac:dyDescent="0.3"/>
    <row r="53400" customFormat="1" x14ac:dyDescent="0.3"/>
    <row r="53401" customFormat="1" x14ac:dyDescent="0.3"/>
    <row r="53402" customFormat="1" x14ac:dyDescent="0.3"/>
    <row r="53403" customFormat="1" x14ac:dyDescent="0.3"/>
    <row r="53404" customFormat="1" x14ac:dyDescent="0.3"/>
    <row r="53405" customFormat="1" x14ac:dyDescent="0.3"/>
    <row r="53406" customFormat="1" x14ac:dyDescent="0.3"/>
    <row r="53407" customFormat="1" x14ac:dyDescent="0.3"/>
    <row r="53408" customFormat="1" x14ac:dyDescent="0.3"/>
    <row r="53409" customFormat="1" x14ac:dyDescent="0.3"/>
    <row r="53410" customFormat="1" x14ac:dyDescent="0.3"/>
    <row r="53411" customFormat="1" x14ac:dyDescent="0.3"/>
    <row r="53412" customFormat="1" x14ac:dyDescent="0.3"/>
    <row r="53413" customFormat="1" x14ac:dyDescent="0.3"/>
    <row r="53414" customFormat="1" x14ac:dyDescent="0.3"/>
    <row r="53415" customFormat="1" x14ac:dyDescent="0.3"/>
    <row r="53416" customFormat="1" x14ac:dyDescent="0.3"/>
    <row r="53417" customFormat="1" x14ac:dyDescent="0.3"/>
    <row r="53418" customFormat="1" x14ac:dyDescent="0.3"/>
    <row r="53419" customFormat="1" x14ac:dyDescent="0.3"/>
    <row r="53420" customFormat="1" x14ac:dyDescent="0.3"/>
    <row r="53421" customFormat="1" x14ac:dyDescent="0.3"/>
    <row r="53422" customFormat="1" x14ac:dyDescent="0.3"/>
    <row r="53423" customFormat="1" x14ac:dyDescent="0.3"/>
    <row r="53424" customFormat="1" x14ac:dyDescent="0.3"/>
    <row r="53425" customFormat="1" x14ac:dyDescent="0.3"/>
    <row r="53426" customFormat="1" x14ac:dyDescent="0.3"/>
    <row r="53427" customFormat="1" x14ac:dyDescent="0.3"/>
    <row r="53428" customFormat="1" x14ac:dyDescent="0.3"/>
    <row r="53429" customFormat="1" x14ac:dyDescent="0.3"/>
    <row r="53430" customFormat="1" x14ac:dyDescent="0.3"/>
    <row r="53431" customFormat="1" x14ac:dyDescent="0.3"/>
    <row r="53432" customFormat="1" x14ac:dyDescent="0.3"/>
    <row r="53433" customFormat="1" x14ac:dyDescent="0.3"/>
    <row r="53434" customFormat="1" x14ac:dyDescent="0.3"/>
    <row r="53435" customFormat="1" x14ac:dyDescent="0.3"/>
    <row r="53436" customFormat="1" x14ac:dyDescent="0.3"/>
    <row r="53437" customFormat="1" x14ac:dyDescent="0.3"/>
    <row r="53438" customFormat="1" x14ac:dyDescent="0.3"/>
    <row r="53439" customFormat="1" x14ac:dyDescent="0.3"/>
    <row r="53440" customFormat="1" x14ac:dyDescent="0.3"/>
    <row r="53441" customFormat="1" x14ac:dyDescent="0.3"/>
    <row r="53442" customFormat="1" x14ac:dyDescent="0.3"/>
    <row r="53443" customFormat="1" x14ac:dyDescent="0.3"/>
    <row r="53444" customFormat="1" x14ac:dyDescent="0.3"/>
    <row r="53445" customFormat="1" x14ac:dyDescent="0.3"/>
    <row r="53446" customFormat="1" x14ac:dyDescent="0.3"/>
    <row r="53447" customFormat="1" x14ac:dyDescent="0.3"/>
    <row r="53448" customFormat="1" x14ac:dyDescent="0.3"/>
    <row r="53449" customFormat="1" x14ac:dyDescent="0.3"/>
    <row r="53450" customFormat="1" x14ac:dyDescent="0.3"/>
    <row r="53451" customFormat="1" x14ac:dyDescent="0.3"/>
    <row r="53452" customFormat="1" x14ac:dyDescent="0.3"/>
    <row r="53453" customFormat="1" x14ac:dyDescent="0.3"/>
    <row r="53454" customFormat="1" x14ac:dyDescent="0.3"/>
    <row r="53455" customFormat="1" x14ac:dyDescent="0.3"/>
    <row r="53456" customFormat="1" x14ac:dyDescent="0.3"/>
    <row r="53457" customFormat="1" x14ac:dyDescent="0.3"/>
    <row r="53458" customFormat="1" x14ac:dyDescent="0.3"/>
    <row r="53459" customFormat="1" x14ac:dyDescent="0.3"/>
    <row r="53460" customFormat="1" x14ac:dyDescent="0.3"/>
    <row r="53461" customFormat="1" x14ac:dyDescent="0.3"/>
    <row r="53462" customFormat="1" x14ac:dyDescent="0.3"/>
    <row r="53463" customFormat="1" x14ac:dyDescent="0.3"/>
    <row r="53464" customFormat="1" x14ac:dyDescent="0.3"/>
    <row r="53465" customFormat="1" x14ac:dyDescent="0.3"/>
    <row r="53466" customFormat="1" x14ac:dyDescent="0.3"/>
    <row r="53467" customFormat="1" x14ac:dyDescent="0.3"/>
    <row r="53468" customFormat="1" x14ac:dyDescent="0.3"/>
    <row r="53469" customFormat="1" x14ac:dyDescent="0.3"/>
    <row r="53470" customFormat="1" x14ac:dyDescent="0.3"/>
    <row r="53471" customFormat="1" x14ac:dyDescent="0.3"/>
    <row r="53472" customFormat="1" x14ac:dyDescent="0.3"/>
    <row r="53473" customFormat="1" x14ac:dyDescent="0.3"/>
    <row r="53474" customFormat="1" x14ac:dyDescent="0.3"/>
    <row r="53475" customFormat="1" x14ac:dyDescent="0.3"/>
    <row r="53476" customFormat="1" x14ac:dyDescent="0.3"/>
    <row r="53477" customFormat="1" x14ac:dyDescent="0.3"/>
    <row r="53478" customFormat="1" x14ac:dyDescent="0.3"/>
    <row r="53479" customFormat="1" x14ac:dyDescent="0.3"/>
    <row r="53480" customFormat="1" x14ac:dyDescent="0.3"/>
    <row r="53481" customFormat="1" x14ac:dyDescent="0.3"/>
    <row r="53482" customFormat="1" x14ac:dyDescent="0.3"/>
    <row r="53483" customFormat="1" x14ac:dyDescent="0.3"/>
    <row r="53484" customFormat="1" x14ac:dyDescent="0.3"/>
    <row r="53485" customFormat="1" x14ac:dyDescent="0.3"/>
    <row r="53486" customFormat="1" x14ac:dyDescent="0.3"/>
    <row r="53487" customFormat="1" x14ac:dyDescent="0.3"/>
    <row r="53488" customFormat="1" x14ac:dyDescent="0.3"/>
    <row r="53489" customFormat="1" x14ac:dyDescent="0.3"/>
    <row r="53490" customFormat="1" x14ac:dyDescent="0.3"/>
    <row r="53491" customFormat="1" x14ac:dyDescent="0.3"/>
    <row r="53492" customFormat="1" x14ac:dyDescent="0.3"/>
    <row r="53493" customFormat="1" x14ac:dyDescent="0.3"/>
    <row r="53494" customFormat="1" x14ac:dyDescent="0.3"/>
    <row r="53495" customFormat="1" x14ac:dyDescent="0.3"/>
    <row r="53496" customFormat="1" x14ac:dyDescent="0.3"/>
    <row r="53497" customFormat="1" x14ac:dyDescent="0.3"/>
    <row r="53498" customFormat="1" x14ac:dyDescent="0.3"/>
    <row r="53499" customFormat="1" x14ac:dyDescent="0.3"/>
    <row r="53500" customFormat="1" x14ac:dyDescent="0.3"/>
    <row r="53501" customFormat="1" x14ac:dyDescent="0.3"/>
    <row r="53502" customFormat="1" x14ac:dyDescent="0.3"/>
    <row r="53503" customFormat="1" x14ac:dyDescent="0.3"/>
    <row r="53504" customFormat="1" x14ac:dyDescent="0.3"/>
    <row r="53505" customFormat="1" x14ac:dyDescent="0.3"/>
    <row r="53506" customFormat="1" x14ac:dyDescent="0.3"/>
    <row r="53507" customFormat="1" x14ac:dyDescent="0.3"/>
    <row r="53508" customFormat="1" x14ac:dyDescent="0.3"/>
    <row r="53509" customFormat="1" x14ac:dyDescent="0.3"/>
    <row r="53510" customFormat="1" x14ac:dyDescent="0.3"/>
    <row r="53511" customFormat="1" x14ac:dyDescent="0.3"/>
    <row r="53512" customFormat="1" x14ac:dyDescent="0.3"/>
    <row r="53513" customFormat="1" x14ac:dyDescent="0.3"/>
    <row r="53514" customFormat="1" x14ac:dyDescent="0.3"/>
    <row r="53515" customFormat="1" x14ac:dyDescent="0.3"/>
    <row r="53516" customFormat="1" x14ac:dyDescent="0.3"/>
    <row r="53517" customFormat="1" x14ac:dyDescent="0.3"/>
    <row r="53518" customFormat="1" x14ac:dyDescent="0.3"/>
    <row r="53519" customFormat="1" x14ac:dyDescent="0.3"/>
    <row r="53520" customFormat="1" x14ac:dyDescent="0.3"/>
    <row r="53521" customFormat="1" x14ac:dyDescent="0.3"/>
    <row r="53522" customFormat="1" x14ac:dyDescent="0.3"/>
    <row r="53523" customFormat="1" x14ac:dyDescent="0.3"/>
    <row r="53524" customFormat="1" x14ac:dyDescent="0.3"/>
    <row r="53525" customFormat="1" x14ac:dyDescent="0.3"/>
    <row r="53526" customFormat="1" x14ac:dyDescent="0.3"/>
    <row r="53527" customFormat="1" x14ac:dyDescent="0.3"/>
    <row r="53528" customFormat="1" x14ac:dyDescent="0.3"/>
    <row r="53529" customFormat="1" x14ac:dyDescent="0.3"/>
    <row r="53530" customFormat="1" x14ac:dyDescent="0.3"/>
    <row r="53531" customFormat="1" x14ac:dyDescent="0.3"/>
    <row r="53532" customFormat="1" x14ac:dyDescent="0.3"/>
    <row r="53533" customFormat="1" x14ac:dyDescent="0.3"/>
    <row r="53534" customFormat="1" x14ac:dyDescent="0.3"/>
    <row r="53535" customFormat="1" x14ac:dyDescent="0.3"/>
    <row r="53536" customFormat="1" x14ac:dyDescent="0.3"/>
    <row r="53537" customFormat="1" x14ac:dyDescent="0.3"/>
    <row r="53538" customFormat="1" x14ac:dyDescent="0.3"/>
    <row r="53539" customFormat="1" x14ac:dyDescent="0.3"/>
    <row r="53540" customFormat="1" x14ac:dyDescent="0.3"/>
    <row r="53541" customFormat="1" x14ac:dyDescent="0.3"/>
    <row r="53542" customFormat="1" x14ac:dyDescent="0.3"/>
    <row r="53543" customFormat="1" x14ac:dyDescent="0.3"/>
    <row r="53544" customFormat="1" x14ac:dyDescent="0.3"/>
    <row r="53545" customFormat="1" x14ac:dyDescent="0.3"/>
    <row r="53546" customFormat="1" x14ac:dyDescent="0.3"/>
    <row r="53547" customFormat="1" x14ac:dyDescent="0.3"/>
    <row r="53548" customFormat="1" x14ac:dyDescent="0.3"/>
    <row r="53549" customFormat="1" x14ac:dyDescent="0.3"/>
    <row r="53550" customFormat="1" x14ac:dyDescent="0.3"/>
    <row r="53551" customFormat="1" x14ac:dyDescent="0.3"/>
    <row r="53552" customFormat="1" x14ac:dyDescent="0.3"/>
    <row r="53553" customFormat="1" x14ac:dyDescent="0.3"/>
    <row r="53554" customFormat="1" x14ac:dyDescent="0.3"/>
    <row r="53555" customFormat="1" x14ac:dyDescent="0.3"/>
    <row r="53556" customFormat="1" x14ac:dyDescent="0.3"/>
    <row r="53557" customFormat="1" x14ac:dyDescent="0.3"/>
    <row r="53558" customFormat="1" x14ac:dyDescent="0.3"/>
    <row r="53559" customFormat="1" x14ac:dyDescent="0.3"/>
    <row r="53560" customFormat="1" x14ac:dyDescent="0.3"/>
    <row r="53561" customFormat="1" x14ac:dyDescent="0.3"/>
    <row r="53562" customFormat="1" x14ac:dyDescent="0.3"/>
    <row r="53563" customFormat="1" x14ac:dyDescent="0.3"/>
    <row r="53564" customFormat="1" x14ac:dyDescent="0.3"/>
    <row r="53565" customFormat="1" x14ac:dyDescent="0.3"/>
    <row r="53566" customFormat="1" x14ac:dyDescent="0.3"/>
    <row r="53567" customFormat="1" x14ac:dyDescent="0.3"/>
    <row r="53568" customFormat="1" x14ac:dyDescent="0.3"/>
    <row r="53569" customFormat="1" x14ac:dyDescent="0.3"/>
    <row r="53570" customFormat="1" x14ac:dyDescent="0.3"/>
    <row r="53571" customFormat="1" x14ac:dyDescent="0.3"/>
    <row r="53572" customFormat="1" x14ac:dyDescent="0.3"/>
    <row r="53573" customFormat="1" x14ac:dyDescent="0.3"/>
    <row r="53574" customFormat="1" x14ac:dyDescent="0.3"/>
    <row r="53575" customFormat="1" x14ac:dyDescent="0.3"/>
    <row r="53576" customFormat="1" x14ac:dyDescent="0.3"/>
    <row r="53577" customFormat="1" x14ac:dyDescent="0.3"/>
    <row r="53578" customFormat="1" x14ac:dyDescent="0.3"/>
    <row r="53579" customFormat="1" x14ac:dyDescent="0.3"/>
    <row r="53580" customFormat="1" x14ac:dyDescent="0.3"/>
    <row r="53581" customFormat="1" x14ac:dyDescent="0.3"/>
    <row r="53582" customFormat="1" x14ac:dyDescent="0.3"/>
    <row r="53583" customFormat="1" x14ac:dyDescent="0.3"/>
    <row r="53584" customFormat="1" x14ac:dyDescent="0.3"/>
    <row r="53585" customFormat="1" x14ac:dyDescent="0.3"/>
    <row r="53586" customFormat="1" x14ac:dyDescent="0.3"/>
    <row r="53587" customFormat="1" x14ac:dyDescent="0.3"/>
    <row r="53588" customFormat="1" x14ac:dyDescent="0.3"/>
    <row r="53589" customFormat="1" x14ac:dyDescent="0.3"/>
    <row r="53590" customFormat="1" x14ac:dyDescent="0.3"/>
    <row r="53591" customFormat="1" x14ac:dyDescent="0.3"/>
    <row r="53592" customFormat="1" x14ac:dyDescent="0.3"/>
    <row r="53593" customFormat="1" x14ac:dyDescent="0.3"/>
    <row r="53594" customFormat="1" x14ac:dyDescent="0.3"/>
    <row r="53595" customFormat="1" x14ac:dyDescent="0.3"/>
    <row r="53596" customFormat="1" x14ac:dyDescent="0.3"/>
    <row r="53597" customFormat="1" x14ac:dyDescent="0.3"/>
    <row r="53598" customFormat="1" x14ac:dyDescent="0.3"/>
    <row r="53599" customFormat="1" x14ac:dyDescent="0.3"/>
    <row r="53600" customFormat="1" x14ac:dyDescent="0.3"/>
    <row r="53601" customFormat="1" x14ac:dyDescent="0.3"/>
    <row r="53602" customFormat="1" x14ac:dyDescent="0.3"/>
    <row r="53603" customFormat="1" x14ac:dyDescent="0.3"/>
    <row r="53604" customFormat="1" x14ac:dyDescent="0.3"/>
    <row r="53605" customFormat="1" x14ac:dyDescent="0.3"/>
    <row r="53606" customFormat="1" x14ac:dyDescent="0.3"/>
    <row r="53607" customFormat="1" x14ac:dyDescent="0.3"/>
    <row r="53608" customFormat="1" x14ac:dyDescent="0.3"/>
    <row r="53609" customFormat="1" x14ac:dyDescent="0.3"/>
    <row r="53610" customFormat="1" x14ac:dyDescent="0.3"/>
    <row r="53611" customFormat="1" x14ac:dyDescent="0.3"/>
    <row r="53612" customFormat="1" x14ac:dyDescent="0.3"/>
    <row r="53613" customFormat="1" x14ac:dyDescent="0.3"/>
    <row r="53614" customFormat="1" x14ac:dyDescent="0.3"/>
    <row r="53615" customFormat="1" x14ac:dyDescent="0.3"/>
    <row r="53616" customFormat="1" x14ac:dyDescent="0.3"/>
    <row r="53617" customFormat="1" x14ac:dyDescent="0.3"/>
    <row r="53618" customFormat="1" x14ac:dyDescent="0.3"/>
    <row r="53619" customFormat="1" x14ac:dyDescent="0.3"/>
    <row r="53620" customFormat="1" x14ac:dyDescent="0.3"/>
    <row r="53621" customFormat="1" x14ac:dyDescent="0.3"/>
    <row r="53622" customFormat="1" x14ac:dyDescent="0.3"/>
    <row r="53623" customFormat="1" x14ac:dyDescent="0.3"/>
    <row r="53624" customFormat="1" x14ac:dyDescent="0.3"/>
    <row r="53625" customFormat="1" x14ac:dyDescent="0.3"/>
    <row r="53626" customFormat="1" x14ac:dyDescent="0.3"/>
    <row r="53627" customFormat="1" x14ac:dyDescent="0.3"/>
    <row r="53628" customFormat="1" x14ac:dyDescent="0.3"/>
    <row r="53629" customFormat="1" x14ac:dyDescent="0.3"/>
    <row r="53630" customFormat="1" x14ac:dyDescent="0.3"/>
    <row r="53631" customFormat="1" x14ac:dyDescent="0.3"/>
    <row r="53632" customFormat="1" x14ac:dyDescent="0.3"/>
    <row r="53633" customFormat="1" x14ac:dyDescent="0.3"/>
    <row r="53634" customFormat="1" x14ac:dyDescent="0.3"/>
    <row r="53635" customFormat="1" x14ac:dyDescent="0.3"/>
    <row r="53636" customFormat="1" x14ac:dyDescent="0.3"/>
    <row r="53637" customFormat="1" x14ac:dyDescent="0.3"/>
    <row r="53638" customFormat="1" x14ac:dyDescent="0.3"/>
    <row r="53639" customFormat="1" x14ac:dyDescent="0.3"/>
    <row r="53640" customFormat="1" x14ac:dyDescent="0.3"/>
    <row r="53641" customFormat="1" x14ac:dyDescent="0.3"/>
    <row r="53642" customFormat="1" x14ac:dyDescent="0.3"/>
    <row r="53643" customFormat="1" x14ac:dyDescent="0.3"/>
    <row r="53644" customFormat="1" x14ac:dyDescent="0.3"/>
    <row r="53645" customFormat="1" x14ac:dyDescent="0.3"/>
    <row r="53646" customFormat="1" x14ac:dyDescent="0.3"/>
    <row r="53647" customFormat="1" x14ac:dyDescent="0.3"/>
    <row r="53648" customFormat="1" x14ac:dyDescent="0.3"/>
    <row r="53649" customFormat="1" x14ac:dyDescent="0.3"/>
    <row r="53650" customFormat="1" x14ac:dyDescent="0.3"/>
    <row r="53651" customFormat="1" x14ac:dyDescent="0.3"/>
    <row r="53652" customFormat="1" x14ac:dyDescent="0.3"/>
    <row r="53653" customFormat="1" x14ac:dyDescent="0.3"/>
    <row r="53654" customFormat="1" x14ac:dyDescent="0.3"/>
    <row r="53655" customFormat="1" x14ac:dyDescent="0.3"/>
    <row r="53656" customFormat="1" x14ac:dyDescent="0.3"/>
    <row r="53657" customFormat="1" x14ac:dyDescent="0.3"/>
    <row r="53658" customFormat="1" x14ac:dyDescent="0.3"/>
    <row r="53659" customFormat="1" x14ac:dyDescent="0.3"/>
    <row r="53660" customFormat="1" x14ac:dyDescent="0.3"/>
    <row r="53661" customFormat="1" x14ac:dyDescent="0.3"/>
    <row r="53662" customFormat="1" x14ac:dyDescent="0.3"/>
    <row r="53663" customFormat="1" x14ac:dyDescent="0.3"/>
    <row r="53664" customFormat="1" x14ac:dyDescent="0.3"/>
    <row r="53665" customFormat="1" x14ac:dyDescent="0.3"/>
    <row r="53666" customFormat="1" x14ac:dyDescent="0.3"/>
    <row r="53667" customFormat="1" x14ac:dyDescent="0.3"/>
    <row r="53668" customFormat="1" x14ac:dyDescent="0.3"/>
    <row r="53669" customFormat="1" x14ac:dyDescent="0.3"/>
    <row r="53670" customFormat="1" x14ac:dyDescent="0.3"/>
    <row r="53671" customFormat="1" x14ac:dyDescent="0.3"/>
    <row r="53672" customFormat="1" x14ac:dyDescent="0.3"/>
    <row r="53673" customFormat="1" x14ac:dyDescent="0.3"/>
    <row r="53674" customFormat="1" x14ac:dyDescent="0.3"/>
    <row r="53675" customFormat="1" x14ac:dyDescent="0.3"/>
    <row r="53676" customFormat="1" x14ac:dyDescent="0.3"/>
    <row r="53677" customFormat="1" x14ac:dyDescent="0.3"/>
    <row r="53678" customFormat="1" x14ac:dyDescent="0.3"/>
    <row r="53679" customFormat="1" x14ac:dyDescent="0.3"/>
    <row r="53680" customFormat="1" x14ac:dyDescent="0.3"/>
    <row r="53681" customFormat="1" x14ac:dyDescent="0.3"/>
    <row r="53682" customFormat="1" x14ac:dyDescent="0.3"/>
    <row r="53683" customFormat="1" x14ac:dyDescent="0.3"/>
    <row r="53684" customFormat="1" x14ac:dyDescent="0.3"/>
    <row r="53685" customFormat="1" x14ac:dyDescent="0.3"/>
    <row r="53686" customFormat="1" x14ac:dyDescent="0.3"/>
    <row r="53687" customFormat="1" x14ac:dyDescent="0.3"/>
    <row r="53688" customFormat="1" x14ac:dyDescent="0.3"/>
    <row r="53689" customFormat="1" x14ac:dyDescent="0.3"/>
    <row r="53690" customFormat="1" x14ac:dyDescent="0.3"/>
    <row r="53691" customFormat="1" x14ac:dyDescent="0.3"/>
    <row r="53692" customFormat="1" x14ac:dyDescent="0.3"/>
    <row r="53693" customFormat="1" x14ac:dyDescent="0.3"/>
    <row r="53694" customFormat="1" x14ac:dyDescent="0.3"/>
    <row r="53695" customFormat="1" x14ac:dyDescent="0.3"/>
    <row r="53696" customFormat="1" x14ac:dyDescent="0.3"/>
    <row r="53697" customFormat="1" x14ac:dyDescent="0.3"/>
    <row r="53698" customFormat="1" x14ac:dyDescent="0.3"/>
    <row r="53699" customFormat="1" x14ac:dyDescent="0.3"/>
    <row r="53700" customFormat="1" x14ac:dyDescent="0.3"/>
    <row r="53701" customFormat="1" x14ac:dyDescent="0.3"/>
    <row r="53702" customFormat="1" x14ac:dyDescent="0.3"/>
    <row r="53703" customFormat="1" x14ac:dyDescent="0.3"/>
    <row r="53704" customFormat="1" x14ac:dyDescent="0.3"/>
    <row r="53705" customFormat="1" x14ac:dyDescent="0.3"/>
    <row r="53706" customFormat="1" x14ac:dyDescent="0.3"/>
    <row r="53707" customFormat="1" x14ac:dyDescent="0.3"/>
    <row r="53708" customFormat="1" x14ac:dyDescent="0.3"/>
    <row r="53709" customFormat="1" x14ac:dyDescent="0.3"/>
    <row r="53710" customFormat="1" x14ac:dyDescent="0.3"/>
    <row r="53711" customFormat="1" x14ac:dyDescent="0.3"/>
    <row r="53712" customFormat="1" x14ac:dyDescent="0.3"/>
    <row r="53713" customFormat="1" x14ac:dyDescent="0.3"/>
    <row r="53714" customFormat="1" x14ac:dyDescent="0.3"/>
    <row r="53715" customFormat="1" x14ac:dyDescent="0.3"/>
    <row r="53716" customFormat="1" x14ac:dyDescent="0.3"/>
    <row r="53717" customFormat="1" x14ac:dyDescent="0.3"/>
    <row r="53718" customFormat="1" x14ac:dyDescent="0.3"/>
    <row r="53719" customFormat="1" x14ac:dyDescent="0.3"/>
    <row r="53720" customFormat="1" x14ac:dyDescent="0.3"/>
    <row r="53721" customFormat="1" x14ac:dyDescent="0.3"/>
    <row r="53722" customFormat="1" x14ac:dyDescent="0.3"/>
    <row r="53723" customFormat="1" x14ac:dyDescent="0.3"/>
    <row r="53724" customFormat="1" x14ac:dyDescent="0.3"/>
    <row r="53725" customFormat="1" x14ac:dyDescent="0.3"/>
    <row r="53726" customFormat="1" x14ac:dyDescent="0.3"/>
    <row r="53727" customFormat="1" x14ac:dyDescent="0.3"/>
    <row r="53728" customFormat="1" x14ac:dyDescent="0.3"/>
    <row r="53729" customFormat="1" x14ac:dyDescent="0.3"/>
    <row r="53730" customFormat="1" x14ac:dyDescent="0.3"/>
    <row r="53731" customFormat="1" x14ac:dyDescent="0.3"/>
    <row r="53732" customFormat="1" x14ac:dyDescent="0.3"/>
    <row r="53733" customFormat="1" x14ac:dyDescent="0.3"/>
    <row r="53734" customFormat="1" x14ac:dyDescent="0.3"/>
    <row r="53735" customFormat="1" x14ac:dyDescent="0.3"/>
    <row r="53736" customFormat="1" x14ac:dyDescent="0.3"/>
    <row r="53737" customFormat="1" x14ac:dyDescent="0.3"/>
    <row r="53738" customFormat="1" x14ac:dyDescent="0.3"/>
    <row r="53739" customFormat="1" x14ac:dyDescent="0.3"/>
    <row r="53740" customFormat="1" x14ac:dyDescent="0.3"/>
    <row r="53741" customFormat="1" x14ac:dyDescent="0.3"/>
    <row r="53742" customFormat="1" x14ac:dyDescent="0.3"/>
    <row r="53743" customFormat="1" x14ac:dyDescent="0.3"/>
    <row r="53744" customFormat="1" x14ac:dyDescent="0.3"/>
    <row r="53745" customFormat="1" x14ac:dyDescent="0.3"/>
    <row r="53746" customFormat="1" x14ac:dyDescent="0.3"/>
    <row r="53747" customFormat="1" x14ac:dyDescent="0.3"/>
    <row r="53748" customFormat="1" x14ac:dyDescent="0.3"/>
    <row r="53749" customFormat="1" x14ac:dyDescent="0.3"/>
    <row r="53750" customFormat="1" x14ac:dyDescent="0.3"/>
    <row r="53751" customFormat="1" x14ac:dyDescent="0.3"/>
    <row r="53752" customFormat="1" x14ac:dyDescent="0.3"/>
    <row r="53753" customFormat="1" x14ac:dyDescent="0.3"/>
    <row r="53754" customFormat="1" x14ac:dyDescent="0.3"/>
    <row r="53755" customFormat="1" x14ac:dyDescent="0.3"/>
    <row r="53756" customFormat="1" x14ac:dyDescent="0.3"/>
    <row r="53757" customFormat="1" x14ac:dyDescent="0.3"/>
    <row r="53758" customFormat="1" x14ac:dyDescent="0.3"/>
    <row r="53759" customFormat="1" x14ac:dyDescent="0.3"/>
    <row r="53760" customFormat="1" x14ac:dyDescent="0.3"/>
    <row r="53761" customFormat="1" x14ac:dyDescent="0.3"/>
    <row r="53762" customFormat="1" x14ac:dyDescent="0.3"/>
    <row r="53763" customFormat="1" x14ac:dyDescent="0.3"/>
    <row r="53764" customFormat="1" x14ac:dyDescent="0.3"/>
    <row r="53765" customFormat="1" x14ac:dyDescent="0.3"/>
    <row r="53766" customFormat="1" x14ac:dyDescent="0.3"/>
    <row r="53767" customFormat="1" x14ac:dyDescent="0.3"/>
    <row r="53768" customFormat="1" x14ac:dyDescent="0.3"/>
    <row r="53769" customFormat="1" x14ac:dyDescent="0.3"/>
    <row r="53770" customFormat="1" x14ac:dyDescent="0.3"/>
    <row r="53771" customFormat="1" x14ac:dyDescent="0.3"/>
    <row r="53772" customFormat="1" x14ac:dyDescent="0.3"/>
    <row r="53773" customFormat="1" x14ac:dyDescent="0.3"/>
    <row r="53774" customFormat="1" x14ac:dyDescent="0.3"/>
    <row r="53775" customFormat="1" x14ac:dyDescent="0.3"/>
    <row r="53776" customFormat="1" x14ac:dyDescent="0.3"/>
    <row r="53777" customFormat="1" x14ac:dyDescent="0.3"/>
    <row r="53778" customFormat="1" x14ac:dyDescent="0.3"/>
    <row r="53779" customFormat="1" x14ac:dyDescent="0.3"/>
    <row r="53780" customFormat="1" x14ac:dyDescent="0.3"/>
    <row r="53781" customFormat="1" x14ac:dyDescent="0.3"/>
    <row r="53782" customFormat="1" x14ac:dyDescent="0.3"/>
    <row r="53783" customFormat="1" x14ac:dyDescent="0.3"/>
    <row r="53784" customFormat="1" x14ac:dyDescent="0.3"/>
    <row r="53785" customFormat="1" x14ac:dyDescent="0.3"/>
    <row r="53786" customFormat="1" x14ac:dyDescent="0.3"/>
    <row r="53787" customFormat="1" x14ac:dyDescent="0.3"/>
    <row r="53788" customFormat="1" x14ac:dyDescent="0.3"/>
    <row r="53789" customFormat="1" x14ac:dyDescent="0.3"/>
    <row r="53790" customFormat="1" x14ac:dyDescent="0.3"/>
    <row r="53791" customFormat="1" x14ac:dyDescent="0.3"/>
    <row r="53792" customFormat="1" x14ac:dyDescent="0.3"/>
    <row r="53793" customFormat="1" x14ac:dyDescent="0.3"/>
    <row r="53794" customFormat="1" x14ac:dyDescent="0.3"/>
    <row r="53795" customFormat="1" x14ac:dyDescent="0.3"/>
    <row r="53796" customFormat="1" x14ac:dyDescent="0.3"/>
    <row r="53797" customFormat="1" x14ac:dyDescent="0.3"/>
    <row r="53798" customFormat="1" x14ac:dyDescent="0.3"/>
    <row r="53799" customFormat="1" x14ac:dyDescent="0.3"/>
    <row r="53800" customFormat="1" x14ac:dyDescent="0.3"/>
    <row r="53801" customFormat="1" x14ac:dyDescent="0.3"/>
    <row r="53802" customFormat="1" x14ac:dyDescent="0.3"/>
    <row r="53803" customFormat="1" x14ac:dyDescent="0.3"/>
    <row r="53804" customFormat="1" x14ac:dyDescent="0.3"/>
    <row r="53805" customFormat="1" x14ac:dyDescent="0.3"/>
    <row r="53806" customFormat="1" x14ac:dyDescent="0.3"/>
    <row r="53807" customFormat="1" x14ac:dyDescent="0.3"/>
    <row r="53808" customFormat="1" x14ac:dyDescent="0.3"/>
    <row r="53809" customFormat="1" x14ac:dyDescent="0.3"/>
    <row r="53810" customFormat="1" x14ac:dyDescent="0.3"/>
    <row r="53811" customFormat="1" x14ac:dyDescent="0.3"/>
    <row r="53812" customFormat="1" x14ac:dyDescent="0.3"/>
    <row r="53813" customFormat="1" x14ac:dyDescent="0.3"/>
    <row r="53814" customFormat="1" x14ac:dyDescent="0.3"/>
    <row r="53815" customFormat="1" x14ac:dyDescent="0.3"/>
    <row r="53816" customFormat="1" x14ac:dyDescent="0.3"/>
    <row r="53817" customFormat="1" x14ac:dyDescent="0.3"/>
    <row r="53818" customFormat="1" x14ac:dyDescent="0.3"/>
    <row r="53819" customFormat="1" x14ac:dyDescent="0.3"/>
    <row r="53820" customFormat="1" x14ac:dyDescent="0.3"/>
    <row r="53821" customFormat="1" x14ac:dyDescent="0.3"/>
    <row r="53822" customFormat="1" x14ac:dyDescent="0.3"/>
    <row r="53823" customFormat="1" x14ac:dyDescent="0.3"/>
    <row r="53824" customFormat="1" x14ac:dyDescent="0.3"/>
    <row r="53825" customFormat="1" x14ac:dyDescent="0.3"/>
    <row r="53826" customFormat="1" x14ac:dyDescent="0.3"/>
    <row r="53827" customFormat="1" x14ac:dyDescent="0.3"/>
    <row r="53828" customFormat="1" x14ac:dyDescent="0.3"/>
    <row r="53829" customFormat="1" x14ac:dyDescent="0.3"/>
    <row r="53830" customFormat="1" x14ac:dyDescent="0.3"/>
    <row r="53831" customFormat="1" x14ac:dyDescent="0.3"/>
    <row r="53832" customFormat="1" x14ac:dyDescent="0.3"/>
    <row r="53833" customFormat="1" x14ac:dyDescent="0.3"/>
    <row r="53834" customFormat="1" x14ac:dyDescent="0.3"/>
    <row r="53835" customFormat="1" x14ac:dyDescent="0.3"/>
    <row r="53836" customFormat="1" x14ac:dyDescent="0.3"/>
    <row r="53837" customFormat="1" x14ac:dyDescent="0.3"/>
    <row r="53838" customFormat="1" x14ac:dyDescent="0.3"/>
    <row r="53839" customFormat="1" x14ac:dyDescent="0.3"/>
    <row r="53840" customFormat="1" x14ac:dyDescent="0.3"/>
    <row r="53841" customFormat="1" x14ac:dyDescent="0.3"/>
    <row r="53842" customFormat="1" x14ac:dyDescent="0.3"/>
    <row r="53843" customFormat="1" x14ac:dyDescent="0.3"/>
    <row r="53844" customFormat="1" x14ac:dyDescent="0.3"/>
    <row r="53845" customFormat="1" x14ac:dyDescent="0.3"/>
    <row r="53846" customFormat="1" x14ac:dyDescent="0.3"/>
    <row r="53847" customFormat="1" x14ac:dyDescent="0.3"/>
    <row r="53848" customFormat="1" x14ac:dyDescent="0.3"/>
    <row r="53849" customFormat="1" x14ac:dyDescent="0.3"/>
    <row r="53850" customFormat="1" x14ac:dyDescent="0.3"/>
    <row r="53851" customFormat="1" x14ac:dyDescent="0.3"/>
    <row r="53852" customFormat="1" x14ac:dyDescent="0.3"/>
    <row r="53853" customFormat="1" x14ac:dyDescent="0.3"/>
    <row r="53854" customFormat="1" x14ac:dyDescent="0.3"/>
    <row r="53855" customFormat="1" x14ac:dyDescent="0.3"/>
    <row r="53856" customFormat="1" x14ac:dyDescent="0.3"/>
    <row r="53857" customFormat="1" x14ac:dyDescent="0.3"/>
    <row r="53858" customFormat="1" x14ac:dyDescent="0.3"/>
    <row r="53859" customFormat="1" x14ac:dyDescent="0.3"/>
    <row r="53860" customFormat="1" x14ac:dyDescent="0.3"/>
    <row r="53861" customFormat="1" x14ac:dyDescent="0.3"/>
    <row r="53862" customFormat="1" x14ac:dyDescent="0.3"/>
    <row r="53863" customFormat="1" x14ac:dyDescent="0.3"/>
    <row r="53864" customFormat="1" x14ac:dyDescent="0.3"/>
    <row r="53865" customFormat="1" x14ac:dyDescent="0.3"/>
    <row r="53866" customFormat="1" x14ac:dyDescent="0.3"/>
    <row r="53867" customFormat="1" x14ac:dyDescent="0.3"/>
    <row r="53868" customFormat="1" x14ac:dyDescent="0.3"/>
    <row r="53869" customFormat="1" x14ac:dyDescent="0.3"/>
    <row r="53870" customFormat="1" x14ac:dyDescent="0.3"/>
    <row r="53871" customFormat="1" x14ac:dyDescent="0.3"/>
    <row r="53872" customFormat="1" x14ac:dyDescent="0.3"/>
    <row r="53873" customFormat="1" x14ac:dyDescent="0.3"/>
    <row r="53874" customFormat="1" x14ac:dyDescent="0.3"/>
    <row r="53875" customFormat="1" x14ac:dyDescent="0.3"/>
    <row r="53876" customFormat="1" x14ac:dyDescent="0.3"/>
    <row r="53877" customFormat="1" x14ac:dyDescent="0.3"/>
    <row r="53878" customFormat="1" x14ac:dyDescent="0.3"/>
    <row r="53879" customFormat="1" x14ac:dyDescent="0.3"/>
    <row r="53880" customFormat="1" x14ac:dyDescent="0.3"/>
    <row r="53881" customFormat="1" x14ac:dyDescent="0.3"/>
    <row r="53882" customFormat="1" x14ac:dyDescent="0.3"/>
    <row r="53883" customFormat="1" x14ac:dyDescent="0.3"/>
    <row r="53884" customFormat="1" x14ac:dyDescent="0.3"/>
    <row r="53885" customFormat="1" x14ac:dyDescent="0.3"/>
    <row r="53886" customFormat="1" x14ac:dyDescent="0.3"/>
    <row r="53887" customFormat="1" x14ac:dyDescent="0.3"/>
    <row r="53888" customFormat="1" x14ac:dyDescent="0.3"/>
    <row r="53889" customFormat="1" x14ac:dyDescent="0.3"/>
    <row r="53890" customFormat="1" x14ac:dyDescent="0.3"/>
    <row r="53891" customFormat="1" x14ac:dyDescent="0.3"/>
    <row r="53892" customFormat="1" x14ac:dyDescent="0.3"/>
    <row r="53893" customFormat="1" x14ac:dyDescent="0.3"/>
    <row r="53894" customFormat="1" x14ac:dyDescent="0.3"/>
    <row r="53895" customFormat="1" x14ac:dyDescent="0.3"/>
    <row r="53896" customFormat="1" x14ac:dyDescent="0.3"/>
    <row r="53897" customFormat="1" x14ac:dyDescent="0.3"/>
    <row r="53898" customFormat="1" x14ac:dyDescent="0.3"/>
    <row r="53899" customFormat="1" x14ac:dyDescent="0.3"/>
    <row r="53900" customFormat="1" x14ac:dyDescent="0.3"/>
    <row r="53901" customFormat="1" x14ac:dyDescent="0.3"/>
    <row r="53902" customFormat="1" x14ac:dyDescent="0.3"/>
    <row r="53903" customFormat="1" x14ac:dyDescent="0.3"/>
    <row r="53904" customFormat="1" x14ac:dyDescent="0.3"/>
    <row r="53905" customFormat="1" x14ac:dyDescent="0.3"/>
    <row r="53906" customFormat="1" x14ac:dyDescent="0.3"/>
    <row r="53907" customFormat="1" x14ac:dyDescent="0.3"/>
    <row r="53908" customFormat="1" x14ac:dyDescent="0.3"/>
    <row r="53909" customFormat="1" x14ac:dyDescent="0.3"/>
    <row r="53910" customFormat="1" x14ac:dyDescent="0.3"/>
    <row r="53911" customFormat="1" x14ac:dyDescent="0.3"/>
    <row r="53912" customFormat="1" x14ac:dyDescent="0.3"/>
    <row r="53913" customFormat="1" x14ac:dyDescent="0.3"/>
    <row r="53914" customFormat="1" x14ac:dyDescent="0.3"/>
    <row r="53915" customFormat="1" x14ac:dyDescent="0.3"/>
    <row r="53916" customFormat="1" x14ac:dyDescent="0.3"/>
    <row r="53917" customFormat="1" x14ac:dyDescent="0.3"/>
    <row r="53918" customFormat="1" x14ac:dyDescent="0.3"/>
    <row r="53919" customFormat="1" x14ac:dyDescent="0.3"/>
    <row r="53920" customFormat="1" x14ac:dyDescent="0.3"/>
    <row r="53921" customFormat="1" x14ac:dyDescent="0.3"/>
    <row r="53922" customFormat="1" x14ac:dyDescent="0.3"/>
    <row r="53923" customFormat="1" x14ac:dyDescent="0.3"/>
    <row r="53924" customFormat="1" x14ac:dyDescent="0.3"/>
    <row r="53925" customFormat="1" x14ac:dyDescent="0.3"/>
    <row r="53926" customFormat="1" x14ac:dyDescent="0.3"/>
    <row r="53927" customFormat="1" x14ac:dyDescent="0.3"/>
    <row r="53928" customFormat="1" x14ac:dyDescent="0.3"/>
    <row r="53929" customFormat="1" x14ac:dyDescent="0.3"/>
    <row r="53930" customFormat="1" x14ac:dyDescent="0.3"/>
    <row r="53931" customFormat="1" x14ac:dyDescent="0.3"/>
    <row r="53932" customFormat="1" x14ac:dyDescent="0.3"/>
    <row r="53933" customFormat="1" x14ac:dyDescent="0.3"/>
    <row r="53934" customFormat="1" x14ac:dyDescent="0.3"/>
    <row r="53935" customFormat="1" x14ac:dyDescent="0.3"/>
    <row r="53936" customFormat="1" x14ac:dyDescent="0.3"/>
    <row r="53937" customFormat="1" x14ac:dyDescent="0.3"/>
    <row r="53938" customFormat="1" x14ac:dyDescent="0.3"/>
    <row r="53939" customFormat="1" x14ac:dyDescent="0.3"/>
    <row r="53940" customFormat="1" x14ac:dyDescent="0.3"/>
    <row r="53941" customFormat="1" x14ac:dyDescent="0.3"/>
    <row r="53942" customFormat="1" x14ac:dyDescent="0.3"/>
    <row r="53943" customFormat="1" x14ac:dyDescent="0.3"/>
    <row r="53944" customFormat="1" x14ac:dyDescent="0.3"/>
    <row r="53945" customFormat="1" x14ac:dyDescent="0.3"/>
    <row r="53946" customFormat="1" x14ac:dyDescent="0.3"/>
    <row r="53947" customFormat="1" x14ac:dyDescent="0.3"/>
    <row r="53948" customFormat="1" x14ac:dyDescent="0.3"/>
    <row r="53949" customFormat="1" x14ac:dyDescent="0.3"/>
    <row r="53950" customFormat="1" x14ac:dyDescent="0.3"/>
    <row r="53951" customFormat="1" x14ac:dyDescent="0.3"/>
    <row r="53952" customFormat="1" x14ac:dyDescent="0.3"/>
    <row r="53953" customFormat="1" x14ac:dyDescent="0.3"/>
    <row r="53954" customFormat="1" x14ac:dyDescent="0.3"/>
    <row r="53955" customFormat="1" x14ac:dyDescent="0.3"/>
    <row r="53956" customFormat="1" x14ac:dyDescent="0.3"/>
    <row r="53957" customFormat="1" x14ac:dyDescent="0.3"/>
    <row r="53958" customFormat="1" x14ac:dyDescent="0.3"/>
    <row r="53959" customFormat="1" x14ac:dyDescent="0.3"/>
    <row r="53960" customFormat="1" x14ac:dyDescent="0.3"/>
    <row r="53961" customFormat="1" x14ac:dyDescent="0.3"/>
    <row r="53962" customFormat="1" x14ac:dyDescent="0.3"/>
    <row r="53963" customFormat="1" x14ac:dyDescent="0.3"/>
    <row r="53964" customFormat="1" x14ac:dyDescent="0.3"/>
    <row r="53965" customFormat="1" x14ac:dyDescent="0.3"/>
    <row r="53966" customFormat="1" x14ac:dyDescent="0.3"/>
    <row r="53967" customFormat="1" x14ac:dyDescent="0.3"/>
    <row r="53968" customFormat="1" x14ac:dyDescent="0.3"/>
    <row r="53969" customFormat="1" x14ac:dyDescent="0.3"/>
    <row r="53970" customFormat="1" x14ac:dyDescent="0.3"/>
    <row r="53971" customFormat="1" x14ac:dyDescent="0.3"/>
    <row r="53972" customFormat="1" x14ac:dyDescent="0.3"/>
    <row r="53973" customFormat="1" x14ac:dyDescent="0.3"/>
    <row r="53974" customFormat="1" x14ac:dyDescent="0.3"/>
    <row r="53975" customFormat="1" x14ac:dyDescent="0.3"/>
    <row r="53976" customFormat="1" x14ac:dyDescent="0.3"/>
    <row r="53977" customFormat="1" x14ac:dyDescent="0.3"/>
    <row r="53978" customFormat="1" x14ac:dyDescent="0.3"/>
    <row r="53979" customFormat="1" x14ac:dyDescent="0.3"/>
    <row r="53980" customFormat="1" x14ac:dyDescent="0.3"/>
    <row r="53981" customFormat="1" x14ac:dyDescent="0.3"/>
    <row r="53982" customFormat="1" x14ac:dyDescent="0.3"/>
    <row r="53983" customFormat="1" x14ac:dyDescent="0.3"/>
    <row r="53984" customFormat="1" x14ac:dyDescent="0.3"/>
    <row r="53985" customFormat="1" x14ac:dyDescent="0.3"/>
    <row r="53986" customFormat="1" x14ac:dyDescent="0.3"/>
    <row r="53987" customFormat="1" x14ac:dyDescent="0.3"/>
    <row r="53988" customFormat="1" x14ac:dyDescent="0.3"/>
    <row r="53989" customFormat="1" x14ac:dyDescent="0.3"/>
    <row r="53990" customFormat="1" x14ac:dyDescent="0.3"/>
    <row r="53991" customFormat="1" x14ac:dyDescent="0.3"/>
    <row r="53992" customFormat="1" x14ac:dyDescent="0.3"/>
    <row r="53993" customFormat="1" x14ac:dyDescent="0.3"/>
    <row r="53994" customFormat="1" x14ac:dyDescent="0.3"/>
    <row r="53995" customFormat="1" x14ac:dyDescent="0.3"/>
    <row r="53996" customFormat="1" x14ac:dyDescent="0.3"/>
    <row r="53997" customFormat="1" x14ac:dyDescent="0.3"/>
    <row r="53998" customFormat="1" x14ac:dyDescent="0.3"/>
    <row r="53999" customFormat="1" x14ac:dyDescent="0.3"/>
    <row r="54000" customFormat="1" x14ac:dyDescent="0.3"/>
    <row r="54001" customFormat="1" x14ac:dyDescent="0.3"/>
    <row r="54002" customFormat="1" x14ac:dyDescent="0.3"/>
    <row r="54003" customFormat="1" x14ac:dyDescent="0.3"/>
    <row r="54004" customFormat="1" x14ac:dyDescent="0.3"/>
    <row r="54005" customFormat="1" x14ac:dyDescent="0.3"/>
    <row r="54006" customFormat="1" x14ac:dyDescent="0.3"/>
    <row r="54007" customFormat="1" x14ac:dyDescent="0.3"/>
    <row r="54008" customFormat="1" x14ac:dyDescent="0.3"/>
    <row r="54009" customFormat="1" x14ac:dyDescent="0.3"/>
    <row r="54010" customFormat="1" x14ac:dyDescent="0.3"/>
    <row r="54011" customFormat="1" x14ac:dyDescent="0.3"/>
    <row r="54012" customFormat="1" x14ac:dyDescent="0.3"/>
    <row r="54013" customFormat="1" x14ac:dyDescent="0.3"/>
    <row r="54014" customFormat="1" x14ac:dyDescent="0.3"/>
    <row r="54015" customFormat="1" x14ac:dyDescent="0.3"/>
    <row r="54016" customFormat="1" x14ac:dyDescent="0.3"/>
    <row r="54017" customFormat="1" x14ac:dyDescent="0.3"/>
    <row r="54018" customFormat="1" x14ac:dyDescent="0.3"/>
    <row r="54019" customFormat="1" x14ac:dyDescent="0.3"/>
    <row r="54020" customFormat="1" x14ac:dyDescent="0.3"/>
    <row r="54021" customFormat="1" x14ac:dyDescent="0.3"/>
    <row r="54022" customFormat="1" x14ac:dyDescent="0.3"/>
    <row r="54023" customFormat="1" x14ac:dyDescent="0.3"/>
    <row r="54024" customFormat="1" x14ac:dyDescent="0.3"/>
    <row r="54025" customFormat="1" x14ac:dyDescent="0.3"/>
    <row r="54026" customFormat="1" x14ac:dyDescent="0.3"/>
    <row r="54027" customFormat="1" x14ac:dyDescent="0.3"/>
    <row r="54028" customFormat="1" x14ac:dyDescent="0.3"/>
    <row r="54029" customFormat="1" x14ac:dyDescent="0.3"/>
    <row r="54030" customFormat="1" x14ac:dyDescent="0.3"/>
    <row r="54031" customFormat="1" x14ac:dyDescent="0.3"/>
    <row r="54032" customFormat="1" x14ac:dyDescent="0.3"/>
    <row r="54033" customFormat="1" x14ac:dyDescent="0.3"/>
    <row r="54034" customFormat="1" x14ac:dyDescent="0.3"/>
    <row r="54035" customFormat="1" x14ac:dyDescent="0.3"/>
    <row r="54036" customFormat="1" x14ac:dyDescent="0.3"/>
    <row r="54037" customFormat="1" x14ac:dyDescent="0.3"/>
    <row r="54038" customFormat="1" x14ac:dyDescent="0.3"/>
    <row r="54039" customFormat="1" x14ac:dyDescent="0.3"/>
    <row r="54040" customFormat="1" x14ac:dyDescent="0.3"/>
    <row r="54041" customFormat="1" x14ac:dyDescent="0.3"/>
    <row r="54042" customFormat="1" x14ac:dyDescent="0.3"/>
    <row r="54043" customFormat="1" x14ac:dyDescent="0.3"/>
    <row r="54044" customFormat="1" x14ac:dyDescent="0.3"/>
    <row r="54045" customFormat="1" x14ac:dyDescent="0.3"/>
    <row r="54046" customFormat="1" x14ac:dyDescent="0.3"/>
    <row r="54047" customFormat="1" x14ac:dyDescent="0.3"/>
    <row r="54048" customFormat="1" x14ac:dyDescent="0.3"/>
    <row r="54049" customFormat="1" x14ac:dyDescent="0.3"/>
    <row r="54050" customFormat="1" x14ac:dyDescent="0.3"/>
    <row r="54051" customFormat="1" x14ac:dyDescent="0.3"/>
    <row r="54052" customFormat="1" x14ac:dyDescent="0.3"/>
    <row r="54053" customFormat="1" x14ac:dyDescent="0.3"/>
    <row r="54054" customFormat="1" x14ac:dyDescent="0.3"/>
    <row r="54055" customFormat="1" x14ac:dyDescent="0.3"/>
    <row r="54056" customFormat="1" x14ac:dyDescent="0.3"/>
    <row r="54057" customFormat="1" x14ac:dyDescent="0.3"/>
    <row r="54058" customFormat="1" x14ac:dyDescent="0.3"/>
    <row r="54059" customFormat="1" x14ac:dyDescent="0.3"/>
    <row r="54060" customFormat="1" x14ac:dyDescent="0.3"/>
    <row r="54061" customFormat="1" x14ac:dyDescent="0.3"/>
    <row r="54062" customFormat="1" x14ac:dyDescent="0.3"/>
    <row r="54063" customFormat="1" x14ac:dyDescent="0.3"/>
    <row r="54064" customFormat="1" x14ac:dyDescent="0.3"/>
    <row r="54065" customFormat="1" x14ac:dyDescent="0.3"/>
    <row r="54066" customFormat="1" x14ac:dyDescent="0.3"/>
    <row r="54067" customFormat="1" x14ac:dyDescent="0.3"/>
    <row r="54068" customFormat="1" x14ac:dyDescent="0.3"/>
    <row r="54069" customFormat="1" x14ac:dyDescent="0.3"/>
    <row r="54070" customFormat="1" x14ac:dyDescent="0.3"/>
    <row r="54071" customFormat="1" x14ac:dyDescent="0.3"/>
    <row r="54072" customFormat="1" x14ac:dyDescent="0.3"/>
    <row r="54073" customFormat="1" x14ac:dyDescent="0.3"/>
    <row r="54074" customFormat="1" x14ac:dyDescent="0.3"/>
    <row r="54075" customFormat="1" x14ac:dyDescent="0.3"/>
    <row r="54076" customFormat="1" x14ac:dyDescent="0.3"/>
    <row r="54077" customFormat="1" x14ac:dyDescent="0.3"/>
    <row r="54078" customFormat="1" x14ac:dyDescent="0.3"/>
    <row r="54079" customFormat="1" x14ac:dyDescent="0.3"/>
    <row r="54080" customFormat="1" x14ac:dyDescent="0.3"/>
    <row r="54081" customFormat="1" x14ac:dyDescent="0.3"/>
    <row r="54082" customFormat="1" x14ac:dyDescent="0.3"/>
    <row r="54083" customFormat="1" x14ac:dyDescent="0.3"/>
    <row r="54084" customFormat="1" x14ac:dyDescent="0.3"/>
    <row r="54085" customFormat="1" x14ac:dyDescent="0.3"/>
    <row r="54086" customFormat="1" x14ac:dyDescent="0.3"/>
    <row r="54087" customFormat="1" x14ac:dyDescent="0.3"/>
    <row r="54088" customFormat="1" x14ac:dyDescent="0.3"/>
    <row r="54089" customFormat="1" x14ac:dyDescent="0.3"/>
    <row r="54090" customFormat="1" x14ac:dyDescent="0.3"/>
    <row r="54091" customFormat="1" x14ac:dyDescent="0.3"/>
    <row r="54092" customFormat="1" x14ac:dyDescent="0.3"/>
    <row r="54093" customFormat="1" x14ac:dyDescent="0.3"/>
    <row r="54094" customFormat="1" x14ac:dyDescent="0.3"/>
    <row r="54095" customFormat="1" x14ac:dyDescent="0.3"/>
    <row r="54096" customFormat="1" x14ac:dyDescent="0.3"/>
    <row r="54097" customFormat="1" x14ac:dyDescent="0.3"/>
    <row r="54098" customFormat="1" x14ac:dyDescent="0.3"/>
    <row r="54099" customFormat="1" x14ac:dyDescent="0.3"/>
    <row r="54100" customFormat="1" x14ac:dyDescent="0.3"/>
    <row r="54101" customFormat="1" x14ac:dyDescent="0.3"/>
    <row r="54102" customFormat="1" x14ac:dyDescent="0.3"/>
    <row r="54103" customFormat="1" x14ac:dyDescent="0.3"/>
    <row r="54104" customFormat="1" x14ac:dyDescent="0.3"/>
    <row r="54105" customFormat="1" x14ac:dyDescent="0.3"/>
    <row r="54106" customFormat="1" x14ac:dyDescent="0.3"/>
    <row r="54107" customFormat="1" x14ac:dyDescent="0.3"/>
    <row r="54108" customFormat="1" x14ac:dyDescent="0.3"/>
    <row r="54109" customFormat="1" x14ac:dyDescent="0.3"/>
    <row r="54110" customFormat="1" x14ac:dyDescent="0.3"/>
    <row r="54111" customFormat="1" x14ac:dyDescent="0.3"/>
    <row r="54112" customFormat="1" x14ac:dyDescent="0.3"/>
    <row r="54113" customFormat="1" x14ac:dyDescent="0.3"/>
    <row r="54114" customFormat="1" x14ac:dyDescent="0.3"/>
    <row r="54115" customFormat="1" x14ac:dyDescent="0.3"/>
    <row r="54116" customFormat="1" x14ac:dyDescent="0.3"/>
    <row r="54117" customFormat="1" x14ac:dyDescent="0.3"/>
    <row r="54118" customFormat="1" x14ac:dyDescent="0.3"/>
    <row r="54119" customFormat="1" x14ac:dyDescent="0.3"/>
    <row r="54120" customFormat="1" x14ac:dyDescent="0.3"/>
    <row r="54121" customFormat="1" x14ac:dyDescent="0.3"/>
    <row r="54122" customFormat="1" x14ac:dyDescent="0.3"/>
    <row r="54123" customFormat="1" x14ac:dyDescent="0.3"/>
    <row r="54124" customFormat="1" x14ac:dyDescent="0.3"/>
    <row r="54125" customFormat="1" x14ac:dyDescent="0.3"/>
    <row r="54126" customFormat="1" x14ac:dyDescent="0.3"/>
    <row r="54127" customFormat="1" x14ac:dyDescent="0.3"/>
    <row r="54128" customFormat="1" x14ac:dyDescent="0.3"/>
    <row r="54129" customFormat="1" x14ac:dyDescent="0.3"/>
    <row r="54130" customFormat="1" x14ac:dyDescent="0.3"/>
    <row r="54131" customFormat="1" x14ac:dyDescent="0.3"/>
    <row r="54132" customFormat="1" x14ac:dyDescent="0.3"/>
    <row r="54133" customFormat="1" x14ac:dyDescent="0.3"/>
    <row r="54134" customFormat="1" x14ac:dyDescent="0.3"/>
    <row r="54135" customFormat="1" x14ac:dyDescent="0.3"/>
    <row r="54136" customFormat="1" x14ac:dyDescent="0.3"/>
    <row r="54137" customFormat="1" x14ac:dyDescent="0.3"/>
    <row r="54138" customFormat="1" x14ac:dyDescent="0.3"/>
    <row r="54139" customFormat="1" x14ac:dyDescent="0.3"/>
    <row r="54140" customFormat="1" x14ac:dyDescent="0.3"/>
    <row r="54141" customFormat="1" x14ac:dyDescent="0.3"/>
    <row r="54142" customFormat="1" x14ac:dyDescent="0.3"/>
    <row r="54143" customFormat="1" x14ac:dyDescent="0.3"/>
    <row r="54144" customFormat="1" x14ac:dyDescent="0.3"/>
    <row r="54145" customFormat="1" x14ac:dyDescent="0.3"/>
    <row r="54146" customFormat="1" x14ac:dyDescent="0.3"/>
    <row r="54147" customFormat="1" x14ac:dyDescent="0.3"/>
    <row r="54148" customFormat="1" x14ac:dyDescent="0.3"/>
    <row r="54149" customFormat="1" x14ac:dyDescent="0.3"/>
    <row r="54150" customFormat="1" x14ac:dyDescent="0.3"/>
    <row r="54151" customFormat="1" x14ac:dyDescent="0.3"/>
    <row r="54152" customFormat="1" x14ac:dyDescent="0.3"/>
    <row r="54153" customFormat="1" x14ac:dyDescent="0.3"/>
    <row r="54154" customFormat="1" x14ac:dyDescent="0.3"/>
    <row r="54155" customFormat="1" x14ac:dyDescent="0.3"/>
    <row r="54156" customFormat="1" x14ac:dyDescent="0.3"/>
    <row r="54157" customFormat="1" x14ac:dyDescent="0.3"/>
    <row r="54158" customFormat="1" x14ac:dyDescent="0.3"/>
    <row r="54159" customFormat="1" x14ac:dyDescent="0.3"/>
    <row r="54160" customFormat="1" x14ac:dyDescent="0.3"/>
    <row r="54161" customFormat="1" x14ac:dyDescent="0.3"/>
    <row r="54162" customFormat="1" x14ac:dyDescent="0.3"/>
    <row r="54163" customFormat="1" x14ac:dyDescent="0.3"/>
    <row r="54164" customFormat="1" x14ac:dyDescent="0.3"/>
    <row r="54165" customFormat="1" x14ac:dyDescent="0.3"/>
    <row r="54166" customFormat="1" x14ac:dyDescent="0.3"/>
    <row r="54167" customFormat="1" x14ac:dyDescent="0.3"/>
    <row r="54168" customFormat="1" x14ac:dyDescent="0.3"/>
    <row r="54169" customFormat="1" x14ac:dyDescent="0.3"/>
    <row r="54170" customFormat="1" x14ac:dyDescent="0.3"/>
    <row r="54171" customFormat="1" x14ac:dyDescent="0.3"/>
    <row r="54172" customFormat="1" x14ac:dyDescent="0.3"/>
    <row r="54173" customFormat="1" x14ac:dyDescent="0.3"/>
    <row r="54174" customFormat="1" x14ac:dyDescent="0.3"/>
    <row r="54175" customFormat="1" x14ac:dyDescent="0.3"/>
    <row r="54176" customFormat="1" x14ac:dyDescent="0.3"/>
    <row r="54177" customFormat="1" x14ac:dyDescent="0.3"/>
    <row r="54178" customFormat="1" x14ac:dyDescent="0.3"/>
    <row r="54179" customFormat="1" x14ac:dyDescent="0.3"/>
    <row r="54180" customFormat="1" x14ac:dyDescent="0.3"/>
    <row r="54181" customFormat="1" x14ac:dyDescent="0.3"/>
    <row r="54182" customFormat="1" x14ac:dyDescent="0.3"/>
    <row r="54183" customFormat="1" x14ac:dyDescent="0.3"/>
    <row r="54184" customFormat="1" x14ac:dyDescent="0.3"/>
    <row r="54185" customFormat="1" x14ac:dyDescent="0.3"/>
    <row r="54186" customFormat="1" x14ac:dyDescent="0.3"/>
    <row r="54187" customFormat="1" x14ac:dyDescent="0.3"/>
    <row r="54188" customFormat="1" x14ac:dyDescent="0.3"/>
    <row r="54189" customFormat="1" x14ac:dyDescent="0.3"/>
    <row r="54190" customFormat="1" x14ac:dyDescent="0.3"/>
    <row r="54191" customFormat="1" x14ac:dyDescent="0.3"/>
    <row r="54192" customFormat="1" x14ac:dyDescent="0.3"/>
    <row r="54193" customFormat="1" x14ac:dyDescent="0.3"/>
    <row r="54194" customFormat="1" x14ac:dyDescent="0.3"/>
    <row r="54195" customFormat="1" x14ac:dyDescent="0.3"/>
    <row r="54196" customFormat="1" x14ac:dyDescent="0.3"/>
    <row r="54197" customFormat="1" x14ac:dyDescent="0.3"/>
    <row r="54198" customFormat="1" x14ac:dyDescent="0.3"/>
    <row r="54199" customFormat="1" x14ac:dyDescent="0.3"/>
    <row r="54200" customFormat="1" x14ac:dyDescent="0.3"/>
    <row r="54201" customFormat="1" x14ac:dyDescent="0.3"/>
    <row r="54202" customFormat="1" x14ac:dyDescent="0.3"/>
    <row r="54203" customFormat="1" x14ac:dyDescent="0.3"/>
    <row r="54204" customFormat="1" x14ac:dyDescent="0.3"/>
    <row r="54205" customFormat="1" x14ac:dyDescent="0.3"/>
    <row r="54206" customFormat="1" x14ac:dyDescent="0.3"/>
    <row r="54207" customFormat="1" x14ac:dyDescent="0.3"/>
    <row r="54208" customFormat="1" x14ac:dyDescent="0.3"/>
    <row r="54209" customFormat="1" x14ac:dyDescent="0.3"/>
    <row r="54210" customFormat="1" x14ac:dyDescent="0.3"/>
    <row r="54211" customFormat="1" x14ac:dyDescent="0.3"/>
    <row r="54212" customFormat="1" x14ac:dyDescent="0.3"/>
    <row r="54213" customFormat="1" x14ac:dyDescent="0.3"/>
    <row r="54214" customFormat="1" x14ac:dyDescent="0.3"/>
    <row r="54215" customFormat="1" x14ac:dyDescent="0.3"/>
    <row r="54216" customFormat="1" x14ac:dyDescent="0.3"/>
    <row r="54217" customFormat="1" x14ac:dyDescent="0.3"/>
    <row r="54218" customFormat="1" x14ac:dyDescent="0.3"/>
    <row r="54219" customFormat="1" x14ac:dyDescent="0.3"/>
    <row r="54220" customFormat="1" x14ac:dyDescent="0.3"/>
    <row r="54221" customFormat="1" x14ac:dyDescent="0.3"/>
    <row r="54222" customFormat="1" x14ac:dyDescent="0.3"/>
    <row r="54223" customFormat="1" x14ac:dyDescent="0.3"/>
    <row r="54224" customFormat="1" x14ac:dyDescent="0.3"/>
    <row r="54225" customFormat="1" x14ac:dyDescent="0.3"/>
    <row r="54226" customFormat="1" x14ac:dyDescent="0.3"/>
    <row r="54227" customFormat="1" x14ac:dyDescent="0.3"/>
    <row r="54228" customFormat="1" x14ac:dyDescent="0.3"/>
    <row r="54229" customFormat="1" x14ac:dyDescent="0.3"/>
    <row r="54230" customFormat="1" x14ac:dyDescent="0.3"/>
    <row r="54231" customFormat="1" x14ac:dyDescent="0.3"/>
    <row r="54232" customFormat="1" x14ac:dyDescent="0.3"/>
    <row r="54233" customFormat="1" x14ac:dyDescent="0.3"/>
    <row r="54234" customFormat="1" x14ac:dyDescent="0.3"/>
    <row r="54235" customFormat="1" x14ac:dyDescent="0.3"/>
    <row r="54236" customFormat="1" x14ac:dyDescent="0.3"/>
    <row r="54237" customFormat="1" x14ac:dyDescent="0.3"/>
    <row r="54238" customFormat="1" x14ac:dyDescent="0.3"/>
    <row r="54239" customFormat="1" x14ac:dyDescent="0.3"/>
    <row r="54240" customFormat="1" x14ac:dyDescent="0.3"/>
    <row r="54241" customFormat="1" x14ac:dyDescent="0.3"/>
    <row r="54242" customFormat="1" x14ac:dyDescent="0.3"/>
    <row r="54243" customFormat="1" x14ac:dyDescent="0.3"/>
    <row r="54244" customFormat="1" x14ac:dyDescent="0.3"/>
    <row r="54245" customFormat="1" x14ac:dyDescent="0.3"/>
    <row r="54246" customFormat="1" x14ac:dyDescent="0.3"/>
    <row r="54247" customFormat="1" x14ac:dyDescent="0.3"/>
    <row r="54248" customFormat="1" x14ac:dyDescent="0.3"/>
    <row r="54249" customFormat="1" x14ac:dyDescent="0.3"/>
    <row r="54250" customFormat="1" x14ac:dyDescent="0.3"/>
    <row r="54251" customFormat="1" x14ac:dyDescent="0.3"/>
    <row r="54252" customFormat="1" x14ac:dyDescent="0.3"/>
    <row r="54253" customFormat="1" x14ac:dyDescent="0.3"/>
    <row r="54254" customFormat="1" x14ac:dyDescent="0.3"/>
    <row r="54255" customFormat="1" x14ac:dyDescent="0.3"/>
    <row r="54256" customFormat="1" x14ac:dyDescent="0.3"/>
    <row r="54257" customFormat="1" x14ac:dyDescent="0.3"/>
    <row r="54258" customFormat="1" x14ac:dyDescent="0.3"/>
    <row r="54259" customFormat="1" x14ac:dyDescent="0.3"/>
    <row r="54260" customFormat="1" x14ac:dyDescent="0.3"/>
    <row r="54261" customFormat="1" x14ac:dyDescent="0.3"/>
    <row r="54262" customFormat="1" x14ac:dyDescent="0.3"/>
    <row r="54263" customFormat="1" x14ac:dyDescent="0.3"/>
    <row r="54264" customFormat="1" x14ac:dyDescent="0.3"/>
    <row r="54265" customFormat="1" x14ac:dyDescent="0.3"/>
    <row r="54266" customFormat="1" x14ac:dyDescent="0.3"/>
    <row r="54267" customFormat="1" x14ac:dyDescent="0.3"/>
    <row r="54268" customFormat="1" x14ac:dyDescent="0.3"/>
    <row r="54269" customFormat="1" x14ac:dyDescent="0.3"/>
    <row r="54270" customFormat="1" x14ac:dyDescent="0.3"/>
    <row r="54271" customFormat="1" x14ac:dyDescent="0.3"/>
    <row r="54272" customFormat="1" x14ac:dyDescent="0.3"/>
    <row r="54273" customFormat="1" x14ac:dyDescent="0.3"/>
    <row r="54274" customFormat="1" x14ac:dyDescent="0.3"/>
    <row r="54275" customFormat="1" x14ac:dyDescent="0.3"/>
    <row r="54276" customFormat="1" x14ac:dyDescent="0.3"/>
    <row r="54277" customFormat="1" x14ac:dyDescent="0.3"/>
    <row r="54278" customFormat="1" x14ac:dyDescent="0.3"/>
    <row r="54279" customFormat="1" x14ac:dyDescent="0.3"/>
    <row r="54280" customFormat="1" x14ac:dyDescent="0.3"/>
    <row r="54281" customFormat="1" x14ac:dyDescent="0.3"/>
    <row r="54282" customFormat="1" x14ac:dyDescent="0.3"/>
    <row r="54283" customFormat="1" x14ac:dyDescent="0.3"/>
    <row r="54284" customFormat="1" x14ac:dyDescent="0.3"/>
    <row r="54285" customFormat="1" x14ac:dyDescent="0.3"/>
    <row r="54286" customFormat="1" x14ac:dyDescent="0.3"/>
    <row r="54287" customFormat="1" x14ac:dyDescent="0.3"/>
    <row r="54288" customFormat="1" x14ac:dyDescent="0.3"/>
    <row r="54289" customFormat="1" x14ac:dyDescent="0.3"/>
    <row r="54290" customFormat="1" x14ac:dyDescent="0.3"/>
    <row r="54291" customFormat="1" x14ac:dyDescent="0.3"/>
    <row r="54292" customFormat="1" x14ac:dyDescent="0.3"/>
    <row r="54293" customFormat="1" x14ac:dyDescent="0.3"/>
    <row r="54294" customFormat="1" x14ac:dyDescent="0.3"/>
    <row r="54295" customFormat="1" x14ac:dyDescent="0.3"/>
    <row r="54296" customFormat="1" x14ac:dyDescent="0.3"/>
    <row r="54297" customFormat="1" x14ac:dyDescent="0.3"/>
    <row r="54298" customFormat="1" x14ac:dyDescent="0.3"/>
    <row r="54299" customFormat="1" x14ac:dyDescent="0.3"/>
    <row r="54300" customFormat="1" x14ac:dyDescent="0.3"/>
    <row r="54301" customFormat="1" x14ac:dyDescent="0.3"/>
    <row r="54302" customFormat="1" x14ac:dyDescent="0.3"/>
    <row r="54303" customFormat="1" x14ac:dyDescent="0.3"/>
    <row r="54304" customFormat="1" x14ac:dyDescent="0.3"/>
    <row r="54305" customFormat="1" x14ac:dyDescent="0.3"/>
    <row r="54306" customFormat="1" x14ac:dyDescent="0.3"/>
    <row r="54307" customFormat="1" x14ac:dyDescent="0.3"/>
    <row r="54308" customFormat="1" x14ac:dyDescent="0.3"/>
    <row r="54309" customFormat="1" x14ac:dyDescent="0.3"/>
    <row r="54310" customFormat="1" x14ac:dyDescent="0.3"/>
    <row r="54311" customFormat="1" x14ac:dyDescent="0.3"/>
    <row r="54312" customFormat="1" x14ac:dyDescent="0.3"/>
    <row r="54313" customFormat="1" x14ac:dyDescent="0.3"/>
    <row r="54314" customFormat="1" x14ac:dyDescent="0.3"/>
    <row r="54315" customFormat="1" x14ac:dyDescent="0.3"/>
    <row r="54316" customFormat="1" x14ac:dyDescent="0.3"/>
    <row r="54317" customFormat="1" x14ac:dyDescent="0.3"/>
    <row r="54318" customFormat="1" x14ac:dyDescent="0.3"/>
    <row r="54319" customFormat="1" x14ac:dyDescent="0.3"/>
    <row r="54320" customFormat="1" x14ac:dyDescent="0.3"/>
    <row r="54321" customFormat="1" x14ac:dyDescent="0.3"/>
    <row r="54322" customFormat="1" x14ac:dyDescent="0.3"/>
    <row r="54323" customFormat="1" x14ac:dyDescent="0.3"/>
    <row r="54324" customFormat="1" x14ac:dyDescent="0.3"/>
    <row r="54325" customFormat="1" x14ac:dyDescent="0.3"/>
    <row r="54326" customFormat="1" x14ac:dyDescent="0.3"/>
    <row r="54327" customFormat="1" x14ac:dyDescent="0.3"/>
    <row r="54328" customFormat="1" x14ac:dyDescent="0.3"/>
    <row r="54329" customFormat="1" x14ac:dyDescent="0.3"/>
    <row r="54330" customFormat="1" x14ac:dyDescent="0.3"/>
    <row r="54331" customFormat="1" x14ac:dyDescent="0.3"/>
    <row r="54332" customFormat="1" x14ac:dyDescent="0.3"/>
    <row r="54333" customFormat="1" x14ac:dyDescent="0.3"/>
    <row r="54334" customFormat="1" x14ac:dyDescent="0.3"/>
    <row r="54335" customFormat="1" x14ac:dyDescent="0.3"/>
    <row r="54336" customFormat="1" x14ac:dyDescent="0.3"/>
    <row r="54337" customFormat="1" x14ac:dyDescent="0.3"/>
    <row r="54338" customFormat="1" x14ac:dyDescent="0.3"/>
    <row r="54339" customFormat="1" x14ac:dyDescent="0.3"/>
    <row r="54340" customFormat="1" x14ac:dyDescent="0.3"/>
    <row r="54341" customFormat="1" x14ac:dyDescent="0.3"/>
    <row r="54342" customFormat="1" x14ac:dyDescent="0.3"/>
    <row r="54343" customFormat="1" x14ac:dyDescent="0.3"/>
    <row r="54344" customFormat="1" x14ac:dyDescent="0.3"/>
    <row r="54345" customFormat="1" x14ac:dyDescent="0.3"/>
    <row r="54346" customFormat="1" x14ac:dyDescent="0.3"/>
    <row r="54347" customFormat="1" x14ac:dyDescent="0.3"/>
    <row r="54348" customFormat="1" x14ac:dyDescent="0.3"/>
    <row r="54349" customFormat="1" x14ac:dyDescent="0.3"/>
    <row r="54350" customFormat="1" x14ac:dyDescent="0.3"/>
    <row r="54351" customFormat="1" x14ac:dyDescent="0.3"/>
    <row r="54352" customFormat="1" x14ac:dyDescent="0.3"/>
    <row r="54353" customFormat="1" x14ac:dyDescent="0.3"/>
    <row r="54354" customFormat="1" x14ac:dyDescent="0.3"/>
    <row r="54355" customFormat="1" x14ac:dyDescent="0.3"/>
    <row r="54356" customFormat="1" x14ac:dyDescent="0.3"/>
    <row r="54357" customFormat="1" x14ac:dyDescent="0.3"/>
    <row r="54358" customFormat="1" x14ac:dyDescent="0.3"/>
    <row r="54359" customFormat="1" x14ac:dyDescent="0.3"/>
    <row r="54360" customFormat="1" x14ac:dyDescent="0.3"/>
    <row r="54361" customFormat="1" x14ac:dyDescent="0.3"/>
    <row r="54362" customFormat="1" x14ac:dyDescent="0.3"/>
    <row r="54363" customFormat="1" x14ac:dyDescent="0.3"/>
    <row r="54364" customFormat="1" x14ac:dyDescent="0.3"/>
    <row r="54365" customFormat="1" x14ac:dyDescent="0.3"/>
    <row r="54366" customFormat="1" x14ac:dyDescent="0.3"/>
    <row r="54367" customFormat="1" x14ac:dyDescent="0.3"/>
    <row r="54368" customFormat="1" x14ac:dyDescent="0.3"/>
    <row r="54369" customFormat="1" x14ac:dyDescent="0.3"/>
    <row r="54370" customFormat="1" x14ac:dyDescent="0.3"/>
    <row r="54371" customFormat="1" x14ac:dyDescent="0.3"/>
    <row r="54372" customFormat="1" x14ac:dyDescent="0.3"/>
    <row r="54373" customFormat="1" x14ac:dyDescent="0.3"/>
    <row r="54374" customFormat="1" x14ac:dyDescent="0.3"/>
    <row r="54375" customFormat="1" x14ac:dyDescent="0.3"/>
    <row r="54376" customFormat="1" x14ac:dyDescent="0.3"/>
    <row r="54377" customFormat="1" x14ac:dyDescent="0.3"/>
    <row r="54378" customFormat="1" x14ac:dyDescent="0.3"/>
    <row r="54379" customFormat="1" x14ac:dyDescent="0.3"/>
    <row r="54380" customFormat="1" x14ac:dyDescent="0.3"/>
    <row r="54381" customFormat="1" x14ac:dyDescent="0.3"/>
    <row r="54382" customFormat="1" x14ac:dyDescent="0.3"/>
    <row r="54383" customFormat="1" x14ac:dyDescent="0.3"/>
    <row r="54384" customFormat="1" x14ac:dyDescent="0.3"/>
    <row r="54385" customFormat="1" x14ac:dyDescent="0.3"/>
    <row r="54386" customFormat="1" x14ac:dyDescent="0.3"/>
    <row r="54387" customFormat="1" x14ac:dyDescent="0.3"/>
    <row r="54388" customFormat="1" x14ac:dyDescent="0.3"/>
    <row r="54389" customFormat="1" x14ac:dyDescent="0.3"/>
    <row r="54390" customFormat="1" x14ac:dyDescent="0.3"/>
    <row r="54391" customFormat="1" x14ac:dyDescent="0.3"/>
    <row r="54392" customFormat="1" x14ac:dyDescent="0.3"/>
    <row r="54393" customFormat="1" x14ac:dyDescent="0.3"/>
    <row r="54394" customFormat="1" x14ac:dyDescent="0.3"/>
    <row r="54395" customFormat="1" x14ac:dyDescent="0.3"/>
    <row r="54396" customFormat="1" x14ac:dyDescent="0.3"/>
    <row r="54397" customFormat="1" x14ac:dyDescent="0.3"/>
    <row r="54398" customFormat="1" x14ac:dyDescent="0.3"/>
    <row r="54399" customFormat="1" x14ac:dyDescent="0.3"/>
    <row r="54400" customFormat="1" x14ac:dyDescent="0.3"/>
    <row r="54401" customFormat="1" x14ac:dyDescent="0.3"/>
    <row r="54402" customFormat="1" x14ac:dyDescent="0.3"/>
    <row r="54403" customFormat="1" x14ac:dyDescent="0.3"/>
    <row r="54404" customFormat="1" x14ac:dyDescent="0.3"/>
    <row r="54405" customFormat="1" x14ac:dyDescent="0.3"/>
    <row r="54406" customFormat="1" x14ac:dyDescent="0.3"/>
    <row r="54407" customFormat="1" x14ac:dyDescent="0.3"/>
    <row r="54408" customFormat="1" x14ac:dyDescent="0.3"/>
    <row r="54409" customFormat="1" x14ac:dyDescent="0.3"/>
    <row r="54410" customFormat="1" x14ac:dyDescent="0.3"/>
    <row r="54411" customFormat="1" x14ac:dyDescent="0.3"/>
    <row r="54412" customFormat="1" x14ac:dyDescent="0.3"/>
    <row r="54413" customFormat="1" x14ac:dyDescent="0.3"/>
    <row r="54414" customFormat="1" x14ac:dyDescent="0.3"/>
    <row r="54415" customFormat="1" x14ac:dyDescent="0.3"/>
    <row r="54416" customFormat="1" x14ac:dyDescent="0.3"/>
    <row r="54417" customFormat="1" x14ac:dyDescent="0.3"/>
    <row r="54418" customFormat="1" x14ac:dyDescent="0.3"/>
    <row r="54419" customFormat="1" x14ac:dyDescent="0.3"/>
    <row r="54420" customFormat="1" x14ac:dyDescent="0.3"/>
    <row r="54421" customFormat="1" x14ac:dyDescent="0.3"/>
    <row r="54422" customFormat="1" x14ac:dyDescent="0.3"/>
    <row r="54423" customFormat="1" x14ac:dyDescent="0.3"/>
    <row r="54424" customFormat="1" x14ac:dyDescent="0.3"/>
    <row r="54425" customFormat="1" x14ac:dyDescent="0.3"/>
    <row r="54426" customFormat="1" x14ac:dyDescent="0.3"/>
    <row r="54427" customFormat="1" x14ac:dyDescent="0.3"/>
    <row r="54428" customFormat="1" x14ac:dyDescent="0.3"/>
    <row r="54429" customFormat="1" x14ac:dyDescent="0.3"/>
    <row r="54430" customFormat="1" x14ac:dyDescent="0.3"/>
    <row r="54431" customFormat="1" x14ac:dyDescent="0.3"/>
    <row r="54432" customFormat="1" x14ac:dyDescent="0.3"/>
    <row r="54433" customFormat="1" x14ac:dyDescent="0.3"/>
    <row r="54434" customFormat="1" x14ac:dyDescent="0.3"/>
    <row r="54435" customFormat="1" x14ac:dyDescent="0.3"/>
    <row r="54436" customFormat="1" x14ac:dyDescent="0.3"/>
    <row r="54437" customFormat="1" x14ac:dyDescent="0.3"/>
    <row r="54438" customFormat="1" x14ac:dyDescent="0.3"/>
    <row r="54439" customFormat="1" x14ac:dyDescent="0.3"/>
    <row r="54440" customFormat="1" x14ac:dyDescent="0.3"/>
    <row r="54441" customFormat="1" x14ac:dyDescent="0.3"/>
    <row r="54442" customFormat="1" x14ac:dyDescent="0.3"/>
    <row r="54443" customFormat="1" x14ac:dyDescent="0.3"/>
    <row r="54444" customFormat="1" x14ac:dyDescent="0.3"/>
    <row r="54445" customFormat="1" x14ac:dyDescent="0.3"/>
    <row r="54446" customFormat="1" x14ac:dyDescent="0.3"/>
    <row r="54447" customFormat="1" x14ac:dyDescent="0.3"/>
    <row r="54448" customFormat="1" x14ac:dyDescent="0.3"/>
    <row r="54449" customFormat="1" x14ac:dyDescent="0.3"/>
    <row r="54450" customFormat="1" x14ac:dyDescent="0.3"/>
    <row r="54451" customFormat="1" x14ac:dyDescent="0.3"/>
    <row r="54452" customFormat="1" x14ac:dyDescent="0.3"/>
    <row r="54453" customFormat="1" x14ac:dyDescent="0.3"/>
    <row r="54454" customFormat="1" x14ac:dyDescent="0.3"/>
    <row r="54455" customFormat="1" x14ac:dyDescent="0.3"/>
    <row r="54456" customFormat="1" x14ac:dyDescent="0.3"/>
    <row r="54457" customFormat="1" x14ac:dyDescent="0.3"/>
    <row r="54458" customFormat="1" x14ac:dyDescent="0.3"/>
    <row r="54459" customFormat="1" x14ac:dyDescent="0.3"/>
    <row r="54460" customFormat="1" x14ac:dyDescent="0.3"/>
    <row r="54461" customFormat="1" x14ac:dyDescent="0.3"/>
    <row r="54462" customFormat="1" x14ac:dyDescent="0.3"/>
    <row r="54463" customFormat="1" x14ac:dyDescent="0.3"/>
    <row r="54464" customFormat="1" x14ac:dyDescent="0.3"/>
    <row r="54465" customFormat="1" x14ac:dyDescent="0.3"/>
    <row r="54466" customFormat="1" x14ac:dyDescent="0.3"/>
    <row r="54467" customFormat="1" x14ac:dyDescent="0.3"/>
    <row r="54468" customFormat="1" x14ac:dyDescent="0.3"/>
    <row r="54469" customFormat="1" x14ac:dyDescent="0.3"/>
    <row r="54470" customFormat="1" x14ac:dyDescent="0.3"/>
    <row r="54471" customFormat="1" x14ac:dyDescent="0.3"/>
    <row r="54472" customFormat="1" x14ac:dyDescent="0.3"/>
    <row r="54473" customFormat="1" x14ac:dyDescent="0.3"/>
    <row r="54474" customFormat="1" x14ac:dyDescent="0.3"/>
    <row r="54475" customFormat="1" x14ac:dyDescent="0.3"/>
    <row r="54476" customFormat="1" x14ac:dyDescent="0.3"/>
    <row r="54477" customFormat="1" x14ac:dyDescent="0.3"/>
    <row r="54478" customFormat="1" x14ac:dyDescent="0.3"/>
    <row r="54479" customFormat="1" x14ac:dyDescent="0.3"/>
    <row r="54480" customFormat="1" x14ac:dyDescent="0.3"/>
    <row r="54481" customFormat="1" x14ac:dyDescent="0.3"/>
    <row r="54482" customFormat="1" x14ac:dyDescent="0.3"/>
    <row r="54483" customFormat="1" x14ac:dyDescent="0.3"/>
    <row r="54484" customFormat="1" x14ac:dyDescent="0.3"/>
    <row r="54485" customFormat="1" x14ac:dyDescent="0.3"/>
    <row r="54486" customFormat="1" x14ac:dyDescent="0.3"/>
    <row r="54487" customFormat="1" x14ac:dyDescent="0.3"/>
    <row r="54488" customFormat="1" x14ac:dyDescent="0.3"/>
    <row r="54489" customFormat="1" x14ac:dyDescent="0.3"/>
    <row r="54490" customFormat="1" x14ac:dyDescent="0.3"/>
    <row r="54491" customFormat="1" x14ac:dyDescent="0.3"/>
    <row r="54492" customFormat="1" x14ac:dyDescent="0.3"/>
    <row r="54493" customFormat="1" x14ac:dyDescent="0.3"/>
    <row r="54494" customFormat="1" x14ac:dyDescent="0.3"/>
    <row r="54495" customFormat="1" x14ac:dyDescent="0.3"/>
    <row r="54496" customFormat="1" x14ac:dyDescent="0.3"/>
    <row r="54497" customFormat="1" x14ac:dyDescent="0.3"/>
    <row r="54498" customFormat="1" x14ac:dyDescent="0.3"/>
    <row r="54499" customFormat="1" x14ac:dyDescent="0.3"/>
    <row r="54500" customFormat="1" x14ac:dyDescent="0.3"/>
    <row r="54501" customFormat="1" x14ac:dyDescent="0.3"/>
    <row r="54502" customFormat="1" x14ac:dyDescent="0.3"/>
    <row r="54503" customFormat="1" x14ac:dyDescent="0.3"/>
    <row r="54504" customFormat="1" x14ac:dyDescent="0.3"/>
    <row r="54505" customFormat="1" x14ac:dyDescent="0.3"/>
    <row r="54506" customFormat="1" x14ac:dyDescent="0.3"/>
    <row r="54507" customFormat="1" x14ac:dyDescent="0.3"/>
    <row r="54508" customFormat="1" x14ac:dyDescent="0.3"/>
    <row r="54509" customFormat="1" x14ac:dyDescent="0.3"/>
    <row r="54510" customFormat="1" x14ac:dyDescent="0.3"/>
    <row r="54511" customFormat="1" x14ac:dyDescent="0.3"/>
    <row r="54512" customFormat="1" x14ac:dyDescent="0.3"/>
    <row r="54513" customFormat="1" x14ac:dyDescent="0.3"/>
    <row r="54514" customFormat="1" x14ac:dyDescent="0.3"/>
    <row r="54515" customFormat="1" x14ac:dyDescent="0.3"/>
    <row r="54516" customFormat="1" x14ac:dyDescent="0.3"/>
    <row r="54517" customFormat="1" x14ac:dyDescent="0.3"/>
    <row r="54518" customFormat="1" x14ac:dyDescent="0.3"/>
    <row r="54519" customFormat="1" x14ac:dyDescent="0.3"/>
    <row r="54520" customFormat="1" x14ac:dyDescent="0.3"/>
    <row r="54521" customFormat="1" x14ac:dyDescent="0.3"/>
    <row r="54522" customFormat="1" x14ac:dyDescent="0.3"/>
    <row r="54523" customFormat="1" x14ac:dyDescent="0.3"/>
    <row r="54524" customFormat="1" x14ac:dyDescent="0.3"/>
    <row r="54525" customFormat="1" x14ac:dyDescent="0.3"/>
    <row r="54526" customFormat="1" x14ac:dyDescent="0.3"/>
    <row r="54527" customFormat="1" x14ac:dyDescent="0.3"/>
    <row r="54528" customFormat="1" x14ac:dyDescent="0.3"/>
    <row r="54529" customFormat="1" x14ac:dyDescent="0.3"/>
    <row r="54530" customFormat="1" x14ac:dyDescent="0.3"/>
    <row r="54531" customFormat="1" x14ac:dyDescent="0.3"/>
    <row r="54532" customFormat="1" x14ac:dyDescent="0.3"/>
    <row r="54533" customFormat="1" x14ac:dyDescent="0.3"/>
    <row r="54534" customFormat="1" x14ac:dyDescent="0.3"/>
    <row r="54535" customFormat="1" x14ac:dyDescent="0.3"/>
    <row r="54536" customFormat="1" x14ac:dyDescent="0.3"/>
    <row r="54537" customFormat="1" x14ac:dyDescent="0.3"/>
    <row r="54538" customFormat="1" x14ac:dyDescent="0.3"/>
    <row r="54539" customFormat="1" x14ac:dyDescent="0.3"/>
    <row r="54540" customFormat="1" x14ac:dyDescent="0.3"/>
    <row r="54541" customFormat="1" x14ac:dyDescent="0.3"/>
    <row r="54542" customFormat="1" x14ac:dyDescent="0.3"/>
    <row r="54543" customFormat="1" x14ac:dyDescent="0.3"/>
    <row r="54544" customFormat="1" x14ac:dyDescent="0.3"/>
    <row r="54545" customFormat="1" x14ac:dyDescent="0.3"/>
    <row r="54546" customFormat="1" x14ac:dyDescent="0.3"/>
    <row r="54547" customFormat="1" x14ac:dyDescent="0.3"/>
    <row r="54548" customFormat="1" x14ac:dyDescent="0.3"/>
    <row r="54549" customFormat="1" x14ac:dyDescent="0.3"/>
    <row r="54550" customFormat="1" x14ac:dyDescent="0.3"/>
    <row r="54551" customFormat="1" x14ac:dyDescent="0.3"/>
    <row r="54552" customFormat="1" x14ac:dyDescent="0.3"/>
    <row r="54553" customFormat="1" x14ac:dyDescent="0.3"/>
    <row r="54554" customFormat="1" x14ac:dyDescent="0.3"/>
    <row r="54555" customFormat="1" x14ac:dyDescent="0.3"/>
    <row r="54556" customFormat="1" x14ac:dyDescent="0.3"/>
    <row r="54557" customFormat="1" x14ac:dyDescent="0.3"/>
    <row r="54558" customFormat="1" x14ac:dyDescent="0.3"/>
    <row r="54559" customFormat="1" x14ac:dyDescent="0.3"/>
    <row r="54560" customFormat="1" x14ac:dyDescent="0.3"/>
    <row r="54561" customFormat="1" x14ac:dyDescent="0.3"/>
    <row r="54562" customFormat="1" x14ac:dyDescent="0.3"/>
    <row r="54563" customFormat="1" x14ac:dyDescent="0.3"/>
    <row r="54564" customFormat="1" x14ac:dyDescent="0.3"/>
    <row r="54565" customFormat="1" x14ac:dyDescent="0.3"/>
    <row r="54566" customFormat="1" x14ac:dyDescent="0.3"/>
    <row r="54567" customFormat="1" x14ac:dyDescent="0.3"/>
    <row r="54568" customFormat="1" x14ac:dyDescent="0.3"/>
    <row r="54569" customFormat="1" x14ac:dyDescent="0.3"/>
    <row r="54570" customFormat="1" x14ac:dyDescent="0.3"/>
    <row r="54571" customFormat="1" x14ac:dyDescent="0.3"/>
    <row r="54572" customFormat="1" x14ac:dyDescent="0.3"/>
    <row r="54573" customFormat="1" x14ac:dyDescent="0.3"/>
    <row r="54574" customFormat="1" x14ac:dyDescent="0.3"/>
    <row r="54575" customFormat="1" x14ac:dyDescent="0.3"/>
    <row r="54576" customFormat="1" x14ac:dyDescent="0.3"/>
    <row r="54577" customFormat="1" x14ac:dyDescent="0.3"/>
    <row r="54578" customFormat="1" x14ac:dyDescent="0.3"/>
    <row r="54579" customFormat="1" x14ac:dyDescent="0.3"/>
    <row r="54580" customFormat="1" x14ac:dyDescent="0.3"/>
    <row r="54581" customFormat="1" x14ac:dyDescent="0.3"/>
    <row r="54582" customFormat="1" x14ac:dyDescent="0.3"/>
    <row r="54583" customFormat="1" x14ac:dyDescent="0.3"/>
    <row r="54584" customFormat="1" x14ac:dyDescent="0.3"/>
    <row r="54585" customFormat="1" x14ac:dyDescent="0.3"/>
    <row r="54586" customFormat="1" x14ac:dyDescent="0.3"/>
    <row r="54587" customFormat="1" x14ac:dyDescent="0.3"/>
    <row r="54588" customFormat="1" x14ac:dyDescent="0.3"/>
    <row r="54589" customFormat="1" x14ac:dyDescent="0.3"/>
    <row r="54590" customFormat="1" x14ac:dyDescent="0.3"/>
    <row r="54591" customFormat="1" x14ac:dyDescent="0.3"/>
    <row r="54592" customFormat="1" x14ac:dyDescent="0.3"/>
    <row r="54593" customFormat="1" x14ac:dyDescent="0.3"/>
    <row r="54594" customFormat="1" x14ac:dyDescent="0.3"/>
    <row r="54595" customFormat="1" x14ac:dyDescent="0.3"/>
    <row r="54596" customFormat="1" x14ac:dyDescent="0.3"/>
    <row r="54597" customFormat="1" x14ac:dyDescent="0.3"/>
    <row r="54598" customFormat="1" x14ac:dyDescent="0.3"/>
    <row r="54599" customFormat="1" x14ac:dyDescent="0.3"/>
    <row r="54600" customFormat="1" x14ac:dyDescent="0.3"/>
    <row r="54601" customFormat="1" x14ac:dyDescent="0.3"/>
    <row r="54602" customFormat="1" x14ac:dyDescent="0.3"/>
    <row r="54603" customFormat="1" x14ac:dyDescent="0.3"/>
    <row r="54604" customFormat="1" x14ac:dyDescent="0.3"/>
    <row r="54605" customFormat="1" x14ac:dyDescent="0.3"/>
    <row r="54606" customFormat="1" x14ac:dyDescent="0.3"/>
    <row r="54607" customFormat="1" x14ac:dyDescent="0.3"/>
    <row r="54608" customFormat="1" x14ac:dyDescent="0.3"/>
    <row r="54609" customFormat="1" x14ac:dyDescent="0.3"/>
    <row r="54610" customFormat="1" x14ac:dyDescent="0.3"/>
    <row r="54611" customFormat="1" x14ac:dyDescent="0.3"/>
    <row r="54612" customFormat="1" x14ac:dyDescent="0.3"/>
    <row r="54613" customFormat="1" x14ac:dyDescent="0.3"/>
    <row r="54614" customFormat="1" x14ac:dyDescent="0.3"/>
    <row r="54615" customFormat="1" x14ac:dyDescent="0.3"/>
    <row r="54616" customFormat="1" x14ac:dyDescent="0.3"/>
    <row r="54617" customFormat="1" x14ac:dyDescent="0.3"/>
    <row r="54618" customFormat="1" x14ac:dyDescent="0.3"/>
    <row r="54619" customFormat="1" x14ac:dyDescent="0.3"/>
    <row r="54620" customFormat="1" x14ac:dyDescent="0.3"/>
    <row r="54621" customFormat="1" x14ac:dyDescent="0.3"/>
    <row r="54622" customFormat="1" x14ac:dyDescent="0.3"/>
    <row r="54623" customFormat="1" x14ac:dyDescent="0.3"/>
    <row r="54624" customFormat="1" x14ac:dyDescent="0.3"/>
    <row r="54625" customFormat="1" x14ac:dyDescent="0.3"/>
    <row r="54626" customFormat="1" x14ac:dyDescent="0.3"/>
    <row r="54627" customFormat="1" x14ac:dyDescent="0.3"/>
    <row r="54628" customFormat="1" x14ac:dyDescent="0.3"/>
    <row r="54629" customFormat="1" x14ac:dyDescent="0.3"/>
    <row r="54630" customFormat="1" x14ac:dyDescent="0.3"/>
    <row r="54631" customFormat="1" x14ac:dyDescent="0.3"/>
    <row r="54632" customFormat="1" x14ac:dyDescent="0.3"/>
    <row r="54633" customFormat="1" x14ac:dyDescent="0.3"/>
    <row r="54634" customFormat="1" x14ac:dyDescent="0.3"/>
    <row r="54635" customFormat="1" x14ac:dyDescent="0.3"/>
    <row r="54636" customFormat="1" x14ac:dyDescent="0.3"/>
    <row r="54637" customFormat="1" x14ac:dyDescent="0.3"/>
    <row r="54638" customFormat="1" x14ac:dyDescent="0.3"/>
    <row r="54639" customFormat="1" x14ac:dyDescent="0.3"/>
    <row r="54640" customFormat="1" x14ac:dyDescent="0.3"/>
    <row r="54641" customFormat="1" x14ac:dyDescent="0.3"/>
    <row r="54642" customFormat="1" x14ac:dyDescent="0.3"/>
    <row r="54643" customFormat="1" x14ac:dyDescent="0.3"/>
    <row r="54644" customFormat="1" x14ac:dyDescent="0.3"/>
    <row r="54645" customFormat="1" x14ac:dyDescent="0.3"/>
    <row r="54646" customFormat="1" x14ac:dyDescent="0.3"/>
    <row r="54647" customFormat="1" x14ac:dyDescent="0.3"/>
    <row r="54648" customFormat="1" x14ac:dyDescent="0.3"/>
    <row r="54649" customFormat="1" x14ac:dyDescent="0.3"/>
    <row r="54650" customFormat="1" x14ac:dyDescent="0.3"/>
    <row r="54651" customFormat="1" x14ac:dyDescent="0.3"/>
    <row r="54652" customFormat="1" x14ac:dyDescent="0.3"/>
    <row r="54653" customFormat="1" x14ac:dyDescent="0.3"/>
    <row r="54654" customFormat="1" x14ac:dyDescent="0.3"/>
    <row r="54655" customFormat="1" x14ac:dyDescent="0.3"/>
    <row r="54656" customFormat="1" x14ac:dyDescent="0.3"/>
    <row r="54657" customFormat="1" x14ac:dyDescent="0.3"/>
    <row r="54658" customFormat="1" x14ac:dyDescent="0.3"/>
    <row r="54659" customFormat="1" x14ac:dyDescent="0.3"/>
    <row r="54660" customFormat="1" x14ac:dyDescent="0.3"/>
    <row r="54661" customFormat="1" x14ac:dyDescent="0.3"/>
    <row r="54662" customFormat="1" x14ac:dyDescent="0.3"/>
    <row r="54663" customFormat="1" x14ac:dyDescent="0.3"/>
    <row r="54664" customFormat="1" x14ac:dyDescent="0.3"/>
    <row r="54665" customFormat="1" x14ac:dyDescent="0.3"/>
    <row r="54666" customFormat="1" x14ac:dyDescent="0.3"/>
    <row r="54667" customFormat="1" x14ac:dyDescent="0.3"/>
    <row r="54668" customFormat="1" x14ac:dyDescent="0.3"/>
    <row r="54669" customFormat="1" x14ac:dyDescent="0.3"/>
    <row r="54670" customFormat="1" x14ac:dyDescent="0.3"/>
    <row r="54671" customFormat="1" x14ac:dyDescent="0.3"/>
    <row r="54672" customFormat="1" x14ac:dyDescent="0.3"/>
    <row r="54673" customFormat="1" x14ac:dyDescent="0.3"/>
    <row r="54674" customFormat="1" x14ac:dyDescent="0.3"/>
    <row r="54675" customFormat="1" x14ac:dyDescent="0.3"/>
    <row r="54676" customFormat="1" x14ac:dyDescent="0.3"/>
    <row r="54677" customFormat="1" x14ac:dyDescent="0.3"/>
    <row r="54678" customFormat="1" x14ac:dyDescent="0.3"/>
    <row r="54679" customFormat="1" x14ac:dyDescent="0.3"/>
    <row r="54680" customFormat="1" x14ac:dyDescent="0.3"/>
    <row r="54681" customFormat="1" x14ac:dyDescent="0.3"/>
    <row r="54682" customFormat="1" x14ac:dyDescent="0.3"/>
    <row r="54683" customFormat="1" x14ac:dyDescent="0.3"/>
    <row r="54684" customFormat="1" x14ac:dyDescent="0.3"/>
    <row r="54685" customFormat="1" x14ac:dyDescent="0.3"/>
    <row r="54686" customFormat="1" x14ac:dyDescent="0.3"/>
    <row r="54687" customFormat="1" x14ac:dyDescent="0.3"/>
    <row r="54688" customFormat="1" x14ac:dyDescent="0.3"/>
    <row r="54689" customFormat="1" x14ac:dyDescent="0.3"/>
    <row r="54690" customFormat="1" x14ac:dyDescent="0.3"/>
    <row r="54691" customFormat="1" x14ac:dyDescent="0.3"/>
    <row r="54692" customFormat="1" x14ac:dyDescent="0.3"/>
    <row r="54693" customFormat="1" x14ac:dyDescent="0.3"/>
    <row r="54694" customFormat="1" x14ac:dyDescent="0.3"/>
    <row r="54695" customFormat="1" x14ac:dyDescent="0.3"/>
    <row r="54696" customFormat="1" x14ac:dyDescent="0.3"/>
    <row r="54697" customFormat="1" x14ac:dyDescent="0.3"/>
    <row r="54698" customFormat="1" x14ac:dyDescent="0.3"/>
    <row r="54699" customFormat="1" x14ac:dyDescent="0.3"/>
    <row r="54700" customFormat="1" x14ac:dyDescent="0.3"/>
    <row r="54701" customFormat="1" x14ac:dyDescent="0.3"/>
    <row r="54702" customFormat="1" x14ac:dyDescent="0.3"/>
    <row r="54703" customFormat="1" x14ac:dyDescent="0.3"/>
    <row r="54704" customFormat="1" x14ac:dyDescent="0.3"/>
    <row r="54705" customFormat="1" x14ac:dyDescent="0.3"/>
    <row r="54706" customFormat="1" x14ac:dyDescent="0.3"/>
    <row r="54707" customFormat="1" x14ac:dyDescent="0.3"/>
    <row r="54708" customFormat="1" x14ac:dyDescent="0.3"/>
    <row r="54709" customFormat="1" x14ac:dyDescent="0.3"/>
    <row r="54710" customFormat="1" x14ac:dyDescent="0.3"/>
    <row r="54711" customFormat="1" x14ac:dyDescent="0.3"/>
    <row r="54712" customFormat="1" x14ac:dyDescent="0.3"/>
    <row r="54713" customFormat="1" x14ac:dyDescent="0.3"/>
    <row r="54714" customFormat="1" x14ac:dyDescent="0.3"/>
    <row r="54715" customFormat="1" x14ac:dyDescent="0.3"/>
    <row r="54716" customFormat="1" x14ac:dyDescent="0.3"/>
    <row r="54717" customFormat="1" x14ac:dyDescent="0.3"/>
    <row r="54718" customFormat="1" x14ac:dyDescent="0.3"/>
    <row r="54719" customFormat="1" x14ac:dyDescent="0.3"/>
    <row r="54720" customFormat="1" x14ac:dyDescent="0.3"/>
    <row r="54721" customFormat="1" x14ac:dyDescent="0.3"/>
    <row r="54722" customFormat="1" x14ac:dyDescent="0.3"/>
    <row r="54723" customFormat="1" x14ac:dyDescent="0.3"/>
    <row r="54724" customFormat="1" x14ac:dyDescent="0.3"/>
    <row r="54725" customFormat="1" x14ac:dyDescent="0.3"/>
    <row r="54726" customFormat="1" x14ac:dyDescent="0.3"/>
    <row r="54727" customFormat="1" x14ac:dyDescent="0.3"/>
    <row r="54728" customFormat="1" x14ac:dyDescent="0.3"/>
    <row r="54729" customFormat="1" x14ac:dyDescent="0.3"/>
    <row r="54730" customFormat="1" x14ac:dyDescent="0.3"/>
    <row r="54731" customFormat="1" x14ac:dyDescent="0.3"/>
    <row r="54732" customFormat="1" x14ac:dyDescent="0.3"/>
    <row r="54733" customFormat="1" x14ac:dyDescent="0.3"/>
    <row r="54734" customFormat="1" x14ac:dyDescent="0.3"/>
    <row r="54735" customFormat="1" x14ac:dyDescent="0.3"/>
    <row r="54736" customFormat="1" x14ac:dyDescent="0.3"/>
    <row r="54737" customFormat="1" x14ac:dyDescent="0.3"/>
    <row r="54738" customFormat="1" x14ac:dyDescent="0.3"/>
    <row r="54739" customFormat="1" x14ac:dyDescent="0.3"/>
    <row r="54740" customFormat="1" x14ac:dyDescent="0.3"/>
    <row r="54741" customFormat="1" x14ac:dyDescent="0.3"/>
    <row r="54742" customFormat="1" x14ac:dyDescent="0.3"/>
    <row r="54743" customFormat="1" x14ac:dyDescent="0.3"/>
    <row r="54744" customFormat="1" x14ac:dyDescent="0.3"/>
    <row r="54745" customFormat="1" x14ac:dyDescent="0.3"/>
    <row r="54746" customFormat="1" x14ac:dyDescent="0.3"/>
    <row r="54747" customFormat="1" x14ac:dyDescent="0.3"/>
    <row r="54748" customFormat="1" x14ac:dyDescent="0.3"/>
    <row r="54749" customFormat="1" x14ac:dyDescent="0.3"/>
    <row r="54750" customFormat="1" x14ac:dyDescent="0.3"/>
    <row r="54751" customFormat="1" x14ac:dyDescent="0.3"/>
    <row r="54752" customFormat="1" x14ac:dyDescent="0.3"/>
    <row r="54753" customFormat="1" x14ac:dyDescent="0.3"/>
    <row r="54754" customFormat="1" x14ac:dyDescent="0.3"/>
    <row r="54755" customFormat="1" x14ac:dyDescent="0.3"/>
    <row r="54756" customFormat="1" x14ac:dyDescent="0.3"/>
    <row r="54757" customFormat="1" x14ac:dyDescent="0.3"/>
    <row r="54758" customFormat="1" x14ac:dyDescent="0.3"/>
    <row r="54759" customFormat="1" x14ac:dyDescent="0.3"/>
    <row r="54760" customFormat="1" x14ac:dyDescent="0.3"/>
    <row r="54761" customFormat="1" x14ac:dyDescent="0.3"/>
    <row r="54762" customFormat="1" x14ac:dyDescent="0.3"/>
    <row r="54763" customFormat="1" x14ac:dyDescent="0.3"/>
    <row r="54764" customFormat="1" x14ac:dyDescent="0.3"/>
    <row r="54765" customFormat="1" x14ac:dyDescent="0.3"/>
    <row r="54766" customFormat="1" x14ac:dyDescent="0.3"/>
    <row r="54767" customFormat="1" x14ac:dyDescent="0.3"/>
    <row r="54768" customFormat="1" x14ac:dyDescent="0.3"/>
    <row r="54769" customFormat="1" x14ac:dyDescent="0.3"/>
    <row r="54770" customFormat="1" x14ac:dyDescent="0.3"/>
    <row r="54771" customFormat="1" x14ac:dyDescent="0.3"/>
    <row r="54772" customFormat="1" x14ac:dyDescent="0.3"/>
    <row r="54773" customFormat="1" x14ac:dyDescent="0.3"/>
    <row r="54774" customFormat="1" x14ac:dyDescent="0.3"/>
    <row r="54775" customFormat="1" x14ac:dyDescent="0.3"/>
    <row r="54776" customFormat="1" x14ac:dyDescent="0.3"/>
    <row r="54777" customFormat="1" x14ac:dyDescent="0.3"/>
    <row r="54778" customFormat="1" x14ac:dyDescent="0.3"/>
    <row r="54779" customFormat="1" x14ac:dyDescent="0.3"/>
    <row r="54780" customFormat="1" x14ac:dyDescent="0.3"/>
    <row r="54781" customFormat="1" x14ac:dyDescent="0.3"/>
    <row r="54782" customFormat="1" x14ac:dyDescent="0.3"/>
    <row r="54783" customFormat="1" x14ac:dyDescent="0.3"/>
    <row r="54784" customFormat="1" x14ac:dyDescent="0.3"/>
    <row r="54785" customFormat="1" x14ac:dyDescent="0.3"/>
    <row r="54786" customFormat="1" x14ac:dyDescent="0.3"/>
    <row r="54787" customFormat="1" x14ac:dyDescent="0.3"/>
    <row r="54788" customFormat="1" x14ac:dyDescent="0.3"/>
    <row r="54789" customFormat="1" x14ac:dyDescent="0.3"/>
    <row r="54790" customFormat="1" x14ac:dyDescent="0.3"/>
    <row r="54791" customFormat="1" x14ac:dyDescent="0.3"/>
    <row r="54792" customFormat="1" x14ac:dyDescent="0.3"/>
    <row r="54793" customFormat="1" x14ac:dyDescent="0.3"/>
    <row r="54794" customFormat="1" x14ac:dyDescent="0.3"/>
    <row r="54795" customFormat="1" x14ac:dyDescent="0.3"/>
    <row r="54796" customFormat="1" x14ac:dyDescent="0.3"/>
    <row r="54797" customFormat="1" x14ac:dyDescent="0.3"/>
    <row r="54798" customFormat="1" x14ac:dyDescent="0.3"/>
    <row r="54799" customFormat="1" x14ac:dyDescent="0.3"/>
    <row r="54800" customFormat="1" x14ac:dyDescent="0.3"/>
    <row r="54801" customFormat="1" x14ac:dyDescent="0.3"/>
    <row r="54802" customFormat="1" x14ac:dyDescent="0.3"/>
    <row r="54803" customFormat="1" x14ac:dyDescent="0.3"/>
    <row r="54804" customFormat="1" x14ac:dyDescent="0.3"/>
    <row r="54805" customFormat="1" x14ac:dyDescent="0.3"/>
    <row r="54806" customFormat="1" x14ac:dyDescent="0.3"/>
    <row r="54807" customFormat="1" x14ac:dyDescent="0.3"/>
    <row r="54808" customFormat="1" x14ac:dyDescent="0.3"/>
    <row r="54809" customFormat="1" x14ac:dyDescent="0.3"/>
    <row r="54810" customFormat="1" x14ac:dyDescent="0.3"/>
    <row r="54811" customFormat="1" x14ac:dyDescent="0.3"/>
    <row r="54812" customFormat="1" x14ac:dyDescent="0.3"/>
    <row r="54813" customFormat="1" x14ac:dyDescent="0.3"/>
    <row r="54814" customFormat="1" x14ac:dyDescent="0.3"/>
    <row r="54815" customFormat="1" x14ac:dyDescent="0.3"/>
    <row r="54816" customFormat="1" x14ac:dyDescent="0.3"/>
    <row r="54817" customFormat="1" x14ac:dyDescent="0.3"/>
    <row r="54818" customFormat="1" x14ac:dyDescent="0.3"/>
    <row r="54819" customFormat="1" x14ac:dyDescent="0.3"/>
    <row r="54820" customFormat="1" x14ac:dyDescent="0.3"/>
    <row r="54821" customFormat="1" x14ac:dyDescent="0.3"/>
    <row r="54822" customFormat="1" x14ac:dyDescent="0.3"/>
    <row r="54823" customFormat="1" x14ac:dyDescent="0.3"/>
    <row r="54824" customFormat="1" x14ac:dyDescent="0.3"/>
    <row r="54825" customFormat="1" x14ac:dyDescent="0.3"/>
    <row r="54826" customFormat="1" x14ac:dyDescent="0.3"/>
    <row r="54827" customFormat="1" x14ac:dyDescent="0.3"/>
    <row r="54828" customFormat="1" x14ac:dyDescent="0.3"/>
    <row r="54829" customFormat="1" x14ac:dyDescent="0.3"/>
    <row r="54830" customFormat="1" x14ac:dyDescent="0.3"/>
    <row r="54831" customFormat="1" x14ac:dyDescent="0.3"/>
    <row r="54832" customFormat="1" x14ac:dyDescent="0.3"/>
    <row r="54833" customFormat="1" x14ac:dyDescent="0.3"/>
    <row r="54834" customFormat="1" x14ac:dyDescent="0.3"/>
    <row r="54835" customFormat="1" x14ac:dyDescent="0.3"/>
    <row r="54836" customFormat="1" x14ac:dyDescent="0.3"/>
    <row r="54837" customFormat="1" x14ac:dyDescent="0.3"/>
    <row r="54838" customFormat="1" x14ac:dyDescent="0.3"/>
    <row r="54839" customFormat="1" x14ac:dyDescent="0.3"/>
    <row r="54840" customFormat="1" x14ac:dyDescent="0.3"/>
    <row r="54841" customFormat="1" x14ac:dyDescent="0.3"/>
    <row r="54842" customFormat="1" x14ac:dyDescent="0.3"/>
    <row r="54843" customFormat="1" x14ac:dyDescent="0.3"/>
    <row r="54844" customFormat="1" x14ac:dyDescent="0.3"/>
    <row r="54845" customFormat="1" x14ac:dyDescent="0.3"/>
    <row r="54846" customFormat="1" x14ac:dyDescent="0.3"/>
    <row r="54847" customFormat="1" x14ac:dyDescent="0.3"/>
    <row r="54848" customFormat="1" x14ac:dyDescent="0.3"/>
    <row r="54849" customFormat="1" x14ac:dyDescent="0.3"/>
    <row r="54850" customFormat="1" x14ac:dyDescent="0.3"/>
    <row r="54851" customFormat="1" x14ac:dyDescent="0.3"/>
    <row r="54852" customFormat="1" x14ac:dyDescent="0.3"/>
    <row r="54853" customFormat="1" x14ac:dyDescent="0.3"/>
    <row r="54854" customFormat="1" x14ac:dyDescent="0.3"/>
    <row r="54855" customFormat="1" x14ac:dyDescent="0.3"/>
    <row r="54856" customFormat="1" x14ac:dyDescent="0.3"/>
    <row r="54857" customFormat="1" x14ac:dyDescent="0.3"/>
    <row r="54858" customFormat="1" x14ac:dyDescent="0.3"/>
    <row r="54859" customFormat="1" x14ac:dyDescent="0.3"/>
    <row r="54860" customFormat="1" x14ac:dyDescent="0.3"/>
    <row r="54861" customFormat="1" x14ac:dyDescent="0.3"/>
    <row r="54862" customFormat="1" x14ac:dyDescent="0.3"/>
    <row r="54863" customFormat="1" x14ac:dyDescent="0.3"/>
    <row r="54864" customFormat="1" x14ac:dyDescent="0.3"/>
    <row r="54865" customFormat="1" x14ac:dyDescent="0.3"/>
    <row r="54866" customFormat="1" x14ac:dyDescent="0.3"/>
    <row r="54867" customFormat="1" x14ac:dyDescent="0.3"/>
    <row r="54868" customFormat="1" x14ac:dyDescent="0.3"/>
    <row r="54869" customFormat="1" x14ac:dyDescent="0.3"/>
    <row r="54870" customFormat="1" x14ac:dyDescent="0.3"/>
    <row r="54871" customFormat="1" x14ac:dyDescent="0.3"/>
    <row r="54872" customFormat="1" x14ac:dyDescent="0.3"/>
    <row r="54873" customFormat="1" x14ac:dyDescent="0.3"/>
    <row r="54874" customFormat="1" x14ac:dyDescent="0.3"/>
    <row r="54875" customFormat="1" x14ac:dyDescent="0.3"/>
    <row r="54876" customFormat="1" x14ac:dyDescent="0.3"/>
    <row r="54877" customFormat="1" x14ac:dyDescent="0.3"/>
    <row r="54878" customFormat="1" x14ac:dyDescent="0.3"/>
    <row r="54879" customFormat="1" x14ac:dyDescent="0.3"/>
    <row r="54880" customFormat="1" x14ac:dyDescent="0.3"/>
    <row r="54881" customFormat="1" x14ac:dyDescent="0.3"/>
    <row r="54882" customFormat="1" x14ac:dyDescent="0.3"/>
    <row r="54883" customFormat="1" x14ac:dyDescent="0.3"/>
    <row r="54884" customFormat="1" x14ac:dyDescent="0.3"/>
    <row r="54885" customFormat="1" x14ac:dyDescent="0.3"/>
    <row r="54886" customFormat="1" x14ac:dyDescent="0.3"/>
    <row r="54887" customFormat="1" x14ac:dyDescent="0.3"/>
    <row r="54888" customFormat="1" x14ac:dyDescent="0.3"/>
    <row r="54889" customFormat="1" x14ac:dyDescent="0.3"/>
    <row r="54890" customFormat="1" x14ac:dyDescent="0.3"/>
    <row r="54891" customFormat="1" x14ac:dyDescent="0.3"/>
    <row r="54892" customFormat="1" x14ac:dyDescent="0.3"/>
    <row r="54893" customFormat="1" x14ac:dyDescent="0.3"/>
    <row r="54894" customFormat="1" x14ac:dyDescent="0.3"/>
    <row r="54895" customFormat="1" x14ac:dyDescent="0.3"/>
    <row r="54896" customFormat="1" x14ac:dyDescent="0.3"/>
    <row r="54897" customFormat="1" x14ac:dyDescent="0.3"/>
    <row r="54898" customFormat="1" x14ac:dyDescent="0.3"/>
    <row r="54899" customFormat="1" x14ac:dyDescent="0.3"/>
    <row r="54900" customFormat="1" x14ac:dyDescent="0.3"/>
    <row r="54901" customFormat="1" x14ac:dyDescent="0.3"/>
    <row r="54902" customFormat="1" x14ac:dyDescent="0.3"/>
    <row r="54903" customFormat="1" x14ac:dyDescent="0.3"/>
    <row r="54904" customFormat="1" x14ac:dyDescent="0.3"/>
    <row r="54905" customFormat="1" x14ac:dyDescent="0.3"/>
    <row r="54906" customFormat="1" x14ac:dyDescent="0.3"/>
    <row r="54907" customFormat="1" x14ac:dyDescent="0.3"/>
    <row r="54908" customFormat="1" x14ac:dyDescent="0.3"/>
    <row r="54909" customFormat="1" x14ac:dyDescent="0.3"/>
    <row r="54910" customFormat="1" x14ac:dyDescent="0.3"/>
    <row r="54911" customFormat="1" x14ac:dyDescent="0.3"/>
    <row r="54912" customFormat="1" x14ac:dyDescent="0.3"/>
    <row r="54913" customFormat="1" x14ac:dyDescent="0.3"/>
    <row r="54914" customFormat="1" x14ac:dyDescent="0.3"/>
    <row r="54915" customFormat="1" x14ac:dyDescent="0.3"/>
    <row r="54916" customFormat="1" x14ac:dyDescent="0.3"/>
    <row r="54917" customFormat="1" x14ac:dyDescent="0.3"/>
    <row r="54918" customFormat="1" x14ac:dyDescent="0.3"/>
    <row r="54919" customFormat="1" x14ac:dyDescent="0.3"/>
    <row r="54920" customFormat="1" x14ac:dyDescent="0.3"/>
    <row r="54921" customFormat="1" x14ac:dyDescent="0.3"/>
    <row r="54922" customFormat="1" x14ac:dyDescent="0.3"/>
    <row r="54923" customFormat="1" x14ac:dyDescent="0.3"/>
    <row r="54924" customFormat="1" x14ac:dyDescent="0.3"/>
    <row r="54925" customFormat="1" x14ac:dyDescent="0.3"/>
    <row r="54926" customFormat="1" x14ac:dyDescent="0.3"/>
    <row r="54927" customFormat="1" x14ac:dyDescent="0.3"/>
    <row r="54928" customFormat="1" x14ac:dyDescent="0.3"/>
    <row r="54929" customFormat="1" x14ac:dyDescent="0.3"/>
    <row r="54930" customFormat="1" x14ac:dyDescent="0.3"/>
    <row r="54931" customFormat="1" x14ac:dyDescent="0.3"/>
    <row r="54932" customFormat="1" x14ac:dyDescent="0.3"/>
    <row r="54933" customFormat="1" x14ac:dyDescent="0.3"/>
    <row r="54934" customFormat="1" x14ac:dyDescent="0.3"/>
    <row r="54935" customFormat="1" x14ac:dyDescent="0.3"/>
    <row r="54936" customFormat="1" x14ac:dyDescent="0.3"/>
    <row r="54937" customFormat="1" x14ac:dyDescent="0.3"/>
    <row r="54938" customFormat="1" x14ac:dyDescent="0.3"/>
    <row r="54939" customFormat="1" x14ac:dyDescent="0.3"/>
    <row r="54940" customFormat="1" x14ac:dyDescent="0.3"/>
    <row r="54941" customFormat="1" x14ac:dyDescent="0.3"/>
    <row r="54942" customFormat="1" x14ac:dyDescent="0.3"/>
    <row r="54943" customFormat="1" x14ac:dyDescent="0.3"/>
    <row r="54944" customFormat="1" x14ac:dyDescent="0.3"/>
    <row r="54945" customFormat="1" x14ac:dyDescent="0.3"/>
    <row r="54946" customFormat="1" x14ac:dyDescent="0.3"/>
    <row r="54947" customFormat="1" x14ac:dyDescent="0.3"/>
    <row r="54948" customFormat="1" x14ac:dyDescent="0.3"/>
    <row r="54949" customFormat="1" x14ac:dyDescent="0.3"/>
    <row r="54950" customFormat="1" x14ac:dyDescent="0.3"/>
    <row r="54951" customFormat="1" x14ac:dyDescent="0.3"/>
    <row r="54952" customFormat="1" x14ac:dyDescent="0.3"/>
    <row r="54953" customFormat="1" x14ac:dyDescent="0.3"/>
    <row r="54954" customFormat="1" x14ac:dyDescent="0.3"/>
    <row r="54955" customFormat="1" x14ac:dyDescent="0.3"/>
    <row r="54956" customFormat="1" x14ac:dyDescent="0.3"/>
    <row r="54957" customFormat="1" x14ac:dyDescent="0.3"/>
    <row r="54958" customFormat="1" x14ac:dyDescent="0.3"/>
    <row r="54959" customFormat="1" x14ac:dyDescent="0.3"/>
    <row r="54960" customFormat="1" x14ac:dyDescent="0.3"/>
    <row r="54961" customFormat="1" x14ac:dyDescent="0.3"/>
    <row r="54962" customFormat="1" x14ac:dyDescent="0.3"/>
    <row r="54963" customFormat="1" x14ac:dyDescent="0.3"/>
    <row r="54964" customFormat="1" x14ac:dyDescent="0.3"/>
    <row r="54965" customFormat="1" x14ac:dyDescent="0.3"/>
    <row r="54966" customFormat="1" x14ac:dyDescent="0.3"/>
    <row r="54967" customFormat="1" x14ac:dyDescent="0.3"/>
    <row r="54968" customFormat="1" x14ac:dyDescent="0.3"/>
    <row r="54969" customFormat="1" x14ac:dyDescent="0.3"/>
    <row r="54970" customFormat="1" x14ac:dyDescent="0.3"/>
    <row r="54971" customFormat="1" x14ac:dyDescent="0.3"/>
    <row r="54972" customFormat="1" x14ac:dyDescent="0.3"/>
    <row r="54973" customFormat="1" x14ac:dyDescent="0.3"/>
    <row r="54974" customFormat="1" x14ac:dyDescent="0.3"/>
    <row r="54975" customFormat="1" x14ac:dyDescent="0.3"/>
    <row r="54976" customFormat="1" x14ac:dyDescent="0.3"/>
    <row r="54977" customFormat="1" x14ac:dyDescent="0.3"/>
    <row r="54978" customFormat="1" x14ac:dyDescent="0.3"/>
    <row r="54979" customFormat="1" x14ac:dyDescent="0.3"/>
    <row r="54980" customFormat="1" x14ac:dyDescent="0.3"/>
    <row r="54981" customFormat="1" x14ac:dyDescent="0.3"/>
    <row r="54982" customFormat="1" x14ac:dyDescent="0.3"/>
    <row r="54983" customFormat="1" x14ac:dyDescent="0.3"/>
    <row r="54984" customFormat="1" x14ac:dyDescent="0.3"/>
    <row r="54985" customFormat="1" x14ac:dyDescent="0.3"/>
    <row r="54986" customFormat="1" x14ac:dyDescent="0.3"/>
    <row r="54987" customFormat="1" x14ac:dyDescent="0.3"/>
    <row r="54988" customFormat="1" x14ac:dyDescent="0.3"/>
    <row r="54989" customFormat="1" x14ac:dyDescent="0.3"/>
    <row r="54990" customFormat="1" x14ac:dyDescent="0.3"/>
    <row r="54991" customFormat="1" x14ac:dyDescent="0.3"/>
    <row r="54992" customFormat="1" x14ac:dyDescent="0.3"/>
    <row r="54993" customFormat="1" x14ac:dyDescent="0.3"/>
    <row r="54994" customFormat="1" x14ac:dyDescent="0.3"/>
    <row r="54995" customFormat="1" x14ac:dyDescent="0.3"/>
    <row r="54996" customFormat="1" x14ac:dyDescent="0.3"/>
    <row r="54997" customFormat="1" x14ac:dyDescent="0.3"/>
    <row r="54998" customFormat="1" x14ac:dyDescent="0.3"/>
    <row r="54999" customFormat="1" x14ac:dyDescent="0.3"/>
    <row r="55000" customFormat="1" x14ac:dyDescent="0.3"/>
    <row r="55001" customFormat="1" x14ac:dyDescent="0.3"/>
    <row r="55002" customFormat="1" x14ac:dyDescent="0.3"/>
    <row r="55003" customFormat="1" x14ac:dyDescent="0.3"/>
    <row r="55004" customFormat="1" x14ac:dyDescent="0.3"/>
    <row r="55005" customFormat="1" x14ac:dyDescent="0.3"/>
    <row r="55006" customFormat="1" x14ac:dyDescent="0.3"/>
    <row r="55007" customFormat="1" x14ac:dyDescent="0.3"/>
    <row r="55008" customFormat="1" x14ac:dyDescent="0.3"/>
    <row r="55009" customFormat="1" x14ac:dyDescent="0.3"/>
    <row r="55010" customFormat="1" x14ac:dyDescent="0.3"/>
    <row r="55011" customFormat="1" x14ac:dyDescent="0.3"/>
    <row r="55012" customFormat="1" x14ac:dyDescent="0.3"/>
    <row r="55013" customFormat="1" x14ac:dyDescent="0.3"/>
    <row r="55014" customFormat="1" x14ac:dyDescent="0.3"/>
    <row r="55015" customFormat="1" x14ac:dyDescent="0.3"/>
    <row r="55016" customFormat="1" x14ac:dyDescent="0.3"/>
    <row r="55017" customFormat="1" x14ac:dyDescent="0.3"/>
    <row r="55018" customFormat="1" x14ac:dyDescent="0.3"/>
    <row r="55019" customFormat="1" x14ac:dyDescent="0.3"/>
    <row r="55020" customFormat="1" x14ac:dyDescent="0.3"/>
    <row r="55021" customFormat="1" x14ac:dyDescent="0.3"/>
    <row r="55022" customFormat="1" x14ac:dyDescent="0.3"/>
    <row r="55023" customFormat="1" x14ac:dyDescent="0.3"/>
    <row r="55024" customFormat="1" x14ac:dyDescent="0.3"/>
    <row r="55025" customFormat="1" x14ac:dyDescent="0.3"/>
    <row r="55026" customFormat="1" x14ac:dyDescent="0.3"/>
    <row r="55027" customFormat="1" x14ac:dyDescent="0.3"/>
    <row r="55028" customFormat="1" x14ac:dyDescent="0.3"/>
    <row r="55029" customFormat="1" x14ac:dyDescent="0.3"/>
    <row r="55030" customFormat="1" x14ac:dyDescent="0.3"/>
    <row r="55031" customFormat="1" x14ac:dyDescent="0.3"/>
    <row r="55032" customFormat="1" x14ac:dyDescent="0.3"/>
    <row r="55033" customFormat="1" x14ac:dyDescent="0.3"/>
    <row r="55034" customFormat="1" x14ac:dyDescent="0.3"/>
    <row r="55035" customFormat="1" x14ac:dyDescent="0.3"/>
    <row r="55036" customFormat="1" x14ac:dyDescent="0.3"/>
    <row r="55037" customFormat="1" x14ac:dyDescent="0.3"/>
    <row r="55038" customFormat="1" x14ac:dyDescent="0.3"/>
    <row r="55039" customFormat="1" x14ac:dyDescent="0.3"/>
    <row r="55040" customFormat="1" x14ac:dyDescent="0.3"/>
    <row r="55041" customFormat="1" x14ac:dyDescent="0.3"/>
    <row r="55042" customFormat="1" x14ac:dyDescent="0.3"/>
    <row r="55043" customFormat="1" x14ac:dyDescent="0.3"/>
    <row r="55044" customFormat="1" x14ac:dyDescent="0.3"/>
    <row r="55045" customFormat="1" x14ac:dyDescent="0.3"/>
    <row r="55046" customFormat="1" x14ac:dyDescent="0.3"/>
    <row r="55047" customFormat="1" x14ac:dyDescent="0.3"/>
    <row r="55048" customFormat="1" x14ac:dyDescent="0.3"/>
    <row r="55049" customFormat="1" x14ac:dyDescent="0.3"/>
    <row r="55050" customFormat="1" x14ac:dyDescent="0.3"/>
    <row r="55051" customFormat="1" x14ac:dyDescent="0.3"/>
    <row r="55052" customFormat="1" x14ac:dyDescent="0.3"/>
    <row r="55053" customFormat="1" x14ac:dyDescent="0.3"/>
    <row r="55054" customFormat="1" x14ac:dyDescent="0.3"/>
    <row r="55055" customFormat="1" x14ac:dyDescent="0.3"/>
    <row r="55056" customFormat="1" x14ac:dyDescent="0.3"/>
    <row r="55057" customFormat="1" x14ac:dyDescent="0.3"/>
    <row r="55058" customFormat="1" x14ac:dyDescent="0.3"/>
    <row r="55059" customFormat="1" x14ac:dyDescent="0.3"/>
    <row r="55060" customFormat="1" x14ac:dyDescent="0.3"/>
    <row r="55061" customFormat="1" x14ac:dyDescent="0.3"/>
    <row r="55062" customFormat="1" x14ac:dyDescent="0.3"/>
    <row r="55063" customFormat="1" x14ac:dyDescent="0.3"/>
    <row r="55064" customFormat="1" x14ac:dyDescent="0.3"/>
    <row r="55065" customFormat="1" x14ac:dyDescent="0.3"/>
    <row r="55066" customFormat="1" x14ac:dyDescent="0.3"/>
    <row r="55067" customFormat="1" x14ac:dyDescent="0.3"/>
    <row r="55068" customFormat="1" x14ac:dyDescent="0.3"/>
    <row r="55069" customFormat="1" x14ac:dyDescent="0.3"/>
    <row r="55070" customFormat="1" x14ac:dyDescent="0.3"/>
    <row r="55071" customFormat="1" x14ac:dyDescent="0.3"/>
    <row r="55072" customFormat="1" x14ac:dyDescent="0.3"/>
    <row r="55073" customFormat="1" x14ac:dyDescent="0.3"/>
    <row r="55074" customFormat="1" x14ac:dyDescent="0.3"/>
    <row r="55075" customFormat="1" x14ac:dyDescent="0.3"/>
    <row r="55076" customFormat="1" x14ac:dyDescent="0.3"/>
    <row r="55077" customFormat="1" x14ac:dyDescent="0.3"/>
    <row r="55078" customFormat="1" x14ac:dyDescent="0.3"/>
    <row r="55079" customFormat="1" x14ac:dyDescent="0.3"/>
    <row r="55080" customFormat="1" x14ac:dyDescent="0.3"/>
    <row r="55081" customFormat="1" x14ac:dyDescent="0.3"/>
    <row r="55082" customFormat="1" x14ac:dyDescent="0.3"/>
    <row r="55083" customFormat="1" x14ac:dyDescent="0.3"/>
    <row r="55084" customFormat="1" x14ac:dyDescent="0.3"/>
    <row r="55085" customFormat="1" x14ac:dyDescent="0.3"/>
    <row r="55086" customFormat="1" x14ac:dyDescent="0.3"/>
    <row r="55087" customFormat="1" x14ac:dyDescent="0.3"/>
    <row r="55088" customFormat="1" x14ac:dyDescent="0.3"/>
    <row r="55089" customFormat="1" x14ac:dyDescent="0.3"/>
    <row r="55090" customFormat="1" x14ac:dyDescent="0.3"/>
    <row r="55091" customFormat="1" x14ac:dyDescent="0.3"/>
    <row r="55092" customFormat="1" x14ac:dyDescent="0.3"/>
    <row r="55093" customFormat="1" x14ac:dyDescent="0.3"/>
    <row r="55094" customFormat="1" x14ac:dyDescent="0.3"/>
    <row r="55095" customFormat="1" x14ac:dyDescent="0.3"/>
    <row r="55096" customFormat="1" x14ac:dyDescent="0.3"/>
    <row r="55097" customFormat="1" x14ac:dyDescent="0.3"/>
    <row r="55098" customFormat="1" x14ac:dyDescent="0.3"/>
    <row r="55099" customFormat="1" x14ac:dyDescent="0.3"/>
    <row r="55100" customFormat="1" x14ac:dyDescent="0.3"/>
    <row r="55101" customFormat="1" x14ac:dyDescent="0.3"/>
    <row r="55102" customFormat="1" x14ac:dyDescent="0.3"/>
    <row r="55103" customFormat="1" x14ac:dyDescent="0.3"/>
    <row r="55104" customFormat="1" x14ac:dyDescent="0.3"/>
    <row r="55105" customFormat="1" x14ac:dyDescent="0.3"/>
    <row r="55106" customFormat="1" x14ac:dyDescent="0.3"/>
    <row r="55107" customFormat="1" x14ac:dyDescent="0.3"/>
    <row r="55108" customFormat="1" x14ac:dyDescent="0.3"/>
    <row r="55109" customFormat="1" x14ac:dyDescent="0.3"/>
    <row r="55110" customFormat="1" x14ac:dyDescent="0.3"/>
    <row r="55111" customFormat="1" x14ac:dyDescent="0.3"/>
    <row r="55112" customFormat="1" x14ac:dyDescent="0.3"/>
    <row r="55113" customFormat="1" x14ac:dyDescent="0.3"/>
    <row r="55114" customFormat="1" x14ac:dyDescent="0.3"/>
    <row r="55115" customFormat="1" x14ac:dyDescent="0.3"/>
    <row r="55116" customFormat="1" x14ac:dyDescent="0.3"/>
    <row r="55117" customFormat="1" x14ac:dyDescent="0.3"/>
    <row r="55118" customFormat="1" x14ac:dyDescent="0.3"/>
    <row r="55119" customFormat="1" x14ac:dyDescent="0.3"/>
    <row r="55120" customFormat="1" x14ac:dyDescent="0.3"/>
    <row r="55121" customFormat="1" x14ac:dyDescent="0.3"/>
    <row r="55122" customFormat="1" x14ac:dyDescent="0.3"/>
    <row r="55123" customFormat="1" x14ac:dyDescent="0.3"/>
    <row r="55124" customFormat="1" x14ac:dyDescent="0.3"/>
    <row r="55125" customFormat="1" x14ac:dyDescent="0.3"/>
    <row r="55126" customFormat="1" x14ac:dyDescent="0.3"/>
    <row r="55127" customFormat="1" x14ac:dyDescent="0.3"/>
    <row r="55128" customFormat="1" x14ac:dyDescent="0.3"/>
    <row r="55129" customFormat="1" x14ac:dyDescent="0.3"/>
    <row r="55130" customFormat="1" x14ac:dyDescent="0.3"/>
    <row r="55131" customFormat="1" x14ac:dyDescent="0.3"/>
    <row r="55132" customFormat="1" x14ac:dyDescent="0.3"/>
    <row r="55133" customFormat="1" x14ac:dyDescent="0.3"/>
    <row r="55134" customFormat="1" x14ac:dyDescent="0.3"/>
    <row r="55135" customFormat="1" x14ac:dyDescent="0.3"/>
    <row r="55136" customFormat="1" x14ac:dyDescent="0.3"/>
    <row r="55137" customFormat="1" x14ac:dyDescent="0.3"/>
    <row r="55138" customFormat="1" x14ac:dyDescent="0.3"/>
    <row r="55139" customFormat="1" x14ac:dyDescent="0.3"/>
    <row r="55140" customFormat="1" x14ac:dyDescent="0.3"/>
    <row r="55141" customFormat="1" x14ac:dyDescent="0.3"/>
    <row r="55142" customFormat="1" x14ac:dyDescent="0.3"/>
    <row r="55143" customFormat="1" x14ac:dyDescent="0.3"/>
    <row r="55144" customFormat="1" x14ac:dyDescent="0.3"/>
    <row r="55145" customFormat="1" x14ac:dyDescent="0.3"/>
    <row r="55146" customFormat="1" x14ac:dyDescent="0.3"/>
    <row r="55147" customFormat="1" x14ac:dyDescent="0.3"/>
    <row r="55148" customFormat="1" x14ac:dyDescent="0.3"/>
    <row r="55149" customFormat="1" x14ac:dyDescent="0.3"/>
    <row r="55150" customFormat="1" x14ac:dyDescent="0.3"/>
    <row r="55151" customFormat="1" x14ac:dyDescent="0.3"/>
    <row r="55152" customFormat="1" x14ac:dyDescent="0.3"/>
    <row r="55153" customFormat="1" x14ac:dyDescent="0.3"/>
    <row r="55154" customFormat="1" x14ac:dyDescent="0.3"/>
    <row r="55155" customFormat="1" x14ac:dyDescent="0.3"/>
    <row r="55156" customFormat="1" x14ac:dyDescent="0.3"/>
    <row r="55157" customFormat="1" x14ac:dyDescent="0.3"/>
    <row r="55158" customFormat="1" x14ac:dyDescent="0.3"/>
    <row r="55159" customFormat="1" x14ac:dyDescent="0.3"/>
    <row r="55160" customFormat="1" x14ac:dyDescent="0.3"/>
    <row r="55161" customFormat="1" x14ac:dyDescent="0.3"/>
    <row r="55162" customFormat="1" x14ac:dyDescent="0.3"/>
    <row r="55163" customFormat="1" x14ac:dyDescent="0.3"/>
    <row r="55164" customFormat="1" x14ac:dyDescent="0.3"/>
    <row r="55165" customFormat="1" x14ac:dyDescent="0.3"/>
    <row r="55166" customFormat="1" x14ac:dyDescent="0.3"/>
    <row r="55167" customFormat="1" x14ac:dyDescent="0.3"/>
    <row r="55168" customFormat="1" x14ac:dyDescent="0.3"/>
    <row r="55169" customFormat="1" x14ac:dyDescent="0.3"/>
    <row r="55170" customFormat="1" x14ac:dyDescent="0.3"/>
    <row r="55171" customFormat="1" x14ac:dyDescent="0.3"/>
    <row r="55172" customFormat="1" x14ac:dyDescent="0.3"/>
    <row r="55173" customFormat="1" x14ac:dyDescent="0.3"/>
    <row r="55174" customFormat="1" x14ac:dyDescent="0.3"/>
    <row r="55175" customFormat="1" x14ac:dyDescent="0.3"/>
    <row r="55176" customFormat="1" x14ac:dyDescent="0.3"/>
    <row r="55177" customFormat="1" x14ac:dyDescent="0.3"/>
    <row r="55178" customFormat="1" x14ac:dyDescent="0.3"/>
    <row r="55179" customFormat="1" x14ac:dyDescent="0.3"/>
    <row r="55180" customFormat="1" x14ac:dyDescent="0.3"/>
    <row r="55181" customFormat="1" x14ac:dyDescent="0.3"/>
    <row r="55182" customFormat="1" x14ac:dyDescent="0.3"/>
    <row r="55183" customFormat="1" x14ac:dyDescent="0.3"/>
    <row r="55184" customFormat="1" x14ac:dyDescent="0.3"/>
    <row r="55185" customFormat="1" x14ac:dyDescent="0.3"/>
    <row r="55186" customFormat="1" x14ac:dyDescent="0.3"/>
    <row r="55187" customFormat="1" x14ac:dyDescent="0.3"/>
    <row r="55188" customFormat="1" x14ac:dyDescent="0.3"/>
    <row r="55189" customFormat="1" x14ac:dyDescent="0.3"/>
    <row r="55190" customFormat="1" x14ac:dyDescent="0.3"/>
    <row r="55191" customFormat="1" x14ac:dyDescent="0.3"/>
    <row r="55192" customFormat="1" x14ac:dyDescent="0.3"/>
    <row r="55193" customFormat="1" x14ac:dyDescent="0.3"/>
    <row r="55194" customFormat="1" x14ac:dyDescent="0.3"/>
    <row r="55195" customFormat="1" x14ac:dyDescent="0.3"/>
    <row r="55196" customFormat="1" x14ac:dyDescent="0.3"/>
    <row r="55197" customFormat="1" x14ac:dyDescent="0.3"/>
    <row r="55198" customFormat="1" x14ac:dyDescent="0.3"/>
    <row r="55199" customFormat="1" x14ac:dyDescent="0.3"/>
    <row r="55200" customFormat="1" x14ac:dyDescent="0.3"/>
    <row r="55201" customFormat="1" x14ac:dyDescent="0.3"/>
    <row r="55202" customFormat="1" x14ac:dyDescent="0.3"/>
    <row r="55203" customFormat="1" x14ac:dyDescent="0.3"/>
    <row r="55204" customFormat="1" x14ac:dyDescent="0.3"/>
    <row r="55205" customFormat="1" x14ac:dyDescent="0.3"/>
    <row r="55206" customFormat="1" x14ac:dyDescent="0.3"/>
    <row r="55207" customFormat="1" x14ac:dyDescent="0.3"/>
    <row r="55208" customFormat="1" x14ac:dyDescent="0.3"/>
    <row r="55209" customFormat="1" x14ac:dyDescent="0.3"/>
    <row r="55210" customFormat="1" x14ac:dyDescent="0.3"/>
    <row r="55211" customFormat="1" x14ac:dyDescent="0.3"/>
    <row r="55212" customFormat="1" x14ac:dyDescent="0.3"/>
    <row r="55213" customFormat="1" x14ac:dyDescent="0.3"/>
    <row r="55214" customFormat="1" x14ac:dyDescent="0.3"/>
    <row r="55215" customFormat="1" x14ac:dyDescent="0.3"/>
    <row r="55216" customFormat="1" x14ac:dyDescent="0.3"/>
    <row r="55217" customFormat="1" x14ac:dyDescent="0.3"/>
    <row r="55218" customFormat="1" x14ac:dyDescent="0.3"/>
    <row r="55219" customFormat="1" x14ac:dyDescent="0.3"/>
    <row r="55220" customFormat="1" x14ac:dyDescent="0.3"/>
    <row r="55221" customFormat="1" x14ac:dyDescent="0.3"/>
    <row r="55222" customFormat="1" x14ac:dyDescent="0.3"/>
    <row r="55223" customFormat="1" x14ac:dyDescent="0.3"/>
    <row r="55224" customFormat="1" x14ac:dyDescent="0.3"/>
    <row r="55225" customFormat="1" x14ac:dyDescent="0.3"/>
    <row r="55226" customFormat="1" x14ac:dyDescent="0.3"/>
    <row r="55227" customFormat="1" x14ac:dyDescent="0.3"/>
    <row r="55228" customFormat="1" x14ac:dyDescent="0.3"/>
    <row r="55229" customFormat="1" x14ac:dyDescent="0.3"/>
    <row r="55230" customFormat="1" x14ac:dyDescent="0.3"/>
    <row r="55231" customFormat="1" x14ac:dyDescent="0.3"/>
    <row r="55232" customFormat="1" x14ac:dyDescent="0.3"/>
    <row r="55233" customFormat="1" x14ac:dyDescent="0.3"/>
    <row r="55234" customFormat="1" x14ac:dyDescent="0.3"/>
    <row r="55235" customFormat="1" x14ac:dyDescent="0.3"/>
    <row r="55236" customFormat="1" x14ac:dyDescent="0.3"/>
    <row r="55237" customFormat="1" x14ac:dyDescent="0.3"/>
    <row r="55238" customFormat="1" x14ac:dyDescent="0.3"/>
    <row r="55239" customFormat="1" x14ac:dyDescent="0.3"/>
    <row r="55240" customFormat="1" x14ac:dyDescent="0.3"/>
    <row r="55241" customFormat="1" x14ac:dyDescent="0.3"/>
    <row r="55242" customFormat="1" x14ac:dyDescent="0.3"/>
    <row r="55243" customFormat="1" x14ac:dyDescent="0.3"/>
    <row r="55244" customFormat="1" x14ac:dyDescent="0.3"/>
    <row r="55245" customFormat="1" x14ac:dyDescent="0.3"/>
    <row r="55246" customFormat="1" x14ac:dyDescent="0.3"/>
    <row r="55247" customFormat="1" x14ac:dyDescent="0.3"/>
    <row r="55248" customFormat="1" x14ac:dyDescent="0.3"/>
    <row r="55249" customFormat="1" x14ac:dyDescent="0.3"/>
    <row r="55250" customFormat="1" x14ac:dyDescent="0.3"/>
    <row r="55251" customFormat="1" x14ac:dyDescent="0.3"/>
    <row r="55252" customFormat="1" x14ac:dyDescent="0.3"/>
    <row r="55253" customFormat="1" x14ac:dyDescent="0.3"/>
    <row r="55254" customFormat="1" x14ac:dyDescent="0.3"/>
    <row r="55255" customFormat="1" x14ac:dyDescent="0.3"/>
    <row r="55256" customFormat="1" x14ac:dyDescent="0.3"/>
    <row r="55257" customFormat="1" x14ac:dyDescent="0.3"/>
    <row r="55258" customFormat="1" x14ac:dyDescent="0.3"/>
    <row r="55259" customFormat="1" x14ac:dyDescent="0.3"/>
    <row r="55260" customFormat="1" x14ac:dyDescent="0.3"/>
    <row r="55261" customFormat="1" x14ac:dyDescent="0.3"/>
    <row r="55262" customFormat="1" x14ac:dyDescent="0.3"/>
    <row r="55263" customFormat="1" x14ac:dyDescent="0.3"/>
    <row r="55264" customFormat="1" x14ac:dyDescent="0.3"/>
    <row r="55265" customFormat="1" x14ac:dyDescent="0.3"/>
    <row r="55266" customFormat="1" x14ac:dyDescent="0.3"/>
    <row r="55267" customFormat="1" x14ac:dyDescent="0.3"/>
    <row r="55268" customFormat="1" x14ac:dyDescent="0.3"/>
    <row r="55269" customFormat="1" x14ac:dyDescent="0.3"/>
    <row r="55270" customFormat="1" x14ac:dyDescent="0.3"/>
    <row r="55271" customFormat="1" x14ac:dyDescent="0.3"/>
    <row r="55272" customFormat="1" x14ac:dyDescent="0.3"/>
    <row r="55273" customFormat="1" x14ac:dyDescent="0.3"/>
    <row r="55274" customFormat="1" x14ac:dyDescent="0.3"/>
    <row r="55275" customFormat="1" x14ac:dyDescent="0.3"/>
    <row r="55276" customFormat="1" x14ac:dyDescent="0.3"/>
    <row r="55277" customFormat="1" x14ac:dyDescent="0.3"/>
    <row r="55278" customFormat="1" x14ac:dyDescent="0.3"/>
    <row r="55279" customFormat="1" x14ac:dyDescent="0.3"/>
    <row r="55280" customFormat="1" x14ac:dyDescent="0.3"/>
    <row r="55281" customFormat="1" x14ac:dyDescent="0.3"/>
    <row r="55282" customFormat="1" x14ac:dyDescent="0.3"/>
    <row r="55283" customFormat="1" x14ac:dyDescent="0.3"/>
    <row r="55284" customFormat="1" x14ac:dyDescent="0.3"/>
    <row r="55285" customFormat="1" x14ac:dyDescent="0.3"/>
    <row r="55286" customFormat="1" x14ac:dyDescent="0.3"/>
    <row r="55287" customFormat="1" x14ac:dyDescent="0.3"/>
    <row r="55288" customFormat="1" x14ac:dyDescent="0.3"/>
    <row r="55289" customFormat="1" x14ac:dyDescent="0.3"/>
    <row r="55290" customFormat="1" x14ac:dyDescent="0.3"/>
    <row r="55291" customFormat="1" x14ac:dyDescent="0.3"/>
    <row r="55292" customFormat="1" x14ac:dyDescent="0.3"/>
    <row r="55293" customFormat="1" x14ac:dyDescent="0.3"/>
    <row r="55294" customFormat="1" x14ac:dyDescent="0.3"/>
    <row r="55295" customFormat="1" x14ac:dyDescent="0.3"/>
    <row r="55296" customFormat="1" x14ac:dyDescent="0.3"/>
    <row r="55297" customFormat="1" x14ac:dyDescent="0.3"/>
    <row r="55298" customFormat="1" x14ac:dyDescent="0.3"/>
    <row r="55299" customFormat="1" x14ac:dyDescent="0.3"/>
    <row r="55300" customFormat="1" x14ac:dyDescent="0.3"/>
    <row r="55301" customFormat="1" x14ac:dyDescent="0.3"/>
    <row r="55302" customFormat="1" x14ac:dyDescent="0.3"/>
    <row r="55303" customFormat="1" x14ac:dyDescent="0.3"/>
    <row r="55304" customFormat="1" x14ac:dyDescent="0.3"/>
    <row r="55305" customFormat="1" x14ac:dyDescent="0.3"/>
    <row r="55306" customFormat="1" x14ac:dyDescent="0.3"/>
    <row r="55307" customFormat="1" x14ac:dyDescent="0.3"/>
    <row r="55308" customFormat="1" x14ac:dyDescent="0.3"/>
    <row r="55309" customFormat="1" x14ac:dyDescent="0.3"/>
    <row r="55310" customFormat="1" x14ac:dyDescent="0.3"/>
    <row r="55311" customFormat="1" x14ac:dyDescent="0.3"/>
    <row r="55312" customFormat="1" x14ac:dyDescent="0.3"/>
    <row r="55313" customFormat="1" x14ac:dyDescent="0.3"/>
    <row r="55314" customFormat="1" x14ac:dyDescent="0.3"/>
    <row r="55315" customFormat="1" x14ac:dyDescent="0.3"/>
    <row r="55316" customFormat="1" x14ac:dyDescent="0.3"/>
    <row r="55317" customFormat="1" x14ac:dyDescent="0.3"/>
    <row r="55318" customFormat="1" x14ac:dyDescent="0.3"/>
    <row r="55319" customFormat="1" x14ac:dyDescent="0.3"/>
    <row r="55320" customFormat="1" x14ac:dyDescent="0.3"/>
    <row r="55321" customFormat="1" x14ac:dyDescent="0.3"/>
    <row r="55322" customFormat="1" x14ac:dyDescent="0.3"/>
    <row r="55323" customFormat="1" x14ac:dyDescent="0.3"/>
    <row r="55324" customFormat="1" x14ac:dyDescent="0.3"/>
    <row r="55325" customFormat="1" x14ac:dyDescent="0.3"/>
    <row r="55326" customFormat="1" x14ac:dyDescent="0.3"/>
    <row r="55327" customFormat="1" x14ac:dyDescent="0.3"/>
    <row r="55328" customFormat="1" x14ac:dyDescent="0.3"/>
    <row r="55329" customFormat="1" x14ac:dyDescent="0.3"/>
    <row r="55330" customFormat="1" x14ac:dyDescent="0.3"/>
    <row r="55331" customFormat="1" x14ac:dyDescent="0.3"/>
    <row r="55332" customFormat="1" x14ac:dyDescent="0.3"/>
    <row r="55333" customFormat="1" x14ac:dyDescent="0.3"/>
    <row r="55334" customFormat="1" x14ac:dyDescent="0.3"/>
    <row r="55335" customFormat="1" x14ac:dyDescent="0.3"/>
    <row r="55336" customFormat="1" x14ac:dyDescent="0.3"/>
    <row r="55337" customFormat="1" x14ac:dyDescent="0.3"/>
    <row r="55338" customFormat="1" x14ac:dyDescent="0.3"/>
    <row r="55339" customFormat="1" x14ac:dyDescent="0.3"/>
    <row r="55340" customFormat="1" x14ac:dyDescent="0.3"/>
    <row r="55341" customFormat="1" x14ac:dyDescent="0.3"/>
    <row r="55342" customFormat="1" x14ac:dyDescent="0.3"/>
    <row r="55343" customFormat="1" x14ac:dyDescent="0.3"/>
    <row r="55344" customFormat="1" x14ac:dyDescent="0.3"/>
    <row r="55345" customFormat="1" x14ac:dyDescent="0.3"/>
    <row r="55346" customFormat="1" x14ac:dyDescent="0.3"/>
    <row r="55347" customFormat="1" x14ac:dyDescent="0.3"/>
    <row r="55348" customFormat="1" x14ac:dyDescent="0.3"/>
    <row r="55349" customFormat="1" x14ac:dyDescent="0.3"/>
    <row r="55350" customFormat="1" x14ac:dyDescent="0.3"/>
    <row r="55351" customFormat="1" x14ac:dyDescent="0.3"/>
    <row r="55352" customFormat="1" x14ac:dyDescent="0.3"/>
    <row r="55353" customFormat="1" x14ac:dyDescent="0.3"/>
    <row r="55354" customFormat="1" x14ac:dyDescent="0.3"/>
    <row r="55355" customFormat="1" x14ac:dyDescent="0.3"/>
    <row r="55356" customFormat="1" x14ac:dyDescent="0.3"/>
    <row r="55357" customFormat="1" x14ac:dyDescent="0.3"/>
    <row r="55358" customFormat="1" x14ac:dyDescent="0.3"/>
    <row r="55359" customFormat="1" x14ac:dyDescent="0.3"/>
    <row r="55360" customFormat="1" x14ac:dyDescent="0.3"/>
    <row r="55361" customFormat="1" x14ac:dyDescent="0.3"/>
    <row r="55362" customFormat="1" x14ac:dyDescent="0.3"/>
    <row r="55363" customFormat="1" x14ac:dyDescent="0.3"/>
    <row r="55364" customFormat="1" x14ac:dyDescent="0.3"/>
    <row r="55365" customFormat="1" x14ac:dyDescent="0.3"/>
    <row r="55366" customFormat="1" x14ac:dyDescent="0.3"/>
    <row r="55367" customFormat="1" x14ac:dyDescent="0.3"/>
    <row r="55368" customFormat="1" x14ac:dyDescent="0.3"/>
    <row r="55369" customFormat="1" x14ac:dyDescent="0.3"/>
    <row r="55370" customFormat="1" x14ac:dyDescent="0.3"/>
    <row r="55371" customFormat="1" x14ac:dyDescent="0.3"/>
    <row r="55372" customFormat="1" x14ac:dyDescent="0.3"/>
    <row r="55373" customFormat="1" x14ac:dyDescent="0.3"/>
    <row r="55374" customFormat="1" x14ac:dyDescent="0.3"/>
    <row r="55375" customFormat="1" x14ac:dyDescent="0.3"/>
    <row r="55376" customFormat="1" x14ac:dyDescent="0.3"/>
    <row r="55377" customFormat="1" x14ac:dyDescent="0.3"/>
    <row r="55378" customFormat="1" x14ac:dyDescent="0.3"/>
    <row r="55379" customFormat="1" x14ac:dyDescent="0.3"/>
    <row r="55380" customFormat="1" x14ac:dyDescent="0.3"/>
    <row r="55381" customFormat="1" x14ac:dyDescent="0.3"/>
    <row r="55382" customFormat="1" x14ac:dyDescent="0.3"/>
    <row r="55383" customFormat="1" x14ac:dyDescent="0.3"/>
    <row r="55384" customFormat="1" x14ac:dyDescent="0.3"/>
    <row r="55385" customFormat="1" x14ac:dyDescent="0.3"/>
    <row r="55386" customFormat="1" x14ac:dyDescent="0.3"/>
    <row r="55387" customFormat="1" x14ac:dyDescent="0.3"/>
    <row r="55388" customFormat="1" x14ac:dyDescent="0.3"/>
    <row r="55389" customFormat="1" x14ac:dyDescent="0.3"/>
    <row r="55390" customFormat="1" x14ac:dyDescent="0.3"/>
    <row r="55391" customFormat="1" x14ac:dyDescent="0.3"/>
    <row r="55392" customFormat="1" x14ac:dyDescent="0.3"/>
    <row r="55393" customFormat="1" x14ac:dyDescent="0.3"/>
    <row r="55394" customFormat="1" x14ac:dyDescent="0.3"/>
    <row r="55395" customFormat="1" x14ac:dyDescent="0.3"/>
    <row r="55396" customFormat="1" x14ac:dyDescent="0.3"/>
    <row r="55397" customFormat="1" x14ac:dyDescent="0.3"/>
    <row r="55398" customFormat="1" x14ac:dyDescent="0.3"/>
    <row r="55399" customFormat="1" x14ac:dyDescent="0.3"/>
    <row r="55400" customFormat="1" x14ac:dyDescent="0.3"/>
    <row r="55401" customFormat="1" x14ac:dyDescent="0.3"/>
    <row r="55402" customFormat="1" x14ac:dyDescent="0.3"/>
    <row r="55403" customFormat="1" x14ac:dyDescent="0.3"/>
    <row r="55404" customFormat="1" x14ac:dyDescent="0.3"/>
    <row r="55405" customFormat="1" x14ac:dyDescent="0.3"/>
    <row r="55406" customFormat="1" x14ac:dyDescent="0.3"/>
    <row r="55407" customFormat="1" x14ac:dyDescent="0.3"/>
    <row r="55408" customFormat="1" x14ac:dyDescent="0.3"/>
    <row r="55409" customFormat="1" x14ac:dyDescent="0.3"/>
    <row r="55410" customFormat="1" x14ac:dyDescent="0.3"/>
    <row r="55411" customFormat="1" x14ac:dyDescent="0.3"/>
    <row r="55412" customFormat="1" x14ac:dyDescent="0.3"/>
    <row r="55413" customFormat="1" x14ac:dyDescent="0.3"/>
    <row r="55414" customFormat="1" x14ac:dyDescent="0.3"/>
    <row r="55415" customFormat="1" x14ac:dyDescent="0.3"/>
    <row r="55416" customFormat="1" x14ac:dyDescent="0.3"/>
    <row r="55417" customFormat="1" x14ac:dyDescent="0.3"/>
    <row r="55418" customFormat="1" x14ac:dyDescent="0.3"/>
    <row r="55419" customFormat="1" x14ac:dyDescent="0.3"/>
    <row r="55420" customFormat="1" x14ac:dyDescent="0.3"/>
    <row r="55421" customFormat="1" x14ac:dyDescent="0.3"/>
    <row r="55422" customFormat="1" x14ac:dyDescent="0.3"/>
    <row r="55423" customFormat="1" x14ac:dyDescent="0.3"/>
    <row r="55424" customFormat="1" x14ac:dyDescent="0.3"/>
    <row r="55425" customFormat="1" x14ac:dyDescent="0.3"/>
    <row r="55426" customFormat="1" x14ac:dyDescent="0.3"/>
    <row r="55427" customFormat="1" x14ac:dyDescent="0.3"/>
    <row r="55428" customFormat="1" x14ac:dyDescent="0.3"/>
    <row r="55429" customFormat="1" x14ac:dyDescent="0.3"/>
    <row r="55430" customFormat="1" x14ac:dyDescent="0.3"/>
    <row r="55431" customFormat="1" x14ac:dyDescent="0.3"/>
    <row r="55432" customFormat="1" x14ac:dyDescent="0.3"/>
    <row r="55433" customFormat="1" x14ac:dyDescent="0.3"/>
    <row r="55434" customFormat="1" x14ac:dyDescent="0.3"/>
    <row r="55435" customFormat="1" x14ac:dyDescent="0.3"/>
    <row r="55436" customFormat="1" x14ac:dyDescent="0.3"/>
    <row r="55437" customFormat="1" x14ac:dyDescent="0.3"/>
    <row r="55438" customFormat="1" x14ac:dyDescent="0.3"/>
    <row r="55439" customFormat="1" x14ac:dyDescent="0.3"/>
    <row r="55440" customFormat="1" x14ac:dyDescent="0.3"/>
    <row r="55441" customFormat="1" x14ac:dyDescent="0.3"/>
    <row r="55442" customFormat="1" x14ac:dyDescent="0.3"/>
    <row r="55443" customFormat="1" x14ac:dyDescent="0.3"/>
    <row r="55444" customFormat="1" x14ac:dyDescent="0.3"/>
    <row r="55445" customFormat="1" x14ac:dyDescent="0.3"/>
    <row r="55446" customFormat="1" x14ac:dyDescent="0.3"/>
    <row r="55447" customFormat="1" x14ac:dyDescent="0.3"/>
    <row r="55448" customFormat="1" x14ac:dyDescent="0.3"/>
    <row r="55449" customFormat="1" x14ac:dyDescent="0.3"/>
    <row r="55450" customFormat="1" x14ac:dyDescent="0.3"/>
    <row r="55451" customFormat="1" x14ac:dyDescent="0.3"/>
    <row r="55452" customFormat="1" x14ac:dyDescent="0.3"/>
    <row r="55453" customFormat="1" x14ac:dyDescent="0.3"/>
    <row r="55454" customFormat="1" x14ac:dyDescent="0.3"/>
    <row r="55455" customFormat="1" x14ac:dyDescent="0.3"/>
    <row r="55456" customFormat="1" x14ac:dyDescent="0.3"/>
    <row r="55457" customFormat="1" x14ac:dyDescent="0.3"/>
    <row r="55458" customFormat="1" x14ac:dyDescent="0.3"/>
    <row r="55459" customFormat="1" x14ac:dyDescent="0.3"/>
    <row r="55460" customFormat="1" x14ac:dyDescent="0.3"/>
    <row r="55461" customFormat="1" x14ac:dyDescent="0.3"/>
    <row r="55462" customFormat="1" x14ac:dyDescent="0.3"/>
    <row r="55463" customFormat="1" x14ac:dyDescent="0.3"/>
    <row r="55464" customFormat="1" x14ac:dyDescent="0.3"/>
    <row r="55465" customFormat="1" x14ac:dyDescent="0.3"/>
    <row r="55466" customFormat="1" x14ac:dyDescent="0.3"/>
    <row r="55467" customFormat="1" x14ac:dyDescent="0.3"/>
    <row r="55468" customFormat="1" x14ac:dyDescent="0.3"/>
    <row r="55469" customFormat="1" x14ac:dyDescent="0.3"/>
    <row r="55470" customFormat="1" x14ac:dyDescent="0.3"/>
    <row r="55471" customFormat="1" x14ac:dyDescent="0.3"/>
    <row r="55472" customFormat="1" x14ac:dyDescent="0.3"/>
    <row r="55473" customFormat="1" x14ac:dyDescent="0.3"/>
    <row r="55474" customFormat="1" x14ac:dyDescent="0.3"/>
    <row r="55475" customFormat="1" x14ac:dyDescent="0.3"/>
    <row r="55476" customFormat="1" x14ac:dyDescent="0.3"/>
    <row r="55477" customFormat="1" x14ac:dyDescent="0.3"/>
    <row r="55478" customFormat="1" x14ac:dyDescent="0.3"/>
    <row r="55479" customFormat="1" x14ac:dyDescent="0.3"/>
    <row r="55480" customFormat="1" x14ac:dyDescent="0.3"/>
    <row r="55481" customFormat="1" x14ac:dyDescent="0.3"/>
    <row r="55482" customFormat="1" x14ac:dyDescent="0.3"/>
    <row r="55483" customFormat="1" x14ac:dyDescent="0.3"/>
    <row r="55484" customFormat="1" x14ac:dyDescent="0.3"/>
    <row r="55485" customFormat="1" x14ac:dyDescent="0.3"/>
    <row r="55486" customFormat="1" x14ac:dyDescent="0.3"/>
    <row r="55487" customFormat="1" x14ac:dyDescent="0.3"/>
    <row r="55488" customFormat="1" x14ac:dyDescent="0.3"/>
    <row r="55489" customFormat="1" x14ac:dyDescent="0.3"/>
    <row r="55490" customFormat="1" x14ac:dyDescent="0.3"/>
    <row r="55491" customFormat="1" x14ac:dyDescent="0.3"/>
    <row r="55492" customFormat="1" x14ac:dyDescent="0.3"/>
    <row r="55493" customFormat="1" x14ac:dyDescent="0.3"/>
    <row r="55494" customFormat="1" x14ac:dyDescent="0.3"/>
    <row r="55495" customFormat="1" x14ac:dyDescent="0.3"/>
    <row r="55496" customFormat="1" x14ac:dyDescent="0.3"/>
    <row r="55497" customFormat="1" x14ac:dyDescent="0.3"/>
    <row r="55498" customFormat="1" x14ac:dyDescent="0.3"/>
    <row r="55499" customFormat="1" x14ac:dyDescent="0.3"/>
    <row r="55500" customFormat="1" x14ac:dyDescent="0.3"/>
    <row r="55501" customFormat="1" x14ac:dyDescent="0.3"/>
    <row r="55502" customFormat="1" x14ac:dyDescent="0.3"/>
    <row r="55503" customFormat="1" x14ac:dyDescent="0.3"/>
    <row r="55504" customFormat="1" x14ac:dyDescent="0.3"/>
    <row r="55505" customFormat="1" x14ac:dyDescent="0.3"/>
    <row r="55506" customFormat="1" x14ac:dyDescent="0.3"/>
    <row r="55507" customFormat="1" x14ac:dyDescent="0.3"/>
    <row r="55508" customFormat="1" x14ac:dyDescent="0.3"/>
    <row r="55509" customFormat="1" x14ac:dyDescent="0.3"/>
    <row r="55510" customFormat="1" x14ac:dyDescent="0.3"/>
    <row r="55511" customFormat="1" x14ac:dyDescent="0.3"/>
    <row r="55512" customFormat="1" x14ac:dyDescent="0.3"/>
    <row r="55513" customFormat="1" x14ac:dyDescent="0.3"/>
    <row r="55514" customFormat="1" x14ac:dyDescent="0.3"/>
    <row r="55515" customFormat="1" x14ac:dyDescent="0.3"/>
    <row r="55516" customFormat="1" x14ac:dyDescent="0.3"/>
    <row r="55517" customFormat="1" x14ac:dyDescent="0.3"/>
    <row r="55518" customFormat="1" x14ac:dyDescent="0.3"/>
    <row r="55519" customFormat="1" x14ac:dyDescent="0.3"/>
    <row r="55520" customFormat="1" x14ac:dyDescent="0.3"/>
    <row r="55521" customFormat="1" x14ac:dyDescent="0.3"/>
    <row r="55522" customFormat="1" x14ac:dyDescent="0.3"/>
    <row r="55523" customFormat="1" x14ac:dyDescent="0.3"/>
    <row r="55524" customFormat="1" x14ac:dyDescent="0.3"/>
    <row r="55525" customFormat="1" x14ac:dyDescent="0.3"/>
    <row r="55526" customFormat="1" x14ac:dyDescent="0.3"/>
    <row r="55527" customFormat="1" x14ac:dyDescent="0.3"/>
    <row r="55528" customFormat="1" x14ac:dyDescent="0.3"/>
    <row r="55529" customFormat="1" x14ac:dyDescent="0.3"/>
    <row r="55530" customFormat="1" x14ac:dyDescent="0.3"/>
    <row r="55531" customFormat="1" x14ac:dyDescent="0.3"/>
    <row r="55532" customFormat="1" x14ac:dyDescent="0.3"/>
    <row r="55533" customFormat="1" x14ac:dyDescent="0.3"/>
    <row r="55534" customFormat="1" x14ac:dyDescent="0.3"/>
    <row r="55535" customFormat="1" x14ac:dyDescent="0.3"/>
    <row r="55536" customFormat="1" x14ac:dyDescent="0.3"/>
    <row r="55537" customFormat="1" x14ac:dyDescent="0.3"/>
    <row r="55538" customFormat="1" x14ac:dyDescent="0.3"/>
    <row r="55539" customFormat="1" x14ac:dyDescent="0.3"/>
    <row r="55540" customFormat="1" x14ac:dyDescent="0.3"/>
    <row r="55541" customFormat="1" x14ac:dyDescent="0.3"/>
    <row r="55542" customFormat="1" x14ac:dyDescent="0.3"/>
    <row r="55543" customFormat="1" x14ac:dyDescent="0.3"/>
    <row r="55544" customFormat="1" x14ac:dyDescent="0.3"/>
    <row r="55545" customFormat="1" x14ac:dyDescent="0.3"/>
    <row r="55546" customFormat="1" x14ac:dyDescent="0.3"/>
    <row r="55547" customFormat="1" x14ac:dyDescent="0.3"/>
    <row r="55548" customFormat="1" x14ac:dyDescent="0.3"/>
    <row r="55549" customFormat="1" x14ac:dyDescent="0.3"/>
    <row r="55550" customFormat="1" x14ac:dyDescent="0.3"/>
    <row r="55551" customFormat="1" x14ac:dyDescent="0.3"/>
    <row r="55552" customFormat="1" x14ac:dyDescent="0.3"/>
    <row r="55553" customFormat="1" x14ac:dyDescent="0.3"/>
    <row r="55554" customFormat="1" x14ac:dyDescent="0.3"/>
    <row r="55555" customFormat="1" x14ac:dyDescent="0.3"/>
    <row r="55556" customFormat="1" x14ac:dyDescent="0.3"/>
    <row r="55557" customFormat="1" x14ac:dyDescent="0.3"/>
    <row r="55558" customFormat="1" x14ac:dyDescent="0.3"/>
    <row r="55559" customFormat="1" x14ac:dyDescent="0.3"/>
    <row r="55560" customFormat="1" x14ac:dyDescent="0.3"/>
    <row r="55561" customFormat="1" x14ac:dyDescent="0.3"/>
    <row r="55562" customFormat="1" x14ac:dyDescent="0.3"/>
    <row r="55563" customFormat="1" x14ac:dyDescent="0.3"/>
    <row r="55564" customFormat="1" x14ac:dyDescent="0.3"/>
    <row r="55565" customFormat="1" x14ac:dyDescent="0.3"/>
    <row r="55566" customFormat="1" x14ac:dyDescent="0.3"/>
    <row r="55567" customFormat="1" x14ac:dyDescent="0.3"/>
    <row r="55568" customFormat="1" x14ac:dyDescent="0.3"/>
    <row r="55569" customFormat="1" x14ac:dyDescent="0.3"/>
    <row r="55570" customFormat="1" x14ac:dyDescent="0.3"/>
    <row r="55571" customFormat="1" x14ac:dyDescent="0.3"/>
    <row r="55572" customFormat="1" x14ac:dyDescent="0.3"/>
    <row r="55573" customFormat="1" x14ac:dyDescent="0.3"/>
    <row r="55574" customFormat="1" x14ac:dyDescent="0.3"/>
    <row r="55575" customFormat="1" x14ac:dyDescent="0.3"/>
    <row r="55576" customFormat="1" x14ac:dyDescent="0.3"/>
    <row r="55577" customFormat="1" x14ac:dyDescent="0.3"/>
    <row r="55578" customFormat="1" x14ac:dyDescent="0.3"/>
    <row r="55579" customFormat="1" x14ac:dyDescent="0.3"/>
    <row r="55580" customFormat="1" x14ac:dyDescent="0.3"/>
    <row r="55581" customFormat="1" x14ac:dyDescent="0.3"/>
    <row r="55582" customFormat="1" x14ac:dyDescent="0.3"/>
    <row r="55583" customFormat="1" x14ac:dyDescent="0.3"/>
    <row r="55584" customFormat="1" x14ac:dyDescent="0.3"/>
    <row r="55585" customFormat="1" x14ac:dyDescent="0.3"/>
    <row r="55586" customFormat="1" x14ac:dyDescent="0.3"/>
    <row r="55587" customFormat="1" x14ac:dyDescent="0.3"/>
    <row r="55588" customFormat="1" x14ac:dyDescent="0.3"/>
    <row r="55589" customFormat="1" x14ac:dyDescent="0.3"/>
    <row r="55590" customFormat="1" x14ac:dyDescent="0.3"/>
    <row r="55591" customFormat="1" x14ac:dyDescent="0.3"/>
    <row r="55592" customFormat="1" x14ac:dyDescent="0.3"/>
    <row r="55593" customFormat="1" x14ac:dyDescent="0.3"/>
    <row r="55594" customFormat="1" x14ac:dyDescent="0.3"/>
    <row r="55595" customFormat="1" x14ac:dyDescent="0.3"/>
    <row r="55596" customFormat="1" x14ac:dyDescent="0.3"/>
    <row r="55597" customFormat="1" x14ac:dyDescent="0.3"/>
    <row r="55598" customFormat="1" x14ac:dyDescent="0.3"/>
    <row r="55599" customFormat="1" x14ac:dyDescent="0.3"/>
    <row r="55600" customFormat="1" x14ac:dyDescent="0.3"/>
    <row r="55601" customFormat="1" x14ac:dyDescent="0.3"/>
    <row r="55602" customFormat="1" x14ac:dyDescent="0.3"/>
    <row r="55603" customFormat="1" x14ac:dyDescent="0.3"/>
    <row r="55604" customFormat="1" x14ac:dyDescent="0.3"/>
    <row r="55605" customFormat="1" x14ac:dyDescent="0.3"/>
    <row r="55606" customFormat="1" x14ac:dyDescent="0.3"/>
    <row r="55607" customFormat="1" x14ac:dyDescent="0.3"/>
    <row r="55608" customFormat="1" x14ac:dyDescent="0.3"/>
    <row r="55609" customFormat="1" x14ac:dyDescent="0.3"/>
    <row r="55610" customFormat="1" x14ac:dyDescent="0.3"/>
    <row r="55611" customFormat="1" x14ac:dyDescent="0.3"/>
    <row r="55612" customFormat="1" x14ac:dyDescent="0.3"/>
    <row r="55613" customFormat="1" x14ac:dyDescent="0.3"/>
    <row r="55614" customFormat="1" x14ac:dyDescent="0.3"/>
    <row r="55615" customFormat="1" x14ac:dyDescent="0.3"/>
    <row r="55616" customFormat="1" x14ac:dyDescent="0.3"/>
    <row r="55617" customFormat="1" x14ac:dyDescent="0.3"/>
    <row r="55618" customFormat="1" x14ac:dyDescent="0.3"/>
    <row r="55619" customFormat="1" x14ac:dyDescent="0.3"/>
    <row r="55620" customFormat="1" x14ac:dyDescent="0.3"/>
    <row r="55621" customFormat="1" x14ac:dyDescent="0.3"/>
    <row r="55622" customFormat="1" x14ac:dyDescent="0.3"/>
    <row r="55623" customFormat="1" x14ac:dyDescent="0.3"/>
    <row r="55624" customFormat="1" x14ac:dyDescent="0.3"/>
    <row r="55625" customFormat="1" x14ac:dyDescent="0.3"/>
    <row r="55626" customFormat="1" x14ac:dyDescent="0.3"/>
    <row r="55627" customFormat="1" x14ac:dyDescent="0.3"/>
    <row r="55628" customFormat="1" x14ac:dyDescent="0.3"/>
    <row r="55629" customFormat="1" x14ac:dyDescent="0.3"/>
    <row r="55630" customFormat="1" x14ac:dyDescent="0.3"/>
    <row r="55631" customFormat="1" x14ac:dyDescent="0.3"/>
    <row r="55632" customFormat="1" x14ac:dyDescent="0.3"/>
    <row r="55633" customFormat="1" x14ac:dyDescent="0.3"/>
    <row r="55634" customFormat="1" x14ac:dyDescent="0.3"/>
    <row r="55635" customFormat="1" x14ac:dyDescent="0.3"/>
    <row r="55636" customFormat="1" x14ac:dyDescent="0.3"/>
    <row r="55637" customFormat="1" x14ac:dyDescent="0.3"/>
    <row r="55638" customFormat="1" x14ac:dyDescent="0.3"/>
    <row r="55639" customFormat="1" x14ac:dyDescent="0.3"/>
    <row r="55640" customFormat="1" x14ac:dyDescent="0.3"/>
    <row r="55641" customFormat="1" x14ac:dyDescent="0.3"/>
    <row r="55642" customFormat="1" x14ac:dyDescent="0.3"/>
    <row r="55643" customFormat="1" x14ac:dyDescent="0.3"/>
    <row r="55644" customFormat="1" x14ac:dyDescent="0.3"/>
    <row r="55645" customFormat="1" x14ac:dyDescent="0.3"/>
    <row r="55646" customFormat="1" x14ac:dyDescent="0.3"/>
    <row r="55647" customFormat="1" x14ac:dyDescent="0.3"/>
    <row r="55648" customFormat="1" x14ac:dyDescent="0.3"/>
    <row r="55649" customFormat="1" x14ac:dyDescent="0.3"/>
    <row r="55650" customFormat="1" x14ac:dyDescent="0.3"/>
    <row r="55651" customFormat="1" x14ac:dyDescent="0.3"/>
    <row r="55652" customFormat="1" x14ac:dyDescent="0.3"/>
    <row r="55653" customFormat="1" x14ac:dyDescent="0.3"/>
    <row r="55654" customFormat="1" x14ac:dyDescent="0.3"/>
    <row r="55655" customFormat="1" x14ac:dyDescent="0.3"/>
    <row r="55656" customFormat="1" x14ac:dyDescent="0.3"/>
    <row r="55657" customFormat="1" x14ac:dyDescent="0.3"/>
    <row r="55658" customFormat="1" x14ac:dyDescent="0.3"/>
    <row r="55659" customFormat="1" x14ac:dyDescent="0.3"/>
    <row r="55660" customFormat="1" x14ac:dyDescent="0.3"/>
    <row r="55661" customFormat="1" x14ac:dyDescent="0.3"/>
    <row r="55662" customFormat="1" x14ac:dyDescent="0.3"/>
    <row r="55663" customFormat="1" x14ac:dyDescent="0.3"/>
    <row r="55664" customFormat="1" x14ac:dyDescent="0.3"/>
    <row r="55665" customFormat="1" x14ac:dyDescent="0.3"/>
    <row r="55666" customFormat="1" x14ac:dyDescent="0.3"/>
    <row r="55667" customFormat="1" x14ac:dyDescent="0.3"/>
    <row r="55668" customFormat="1" x14ac:dyDescent="0.3"/>
    <row r="55669" customFormat="1" x14ac:dyDescent="0.3"/>
    <row r="55670" customFormat="1" x14ac:dyDescent="0.3"/>
    <row r="55671" customFormat="1" x14ac:dyDescent="0.3"/>
    <row r="55672" customFormat="1" x14ac:dyDescent="0.3"/>
    <row r="55673" customFormat="1" x14ac:dyDescent="0.3"/>
    <row r="55674" customFormat="1" x14ac:dyDescent="0.3"/>
    <row r="55675" customFormat="1" x14ac:dyDescent="0.3"/>
    <row r="55676" customFormat="1" x14ac:dyDescent="0.3"/>
    <row r="55677" customFormat="1" x14ac:dyDescent="0.3"/>
    <row r="55678" customFormat="1" x14ac:dyDescent="0.3"/>
    <row r="55679" customFormat="1" x14ac:dyDescent="0.3"/>
    <row r="55680" customFormat="1" x14ac:dyDescent="0.3"/>
    <row r="55681" customFormat="1" x14ac:dyDescent="0.3"/>
    <row r="55682" customFormat="1" x14ac:dyDescent="0.3"/>
    <row r="55683" customFormat="1" x14ac:dyDescent="0.3"/>
    <row r="55684" customFormat="1" x14ac:dyDescent="0.3"/>
    <row r="55685" customFormat="1" x14ac:dyDescent="0.3"/>
    <row r="55686" customFormat="1" x14ac:dyDescent="0.3"/>
    <row r="55687" customFormat="1" x14ac:dyDescent="0.3"/>
    <row r="55688" customFormat="1" x14ac:dyDescent="0.3"/>
    <row r="55689" customFormat="1" x14ac:dyDescent="0.3"/>
    <row r="55690" customFormat="1" x14ac:dyDescent="0.3"/>
    <row r="55691" customFormat="1" x14ac:dyDescent="0.3"/>
    <row r="55692" customFormat="1" x14ac:dyDescent="0.3"/>
    <row r="55693" customFormat="1" x14ac:dyDescent="0.3"/>
    <row r="55694" customFormat="1" x14ac:dyDescent="0.3"/>
    <row r="55695" customFormat="1" x14ac:dyDescent="0.3"/>
    <row r="55696" customFormat="1" x14ac:dyDescent="0.3"/>
    <row r="55697" customFormat="1" x14ac:dyDescent="0.3"/>
    <row r="55698" customFormat="1" x14ac:dyDescent="0.3"/>
    <row r="55699" customFormat="1" x14ac:dyDescent="0.3"/>
    <row r="55700" customFormat="1" x14ac:dyDescent="0.3"/>
    <row r="55701" customFormat="1" x14ac:dyDescent="0.3"/>
    <row r="55702" customFormat="1" x14ac:dyDescent="0.3"/>
    <row r="55703" customFormat="1" x14ac:dyDescent="0.3"/>
    <row r="55704" customFormat="1" x14ac:dyDescent="0.3"/>
    <row r="55705" customFormat="1" x14ac:dyDescent="0.3"/>
    <row r="55706" customFormat="1" x14ac:dyDescent="0.3"/>
    <row r="55707" customFormat="1" x14ac:dyDescent="0.3"/>
    <row r="55708" customFormat="1" x14ac:dyDescent="0.3"/>
    <row r="55709" customFormat="1" x14ac:dyDescent="0.3"/>
    <row r="55710" customFormat="1" x14ac:dyDescent="0.3"/>
    <row r="55711" customFormat="1" x14ac:dyDescent="0.3"/>
    <row r="55712" customFormat="1" x14ac:dyDescent="0.3"/>
    <row r="55713" customFormat="1" x14ac:dyDescent="0.3"/>
    <row r="55714" customFormat="1" x14ac:dyDescent="0.3"/>
    <row r="55715" customFormat="1" x14ac:dyDescent="0.3"/>
    <row r="55716" customFormat="1" x14ac:dyDescent="0.3"/>
    <row r="55717" customFormat="1" x14ac:dyDescent="0.3"/>
    <row r="55718" customFormat="1" x14ac:dyDescent="0.3"/>
    <row r="55719" customFormat="1" x14ac:dyDescent="0.3"/>
    <row r="55720" customFormat="1" x14ac:dyDescent="0.3"/>
    <row r="55721" customFormat="1" x14ac:dyDescent="0.3"/>
    <row r="55722" customFormat="1" x14ac:dyDescent="0.3"/>
    <row r="55723" customFormat="1" x14ac:dyDescent="0.3"/>
    <row r="55724" customFormat="1" x14ac:dyDescent="0.3"/>
    <row r="55725" customFormat="1" x14ac:dyDescent="0.3"/>
    <row r="55726" customFormat="1" x14ac:dyDescent="0.3"/>
    <row r="55727" customFormat="1" x14ac:dyDescent="0.3"/>
    <row r="55728" customFormat="1" x14ac:dyDescent="0.3"/>
    <row r="55729" customFormat="1" x14ac:dyDescent="0.3"/>
    <row r="55730" customFormat="1" x14ac:dyDescent="0.3"/>
    <row r="55731" customFormat="1" x14ac:dyDescent="0.3"/>
    <row r="55732" customFormat="1" x14ac:dyDescent="0.3"/>
    <row r="55733" customFormat="1" x14ac:dyDescent="0.3"/>
    <row r="55734" customFormat="1" x14ac:dyDescent="0.3"/>
    <row r="55735" customFormat="1" x14ac:dyDescent="0.3"/>
    <row r="55736" customFormat="1" x14ac:dyDescent="0.3"/>
    <row r="55737" customFormat="1" x14ac:dyDescent="0.3"/>
    <row r="55738" customFormat="1" x14ac:dyDescent="0.3"/>
    <row r="55739" customFormat="1" x14ac:dyDescent="0.3"/>
    <row r="55740" customFormat="1" x14ac:dyDescent="0.3"/>
    <row r="55741" customFormat="1" x14ac:dyDescent="0.3"/>
    <row r="55742" customFormat="1" x14ac:dyDescent="0.3"/>
    <row r="55743" customFormat="1" x14ac:dyDescent="0.3"/>
    <row r="55744" customFormat="1" x14ac:dyDescent="0.3"/>
    <row r="55745" customFormat="1" x14ac:dyDescent="0.3"/>
    <row r="55746" customFormat="1" x14ac:dyDescent="0.3"/>
    <row r="55747" customFormat="1" x14ac:dyDescent="0.3"/>
    <row r="55748" customFormat="1" x14ac:dyDescent="0.3"/>
    <row r="55749" customFormat="1" x14ac:dyDescent="0.3"/>
    <row r="55750" customFormat="1" x14ac:dyDescent="0.3"/>
    <row r="55751" customFormat="1" x14ac:dyDescent="0.3"/>
    <row r="55752" customFormat="1" x14ac:dyDescent="0.3"/>
    <row r="55753" customFormat="1" x14ac:dyDescent="0.3"/>
    <row r="55754" customFormat="1" x14ac:dyDescent="0.3"/>
    <row r="55755" customFormat="1" x14ac:dyDescent="0.3"/>
    <row r="55756" customFormat="1" x14ac:dyDescent="0.3"/>
    <row r="55757" customFormat="1" x14ac:dyDescent="0.3"/>
    <row r="55758" customFormat="1" x14ac:dyDescent="0.3"/>
    <row r="55759" customFormat="1" x14ac:dyDescent="0.3"/>
    <row r="55760" customFormat="1" x14ac:dyDescent="0.3"/>
    <row r="55761" customFormat="1" x14ac:dyDescent="0.3"/>
    <row r="55762" customFormat="1" x14ac:dyDescent="0.3"/>
    <row r="55763" customFormat="1" x14ac:dyDescent="0.3"/>
    <row r="55764" customFormat="1" x14ac:dyDescent="0.3"/>
    <row r="55765" customFormat="1" x14ac:dyDescent="0.3"/>
    <row r="55766" customFormat="1" x14ac:dyDescent="0.3"/>
    <row r="55767" customFormat="1" x14ac:dyDescent="0.3"/>
    <row r="55768" customFormat="1" x14ac:dyDescent="0.3"/>
    <row r="55769" customFormat="1" x14ac:dyDescent="0.3"/>
    <row r="55770" customFormat="1" x14ac:dyDescent="0.3"/>
    <row r="55771" customFormat="1" x14ac:dyDescent="0.3"/>
    <row r="55772" customFormat="1" x14ac:dyDescent="0.3"/>
    <row r="55773" customFormat="1" x14ac:dyDescent="0.3"/>
    <row r="55774" customFormat="1" x14ac:dyDescent="0.3"/>
    <row r="55775" customFormat="1" x14ac:dyDescent="0.3"/>
    <row r="55776" customFormat="1" x14ac:dyDescent="0.3"/>
    <row r="55777" customFormat="1" x14ac:dyDescent="0.3"/>
    <row r="55778" customFormat="1" x14ac:dyDescent="0.3"/>
    <row r="55779" customFormat="1" x14ac:dyDescent="0.3"/>
    <row r="55780" customFormat="1" x14ac:dyDescent="0.3"/>
    <row r="55781" customFormat="1" x14ac:dyDescent="0.3"/>
    <row r="55782" customFormat="1" x14ac:dyDescent="0.3"/>
    <row r="55783" customFormat="1" x14ac:dyDescent="0.3"/>
    <row r="55784" customFormat="1" x14ac:dyDescent="0.3"/>
    <row r="55785" customFormat="1" x14ac:dyDescent="0.3"/>
    <row r="55786" customFormat="1" x14ac:dyDescent="0.3"/>
    <row r="55787" customFormat="1" x14ac:dyDescent="0.3"/>
    <row r="55788" customFormat="1" x14ac:dyDescent="0.3"/>
    <row r="55789" customFormat="1" x14ac:dyDescent="0.3"/>
    <row r="55790" customFormat="1" x14ac:dyDescent="0.3"/>
    <row r="55791" customFormat="1" x14ac:dyDescent="0.3"/>
    <row r="55792" customFormat="1" x14ac:dyDescent="0.3"/>
    <row r="55793" customFormat="1" x14ac:dyDescent="0.3"/>
    <row r="55794" customFormat="1" x14ac:dyDescent="0.3"/>
    <row r="55795" customFormat="1" x14ac:dyDescent="0.3"/>
    <row r="55796" customFormat="1" x14ac:dyDescent="0.3"/>
    <row r="55797" customFormat="1" x14ac:dyDescent="0.3"/>
    <row r="55798" customFormat="1" x14ac:dyDescent="0.3"/>
    <row r="55799" customFormat="1" x14ac:dyDescent="0.3"/>
    <row r="55800" customFormat="1" x14ac:dyDescent="0.3"/>
    <row r="55801" customFormat="1" x14ac:dyDescent="0.3"/>
    <row r="55802" customFormat="1" x14ac:dyDescent="0.3"/>
    <row r="55803" customFormat="1" x14ac:dyDescent="0.3"/>
    <row r="55804" customFormat="1" x14ac:dyDescent="0.3"/>
    <row r="55805" customFormat="1" x14ac:dyDescent="0.3"/>
    <row r="55806" customFormat="1" x14ac:dyDescent="0.3"/>
    <row r="55807" customFormat="1" x14ac:dyDescent="0.3"/>
    <row r="55808" customFormat="1" x14ac:dyDescent="0.3"/>
    <row r="55809" customFormat="1" x14ac:dyDescent="0.3"/>
    <row r="55810" customFormat="1" x14ac:dyDescent="0.3"/>
    <row r="55811" customFormat="1" x14ac:dyDescent="0.3"/>
    <row r="55812" customFormat="1" x14ac:dyDescent="0.3"/>
    <row r="55813" customFormat="1" x14ac:dyDescent="0.3"/>
    <row r="55814" customFormat="1" x14ac:dyDescent="0.3"/>
    <row r="55815" customFormat="1" x14ac:dyDescent="0.3"/>
    <row r="55816" customFormat="1" x14ac:dyDescent="0.3"/>
    <row r="55817" customFormat="1" x14ac:dyDescent="0.3"/>
    <row r="55818" customFormat="1" x14ac:dyDescent="0.3"/>
    <row r="55819" customFormat="1" x14ac:dyDescent="0.3"/>
    <row r="55820" customFormat="1" x14ac:dyDescent="0.3"/>
    <row r="55821" customFormat="1" x14ac:dyDescent="0.3"/>
    <row r="55822" customFormat="1" x14ac:dyDescent="0.3"/>
    <row r="55823" customFormat="1" x14ac:dyDescent="0.3"/>
    <row r="55824" customFormat="1" x14ac:dyDescent="0.3"/>
    <row r="55825" customFormat="1" x14ac:dyDescent="0.3"/>
    <row r="55826" customFormat="1" x14ac:dyDescent="0.3"/>
    <row r="55827" customFormat="1" x14ac:dyDescent="0.3"/>
    <row r="55828" customFormat="1" x14ac:dyDescent="0.3"/>
    <row r="55829" customFormat="1" x14ac:dyDescent="0.3"/>
    <row r="55830" customFormat="1" x14ac:dyDescent="0.3"/>
    <row r="55831" customFormat="1" x14ac:dyDescent="0.3"/>
    <row r="55832" customFormat="1" x14ac:dyDescent="0.3"/>
    <row r="55833" customFormat="1" x14ac:dyDescent="0.3"/>
    <row r="55834" customFormat="1" x14ac:dyDescent="0.3"/>
    <row r="55835" customFormat="1" x14ac:dyDescent="0.3"/>
    <row r="55836" customFormat="1" x14ac:dyDescent="0.3"/>
    <row r="55837" customFormat="1" x14ac:dyDescent="0.3"/>
    <row r="55838" customFormat="1" x14ac:dyDescent="0.3"/>
    <row r="55839" customFormat="1" x14ac:dyDescent="0.3"/>
    <row r="55840" customFormat="1" x14ac:dyDescent="0.3"/>
    <row r="55841" customFormat="1" x14ac:dyDescent="0.3"/>
    <row r="55842" customFormat="1" x14ac:dyDescent="0.3"/>
    <row r="55843" customFormat="1" x14ac:dyDescent="0.3"/>
    <row r="55844" customFormat="1" x14ac:dyDescent="0.3"/>
    <row r="55845" customFormat="1" x14ac:dyDescent="0.3"/>
    <row r="55846" customFormat="1" x14ac:dyDescent="0.3"/>
    <row r="55847" customFormat="1" x14ac:dyDescent="0.3"/>
    <row r="55848" customFormat="1" x14ac:dyDescent="0.3"/>
    <row r="55849" customFormat="1" x14ac:dyDescent="0.3"/>
    <row r="55850" customFormat="1" x14ac:dyDescent="0.3"/>
    <row r="55851" customFormat="1" x14ac:dyDescent="0.3"/>
    <row r="55852" customFormat="1" x14ac:dyDescent="0.3"/>
    <row r="55853" customFormat="1" x14ac:dyDescent="0.3"/>
    <row r="55854" customFormat="1" x14ac:dyDescent="0.3"/>
    <row r="55855" customFormat="1" x14ac:dyDescent="0.3"/>
    <row r="55856" customFormat="1" x14ac:dyDescent="0.3"/>
    <row r="55857" customFormat="1" x14ac:dyDescent="0.3"/>
    <row r="55858" customFormat="1" x14ac:dyDescent="0.3"/>
    <row r="55859" customFormat="1" x14ac:dyDescent="0.3"/>
    <row r="55860" customFormat="1" x14ac:dyDescent="0.3"/>
    <row r="55861" customFormat="1" x14ac:dyDescent="0.3"/>
    <row r="55862" customFormat="1" x14ac:dyDescent="0.3"/>
    <row r="55863" customFormat="1" x14ac:dyDescent="0.3"/>
    <row r="55864" customFormat="1" x14ac:dyDescent="0.3"/>
    <row r="55865" customFormat="1" x14ac:dyDescent="0.3"/>
    <row r="55866" customFormat="1" x14ac:dyDescent="0.3"/>
    <row r="55867" customFormat="1" x14ac:dyDescent="0.3"/>
    <row r="55868" customFormat="1" x14ac:dyDescent="0.3"/>
    <row r="55869" customFormat="1" x14ac:dyDescent="0.3"/>
    <row r="55870" customFormat="1" x14ac:dyDescent="0.3"/>
    <row r="55871" customFormat="1" x14ac:dyDescent="0.3"/>
    <row r="55872" customFormat="1" x14ac:dyDescent="0.3"/>
    <row r="55873" customFormat="1" x14ac:dyDescent="0.3"/>
    <row r="55874" customFormat="1" x14ac:dyDescent="0.3"/>
    <row r="55875" customFormat="1" x14ac:dyDescent="0.3"/>
    <row r="55876" customFormat="1" x14ac:dyDescent="0.3"/>
    <row r="55877" customFormat="1" x14ac:dyDescent="0.3"/>
    <row r="55878" customFormat="1" x14ac:dyDescent="0.3"/>
    <row r="55879" customFormat="1" x14ac:dyDescent="0.3"/>
    <row r="55880" customFormat="1" x14ac:dyDescent="0.3"/>
    <row r="55881" customFormat="1" x14ac:dyDescent="0.3"/>
    <row r="55882" customFormat="1" x14ac:dyDescent="0.3"/>
    <row r="55883" customFormat="1" x14ac:dyDescent="0.3"/>
    <row r="55884" customFormat="1" x14ac:dyDescent="0.3"/>
    <row r="55885" customFormat="1" x14ac:dyDescent="0.3"/>
    <row r="55886" customFormat="1" x14ac:dyDescent="0.3"/>
    <row r="55887" customFormat="1" x14ac:dyDescent="0.3"/>
    <row r="55888" customFormat="1" x14ac:dyDescent="0.3"/>
    <row r="55889" customFormat="1" x14ac:dyDescent="0.3"/>
    <row r="55890" customFormat="1" x14ac:dyDescent="0.3"/>
    <row r="55891" customFormat="1" x14ac:dyDescent="0.3"/>
    <row r="55892" customFormat="1" x14ac:dyDescent="0.3"/>
    <row r="55893" customFormat="1" x14ac:dyDescent="0.3"/>
    <row r="55894" customFormat="1" x14ac:dyDescent="0.3"/>
    <row r="55895" customFormat="1" x14ac:dyDescent="0.3"/>
    <row r="55896" customFormat="1" x14ac:dyDescent="0.3"/>
    <row r="55897" customFormat="1" x14ac:dyDescent="0.3"/>
    <row r="55898" customFormat="1" x14ac:dyDescent="0.3"/>
    <row r="55899" customFormat="1" x14ac:dyDescent="0.3"/>
    <row r="55900" customFormat="1" x14ac:dyDescent="0.3"/>
    <row r="55901" customFormat="1" x14ac:dyDescent="0.3"/>
    <row r="55902" customFormat="1" x14ac:dyDescent="0.3"/>
    <row r="55903" customFormat="1" x14ac:dyDescent="0.3"/>
    <row r="55904" customFormat="1" x14ac:dyDescent="0.3"/>
    <row r="55905" customFormat="1" x14ac:dyDescent="0.3"/>
    <row r="55906" customFormat="1" x14ac:dyDescent="0.3"/>
    <row r="55907" customFormat="1" x14ac:dyDescent="0.3"/>
    <row r="55908" customFormat="1" x14ac:dyDescent="0.3"/>
    <row r="55909" customFormat="1" x14ac:dyDescent="0.3"/>
    <row r="55910" customFormat="1" x14ac:dyDescent="0.3"/>
    <row r="55911" customFormat="1" x14ac:dyDescent="0.3"/>
    <row r="55912" customFormat="1" x14ac:dyDescent="0.3"/>
    <row r="55913" customFormat="1" x14ac:dyDescent="0.3"/>
    <row r="55914" customFormat="1" x14ac:dyDescent="0.3"/>
    <row r="55915" customFormat="1" x14ac:dyDescent="0.3"/>
    <row r="55916" customFormat="1" x14ac:dyDescent="0.3"/>
    <row r="55917" customFormat="1" x14ac:dyDescent="0.3"/>
    <row r="55918" customFormat="1" x14ac:dyDescent="0.3"/>
    <row r="55919" customFormat="1" x14ac:dyDescent="0.3"/>
    <row r="55920" customFormat="1" x14ac:dyDescent="0.3"/>
    <row r="55921" customFormat="1" x14ac:dyDescent="0.3"/>
    <row r="55922" customFormat="1" x14ac:dyDescent="0.3"/>
    <row r="55923" customFormat="1" x14ac:dyDescent="0.3"/>
    <row r="55924" customFormat="1" x14ac:dyDescent="0.3"/>
    <row r="55925" customFormat="1" x14ac:dyDescent="0.3"/>
    <row r="55926" customFormat="1" x14ac:dyDescent="0.3"/>
    <row r="55927" customFormat="1" x14ac:dyDescent="0.3"/>
    <row r="55928" customFormat="1" x14ac:dyDescent="0.3"/>
    <row r="55929" customFormat="1" x14ac:dyDescent="0.3"/>
    <row r="55930" customFormat="1" x14ac:dyDescent="0.3"/>
    <row r="55931" customFormat="1" x14ac:dyDescent="0.3"/>
    <row r="55932" customFormat="1" x14ac:dyDescent="0.3"/>
    <row r="55933" customFormat="1" x14ac:dyDescent="0.3"/>
    <row r="55934" customFormat="1" x14ac:dyDescent="0.3"/>
    <row r="55935" customFormat="1" x14ac:dyDescent="0.3"/>
    <row r="55936" customFormat="1" x14ac:dyDescent="0.3"/>
    <row r="55937" customFormat="1" x14ac:dyDescent="0.3"/>
    <row r="55938" customFormat="1" x14ac:dyDescent="0.3"/>
    <row r="55939" customFormat="1" x14ac:dyDescent="0.3"/>
    <row r="55940" customFormat="1" x14ac:dyDescent="0.3"/>
    <row r="55941" customFormat="1" x14ac:dyDescent="0.3"/>
    <row r="55942" customFormat="1" x14ac:dyDescent="0.3"/>
    <row r="55943" customFormat="1" x14ac:dyDescent="0.3"/>
    <row r="55944" customFormat="1" x14ac:dyDescent="0.3"/>
    <row r="55945" customFormat="1" x14ac:dyDescent="0.3"/>
    <row r="55946" customFormat="1" x14ac:dyDescent="0.3"/>
    <row r="55947" customFormat="1" x14ac:dyDescent="0.3"/>
    <row r="55948" customFormat="1" x14ac:dyDescent="0.3"/>
    <row r="55949" customFormat="1" x14ac:dyDescent="0.3"/>
    <row r="55950" customFormat="1" x14ac:dyDescent="0.3"/>
    <row r="55951" customFormat="1" x14ac:dyDescent="0.3"/>
    <row r="55952" customFormat="1" x14ac:dyDescent="0.3"/>
    <row r="55953" customFormat="1" x14ac:dyDescent="0.3"/>
    <row r="55954" customFormat="1" x14ac:dyDescent="0.3"/>
    <row r="55955" customFormat="1" x14ac:dyDescent="0.3"/>
    <row r="55956" customFormat="1" x14ac:dyDescent="0.3"/>
    <row r="55957" customFormat="1" x14ac:dyDescent="0.3"/>
    <row r="55958" customFormat="1" x14ac:dyDescent="0.3"/>
    <row r="55959" customFormat="1" x14ac:dyDescent="0.3"/>
    <row r="55960" customFormat="1" x14ac:dyDescent="0.3"/>
    <row r="55961" customFormat="1" x14ac:dyDescent="0.3"/>
    <row r="55962" customFormat="1" x14ac:dyDescent="0.3"/>
    <row r="55963" customFormat="1" x14ac:dyDescent="0.3"/>
    <row r="55964" customFormat="1" x14ac:dyDescent="0.3"/>
    <row r="55965" customFormat="1" x14ac:dyDescent="0.3"/>
    <row r="55966" customFormat="1" x14ac:dyDescent="0.3"/>
    <row r="55967" customFormat="1" x14ac:dyDescent="0.3"/>
    <row r="55968" customFormat="1" x14ac:dyDescent="0.3"/>
    <row r="55969" customFormat="1" x14ac:dyDescent="0.3"/>
    <row r="55970" customFormat="1" x14ac:dyDescent="0.3"/>
    <row r="55971" customFormat="1" x14ac:dyDescent="0.3"/>
    <row r="55972" customFormat="1" x14ac:dyDescent="0.3"/>
    <row r="55973" customFormat="1" x14ac:dyDescent="0.3"/>
    <row r="55974" customFormat="1" x14ac:dyDescent="0.3"/>
    <row r="55975" customFormat="1" x14ac:dyDescent="0.3"/>
    <row r="55976" customFormat="1" x14ac:dyDescent="0.3"/>
    <row r="55977" customFormat="1" x14ac:dyDescent="0.3"/>
    <row r="55978" customFormat="1" x14ac:dyDescent="0.3"/>
    <row r="55979" customFormat="1" x14ac:dyDescent="0.3"/>
    <row r="55980" customFormat="1" x14ac:dyDescent="0.3"/>
    <row r="55981" customFormat="1" x14ac:dyDescent="0.3"/>
    <row r="55982" customFormat="1" x14ac:dyDescent="0.3"/>
    <row r="55983" customFormat="1" x14ac:dyDescent="0.3"/>
    <row r="55984" customFormat="1" x14ac:dyDescent="0.3"/>
    <row r="55985" customFormat="1" x14ac:dyDescent="0.3"/>
    <row r="55986" customFormat="1" x14ac:dyDescent="0.3"/>
    <row r="55987" customFormat="1" x14ac:dyDescent="0.3"/>
    <row r="55988" customFormat="1" x14ac:dyDescent="0.3"/>
    <row r="55989" customFormat="1" x14ac:dyDescent="0.3"/>
    <row r="55990" customFormat="1" x14ac:dyDescent="0.3"/>
    <row r="55991" customFormat="1" x14ac:dyDescent="0.3"/>
    <row r="55992" customFormat="1" x14ac:dyDescent="0.3"/>
    <row r="55993" customFormat="1" x14ac:dyDescent="0.3"/>
    <row r="55994" customFormat="1" x14ac:dyDescent="0.3"/>
    <row r="55995" customFormat="1" x14ac:dyDescent="0.3"/>
    <row r="55996" customFormat="1" x14ac:dyDescent="0.3"/>
    <row r="55997" customFormat="1" x14ac:dyDescent="0.3"/>
    <row r="55998" customFormat="1" x14ac:dyDescent="0.3"/>
    <row r="55999" customFormat="1" x14ac:dyDescent="0.3"/>
    <row r="56000" customFormat="1" x14ac:dyDescent="0.3"/>
    <row r="56001" customFormat="1" x14ac:dyDescent="0.3"/>
    <row r="56002" customFormat="1" x14ac:dyDescent="0.3"/>
    <row r="56003" customFormat="1" x14ac:dyDescent="0.3"/>
    <row r="56004" customFormat="1" x14ac:dyDescent="0.3"/>
    <row r="56005" customFormat="1" x14ac:dyDescent="0.3"/>
    <row r="56006" customFormat="1" x14ac:dyDescent="0.3"/>
    <row r="56007" customFormat="1" x14ac:dyDescent="0.3"/>
    <row r="56008" customFormat="1" x14ac:dyDescent="0.3"/>
    <row r="56009" customFormat="1" x14ac:dyDescent="0.3"/>
    <row r="56010" customFormat="1" x14ac:dyDescent="0.3"/>
    <row r="56011" customFormat="1" x14ac:dyDescent="0.3"/>
    <row r="56012" customFormat="1" x14ac:dyDescent="0.3"/>
    <row r="56013" customFormat="1" x14ac:dyDescent="0.3"/>
    <row r="56014" customFormat="1" x14ac:dyDescent="0.3"/>
    <row r="56015" customFormat="1" x14ac:dyDescent="0.3"/>
    <row r="56016" customFormat="1" x14ac:dyDescent="0.3"/>
    <row r="56017" customFormat="1" x14ac:dyDescent="0.3"/>
    <row r="56018" customFormat="1" x14ac:dyDescent="0.3"/>
    <row r="56019" customFormat="1" x14ac:dyDescent="0.3"/>
    <row r="56020" customFormat="1" x14ac:dyDescent="0.3"/>
    <row r="56021" customFormat="1" x14ac:dyDescent="0.3"/>
    <row r="56022" customFormat="1" x14ac:dyDescent="0.3"/>
    <row r="56023" customFormat="1" x14ac:dyDescent="0.3"/>
    <row r="56024" customFormat="1" x14ac:dyDescent="0.3"/>
    <row r="56025" customFormat="1" x14ac:dyDescent="0.3"/>
    <row r="56026" customFormat="1" x14ac:dyDescent="0.3"/>
    <row r="56027" customFormat="1" x14ac:dyDescent="0.3"/>
    <row r="56028" customFormat="1" x14ac:dyDescent="0.3"/>
    <row r="56029" customFormat="1" x14ac:dyDescent="0.3"/>
    <row r="56030" customFormat="1" x14ac:dyDescent="0.3"/>
    <row r="56031" customFormat="1" x14ac:dyDescent="0.3"/>
    <row r="56032" customFormat="1" x14ac:dyDescent="0.3"/>
    <row r="56033" customFormat="1" x14ac:dyDescent="0.3"/>
    <row r="56034" customFormat="1" x14ac:dyDescent="0.3"/>
    <row r="56035" customFormat="1" x14ac:dyDescent="0.3"/>
    <row r="56036" customFormat="1" x14ac:dyDescent="0.3"/>
    <row r="56037" customFormat="1" x14ac:dyDescent="0.3"/>
    <row r="56038" customFormat="1" x14ac:dyDescent="0.3"/>
    <row r="56039" customFormat="1" x14ac:dyDescent="0.3"/>
    <row r="56040" customFormat="1" x14ac:dyDescent="0.3"/>
    <row r="56041" customFormat="1" x14ac:dyDescent="0.3"/>
    <row r="56042" customFormat="1" x14ac:dyDescent="0.3"/>
    <row r="56043" customFormat="1" x14ac:dyDescent="0.3"/>
    <row r="56044" customFormat="1" x14ac:dyDescent="0.3"/>
    <row r="56045" customFormat="1" x14ac:dyDescent="0.3"/>
    <row r="56046" customFormat="1" x14ac:dyDescent="0.3"/>
    <row r="56047" customFormat="1" x14ac:dyDescent="0.3"/>
    <row r="56048" customFormat="1" x14ac:dyDescent="0.3"/>
    <row r="56049" customFormat="1" x14ac:dyDescent="0.3"/>
    <row r="56050" customFormat="1" x14ac:dyDescent="0.3"/>
    <row r="56051" customFormat="1" x14ac:dyDescent="0.3"/>
    <row r="56052" customFormat="1" x14ac:dyDescent="0.3"/>
    <row r="56053" customFormat="1" x14ac:dyDescent="0.3"/>
    <row r="56054" customFormat="1" x14ac:dyDescent="0.3"/>
    <row r="56055" customFormat="1" x14ac:dyDescent="0.3"/>
    <row r="56056" customFormat="1" x14ac:dyDescent="0.3"/>
    <row r="56057" customFormat="1" x14ac:dyDescent="0.3"/>
    <row r="56058" customFormat="1" x14ac:dyDescent="0.3"/>
    <row r="56059" customFormat="1" x14ac:dyDescent="0.3"/>
    <row r="56060" customFormat="1" x14ac:dyDescent="0.3"/>
    <row r="56061" customFormat="1" x14ac:dyDescent="0.3"/>
    <row r="56062" customFormat="1" x14ac:dyDescent="0.3"/>
    <row r="56063" customFormat="1" x14ac:dyDescent="0.3"/>
    <row r="56064" customFormat="1" x14ac:dyDescent="0.3"/>
    <row r="56065" customFormat="1" x14ac:dyDescent="0.3"/>
    <row r="56066" customFormat="1" x14ac:dyDescent="0.3"/>
    <row r="56067" customFormat="1" x14ac:dyDescent="0.3"/>
    <row r="56068" customFormat="1" x14ac:dyDescent="0.3"/>
    <row r="56069" customFormat="1" x14ac:dyDescent="0.3"/>
    <row r="56070" customFormat="1" x14ac:dyDescent="0.3"/>
    <row r="56071" customFormat="1" x14ac:dyDescent="0.3"/>
    <row r="56072" customFormat="1" x14ac:dyDescent="0.3"/>
    <row r="56073" customFormat="1" x14ac:dyDescent="0.3"/>
    <row r="56074" customFormat="1" x14ac:dyDescent="0.3"/>
    <row r="56075" customFormat="1" x14ac:dyDescent="0.3"/>
    <row r="56076" customFormat="1" x14ac:dyDescent="0.3"/>
    <row r="56077" customFormat="1" x14ac:dyDescent="0.3"/>
    <row r="56078" customFormat="1" x14ac:dyDescent="0.3"/>
    <row r="56079" customFormat="1" x14ac:dyDescent="0.3"/>
    <row r="56080" customFormat="1" x14ac:dyDescent="0.3"/>
    <row r="56081" customFormat="1" x14ac:dyDescent="0.3"/>
    <row r="56082" customFormat="1" x14ac:dyDescent="0.3"/>
    <row r="56083" customFormat="1" x14ac:dyDescent="0.3"/>
    <row r="56084" customFormat="1" x14ac:dyDescent="0.3"/>
    <row r="56085" customFormat="1" x14ac:dyDescent="0.3"/>
    <row r="56086" customFormat="1" x14ac:dyDescent="0.3"/>
    <row r="56087" customFormat="1" x14ac:dyDescent="0.3"/>
    <row r="56088" customFormat="1" x14ac:dyDescent="0.3"/>
    <row r="56089" customFormat="1" x14ac:dyDescent="0.3"/>
    <row r="56090" customFormat="1" x14ac:dyDescent="0.3"/>
    <row r="56091" customFormat="1" x14ac:dyDescent="0.3"/>
    <row r="56092" customFormat="1" x14ac:dyDescent="0.3"/>
    <row r="56093" customFormat="1" x14ac:dyDescent="0.3"/>
    <row r="56094" customFormat="1" x14ac:dyDescent="0.3"/>
    <row r="56095" customFormat="1" x14ac:dyDescent="0.3"/>
    <row r="56096" customFormat="1" x14ac:dyDescent="0.3"/>
    <row r="56097" customFormat="1" x14ac:dyDescent="0.3"/>
    <row r="56098" customFormat="1" x14ac:dyDescent="0.3"/>
    <row r="56099" customFormat="1" x14ac:dyDescent="0.3"/>
    <row r="56100" customFormat="1" x14ac:dyDescent="0.3"/>
    <row r="56101" customFormat="1" x14ac:dyDescent="0.3"/>
    <row r="56102" customFormat="1" x14ac:dyDescent="0.3"/>
    <row r="56103" customFormat="1" x14ac:dyDescent="0.3"/>
    <row r="56104" customFormat="1" x14ac:dyDescent="0.3"/>
    <row r="56105" customFormat="1" x14ac:dyDescent="0.3"/>
    <row r="56106" customFormat="1" x14ac:dyDescent="0.3"/>
    <row r="56107" customFormat="1" x14ac:dyDescent="0.3"/>
    <row r="56108" customFormat="1" x14ac:dyDescent="0.3"/>
    <row r="56109" customFormat="1" x14ac:dyDescent="0.3"/>
    <row r="56110" customFormat="1" x14ac:dyDescent="0.3"/>
    <row r="56111" customFormat="1" x14ac:dyDescent="0.3"/>
    <row r="56112" customFormat="1" x14ac:dyDescent="0.3"/>
    <row r="56113" customFormat="1" x14ac:dyDescent="0.3"/>
    <row r="56114" customFormat="1" x14ac:dyDescent="0.3"/>
    <row r="56115" customFormat="1" x14ac:dyDescent="0.3"/>
    <row r="56116" customFormat="1" x14ac:dyDescent="0.3"/>
    <row r="56117" customFormat="1" x14ac:dyDescent="0.3"/>
    <row r="56118" customFormat="1" x14ac:dyDescent="0.3"/>
    <row r="56119" customFormat="1" x14ac:dyDescent="0.3"/>
    <row r="56120" customFormat="1" x14ac:dyDescent="0.3"/>
    <row r="56121" customFormat="1" x14ac:dyDescent="0.3"/>
    <row r="56122" customFormat="1" x14ac:dyDescent="0.3"/>
    <row r="56123" customFormat="1" x14ac:dyDescent="0.3"/>
    <row r="56124" customFormat="1" x14ac:dyDescent="0.3"/>
    <row r="56125" customFormat="1" x14ac:dyDescent="0.3"/>
    <row r="56126" customFormat="1" x14ac:dyDescent="0.3"/>
    <row r="56127" customFormat="1" x14ac:dyDescent="0.3"/>
    <row r="56128" customFormat="1" x14ac:dyDescent="0.3"/>
    <row r="56129" customFormat="1" x14ac:dyDescent="0.3"/>
    <row r="56130" customFormat="1" x14ac:dyDescent="0.3"/>
    <row r="56131" customFormat="1" x14ac:dyDescent="0.3"/>
    <row r="56132" customFormat="1" x14ac:dyDescent="0.3"/>
    <row r="56133" customFormat="1" x14ac:dyDescent="0.3"/>
    <row r="56134" customFormat="1" x14ac:dyDescent="0.3"/>
    <row r="56135" customFormat="1" x14ac:dyDescent="0.3"/>
    <row r="56136" customFormat="1" x14ac:dyDescent="0.3"/>
    <row r="56137" customFormat="1" x14ac:dyDescent="0.3"/>
    <row r="56138" customFormat="1" x14ac:dyDescent="0.3"/>
    <row r="56139" customFormat="1" x14ac:dyDescent="0.3"/>
    <row r="56140" customFormat="1" x14ac:dyDescent="0.3"/>
    <row r="56141" customFormat="1" x14ac:dyDescent="0.3"/>
    <row r="56142" customFormat="1" x14ac:dyDescent="0.3"/>
    <row r="56143" customFormat="1" x14ac:dyDescent="0.3"/>
    <row r="56144" customFormat="1" x14ac:dyDescent="0.3"/>
    <row r="56145" customFormat="1" x14ac:dyDescent="0.3"/>
    <row r="56146" customFormat="1" x14ac:dyDescent="0.3"/>
    <row r="56147" customFormat="1" x14ac:dyDescent="0.3"/>
    <row r="56148" customFormat="1" x14ac:dyDescent="0.3"/>
    <row r="56149" customFormat="1" x14ac:dyDescent="0.3"/>
    <row r="56150" customFormat="1" x14ac:dyDescent="0.3"/>
    <row r="56151" customFormat="1" x14ac:dyDescent="0.3"/>
    <row r="56152" customFormat="1" x14ac:dyDescent="0.3"/>
    <row r="56153" customFormat="1" x14ac:dyDescent="0.3"/>
    <row r="56154" customFormat="1" x14ac:dyDescent="0.3"/>
    <row r="56155" customFormat="1" x14ac:dyDescent="0.3"/>
    <row r="56156" customFormat="1" x14ac:dyDescent="0.3"/>
    <row r="56157" customFormat="1" x14ac:dyDescent="0.3"/>
    <row r="56158" customFormat="1" x14ac:dyDescent="0.3"/>
    <row r="56159" customFormat="1" x14ac:dyDescent="0.3"/>
    <row r="56160" customFormat="1" x14ac:dyDescent="0.3"/>
    <row r="56161" customFormat="1" x14ac:dyDescent="0.3"/>
    <row r="56162" customFormat="1" x14ac:dyDescent="0.3"/>
    <row r="56163" customFormat="1" x14ac:dyDescent="0.3"/>
    <row r="56164" customFormat="1" x14ac:dyDescent="0.3"/>
    <row r="56165" customFormat="1" x14ac:dyDescent="0.3"/>
    <row r="56166" customFormat="1" x14ac:dyDescent="0.3"/>
    <row r="56167" customFormat="1" x14ac:dyDescent="0.3"/>
    <row r="56168" customFormat="1" x14ac:dyDescent="0.3"/>
    <row r="56169" customFormat="1" x14ac:dyDescent="0.3"/>
    <row r="56170" customFormat="1" x14ac:dyDescent="0.3"/>
    <row r="56171" customFormat="1" x14ac:dyDescent="0.3"/>
    <row r="56172" customFormat="1" x14ac:dyDescent="0.3"/>
    <row r="56173" customFormat="1" x14ac:dyDescent="0.3"/>
    <row r="56174" customFormat="1" x14ac:dyDescent="0.3"/>
    <row r="56175" customFormat="1" x14ac:dyDescent="0.3"/>
    <row r="56176" customFormat="1" x14ac:dyDescent="0.3"/>
    <row r="56177" customFormat="1" x14ac:dyDescent="0.3"/>
    <row r="56178" customFormat="1" x14ac:dyDescent="0.3"/>
    <row r="56179" customFormat="1" x14ac:dyDescent="0.3"/>
    <row r="56180" customFormat="1" x14ac:dyDescent="0.3"/>
    <row r="56181" customFormat="1" x14ac:dyDescent="0.3"/>
    <row r="56182" customFormat="1" x14ac:dyDescent="0.3"/>
    <row r="56183" customFormat="1" x14ac:dyDescent="0.3"/>
    <row r="56184" customFormat="1" x14ac:dyDescent="0.3"/>
    <row r="56185" customFormat="1" x14ac:dyDescent="0.3"/>
    <row r="56186" customFormat="1" x14ac:dyDescent="0.3"/>
    <row r="56187" customFormat="1" x14ac:dyDescent="0.3"/>
    <row r="56188" customFormat="1" x14ac:dyDescent="0.3"/>
    <row r="56189" customFormat="1" x14ac:dyDescent="0.3"/>
    <row r="56190" customFormat="1" x14ac:dyDescent="0.3"/>
    <row r="56191" customFormat="1" x14ac:dyDescent="0.3"/>
    <row r="56192" customFormat="1" x14ac:dyDescent="0.3"/>
    <row r="56193" customFormat="1" x14ac:dyDescent="0.3"/>
    <row r="56194" customFormat="1" x14ac:dyDescent="0.3"/>
    <row r="56195" customFormat="1" x14ac:dyDescent="0.3"/>
    <row r="56196" customFormat="1" x14ac:dyDescent="0.3"/>
    <row r="56197" customFormat="1" x14ac:dyDescent="0.3"/>
    <row r="56198" customFormat="1" x14ac:dyDescent="0.3"/>
    <row r="56199" customFormat="1" x14ac:dyDescent="0.3"/>
    <row r="56200" customFormat="1" x14ac:dyDescent="0.3"/>
    <row r="56201" customFormat="1" x14ac:dyDescent="0.3"/>
    <row r="56202" customFormat="1" x14ac:dyDescent="0.3"/>
    <row r="56203" customFormat="1" x14ac:dyDescent="0.3"/>
    <row r="56204" customFormat="1" x14ac:dyDescent="0.3"/>
    <row r="56205" customFormat="1" x14ac:dyDescent="0.3"/>
    <row r="56206" customFormat="1" x14ac:dyDescent="0.3"/>
    <row r="56207" customFormat="1" x14ac:dyDescent="0.3"/>
    <row r="56208" customFormat="1" x14ac:dyDescent="0.3"/>
    <row r="56209" customFormat="1" x14ac:dyDescent="0.3"/>
    <row r="56210" customFormat="1" x14ac:dyDescent="0.3"/>
    <row r="56211" customFormat="1" x14ac:dyDescent="0.3"/>
    <row r="56212" customFormat="1" x14ac:dyDescent="0.3"/>
    <row r="56213" customFormat="1" x14ac:dyDescent="0.3"/>
    <row r="56214" customFormat="1" x14ac:dyDescent="0.3"/>
    <row r="56215" customFormat="1" x14ac:dyDescent="0.3"/>
    <row r="56216" customFormat="1" x14ac:dyDescent="0.3"/>
    <row r="56217" customFormat="1" x14ac:dyDescent="0.3"/>
    <row r="56218" customFormat="1" x14ac:dyDescent="0.3"/>
    <row r="56219" customFormat="1" x14ac:dyDescent="0.3"/>
    <row r="56220" customFormat="1" x14ac:dyDescent="0.3"/>
    <row r="56221" customFormat="1" x14ac:dyDescent="0.3"/>
    <row r="56222" customFormat="1" x14ac:dyDescent="0.3"/>
    <row r="56223" customFormat="1" x14ac:dyDescent="0.3"/>
    <row r="56224" customFormat="1" x14ac:dyDescent="0.3"/>
    <row r="56225" customFormat="1" x14ac:dyDescent="0.3"/>
    <row r="56226" customFormat="1" x14ac:dyDescent="0.3"/>
    <row r="56227" customFormat="1" x14ac:dyDescent="0.3"/>
    <row r="56228" customFormat="1" x14ac:dyDescent="0.3"/>
    <row r="56229" customFormat="1" x14ac:dyDescent="0.3"/>
    <row r="56230" customFormat="1" x14ac:dyDescent="0.3"/>
    <row r="56231" customFormat="1" x14ac:dyDescent="0.3"/>
    <row r="56232" customFormat="1" x14ac:dyDescent="0.3"/>
    <row r="56233" customFormat="1" x14ac:dyDescent="0.3"/>
    <row r="56234" customFormat="1" x14ac:dyDescent="0.3"/>
    <row r="56235" customFormat="1" x14ac:dyDescent="0.3"/>
    <row r="56236" customFormat="1" x14ac:dyDescent="0.3"/>
    <row r="56237" customFormat="1" x14ac:dyDescent="0.3"/>
    <row r="56238" customFormat="1" x14ac:dyDescent="0.3"/>
    <row r="56239" customFormat="1" x14ac:dyDescent="0.3"/>
    <row r="56240" customFormat="1" x14ac:dyDescent="0.3"/>
    <row r="56241" customFormat="1" x14ac:dyDescent="0.3"/>
    <row r="56242" customFormat="1" x14ac:dyDescent="0.3"/>
    <row r="56243" customFormat="1" x14ac:dyDescent="0.3"/>
    <row r="56244" customFormat="1" x14ac:dyDescent="0.3"/>
    <row r="56245" customFormat="1" x14ac:dyDescent="0.3"/>
    <row r="56246" customFormat="1" x14ac:dyDescent="0.3"/>
    <row r="56247" customFormat="1" x14ac:dyDescent="0.3"/>
    <row r="56248" customFormat="1" x14ac:dyDescent="0.3"/>
    <row r="56249" customFormat="1" x14ac:dyDescent="0.3"/>
    <row r="56250" customFormat="1" x14ac:dyDescent="0.3"/>
    <row r="56251" customFormat="1" x14ac:dyDescent="0.3"/>
    <row r="56252" customFormat="1" x14ac:dyDescent="0.3"/>
    <row r="56253" customFormat="1" x14ac:dyDescent="0.3"/>
    <row r="56254" customFormat="1" x14ac:dyDescent="0.3"/>
    <row r="56255" customFormat="1" x14ac:dyDescent="0.3"/>
    <row r="56256" customFormat="1" x14ac:dyDescent="0.3"/>
    <row r="56257" customFormat="1" x14ac:dyDescent="0.3"/>
    <row r="56258" customFormat="1" x14ac:dyDescent="0.3"/>
    <row r="56259" customFormat="1" x14ac:dyDescent="0.3"/>
    <row r="56260" customFormat="1" x14ac:dyDescent="0.3"/>
    <row r="56261" customFormat="1" x14ac:dyDescent="0.3"/>
    <row r="56262" customFormat="1" x14ac:dyDescent="0.3"/>
    <row r="56263" customFormat="1" x14ac:dyDescent="0.3"/>
    <row r="56264" customFormat="1" x14ac:dyDescent="0.3"/>
    <row r="56265" customFormat="1" x14ac:dyDescent="0.3"/>
    <row r="56266" customFormat="1" x14ac:dyDescent="0.3"/>
    <row r="56267" customFormat="1" x14ac:dyDescent="0.3"/>
    <row r="56268" customFormat="1" x14ac:dyDescent="0.3"/>
    <row r="56269" customFormat="1" x14ac:dyDescent="0.3"/>
    <row r="56270" customFormat="1" x14ac:dyDescent="0.3"/>
    <row r="56271" customFormat="1" x14ac:dyDescent="0.3"/>
    <row r="56272" customFormat="1" x14ac:dyDescent="0.3"/>
    <row r="56273" customFormat="1" x14ac:dyDescent="0.3"/>
    <row r="56274" customFormat="1" x14ac:dyDescent="0.3"/>
    <row r="56275" customFormat="1" x14ac:dyDescent="0.3"/>
    <row r="56276" customFormat="1" x14ac:dyDescent="0.3"/>
    <row r="56277" customFormat="1" x14ac:dyDescent="0.3"/>
    <row r="56278" customFormat="1" x14ac:dyDescent="0.3"/>
    <row r="56279" customFormat="1" x14ac:dyDescent="0.3"/>
    <row r="56280" customFormat="1" x14ac:dyDescent="0.3"/>
    <row r="56281" customFormat="1" x14ac:dyDescent="0.3"/>
    <row r="56282" customFormat="1" x14ac:dyDescent="0.3"/>
    <row r="56283" customFormat="1" x14ac:dyDescent="0.3"/>
    <row r="56284" customFormat="1" x14ac:dyDescent="0.3"/>
    <row r="56285" customFormat="1" x14ac:dyDescent="0.3"/>
    <row r="56286" customFormat="1" x14ac:dyDescent="0.3"/>
    <row r="56287" customFormat="1" x14ac:dyDescent="0.3"/>
    <row r="56288" customFormat="1" x14ac:dyDescent="0.3"/>
    <row r="56289" customFormat="1" x14ac:dyDescent="0.3"/>
    <row r="56290" customFormat="1" x14ac:dyDescent="0.3"/>
    <row r="56291" customFormat="1" x14ac:dyDescent="0.3"/>
    <row r="56292" customFormat="1" x14ac:dyDescent="0.3"/>
    <row r="56293" customFormat="1" x14ac:dyDescent="0.3"/>
    <row r="56294" customFormat="1" x14ac:dyDescent="0.3"/>
    <row r="56295" customFormat="1" x14ac:dyDescent="0.3"/>
    <row r="56296" customFormat="1" x14ac:dyDescent="0.3"/>
    <row r="56297" customFormat="1" x14ac:dyDescent="0.3"/>
    <row r="56298" customFormat="1" x14ac:dyDescent="0.3"/>
    <row r="56299" customFormat="1" x14ac:dyDescent="0.3"/>
    <row r="56300" customFormat="1" x14ac:dyDescent="0.3"/>
    <row r="56301" customFormat="1" x14ac:dyDescent="0.3"/>
    <row r="56302" customFormat="1" x14ac:dyDescent="0.3"/>
    <row r="56303" customFormat="1" x14ac:dyDescent="0.3"/>
    <row r="56304" customFormat="1" x14ac:dyDescent="0.3"/>
    <row r="56305" customFormat="1" x14ac:dyDescent="0.3"/>
    <row r="56306" customFormat="1" x14ac:dyDescent="0.3"/>
    <row r="56307" customFormat="1" x14ac:dyDescent="0.3"/>
    <row r="56308" customFormat="1" x14ac:dyDescent="0.3"/>
    <row r="56309" customFormat="1" x14ac:dyDescent="0.3"/>
    <row r="56310" customFormat="1" x14ac:dyDescent="0.3"/>
    <row r="56311" customFormat="1" x14ac:dyDescent="0.3"/>
    <row r="56312" customFormat="1" x14ac:dyDescent="0.3"/>
    <row r="56313" customFormat="1" x14ac:dyDescent="0.3"/>
    <row r="56314" customFormat="1" x14ac:dyDescent="0.3"/>
    <row r="56315" customFormat="1" x14ac:dyDescent="0.3"/>
    <row r="56316" customFormat="1" x14ac:dyDescent="0.3"/>
    <row r="56317" customFormat="1" x14ac:dyDescent="0.3"/>
    <row r="56318" customFormat="1" x14ac:dyDescent="0.3"/>
    <row r="56319" customFormat="1" x14ac:dyDescent="0.3"/>
    <row r="56320" customFormat="1" x14ac:dyDescent="0.3"/>
    <row r="56321" customFormat="1" x14ac:dyDescent="0.3"/>
    <row r="56322" customFormat="1" x14ac:dyDescent="0.3"/>
    <row r="56323" customFormat="1" x14ac:dyDescent="0.3"/>
    <row r="56324" customFormat="1" x14ac:dyDescent="0.3"/>
    <row r="56325" customFormat="1" x14ac:dyDescent="0.3"/>
    <row r="56326" customFormat="1" x14ac:dyDescent="0.3"/>
    <row r="56327" customFormat="1" x14ac:dyDescent="0.3"/>
    <row r="56328" customFormat="1" x14ac:dyDescent="0.3"/>
    <row r="56329" customFormat="1" x14ac:dyDescent="0.3"/>
    <row r="56330" customFormat="1" x14ac:dyDescent="0.3"/>
    <row r="56331" customFormat="1" x14ac:dyDescent="0.3"/>
    <row r="56332" customFormat="1" x14ac:dyDescent="0.3"/>
    <row r="56333" customFormat="1" x14ac:dyDescent="0.3"/>
    <row r="56334" customFormat="1" x14ac:dyDescent="0.3"/>
    <row r="56335" customFormat="1" x14ac:dyDescent="0.3"/>
    <row r="56336" customFormat="1" x14ac:dyDescent="0.3"/>
    <row r="56337" customFormat="1" x14ac:dyDescent="0.3"/>
    <row r="56338" customFormat="1" x14ac:dyDescent="0.3"/>
    <row r="56339" customFormat="1" x14ac:dyDescent="0.3"/>
    <row r="56340" customFormat="1" x14ac:dyDescent="0.3"/>
    <row r="56341" customFormat="1" x14ac:dyDescent="0.3"/>
    <row r="56342" customFormat="1" x14ac:dyDescent="0.3"/>
    <row r="56343" customFormat="1" x14ac:dyDescent="0.3"/>
    <row r="56344" customFormat="1" x14ac:dyDescent="0.3"/>
    <row r="56345" customFormat="1" x14ac:dyDescent="0.3"/>
    <row r="56346" customFormat="1" x14ac:dyDescent="0.3"/>
    <row r="56347" customFormat="1" x14ac:dyDescent="0.3"/>
    <row r="56348" customFormat="1" x14ac:dyDescent="0.3"/>
    <row r="56349" customFormat="1" x14ac:dyDescent="0.3"/>
    <row r="56350" customFormat="1" x14ac:dyDescent="0.3"/>
    <row r="56351" customFormat="1" x14ac:dyDescent="0.3"/>
    <row r="56352" customFormat="1" x14ac:dyDescent="0.3"/>
    <row r="56353" customFormat="1" x14ac:dyDescent="0.3"/>
    <row r="56354" customFormat="1" x14ac:dyDescent="0.3"/>
    <row r="56355" customFormat="1" x14ac:dyDescent="0.3"/>
    <row r="56356" customFormat="1" x14ac:dyDescent="0.3"/>
    <row r="56357" customFormat="1" x14ac:dyDescent="0.3"/>
    <row r="56358" customFormat="1" x14ac:dyDescent="0.3"/>
    <row r="56359" customFormat="1" x14ac:dyDescent="0.3"/>
    <row r="56360" customFormat="1" x14ac:dyDescent="0.3"/>
    <row r="56361" customFormat="1" x14ac:dyDescent="0.3"/>
    <row r="56362" customFormat="1" x14ac:dyDescent="0.3"/>
    <row r="56363" customFormat="1" x14ac:dyDescent="0.3"/>
    <row r="56364" customFormat="1" x14ac:dyDescent="0.3"/>
    <row r="56365" customFormat="1" x14ac:dyDescent="0.3"/>
    <row r="56366" customFormat="1" x14ac:dyDescent="0.3"/>
    <row r="56367" customFormat="1" x14ac:dyDescent="0.3"/>
    <row r="56368" customFormat="1" x14ac:dyDescent="0.3"/>
    <row r="56369" customFormat="1" x14ac:dyDescent="0.3"/>
    <row r="56370" customFormat="1" x14ac:dyDescent="0.3"/>
    <row r="56371" customFormat="1" x14ac:dyDescent="0.3"/>
    <row r="56372" customFormat="1" x14ac:dyDescent="0.3"/>
    <row r="56373" customFormat="1" x14ac:dyDescent="0.3"/>
    <row r="56374" customFormat="1" x14ac:dyDescent="0.3"/>
    <row r="56375" customFormat="1" x14ac:dyDescent="0.3"/>
    <row r="56376" customFormat="1" x14ac:dyDescent="0.3"/>
    <row r="56377" customFormat="1" x14ac:dyDescent="0.3"/>
    <row r="56378" customFormat="1" x14ac:dyDescent="0.3"/>
    <row r="56379" customFormat="1" x14ac:dyDescent="0.3"/>
    <row r="56380" customFormat="1" x14ac:dyDescent="0.3"/>
    <row r="56381" customFormat="1" x14ac:dyDescent="0.3"/>
    <row r="56382" customFormat="1" x14ac:dyDescent="0.3"/>
    <row r="56383" customFormat="1" x14ac:dyDescent="0.3"/>
    <row r="56384" customFormat="1" x14ac:dyDescent="0.3"/>
    <row r="56385" customFormat="1" x14ac:dyDescent="0.3"/>
    <row r="56386" customFormat="1" x14ac:dyDescent="0.3"/>
    <row r="56387" customFormat="1" x14ac:dyDescent="0.3"/>
    <row r="56388" customFormat="1" x14ac:dyDescent="0.3"/>
    <row r="56389" customFormat="1" x14ac:dyDescent="0.3"/>
    <row r="56390" customFormat="1" x14ac:dyDescent="0.3"/>
    <row r="56391" customFormat="1" x14ac:dyDescent="0.3"/>
    <row r="56392" customFormat="1" x14ac:dyDescent="0.3"/>
    <row r="56393" customFormat="1" x14ac:dyDescent="0.3"/>
    <row r="56394" customFormat="1" x14ac:dyDescent="0.3"/>
    <row r="56395" customFormat="1" x14ac:dyDescent="0.3"/>
    <row r="56396" customFormat="1" x14ac:dyDescent="0.3"/>
    <row r="56397" customFormat="1" x14ac:dyDescent="0.3"/>
    <row r="56398" customFormat="1" x14ac:dyDescent="0.3"/>
    <row r="56399" customFormat="1" x14ac:dyDescent="0.3"/>
    <row r="56400" customFormat="1" x14ac:dyDescent="0.3"/>
    <row r="56401" customFormat="1" x14ac:dyDescent="0.3"/>
    <row r="56402" customFormat="1" x14ac:dyDescent="0.3"/>
    <row r="56403" customFormat="1" x14ac:dyDescent="0.3"/>
    <row r="56404" customFormat="1" x14ac:dyDescent="0.3"/>
    <row r="56405" customFormat="1" x14ac:dyDescent="0.3"/>
    <row r="56406" customFormat="1" x14ac:dyDescent="0.3"/>
    <row r="56407" customFormat="1" x14ac:dyDescent="0.3"/>
    <row r="56408" customFormat="1" x14ac:dyDescent="0.3"/>
    <row r="56409" customFormat="1" x14ac:dyDescent="0.3"/>
    <row r="56410" customFormat="1" x14ac:dyDescent="0.3"/>
    <row r="56411" customFormat="1" x14ac:dyDescent="0.3"/>
    <row r="56412" customFormat="1" x14ac:dyDescent="0.3"/>
    <row r="56413" customFormat="1" x14ac:dyDescent="0.3"/>
    <row r="56414" customFormat="1" x14ac:dyDescent="0.3"/>
    <row r="56415" customFormat="1" x14ac:dyDescent="0.3"/>
    <row r="56416" customFormat="1" x14ac:dyDescent="0.3"/>
    <row r="56417" customFormat="1" x14ac:dyDescent="0.3"/>
    <row r="56418" customFormat="1" x14ac:dyDescent="0.3"/>
    <row r="56419" customFormat="1" x14ac:dyDescent="0.3"/>
    <row r="56420" customFormat="1" x14ac:dyDescent="0.3"/>
    <row r="56421" customFormat="1" x14ac:dyDescent="0.3"/>
    <row r="56422" customFormat="1" x14ac:dyDescent="0.3"/>
    <row r="56423" customFormat="1" x14ac:dyDescent="0.3"/>
    <row r="56424" customFormat="1" x14ac:dyDescent="0.3"/>
    <row r="56425" customFormat="1" x14ac:dyDescent="0.3"/>
    <row r="56426" customFormat="1" x14ac:dyDescent="0.3"/>
    <row r="56427" customFormat="1" x14ac:dyDescent="0.3"/>
    <row r="56428" customFormat="1" x14ac:dyDescent="0.3"/>
    <row r="56429" customFormat="1" x14ac:dyDescent="0.3"/>
    <row r="56430" customFormat="1" x14ac:dyDescent="0.3"/>
    <row r="56431" customFormat="1" x14ac:dyDescent="0.3"/>
    <row r="56432" customFormat="1" x14ac:dyDescent="0.3"/>
    <row r="56433" customFormat="1" x14ac:dyDescent="0.3"/>
    <row r="56434" customFormat="1" x14ac:dyDescent="0.3"/>
    <row r="56435" customFormat="1" x14ac:dyDescent="0.3"/>
    <row r="56436" customFormat="1" x14ac:dyDescent="0.3"/>
    <row r="56437" customFormat="1" x14ac:dyDescent="0.3"/>
    <row r="56438" customFormat="1" x14ac:dyDescent="0.3"/>
    <row r="56439" customFormat="1" x14ac:dyDescent="0.3"/>
    <row r="56440" customFormat="1" x14ac:dyDescent="0.3"/>
    <row r="56441" customFormat="1" x14ac:dyDescent="0.3"/>
    <row r="56442" customFormat="1" x14ac:dyDescent="0.3"/>
    <row r="56443" customFormat="1" x14ac:dyDescent="0.3"/>
    <row r="56444" customFormat="1" x14ac:dyDescent="0.3"/>
    <row r="56445" customFormat="1" x14ac:dyDescent="0.3"/>
    <row r="56446" customFormat="1" x14ac:dyDescent="0.3"/>
    <row r="56447" customFormat="1" x14ac:dyDescent="0.3"/>
    <row r="56448" customFormat="1" x14ac:dyDescent="0.3"/>
    <row r="56449" customFormat="1" x14ac:dyDescent="0.3"/>
    <row r="56450" customFormat="1" x14ac:dyDescent="0.3"/>
    <row r="56451" customFormat="1" x14ac:dyDescent="0.3"/>
    <row r="56452" customFormat="1" x14ac:dyDescent="0.3"/>
    <row r="56453" customFormat="1" x14ac:dyDescent="0.3"/>
    <row r="56454" customFormat="1" x14ac:dyDescent="0.3"/>
    <row r="56455" customFormat="1" x14ac:dyDescent="0.3"/>
    <row r="56456" customFormat="1" x14ac:dyDescent="0.3"/>
    <row r="56457" customFormat="1" x14ac:dyDescent="0.3"/>
    <row r="56458" customFormat="1" x14ac:dyDescent="0.3"/>
    <row r="56459" customFormat="1" x14ac:dyDescent="0.3"/>
    <row r="56460" customFormat="1" x14ac:dyDescent="0.3"/>
    <row r="56461" customFormat="1" x14ac:dyDescent="0.3"/>
    <row r="56462" customFormat="1" x14ac:dyDescent="0.3"/>
    <row r="56463" customFormat="1" x14ac:dyDescent="0.3"/>
    <row r="56464" customFormat="1" x14ac:dyDescent="0.3"/>
    <row r="56465" customFormat="1" x14ac:dyDescent="0.3"/>
    <row r="56466" customFormat="1" x14ac:dyDescent="0.3"/>
    <row r="56467" customFormat="1" x14ac:dyDescent="0.3"/>
    <row r="56468" customFormat="1" x14ac:dyDescent="0.3"/>
    <row r="56469" customFormat="1" x14ac:dyDescent="0.3"/>
    <row r="56470" customFormat="1" x14ac:dyDescent="0.3"/>
    <row r="56471" customFormat="1" x14ac:dyDescent="0.3"/>
    <row r="56472" customFormat="1" x14ac:dyDescent="0.3"/>
    <row r="56473" customFormat="1" x14ac:dyDescent="0.3"/>
    <row r="56474" customFormat="1" x14ac:dyDescent="0.3"/>
    <row r="56475" customFormat="1" x14ac:dyDescent="0.3"/>
    <row r="56476" customFormat="1" x14ac:dyDescent="0.3"/>
    <row r="56477" customFormat="1" x14ac:dyDescent="0.3"/>
    <row r="56478" customFormat="1" x14ac:dyDescent="0.3"/>
    <row r="56479" customFormat="1" x14ac:dyDescent="0.3"/>
    <row r="56480" customFormat="1" x14ac:dyDescent="0.3"/>
    <row r="56481" customFormat="1" x14ac:dyDescent="0.3"/>
    <row r="56482" customFormat="1" x14ac:dyDescent="0.3"/>
    <row r="56483" customFormat="1" x14ac:dyDescent="0.3"/>
    <row r="56484" customFormat="1" x14ac:dyDescent="0.3"/>
    <row r="56485" customFormat="1" x14ac:dyDescent="0.3"/>
    <row r="56486" customFormat="1" x14ac:dyDescent="0.3"/>
    <row r="56487" customFormat="1" x14ac:dyDescent="0.3"/>
    <row r="56488" customFormat="1" x14ac:dyDescent="0.3"/>
    <row r="56489" customFormat="1" x14ac:dyDescent="0.3"/>
    <row r="56490" customFormat="1" x14ac:dyDescent="0.3"/>
    <row r="56491" customFormat="1" x14ac:dyDescent="0.3"/>
    <row r="56492" customFormat="1" x14ac:dyDescent="0.3"/>
    <row r="56493" customFormat="1" x14ac:dyDescent="0.3"/>
    <row r="56494" customFormat="1" x14ac:dyDescent="0.3"/>
    <row r="56495" customFormat="1" x14ac:dyDescent="0.3"/>
    <row r="56496" customFormat="1" x14ac:dyDescent="0.3"/>
    <row r="56497" customFormat="1" x14ac:dyDescent="0.3"/>
    <row r="56498" customFormat="1" x14ac:dyDescent="0.3"/>
    <row r="56499" customFormat="1" x14ac:dyDescent="0.3"/>
    <row r="56500" customFormat="1" x14ac:dyDescent="0.3"/>
    <row r="56501" customFormat="1" x14ac:dyDescent="0.3"/>
    <row r="56502" customFormat="1" x14ac:dyDescent="0.3"/>
    <row r="56503" customFormat="1" x14ac:dyDescent="0.3"/>
    <row r="56504" customFormat="1" x14ac:dyDescent="0.3"/>
    <row r="56505" customFormat="1" x14ac:dyDescent="0.3"/>
    <row r="56506" customFormat="1" x14ac:dyDescent="0.3"/>
    <row r="56507" customFormat="1" x14ac:dyDescent="0.3"/>
    <row r="56508" customFormat="1" x14ac:dyDescent="0.3"/>
    <row r="56509" customFormat="1" x14ac:dyDescent="0.3"/>
    <row r="56510" customFormat="1" x14ac:dyDescent="0.3"/>
    <row r="56511" customFormat="1" x14ac:dyDescent="0.3"/>
    <row r="56512" customFormat="1" x14ac:dyDescent="0.3"/>
    <row r="56513" customFormat="1" x14ac:dyDescent="0.3"/>
    <row r="56514" customFormat="1" x14ac:dyDescent="0.3"/>
    <row r="56515" customFormat="1" x14ac:dyDescent="0.3"/>
    <row r="56516" customFormat="1" x14ac:dyDescent="0.3"/>
    <row r="56517" customFormat="1" x14ac:dyDescent="0.3"/>
    <row r="56518" customFormat="1" x14ac:dyDescent="0.3"/>
    <row r="56519" customFormat="1" x14ac:dyDescent="0.3"/>
    <row r="56520" customFormat="1" x14ac:dyDescent="0.3"/>
    <row r="56521" customFormat="1" x14ac:dyDescent="0.3"/>
    <row r="56522" customFormat="1" x14ac:dyDescent="0.3"/>
    <row r="56523" customFormat="1" x14ac:dyDescent="0.3"/>
    <row r="56524" customFormat="1" x14ac:dyDescent="0.3"/>
    <row r="56525" customFormat="1" x14ac:dyDescent="0.3"/>
    <row r="56526" customFormat="1" x14ac:dyDescent="0.3"/>
    <row r="56527" customFormat="1" x14ac:dyDescent="0.3"/>
    <row r="56528" customFormat="1" x14ac:dyDescent="0.3"/>
    <row r="56529" customFormat="1" x14ac:dyDescent="0.3"/>
    <row r="56530" customFormat="1" x14ac:dyDescent="0.3"/>
    <row r="56531" customFormat="1" x14ac:dyDescent="0.3"/>
    <row r="56532" customFormat="1" x14ac:dyDescent="0.3"/>
    <row r="56533" customFormat="1" x14ac:dyDescent="0.3"/>
    <row r="56534" customFormat="1" x14ac:dyDescent="0.3"/>
    <row r="56535" customFormat="1" x14ac:dyDescent="0.3"/>
    <row r="56536" customFormat="1" x14ac:dyDescent="0.3"/>
    <row r="56537" customFormat="1" x14ac:dyDescent="0.3"/>
    <row r="56538" customFormat="1" x14ac:dyDescent="0.3"/>
    <row r="56539" customFormat="1" x14ac:dyDescent="0.3"/>
    <row r="56540" customFormat="1" x14ac:dyDescent="0.3"/>
    <row r="56541" customFormat="1" x14ac:dyDescent="0.3"/>
    <row r="56542" customFormat="1" x14ac:dyDescent="0.3"/>
    <row r="56543" customFormat="1" x14ac:dyDescent="0.3"/>
    <row r="56544" customFormat="1" x14ac:dyDescent="0.3"/>
    <row r="56545" customFormat="1" x14ac:dyDescent="0.3"/>
    <row r="56546" customFormat="1" x14ac:dyDescent="0.3"/>
    <row r="56547" customFormat="1" x14ac:dyDescent="0.3"/>
    <row r="56548" customFormat="1" x14ac:dyDescent="0.3"/>
    <row r="56549" customFormat="1" x14ac:dyDescent="0.3"/>
    <row r="56550" customFormat="1" x14ac:dyDescent="0.3"/>
    <row r="56551" customFormat="1" x14ac:dyDescent="0.3"/>
    <row r="56552" customFormat="1" x14ac:dyDescent="0.3"/>
    <row r="56553" customFormat="1" x14ac:dyDescent="0.3"/>
    <row r="56554" customFormat="1" x14ac:dyDescent="0.3"/>
    <row r="56555" customFormat="1" x14ac:dyDescent="0.3"/>
    <row r="56556" customFormat="1" x14ac:dyDescent="0.3"/>
    <row r="56557" customFormat="1" x14ac:dyDescent="0.3"/>
    <row r="56558" customFormat="1" x14ac:dyDescent="0.3"/>
    <row r="56559" customFormat="1" x14ac:dyDescent="0.3"/>
    <row r="56560" customFormat="1" x14ac:dyDescent="0.3"/>
    <row r="56561" customFormat="1" x14ac:dyDescent="0.3"/>
    <row r="56562" customFormat="1" x14ac:dyDescent="0.3"/>
    <row r="56563" customFormat="1" x14ac:dyDescent="0.3"/>
    <row r="56564" customFormat="1" x14ac:dyDescent="0.3"/>
    <row r="56565" customFormat="1" x14ac:dyDescent="0.3"/>
    <row r="56566" customFormat="1" x14ac:dyDescent="0.3"/>
    <row r="56567" customFormat="1" x14ac:dyDescent="0.3"/>
    <row r="56568" customFormat="1" x14ac:dyDescent="0.3"/>
    <row r="56569" customFormat="1" x14ac:dyDescent="0.3"/>
    <row r="56570" customFormat="1" x14ac:dyDescent="0.3"/>
    <row r="56571" customFormat="1" x14ac:dyDescent="0.3"/>
    <row r="56572" customFormat="1" x14ac:dyDescent="0.3"/>
    <row r="56573" customFormat="1" x14ac:dyDescent="0.3"/>
    <row r="56574" customFormat="1" x14ac:dyDescent="0.3"/>
    <row r="56575" customFormat="1" x14ac:dyDescent="0.3"/>
    <row r="56576" customFormat="1" x14ac:dyDescent="0.3"/>
    <row r="56577" customFormat="1" x14ac:dyDescent="0.3"/>
    <row r="56578" customFormat="1" x14ac:dyDescent="0.3"/>
    <row r="56579" customFormat="1" x14ac:dyDescent="0.3"/>
    <row r="56580" customFormat="1" x14ac:dyDescent="0.3"/>
    <row r="56581" customFormat="1" x14ac:dyDescent="0.3"/>
    <row r="56582" customFormat="1" x14ac:dyDescent="0.3"/>
    <row r="56583" customFormat="1" x14ac:dyDescent="0.3"/>
    <row r="56584" customFormat="1" x14ac:dyDescent="0.3"/>
    <row r="56585" customFormat="1" x14ac:dyDescent="0.3"/>
    <row r="56586" customFormat="1" x14ac:dyDescent="0.3"/>
    <row r="56587" customFormat="1" x14ac:dyDescent="0.3"/>
    <row r="56588" customFormat="1" x14ac:dyDescent="0.3"/>
    <row r="56589" customFormat="1" x14ac:dyDescent="0.3"/>
    <row r="56590" customFormat="1" x14ac:dyDescent="0.3"/>
    <row r="56591" customFormat="1" x14ac:dyDescent="0.3"/>
    <row r="56592" customFormat="1" x14ac:dyDescent="0.3"/>
    <row r="56593" customFormat="1" x14ac:dyDescent="0.3"/>
    <row r="56594" customFormat="1" x14ac:dyDescent="0.3"/>
    <row r="56595" customFormat="1" x14ac:dyDescent="0.3"/>
    <row r="56596" customFormat="1" x14ac:dyDescent="0.3"/>
    <row r="56597" customFormat="1" x14ac:dyDescent="0.3"/>
    <row r="56598" customFormat="1" x14ac:dyDescent="0.3"/>
    <row r="56599" customFormat="1" x14ac:dyDescent="0.3"/>
    <row r="56600" customFormat="1" x14ac:dyDescent="0.3"/>
    <row r="56601" customFormat="1" x14ac:dyDescent="0.3"/>
    <row r="56602" customFormat="1" x14ac:dyDescent="0.3"/>
    <row r="56603" customFormat="1" x14ac:dyDescent="0.3"/>
    <row r="56604" customFormat="1" x14ac:dyDescent="0.3"/>
    <row r="56605" customFormat="1" x14ac:dyDescent="0.3"/>
    <row r="56606" customFormat="1" x14ac:dyDescent="0.3"/>
    <row r="56607" customFormat="1" x14ac:dyDescent="0.3"/>
    <row r="56608" customFormat="1" x14ac:dyDescent="0.3"/>
    <row r="56609" customFormat="1" x14ac:dyDescent="0.3"/>
    <row r="56610" customFormat="1" x14ac:dyDescent="0.3"/>
    <row r="56611" customFormat="1" x14ac:dyDescent="0.3"/>
    <row r="56612" customFormat="1" x14ac:dyDescent="0.3"/>
    <row r="56613" customFormat="1" x14ac:dyDescent="0.3"/>
    <row r="56614" customFormat="1" x14ac:dyDescent="0.3"/>
    <row r="56615" customFormat="1" x14ac:dyDescent="0.3"/>
    <row r="56616" customFormat="1" x14ac:dyDescent="0.3"/>
    <row r="56617" customFormat="1" x14ac:dyDescent="0.3"/>
    <row r="56618" customFormat="1" x14ac:dyDescent="0.3"/>
    <row r="56619" customFormat="1" x14ac:dyDescent="0.3"/>
    <row r="56620" customFormat="1" x14ac:dyDescent="0.3"/>
    <row r="56621" customFormat="1" x14ac:dyDescent="0.3"/>
    <row r="56622" customFormat="1" x14ac:dyDescent="0.3"/>
    <row r="56623" customFormat="1" x14ac:dyDescent="0.3"/>
    <row r="56624" customFormat="1" x14ac:dyDescent="0.3"/>
    <row r="56625" customFormat="1" x14ac:dyDescent="0.3"/>
    <row r="56626" customFormat="1" x14ac:dyDescent="0.3"/>
    <row r="56627" customFormat="1" x14ac:dyDescent="0.3"/>
    <row r="56628" customFormat="1" x14ac:dyDescent="0.3"/>
    <row r="56629" customFormat="1" x14ac:dyDescent="0.3"/>
    <row r="56630" customFormat="1" x14ac:dyDescent="0.3"/>
    <row r="56631" customFormat="1" x14ac:dyDescent="0.3"/>
    <row r="56632" customFormat="1" x14ac:dyDescent="0.3"/>
    <row r="56633" customFormat="1" x14ac:dyDescent="0.3"/>
    <row r="56634" customFormat="1" x14ac:dyDescent="0.3"/>
    <row r="56635" customFormat="1" x14ac:dyDescent="0.3"/>
    <row r="56636" customFormat="1" x14ac:dyDescent="0.3"/>
    <row r="56637" customFormat="1" x14ac:dyDescent="0.3"/>
    <row r="56638" customFormat="1" x14ac:dyDescent="0.3"/>
    <row r="56639" customFormat="1" x14ac:dyDescent="0.3"/>
    <row r="56640" customFormat="1" x14ac:dyDescent="0.3"/>
    <row r="56641" customFormat="1" x14ac:dyDescent="0.3"/>
    <row r="56642" customFormat="1" x14ac:dyDescent="0.3"/>
    <row r="56643" customFormat="1" x14ac:dyDescent="0.3"/>
    <row r="56644" customFormat="1" x14ac:dyDescent="0.3"/>
    <row r="56645" customFormat="1" x14ac:dyDescent="0.3"/>
    <row r="56646" customFormat="1" x14ac:dyDescent="0.3"/>
    <row r="56647" customFormat="1" x14ac:dyDescent="0.3"/>
    <row r="56648" customFormat="1" x14ac:dyDescent="0.3"/>
    <row r="56649" customFormat="1" x14ac:dyDescent="0.3"/>
    <row r="56650" customFormat="1" x14ac:dyDescent="0.3"/>
    <row r="56651" customFormat="1" x14ac:dyDescent="0.3"/>
    <row r="56652" customFormat="1" x14ac:dyDescent="0.3"/>
    <row r="56653" customFormat="1" x14ac:dyDescent="0.3"/>
    <row r="56654" customFormat="1" x14ac:dyDescent="0.3"/>
    <row r="56655" customFormat="1" x14ac:dyDescent="0.3"/>
    <row r="56656" customFormat="1" x14ac:dyDescent="0.3"/>
    <row r="56657" customFormat="1" x14ac:dyDescent="0.3"/>
    <row r="56658" customFormat="1" x14ac:dyDescent="0.3"/>
    <row r="56659" customFormat="1" x14ac:dyDescent="0.3"/>
    <row r="56660" customFormat="1" x14ac:dyDescent="0.3"/>
    <row r="56661" customFormat="1" x14ac:dyDescent="0.3"/>
    <row r="56662" customFormat="1" x14ac:dyDescent="0.3"/>
    <row r="56663" customFormat="1" x14ac:dyDescent="0.3"/>
    <row r="56664" customFormat="1" x14ac:dyDescent="0.3"/>
    <row r="56665" customFormat="1" x14ac:dyDescent="0.3"/>
    <row r="56666" customFormat="1" x14ac:dyDescent="0.3"/>
    <row r="56667" customFormat="1" x14ac:dyDescent="0.3"/>
    <row r="56668" customFormat="1" x14ac:dyDescent="0.3"/>
    <row r="56669" customFormat="1" x14ac:dyDescent="0.3"/>
    <row r="56670" customFormat="1" x14ac:dyDescent="0.3"/>
    <row r="56671" customFormat="1" x14ac:dyDescent="0.3"/>
    <row r="56672" customFormat="1" x14ac:dyDescent="0.3"/>
    <row r="56673" customFormat="1" x14ac:dyDescent="0.3"/>
    <row r="56674" customFormat="1" x14ac:dyDescent="0.3"/>
    <row r="56675" customFormat="1" x14ac:dyDescent="0.3"/>
    <row r="56676" customFormat="1" x14ac:dyDescent="0.3"/>
    <row r="56677" customFormat="1" x14ac:dyDescent="0.3"/>
    <row r="56678" customFormat="1" x14ac:dyDescent="0.3"/>
    <row r="56679" customFormat="1" x14ac:dyDescent="0.3"/>
    <row r="56680" customFormat="1" x14ac:dyDescent="0.3"/>
    <row r="56681" customFormat="1" x14ac:dyDescent="0.3"/>
    <row r="56682" customFormat="1" x14ac:dyDescent="0.3"/>
    <row r="56683" customFormat="1" x14ac:dyDescent="0.3"/>
    <row r="56684" customFormat="1" x14ac:dyDescent="0.3"/>
    <row r="56685" customFormat="1" x14ac:dyDescent="0.3"/>
    <row r="56686" customFormat="1" x14ac:dyDescent="0.3"/>
    <row r="56687" customFormat="1" x14ac:dyDescent="0.3"/>
    <row r="56688" customFormat="1" x14ac:dyDescent="0.3"/>
    <row r="56689" customFormat="1" x14ac:dyDescent="0.3"/>
    <row r="56690" customFormat="1" x14ac:dyDescent="0.3"/>
    <row r="56691" customFormat="1" x14ac:dyDescent="0.3"/>
    <row r="56692" customFormat="1" x14ac:dyDescent="0.3"/>
    <row r="56693" customFormat="1" x14ac:dyDescent="0.3"/>
    <row r="56694" customFormat="1" x14ac:dyDescent="0.3"/>
    <row r="56695" customFormat="1" x14ac:dyDescent="0.3"/>
    <row r="56696" customFormat="1" x14ac:dyDescent="0.3"/>
    <row r="56697" customFormat="1" x14ac:dyDescent="0.3"/>
    <row r="56698" customFormat="1" x14ac:dyDescent="0.3"/>
    <row r="56699" customFormat="1" x14ac:dyDescent="0.3"/>
    <row r="56700" customFormat="1" x14ac:dyDescent="0.3"/>
    <row r="56701" customFormat="1" x14ac:dyDescent="0.3"/>
    <row r="56702" customFormat="1" x14ac:dyDescent="0.3"/>
    <row r="56703" customFormat="1" x14ac:dyDescent="0.3"/>
    <row r="56704" customFormat="1" x14ac:dyDescent="0.3"/>
    <row r="56705" customFormat="1" x14ac:dyDescent="0.3"/>
    <row r="56706" customFormat="1" x14ac:dyDescent="0.3"/>
    <row r="56707" customFormat="1" x14ac:dyDescent="0.3"/>
    <row r="56708" customFormat="1" x14ac:dyDescent="0.3"/>
    <row r="56709" customFormat="1" x14ac:dyDescent="0.3"/>
    <row r="56710" customFormat="1" x14ac:dyDescent="0.3"/>
    <row r="56711" customFormat="1" x14ac:dyDescent="0.3"/>
    <row r="56712" customFormat="1" x14ac:dyDescent="0.3"/>
    <row r="56713" customFormat="1" x14ac:dyDescent="0.3"/>
    <row r="56714" customFormat="1" x14ac:dyDescent="0.3"/>
    <row r="56715" customFormat="1" x14ac:dyDescent="0.3"/>
    <row r="56716" customFormat="1" x14ac:dyDescent="0.3"/>
    <row r="56717" customFormat="1" x14ac:dyDescent="0.3"/>
    <row r="56718" customFormat="1" x14ac:dyDescent="0.3"/>
    <row r="56719" customFormat="1" x14ac:dyDescent="0.3"/>
    <row r="56720" customFormat="1" x14ac:dyDescent="0.3"/>
    <row r="56721" customFormat="1" x14ac:dyDescent="0.3"/>
    <row r="56722" customFormat="1" x14ac:dyDescent="0.3"/>
    <row r="56723" customFormat="1" x14ac:dyDescent="0.3"/>
    <row r="56724" customFormat="1" x14ac:dyDescent="0.3"/>
    <row r="56725" customFormat="1" x14ac:dyDescent="0.3"/>
    <row r="56726" customFormat="1" x14ac:dyDescent="0.3"/>
    <row r="56727" customFormat="1" x14ac:dyDescent="0.3"/>
    <row r="56728" customFormat="1" x14ac:dyDescent="0.3"/>
    <row r="56729" customFormat="1" x14ac:dyDescent="0.3"/>
    <row r="56730" customFormat="1" x14ac:dyDescent="0.3"/>
    <row r="56731" customFormat="1" x14ac:dyDescent="0.3"/>
    <row r="56732" customFormat="1" x14ac:dyDescent="0.3"/>
    <row r="56733" customFormat="1" x14ac:dyDescent="0.3"/>
    <row r="56734" customFormat="1" x14ac:dyDescent="0.3"/>
    <row r="56735" customFormat="1" x14ac:dyDescent="0.3"/>
    <row r="56736" customFormat="1" x14ac:dyDescent="0.3"/>
    <row r="56737" customFormat="1" x14ac:dyDescent="0.3"/>
    <row r="56738" customFormat="1" x14ac:dyDescent="0.3"/>
    <row r="56739" customFormat="1" x14ac:dyDescent="0.3"/>
    <row r="56740" customFormat="1" x14ac:dyDescent="0.3"/>
    <row r="56741" customFormat="1" x14ac:dyDescent="0.3"/>
    <row r="56742" customFormat="1" x14ac:dyDescent="0.3"/>
    <row r="56743" customFormat="1" x14ac:dyDescent="0.3"/>
    <row r="56744" customFormat="1" x14ac:dyDescent="0.3"/>
    <row r="56745" customFormat="1" x14ac:dyDescent="0.3"/>
    <row r="56746" customFormat="1" x14ac:dyDescent="0.3"/>
    <row r="56747" customFormat="1" x14ac:dyDescent="0.3"/>
    <row r="56748" customFormat="1" x14ac:dyDescent="0.3"/>
    <row r="56749" customFormat="1" x14ac:dyDescent="0.3"/>
    <row r="56750" customFormat="1" x14ac:dyDescent="0.3"/>
    <row r="56751" customFormat="1" x14ac:dyDescent="0.3"/>
    <row r="56752" customFormat="1" x14ac:dyDescent="0.3"/>
    <row r="56753" customFormat="1" x14ac:dyDescent="0.3"/>
    <row r="56754" customFormat="1" x14ac:dyDescent="0.3"/>
    <row r="56755" customFormat="1" x14ac:dyDescent="0.3"/>
    <row r="56756" customFormat="1" x14ac:dyDescent="0.3"/>
    <row r="56757" customFormat="1" x14ac:dyDescent="0.3"/>
    <row r="56758" customFormat="1" x14ac:dyDescent="0.3"/>
    <row r="56759" customFormat="1" x14ac:dyDescent="0.3"/>
    <row r="56760" customFormat="1" x14ac:dyDescent="0.3"/>
    <row r="56761" customFormat="1" x14ac:dyDescent="0.3"/>
    <row r="56762" customFormat="1" x14ac:dyDescent="0.3"/>
    <row r="56763" customFormat="1" x14ac:dyDescent="0.3"/>
    <row r="56764" customFormat="1" x14ac:dyDescent="0.3"/>
    <row r="56765" customFormat="1" x14ac:dyDescent="0.3"/>
    <row r="56766" customFormat="1" x14ac:dyDescent="0.3"/>
    <row r="56767" customFormat="1" x14ac:dyDescent="0.3"/>
    <row r="56768" customFormat="1" x14ac:dyDescent="0.3"/>
    <row r="56769" customFormat="1" x14ac:dyDescent="0.3"/>
    <row r="56770" customFormat="1" x14ac:dyDescent="0.3"/>
    <row r="56771" customFormat="1" x14ac:dyDescent="0.3"/>
    <row r="56772" customFormat="1" x14ac:dyDescent="0.3"/>
    <row r="56773" customFormat="1" x14ac:dyDescent="0.3"/>
    <row r="56774" customFormat="1" x14ac:dyDescent="0.3"/>
    <row r="56775" customFormat="1" x14ac:dyDescent="0.3"/>
    <row r="56776" customFormat="1" x14ac:dyDescent="0.3"/>
    <row r="56777" customFormat="1" x14ac:dyDescent="0.3"/>
    <row r="56778" customFormat="1" x14ac:dyDescent="0.3"/>
    <row r="56779" customFormat="1" x14ac:dyDescent="0.3"/>
    <row r="56780" customFormat="1" x14ac:dyDescent="0.3"/>
    <row r="56781" customFormat="1" x14ac:dyDescent="0.3"/>
    <row r="56782" customFormat="1" x14ac:dyDescent="0.3"/>
    <row r="56783" customFormat="1" x14ac:dyDescent="0.3"/>
    <row r="56784" customFormat="1" x14ac:dyDescent="0.3"/>
    <row r="56785" customFormat="1" x14ac:dyDescent="0.3"/>
    <row r="56786" customFormat="1" x14ac:dyDescent="0.3"/>
    <row r="56787" customFormat="1" x14ac:dyDescent="0.3"/>
    <row r="56788" customFormat="1" x14ac:dyDescent="0.3"/>
    <row r="56789" customFormat="1" x14ac:dyDescent="0.3"/>
    <row r="56790" customFormat="1" x14ac:dyDescent="0.3"/>
    <row r="56791" customFormat="1" x14ac:dyDescent="0.3"/>
    <row r="56792" customFormat="1" x14ac:dyDescent="0.3"/>
    <row r="56793" customFormat="1" x14ac:dyDescent="0.3"/>
    <row r="56794" customFormat="1" x14ac:dyDescent="0.3"/>
    <row r="56795" customFormat="1" x14ac:dyDescent="0.3"/>
    <row r="56796" customFormat="1" x14ac:dyDescent="0.3"/>
    <row r="56797" customFormat="1" x14ac:dyDescent="0.3"/>
    <row r="56798" customFormat="1" x14ac:dyDescent="0.3"/>
    <row r="56799" customFormat="1" x14ac:dyDescent="0.3"/>
    <row r="56800" customFormat="1" x14ac:dyDescent="0.3"/>
    <row r="56801" customFormat="1" x14ac:dyDescent="0.3"/>
    <row r="56802" customFormat="1" x14ac:dyDescent="0.3"/>
    <row r="56803" customFormat="1" x14ac:dyDescent="0.3"/>
    <row r="56804" customFormat="1" x14ac:dyDescent="0.3"/>
    <row r="56805" customFormat="1" x14ac:dyDescent="0.3"/>
    <row r="56806" customFormat="1" x14ac:dyDescent="0.3"/>
    <row r="56807" customFormat="1" x14ac:dyDescent="0.3"/>
    <row r="56808" customFormat="1" x14ac:dyDescent="0.3"/>
    <row r="56809" customFormat="1" x14ac:dyDescent="0.3"/>
    <row r="56810" customFormat="1" x14ac:dyDescent="0.3"/>
    <row r="56811" customFormat="1" x14ac:dyDescent="0.3"/>
    <row r="56812" customFormat="1" x14ac:dyDescent="0.3"/>
    <row r="56813" customFormat="1" x14ac:dyDescent="0.3"/>
    <row r="56814" customFormat="1" x14ac:dyDescent="0.3"/>
    <row r="56815" customFormat="1" x14ac:dyDescent="0.3"/>
    <row r="56816" customFormat="1" x14ac:dyDescent="0.3"/>
    <row r="56817" customFormat="1" x14ac:dyDescent="0.3"/>
    <row r="56818" customFormat="1" x14ac:dyDescent="0.3"/>
    <row r="56819" customFormat="1" x14ac:dyDescent="0.3"/>
    <row r="56820" customFormat="1" x14ac:dyDescent="0.3"/>
    <row r="56821" customFormat="1" x14ac:dyDescent="0.3"/>
    <row r="56822" customFormat="1" x14ac:dyDescent="0.3"/>
    <row r="56823" customFormat="1" x14ac:dyDescent="0.3"/>
    <row r="56824" customFormat="1" x14ac:dyDescent="0.3"/>
    <row r="56825" customFormat="1" x14ac:dyDescent="0.3"/>
    <row r="56826" customFormat="1" x14ac:dyDescent="0.3"/>
    <row r="56827" customFormat="1" x14ac:dyDescent="0.3"/>
    <row r="56828" customFormat="1" x14ac:dyDescent="0.3"/>
    <row r="56829" customFormat="1" x14ac:dyDescent="0.3"/>
    <row r="56830" customFormat="1" x14ac:dyDescent="0.3"/>
    <row r="56831" customFormat="1" x14ac:dyDescent="0.3"/>
    <row r="56832" customFormat="1" x14ac:dyDescent="0.3"/>
    <row r="56833" customFormat="1" x14ac:dyDescent="0.3"/>
    <row r="56834" customFormat="1" x14ac:dyDescent="0.3"/>
    <row r="56835" customFormat="1" x14ac:dyDescent="0.3"/>
    <row r="56836" customFormat="1" x14ac:dyDescent="0.3"/>
    <row r="56837" customFormat="1" x14ac:dyDescent="0.3"/>
    <row r="56838" customFormat="1" x14ac:dyDescent="0.3"/>
    <row r="56839" customFormat="1" x14ac:dyDescent="0.3"/>
    <row r="56840" customFormat="1" x14ac:dyDescent="0.3"/>
    <row r="56841" customFormat="1" x14ac:dyDescent="0.3"/>
    <row r="56842" customFormat="1" x14ac:dyDescent="0.3"/>
    <row r="56843" customFormat="1" x14ac:dyDescent="0.3"/>
    <row r="56844" customFormat="1" x14ac:dyDescent="0.3"/>
    <row r="56845" customFormat="1" x14ac:dyDescent="0.3"/>
    <row r="56846" customFormat="1" x14ac:dyDescent="0.3"/>
    <row r="56847" customFormat="1" x14ac:dyDescent="0.3"/>
    <row r="56848" customFormat="1" x14ac:dyDescent="0.3"/>
    <row r="56849" customFormat="1" x14ac:dyDescent="0.3"/>
    <row r="56850" customFormat="1" x14ac:dyDescent="0.3"/>
    <row r="56851" customFormat="1" x14ac:dyDescent="0.3"/>
    <row r="56852" customFormat="1" x14ac:dyDescent="0.3"/>
    <row r="56853" customFormat="1" x14ac:dyDescent="0.3"/>
    <row r="56854" customFormat="1" x14ac:dyDescent="0.3"/>
    <row r="56855" customFormat="1" x14ac:dyDescent="0.3"/>
    <row r="56856" customFormat="1" x14ac:dyDescent="0.3"/>
    <row r="56857" customFormat="1" x14ac:dyDescent="0.3"/>
    <row r="56858" customFormat="1" x14ac:dyDescent="0.3"/>
    <row r="56859" customFormat="1" x14ac:dyDescent="0.3"/>
    <row r="56860" customFormat="1" x14ac:dyDescent="0.3"/>
    <row r="56861" customFormat="1" x14ac:dyDescent="0.3"/>
    <row r="56862" customFormat="1" x14ac:dyDescent="0.3"/>
    <row r="56863" customFormat="1" x14ac:dyDescent="0.3"/>
    <row r="56864" customFormat="1" x14ac:dyDescent="0.3"/>
    <row r="56865" customFormat="1" x14ac:dyDescent="0.3"/>
    <row r="56866" customFormat="1" x14ac:dyDescent="0.3"/>
    <row r="56867" customFormat="1" x14ac:dyDescent="0.3"/>
    <row r="56868" customFormat="1" x14ac:dyDescent="0.3"/>
    <row r="56869" customFormat="1" x14ac:dyDescent="0.3"/>
    <row r="56870" customFormat="1" x14ac:dyDescent="0.3"/>
    <row r="56871" customFormat="1" x14ac:dyDescent="0.3"/>
    <row r="56872" customFormat="1" x14ac:dyDescent="0.3"/>
    <row r="56873" customFormat="1" x14ac:dyDescent="0.3"/>
    <row r="56874" customFormat="1" x14ac:dyDescent="0.3"/>
    <row r="56875" customFormat="1" x14ac:dyDescent="0.3"/>
    <row r="56876" customFormat="1" x14ac:dyDescent="0.3"/>
    <row r="56877" customFormat="1" x14ac:dyDescent="0.3"/>
    <row r="56878" customFormat="1" x14ac:dyDescent="0.3"/>
    <row r="56879" customFormat="1" x14ac:dyDescent="0.3"/>
    <row r="56880" customFormat="1" x14ac:dyDescent="0.3"/>
    <row r="56881" customFormat="1" x14ac:dyDescent="0.3"/>
    <row r="56882" customFormat="1" x14ac:dyDescent="0.3"/>
    <row r="56883" customFormat="1" x14ac:dyDescent="0.3"/>
    <row r="56884" customFormat="1" x14ac:dyDescent="0.3"/>
    <row r="56885" customFormat="1" x14ac:dyDescent="0.3"/>
    <row r="56886" customFormat="1" x14ac:dyDescent="0.3"/>
    <row r="56887" customFormat="1" x14ac:dyDescent="0.3"/>
    <row r="56888" customFormat="1" x14ac:dyDescent="0.3"/>
    <row r="56889" customFormat="1" x14ac:dyDescent="0.3"/>
    <row r="56890" customFormat="1" x14ac:dyDescent="0.3"/>
    <row r="56891" customFormat="1" x14ac:dyDescent="0.3"/>
    <row r="56892" customFormat="1" x14ac:dyDescent="0.3"/>
    <row r="56893" customFormat="1" x14ac:dyDescent="0.3"/>
    <row r="56894" customFormat="1" x14ac:dyDescent="0.3"/>
    <row r="56895" customFormat="1" x14ac:dyDescent="0.3"/>
    <row r="56896" customFormat="1" x14ac:dyDescent="0.3"/>
    <row r="56897" customFormat="1" x14ac:dyDescent="0.3"/>
    <row r="56898" customFormat="1" x14ac:dyDescent="0.3"/>
    <row r="56899" customFormat="1" x14ac:dyDescent="0.3"/>
    <row r="56900" customFormat="1" x14ac:dyDescent="0.3"/>
    <row r="56901" customFormat="1" x14ac:dyDescent="0.3"/>
    <row r="56902" customFormat="1" x14ac:dyDescent="0.3"/>
    <row r="56903" customFormat="1" x14ac:dyDescent="0.3"/>
    <row r="56904" customFormat="1" x14ac:dyDescent="0.3"/>
    <row r="56905" customFormat="1" x14ac:dyDescent="0.3"/>
    <row r="56906" customFormat="1" x14ac:dyDescent="0.3"/>
    <row r="56907" customFormat="1" x14ac:dyDescent="0.3"/>
    <row r="56908" customFormat="1" x14ac:dyDescent="0.3"/>
    <row r="56909" customFormat="1" x14ac:dyDescent="0.3"/>
    <row r="56910" customFormat="1" x14ac:dyDescent="0.3"/>
    <row r="56911" customFormat="1" x14ac:dyDescent="0.3"/>
    <row r="56912" customFormat="1" x14ac:dyDescent="0.3"/>
    <row r="56913" customFormat="1" x14ac:dyDescent="0.3"/>
    <row r="56914" customFormat="1" x14ac:dyDescent="0.3"/>
    <row r="56915" customFormat="1" x14ac:dyDescent="0.3"/>
    <row r="56916" customFormat="1" x14ac:dyDescent="0.3"/>
    <row r="56917" customFormat="1" x14ac:dyDescent="0.3"/>
    <row r="56918" customFormat="1" x14ac:dyDescent="0.3"/>
    <row r="56919" customFormat="1" x14ac:dyDescent="0.3"/>
    <row r="56920" customFormat="1" x14ac:dyDescent="0.3"/>
    <row r="56921" customFormat="1" x14ac:dyDescent="0.3"/>
    <row r="56922" customFormat="1" x14ac:dyDescent="0.3"/>
    <row r="56923" customFormat="1" x14ac:dyDescent="0.3"/>
    <row r="56924" customFormat="1" x14ac:dyDescent="0.3"/>
    <row r="56925" customFormat="1" x14ac:dyDescent="0.3"/>
    <row r="56926" customFormat="1" x14ac:dyDescent="0.3"/>
    <row r="56927" customFormat="1" x14ac:dyDescent="0.3"/>
    <row r="56928" customFormat="1" x14ac:dyDescent="0.3"/>
    <row r="56929" customFormat="1" x14ac:dyDescent="0.3"/>
    <row r="56930" customFormat="1" x14ac:dyDescent="0.3"/>
    <row r="56931" customFormat="1" x14ac:dyDescent="0.3"/>
    <row r="56932" customFormat="1" x14ac:dyDescent="0.3"/>
    <row r="56933" customFormat="1" x14ac:dyDescent="0.3"/>
    <row r="56934" customFormat="1" x14ac:dyDescent="0.3"/>
    <row r="56935" customFormat="1" x14ac:dyDescent="0.3"/>
    <row r="56936" customFormat="1" x14ac:dyDescent="0.3"/>
    <row r="56937" customFormat="1" x14ac:dyDescent="0.3"/>
    <row r="56938" customFormat="1" x14ac:dyDescent="0.3"/>
    <row r="56939" customFormat="1" x14ac:dyDescent="0.3"/>
    <row r="56940" customFormat="1" x14ac:dyDescent="0.3"/>
    <row r="56941" customFormat="1" x14ac:dyDescent="0.3"/>
    <row r="56942" customFormat="1" x14ac:dyDescent="0.3"/>
    <row r="56943" customFormat="1" x14ac:dyDescent="0.3"/>
    <row r="56944" customFormat="1" x14ac:dyDescent="0.3"/>
    <row r="56945" customFormat="1" x14ac:dyDescent="0.3"/>
    <row r="56946" customFormat="1" x14ac:dyDescent="0.3"/>
    <row r="56947" customFormat="1" x14ac:dyDescent="0.3"/>
    <row r="56948" customFormat="1" x14ac:dyDescent="0.3"/>
    <row r="56949" customFormat="1" x14ac:dyDescent="0.3"/>
    <row r="56950" customFormat="1" x14ac:dyDescent="0.3"/>
    <row r="56951" customFormat="1" x14ac:dyDescent="0.3"/>
    <row r="56952" customFormat="1" x14ac:dyDescent="0.3"/>
    <row r="56953" customFormat="1" x14ac:dyDescent="0.3"/>
    <row r="56954" customFormat="1" x14ac:dyDescent="0.3"/>
    <row r="56955" customFormat="1" x14ac:dyDescent="0.3"/>
    <row r="56956" customFormat="1" x14ac:dyDescent="0.3"/>
    <row r="56957" customFormat="1" x14ac:dyDescent="0.3"/>
    <row r="56958" customFormat="1" x14ac:dyDescent="0.3"/>
    <row r="56959" customFormat="1" x14ac:dyDescent="0.3"/>
    <row r="56960" customFormat="1" x14ac:dyDescent="0.3"/>
    <row r="56961" customFormat="1" x14ac:dyDescent="0.3"/>
    <row r="56962" customFormat="1" x14ac:dyDescent="0.3"/>
    <row r="56963" customFormat="1" x14ac:dyDescent="0.3"/>
    <row r="56964" customFormat="1" x14ac:dyDescent="0.3"/>
    <row r="56965" customFormat="1" x14ac:dyDescent="0.3"/>
    <row r="56966" customFormat="1" x14ac:dyDescent="0.3"/>
    <row r="56967" customFormat="1" x14ac:dyDescent="0.3"/>
    <row r="56968" customFormat="1" x14ac:dyDescent="0.3"/>
    <row r="56969" customFormat="1" x14ac:dyDescent="0.3"/>
    <row r="56970" customFormat="1" x14ac:dyDescent="0.3"/>
    <row r="56971" customFormat="1" x14ac:dyDescent="0.3"/>
    <row r="56972" customFormat="1" x14ac:dyDescent="0.3"/>
    <row r="56973" customFormat="1" x14ac:dyDescent="0.3"/>
    <row r="56974" customFormat="1" x14ac:dyDescent="0.3"/>
    <row r="56975" customFormat="1" x14ac:dyDescent="0.3"/>
    <row r="56976" customFormat="1" x14ac:dyDescent="0.3"/>
    <row r="56977" customFormat="1" x14ac:dyDescent="0.3"/>
    <row r="56978" customFormat="1" x14ac:dyDescent="0.3"/>
    <row r="56979" customFormat="1" x14ac:dyDescent="0.3"/>
    <row r="56980" customFormat="1" x14ac:dyDescent="0.3"/>
    <row r="56981" customFormat="1" x14ac:dyDescent="0.3"/>
    <row r="56982" customFormat="1" x14ac:dyDescent="0.3"/>
    <row r="56983" customFormat="1" x14ac:dyDescent="0.3"/>
    <row r="56984" customFormat="1" x14ac:dyDescent="0.3"/>
    <row r="56985" customFormat="1" x14ac:dyDescent="0.3"/>
    <row r="56986" customFormat="1" x14ac:dyDescent="0.3"/>
    <row r="56987" customFormat="1" x14ac:dyDescent="0.3"/>
    <row r="56988" customFormat="1" x14ac:dyDescent="0.3"/>
    <row r="56989" customFormat="1" x14ac:dyDescent="0.3"/>
    <row r="56990" customFormat="1" x14ac:dyDescent="0.3"/>
    <row r="56991" customFormat="1" x14ac:dyDescent="0.3"/>
    <row r="56992" customFormat="1" x14ac:dyDescent="0.3"/>
    <row r="56993" customFormat="1" x14ac:dyDescent="0.3"/>
    <row r="56994" customFormat="1" x14ac:dyDescent="0.3"/>
    <row r="56995" customFormat="1" x14ac:dyDescent="0.3"/>
    <row r="56996" customFormat="1" x14ac:dyDescent="0.3"/>
    <row r="56997" customFormat="1" x14ac:dyDescent="0.3"/>
    <row r="56998" customFormat="1" x14ac:dyDescent="0.3"/>
    <row r="56999" customFormat="1" x14ac:dyDescent="0.3"/>
    <row r="57000" customFormat="1" x14ac:dyDescent="0.3"/>
    <row r="57001" customFormat="1" x14ac:dyDescent="0.3"/>
    <row r="57002" customFormat="1" x14ac:dyDescent="0.3"/>
    <row r="57003" customFormat="1" x14ac:dyDescent="0.3"/>
    <row r="57004" customFormat="1" x14ac:dyDescent="0.3"/>
    <row r="57005" customFormat="1" x14ac:dyDescent="0.3"/>
    <row r="57006" customFormat="1" x14ac:dyDescent="0.3"/>
    <row r="57007" customFormat="1" x14ac:dyDescent="0.3"/>
    <row r="57008" customFormat="1" x14ac:dyDescent="0.3"/>
    <row r="57009" customFormat="1" x14ac:dyDescent="0.3"/>
    <row r="57010" customFormat="1" x14ac:dyDescent="0.3"/>
    <row r="57011" customFormat="1" x14ac:dyDescent="0.3"/>
    <row r="57012" customFormat="1" x14ac:dyDescent="0.3"/>
    <row r="57013" customFormat="1" x14ac:dyDescent="0.3"/>
    <row r="57014" customFormat="1" x14ac:dyDescent="0.3"/>
    <row r="57015" customFormat="1" x14ac:dyDescent="0.3"/>
    <row r="57016" customFormat="1" x14ac:dyDescent="0.3"/>
    <row r="57017" customFormat="1" x14ac:dyDescent="0.3"/>
    <row r="57018" customFormat="1" x14ac:dyDescent="0.3"/>
    <row r="57019" customFormat="1" x14ac:dyDescent="0.3"/>
    <row r="57020" customFormat="1" x14ac:dyDescent="0.3"/>
    <row r="57021" customFormat="1" x14ac:dyDescent="0.3"/>
    <row r="57022" customFormat="1" x14ac:dyDescent="0.3"/>
    <row r="57023" customFormat="1" x14ac:dyDescent="0.3"/>
    <row r="57024" customFormat="1" x14ac:dyDescent="0.3"/>
    <row r="57025" customFormat="1" x14ac:dyDescent="0.3"/>
    <row r="57026" customFormat="1" x14ac:dyDescent="0.3"/>
    <row r="57027" customFormat="1" x14ac:dyDescent="0.3"/>
    <row r="57028" customFormat="1" x14ac:dyDescent="0.3"/>
    <row r="57029" customFormat="1" x14ac:dyDescent="0.3"/>
    <row r="57030" customFormat="1" x14ac:dyDescent="0.3"/>
    <row r="57031" customFormat="1" x14ac:dyDescent="0.3"/>
    <row r="57032" customFormat="1" x14ac:dyDescent="0.3"/>
    <row r="57033" customFormat="1" x14ac:dyDescent="0.3"/>
    <row r="57034" customFormat="1" x14ac:dyDescent="0.3"/>
    <row r="57035" customFormat="1" x14ac:dyDescent="0.3"/>
    <row r="57036" customFormat="1" x14ac:dyDescent="0.3"/>
    <row r="57037" customFormat="1" x14ac:dyDescent="0.3"/>
    <row r="57038" customFormat="1" x14ac:dyDescent="0.3"/>
    <row r="57039" customFormat="1" x14ac:dyDescent="0.3"/>
    <row r="57040" customFormat="1" x14ac:dyDescent="0.3"/>
    <row r="57041" customFormat="1" x14ac:dyDescent="0.3"/>
    <row r="57042" customFormat="1" x14ac:dyDescent="0.3"/>
    <row r="57043" customFormat="1" x14ac:dyDescent="0.3"/>
    <row r="57044" customFormat="1" x14ac:dyDescent="0.3"/>
    <row r="57045" customFormat="1" x14ac:dyDescent="0.3"/>
    <row r="57046" customFormat="1" x14ac:dyDescent="0.3"/>
    <row r="57047" customFormat="1" x14ac:dyDescent="0.3"/>
    <row r="57048" customFormat="1" x14ac:dyDescent="0.3"/>
    <row r="57049" customFormat="1" x14ac:dyDescent="0.3"/>
    <row r="57050" customFormat="1" x14ac:dyDescent="0.3"/>
    <row r="57051" customFormat="1" x14ac:dyDescent="0.3"/>
    <row r="57052" customFormat="1" x14ac:dyDescent="0.3"/>
    <row r="57053" customFormat="1" x14ac:dyDescent="0.3"/>
    <row r="57054" customFormat="1" x14ac:dyDescent="0.3"/>
    <row r="57055" customFormat="1" x14ac:dyDescent="0.3"/>
    <row r="57056" customFormat="1" x14ac:dyDescent="0.3"/>
    <row r="57057" customFormat="1" x14ac:dyDescent="0.3"/>
    <row r="57058" customFormat="1" x14ac:dyDescent="0.3"/>
    <row r="57059" customFormat="1" x14ac:dyDescent="0.3"/>
    <row r="57060" customFormat="1" x14ac:dyDescent="0.3"/>
    <row r="57061" customFormat="1" x14ac:dyDescent="0.3"/>
    <row r="57062" customFormat="1" x14ac:dyDescent="0.3"/>
    <row r="57063" customFormat="1" x14ac:dyDescent="0.3"/>
    <row r="57064" customFormat="1" x14ac:dyDescent="0.3"/>
    <row r="57065" customFormat="1" x14ac:dyDescent="0.3"/>
    <row r="57066" customFormat="1" x14ac:dyDescent="0.3"/>
    <row r="57067" customFormat="1" x14ac:dyDescent="0.3"/>
    <row r="57068" customFormat="1" x14ac:dyDescent="0.3"/>
    <row r="57069" customFormat="1" x14ac:dyDescent="0.3"/>
    <row r="57070" customFormat="1" x14ac:dyDescent="0.3"/>
    <row r="57071" customFormat="1" x14ac:dyDescent="0.3"/>
    <row r="57072" customFormat="1" x14ac:dyDescent="0.3"/>
    <row r="57073" customFormat="1" x14ac:dyDescent="0.3"/>
    <row r="57074" customFormat="1" x14ac:dyDescent="0.3"/>
    <row r="57075" customFormat="1" x14ac:dyDescent="0.3"/>
    <row r="57076" customFormat="1" x14ac:dyDescent="0.3"/>
    <row r="57077" customFormat="1" x14ac:dyDescent="0.3"/>
    <row r="57078" customFormat="1" x14ac:dyDescent="0.3"/>
    <row r="57079" customFormat="1" x14ac:dyDescent="0.3"/>
    <row r="57080" customFormat="1" x14ac:dyDescent="0.3"/>
    <row r="57081" customFormat="1" x14ac:dyDescent="0.3"/>
    <row r="57082" customFormat="1" x14ac:dyDescent="0.3"/>
    <row r="57083" customFormat="1" x14ac:dyDescent="0.3"/>
    <row r="57084" customFormat="1" x14ac:dyDescent="0.3"/>
    <row r="57085" customFormat="1" x14ac:dyDescent="0.3"/>
    <row r="57086" customFormat="1" x14ac:dyDescent="0.3"/>
    <row r="57087" customFormat="1" x14ac:dyDescent="0.3"/>
    <row r="57088" customFormat="1" x14ac:dyDescent="0.3"/>
    <row r="57089" customFormat="1" x14ac:dyDescent="0.3"/>
    <row r="57090" customFormat="1" x14ac:dyDescent="0.3"/>
    <row r="57091" customFormat="1" x14ac:dyDescent="0.3"/>
    <row r="57092" customFormat="1" x14ac:dyDescent="0.3"/>
    <row r="57093" customFormat="1" x14ac:dyDescent="0.3"/>
    <row r="57094" customFormat="1" x14ac:dyDescent="0.3"/>
    <row r="57095" customFormat="1" x14ac:dyDescent="0.3"/>
    <row r="57096" customFormat="1" x14ac:dyDescent="0.3"/>
    <row r="57097" customFormat="1" x14ac:dyDescent="0.3"/>
    <row r="57098" customFormat="1" x14ac:dyDescent="0.3"/>
    <row r="57099" customFormat="1" x14ac:dyDescent="0.3"/>
    <row r="57100" customFormat="1" x14ac:dyDescent="0.3"/>
    <row r="57101" customFormat="1" x14ac:dyDescent="0.3"/>
    <row r="57102" customFormat="1" x14ac:dyDescent="0.3"/>
    <row r="57103" customFormat="1" x14ac:dyDescent="0.3"/>
    <row r="57104" customFormat="1" x14ac:dyDescent="0.3"/>
    <row r="57105" customFormat="1" x14ac:dyDescent="0.3"/>
    <row r="57106" customFormat="1" x14ac:dyDescent="0.3"/>
    <row r="57107" customFormat="1" x14ac:dyDescent="0.3"/>
    <row r="57108" customFormat="1" x14ac:dyDescent="0.3"/>
    <row r="57109" customFormat="1" x14ac:dyDescent="0.3"/>
    <row r="57110" customFormat="1" x14ac:dyDescent="0.3"/>
    <row r="57111" customFormat="1" x14ac:dyDescent="0.3"/>
    <row r="57112" customFormat="1" x14ac:dyDescent="0.3"/>
    <row r="57113" customFormat="1" x14ac:dyDescent="0.3"/>
    <row r="57114" customFormat="1" x14ac:dyDescent="0.3"/>
    <row r="57115" customFormat="1" x14ac:dyDescent="0.3"/>
    <row r="57116" customFormat="1" x14ac:dyDescent="0.3"/>
    <row r="57117" customFormat="1" x14ac:dyDescent="0.3"/>
    <row r="57118" customFormat="1" x14ac:dyDescent="0.3"/>
    <row r="57119" customFormat="1" x14ac:dyDescent="0.3"/>
    <row r="57120" customFormat="1" x14ac:dyDescent="0.3"/>
    <row r="57121" customFormat="1" x14ac:dyDescent="0.3"/>
    <row r="57122" customFormat="1" x14ac:dyDescent="0.3"/>
    <row r="57123" customFormat="1" x14ac:dyDescent="0.3"/>
    <row r="57124" customFormat="1" x14ac:dyDescent="0.3"/>
    <row r="57125" customFormat="1" x14ac:dyDescent="0.3"/>
    <row r="57126" customFormat="1" x14ac:dyDescent="0.3"/>
    <row r="57127" customFormat="1" x14ac:dyDescent="0.3"/>
    <row r="57128" customFormat="1" x14ac:dyDescent="0.3"/>
    <row r="57129" customFormat="1" x14ac:dyDescent="0.3"/>
    <row r="57130" customFormat="1" x14ac:dyDescent="0.3"/>
    <row r="57131" customFormat="1" x14ac:dyDescent="0.3"/>
    <row r="57132" customFormat="1" x14ac:dyDescent="0.3"/>
    <row r="57133" customFormat="1" x14ac:dyDescent="0.3"/>
    <row r="57134" customFormat="1" x14ac:dyDescent="0.3"/>
    <row r="57135" customFormat="1" x14ac:dyDescent="0.3"/>
    <row r="57136" customFormat="1" x14ac:dyDescent="0.3"/>
    <row r="57137" customFormat="1" x14ac:dyDescent="0.3"/>
    <row r="57138" customFormat="1" x14ac:dyDescent="0.3"/>
    <row r="57139" customFormat="1" x14ac:dyDescent="0.3"/>
    <row r="57140" customFormat="1" x14ac:dyDescent="0.3"/>
    <row r="57141" customFormat="1" x14ac:dyDescent="0.3"/>
    <row r="57142" customFormat="1" x14ac:dyDescent="0.3"/>
    <row r="57143" customFormat="1" x14ac:dyDescent="0.3"/>
    <row r="57144" customFormat="1" x14ac:dyDescent="0.3"/>
    <row r="57145" customFormat="1" x14ac:dyDescent="0.3"/>
    <row r="57146" customFormat="1" x14ac:dyDescent="0.3"/>
    <row r="57147" customFormat="1" x14ac:dyDescent="0.3"/>
    <row r="57148" customFormat="1" x14ac:dyDescent="0.3"/>
    <row r="57149" customFormat="1" x14ac:dyDescent="0.3"/>
    <row r="57150" customFormat="1" x14ac:dyDescent="0.3"/>
    <row r="57151" customFormat="1" x14ac:dyDescent="0.3"/>
    <row r="57152" customFormat="1" x14ac:dyDescent="0.3"/>
    <row r="57153" customFormat="1" x14ac:dyDescent="0.3"/>
    <row r="57154" customFormat="1" x14ac:dyDescent="0.3"/>
    <row r="57155" customFormat="1" x14ac:dyDescent="0.3"/>
    <row r="57156" customFormat="1" x14ac:dyDescent="0.3"/>
    <row r="57157" customFormat="1" x14ac:dyDescent="0.3"/>
    <row r="57158" customFormat="1" x14ac:dyDescent="0.3"/>
    <row r="57159" customFormat="1" x14ac:dyDescent="0.3"/>
    <row r="57160" customFormat="1" x14ac:dyDescent="0.3"/>
    <row r="57161" customFormat="1" x14ac:dyDescent="0.3"/>
    <row r="57162" customFormat="1" x14ac:dyDescent="0.3"/>
    <row r="57163" customFormat="1" x14ac:dyDescent="0.3"/>
    <row r="57164" customFormat="1" x14ac:dyDescent="0.3"/>
    <row r="57165" customFormat="1" x14ac:dyDescent="0.3"/>
    <row r="57166" customFormat="1" x14ac:dyDescent="0.3"/>
    <row r="57167" customFormat="1" x14ac:dyDescent="0.3"/>
    <row r="57168" customFormat="1" x14ac:dyDescent="0.3"/>
    <row r="57169" customFormat="1" x14ac:dyDescent="0.3"/>
    <row r="57170" customFormat="1" x14ac:dyDescent="0.3"/>
    <row r="57171" customFormat="1" x14ac:dyDescent="0.3"/>
    <row r="57172" customFormat="1" x14ac:dyDescent="0.3"/>
    <row r="57173" customFormat="1" x14ac:dyDescent="0.3"/>
    <row r="57174" customFormat="1" x14ac:dyDescent="0.3"/>
    <row r="57175" customFormat="1" x14ac:dyDescent="0.3"/>
    <row r="57176" customFormat="1" x14ac:dyDescent="0.3"/>
    <row r="57177" customFormat="1" x14ac:dyDescent="0.3"/>
    <row r="57178" customFormat="1" x14ac:dyDescent="0.3"/>
    <row r="57179" customFormat="1" x14ac:dyDescent="0.3"/>
    <row r="57180" customFormat="1" x14ac:dyDescent="0.3"/>
    <row r="57181" customFormat="1" x14ac:dyDescent="0.3"/>
    <row r="57182" customFormat="1" x14ac:dyDescent="0.3"/>
    <row r="57183" customFormat="1" x14ac:dyDescent="0.3"/>
    <row r="57184" customFormat="1" x14ac:dyDescent="0.3"/>
    <row r="57185" customFormat="1" x14ac:dyDescent="0.3"/>
    <row r="57186" customFormat="1" x14ac:dyDescent="0.3"/>
    <row r="57187" customFormat="1" x14ac:dyDescent="0.3"/>
    <row r="57188" customFormat="1" x14ac:dyDescent="0.3"/>
    <row r="57189" customFormat="1" x14ac:dyDescent="0.3"/>
    <row r="57190" customFormat="1" x14ac:dyDescent="0.3"/>
    <row r="57191" customFormat="1" x14ac:dyDescent="0.3"/>
    <row r="57192" customFormat="1" x14ac:dyDescent="0.3"/>
    <row r="57193" customFormat="1" x14ac:dyDescent="0.3"/>
    <row r="57194" customFormat="1" x14ac:dyDescent="0.3"/>
    <row r="57195" customFormat="1" x14ac:dyDescent="0.3"/>
    <row r="57196" customFormat="1" x14ac:dyDescent="0.3"/>
    <row r="57197" customFormat="1" x14ac:dyDescent="0.3"/>
    <row r="57198" customFormat="1" x14ac:dyDescent="0.3"/>
    <row r="57199" customFormat="1" x14ac:dyDescent="0.3"/>
    <row r="57200" customFormat="1" x14ac:dyDescent="0.3"/>
    <row r="57201" customFormat="1" x14ac:dyDescent="0.3"/>
    <row r="57202" customFormat="1" x14ac:dyDescent="0.3"/>
    <row r="57203" customFormat="1" x14ac:dyDescent="0.3"/>
    <row r="57204" customFormat="1" x14ac:dyDescent="0.3"/>
    <row r="57205" customFormat="1" x14ac:dyDescent="0.3"/>
    <row r="57206" customFormat="1" x14ac:dyDescent="0.3"/>
    <row r="57207" customFormat="1" x14ac:dyDescent="0.3"/>
    <row r="57208" customFormat="1" x14ac:dyDescent="0.3"/>
    <row r="57209" customFormat="1" x14ac:dyDescent="0.3"/>
    <row r="57210" customFormat="1" x14ac:dyDescent="0.3"/>
    <row r="57211" customFormat="1" x14ac:dyDescent="0.3"/>
    <row r="57212" customFormat="1" x14ac:dyDescent="0.3"/>
    <row r="57213" customFormat="1" x14ac:dyDescent="0.3"/>
    <row r="57214" customFormat="1" x14ac:dyDescent="0.3"/>
    <row r="57215" customFormat="1" x14ac:dyDescent="0.3"/>
    <row r="57216" customFormat="1" x14ac:dyDescent="0.3"/>
    <row r="57217" customFormat="1" x14ac:dyDescent="0.3"/>
    <row r="57218" customFormat="1" x14ac:dyDescent="0.3"/>
    <row r="57219" customFormat="1" x14ac:dyDescent="0.3"/>
    <row r="57220" customFormat="1" x14ac:dyDescent="0.3"/>
    <row r="57221" customFormat="1" x14ac:dyDescent="0.3"/>
    <row r="57222" customFormat="1" x14ac:dyDescent="0.3"/>
    <row r="57223" customFormat="1" x14ac:dyDescent="0.3"/>
    <row r="57224" customFormat="1" x14ac:dyDescent="0.3"/>
    <row r="57225" customFormat="1" x14ac:dyDescent="0.3"/>
    <row r="57226" customFormat="1" x14ac:dyDescent="0.3"/>
    <row r="57227" customFormat="1" x14ac:dyDescent="0.3"/>
    <row r="57228" customFormat="1" x14ac:dyDescent="0.3"/>
    <row r="57229" customFormat="1" x14ac:dyDescent="0.3"/>
    <row r="57230" customFormat="1" x14ac:dyDescent="0.3"/>
    <row r="57231" customFormat="1" x14ac:dyDescent="0.3"/>
    <row r="57232" customFormat="1" x14ac:dyDescent="0.3"/>
    <row r="57233" customFormat="1" x14ac:dyDescent="0.3"/>
    <row r="57234" customFormat="1" x14ac:dyDescent="0.3"/>
    <row r="57235" customFormat="1" x14ac:dyDescent="0.3"/>
    <row r="57236" customFormat="1" x14ac:dyDescent="0.3"/>
    <row r="57237" customFormat="1" x14ac:dyDescent="0.3"/>
    <row r="57238" customFormat="1" x14ac:dyDescent="0.3"/>
    <row r="57239" customFormat="1" x14ac:dyDescent="0.3"/>
    <row r="57240" customFormat="1" x14ac:dyDescent="0.3"/>
    <row r="57241" customFormat="1" x14ac:dyDescent="0.3"/>
    <row r="57242" customFormat="1" x14ac:dyDescent="0.3"/>
    <row r="57243" customFormat="1" x14ac:dyDescent="0.3"/>
    <row r="57244" customFormat="1" x14ac:dyDescent="0.3"/>
    <row r="57245" customFormat="1" x14ac:dyDescent="0.3"/>
    <row r="57246" customFormat="1" x14ac:dyDescent="0.3"/>
    <row r="57247" customFormat="1" x14ac:dyDescent="0.3"/>
    <row r="57248" customFormat="1" x14ac:dyDescent="0.3"/>
    <row r="57249" customFormat="1" x14ac:dyDescent="0.3"/>
    <row r="57250" customFormat="1" x14ac:dyDescent="0.3"/>
    <row r="57251" customFormat="1" x14ac:dyDescent="0.3"/>
    <row r="57252" customFormat="1" x14ac:dyDescent="0.3"/>
    <row r="57253" customFormat="1" x14ac:dyDescent="0.3"/>
    <row r="57254" customFormat="1" x14ac:dyDescent="0.3"/>
    <row r="57255" customFormat="1" x14ac:dyDescent="0.3"/>
    <row r="57256" customFormat="1" x14ac:dyDescent="0.3"/>
    <row r="57257" customFormat="1" x14ac:dyDescent="0.3"/>
    <row r="57258" customFormat="1" x14ac:dyDescent="0.3"/>
    <row r="57259" customFormat="1" x14ac:dyDescent="0.3"/>
    <row r="57260" customFormat="1" x14ac:dyDescent="0.3"/>
    <row r="57261" customFormat="1" x14ac:dyDescent="0.3"/>
    <row r="57262" customFormat="1" x14ac:dyDescent="0.3"/>
    <row r="57263" customFormat="1" x14ac:dyDescent="0.3"/>
    <row r="57264" customFormat="1" x14ac:dyDescent="0.3"/>
    <row r="57265" customFormat="1" x14ac:dyDescent="0.3"/>
    <row r="57266" customFormat="1" x14ac:dyDescent="0.3"/>
    <row r="57267" customFormat="1" x14ac:dyDescent="0.3"/>
    <row r="57268" customFormat="1" x14ac:dyDescent="0.3"/>
    <row r="57269" customFormat="1" x14ac:dyDescent="0.3"/>
    <row r="57270" customFormat="1" x14ac:dyDescent="0.3"/>
    <row r="57271" customFormat="1" x14ac:dyDescent="0.3"/>
    <row r="57272" customFormat="1" x14ac:dyDescent="0.3"/>
    <row r="57273" customFormat="1" x14ac:dyDescent="0.3"/>
    <row r="57274" customFormat="1" x14ac:dyDescent="0.3"/>
    <row r="57275" customFormat="1" x14ac:dyDescent="0.3"/>
    <row r="57276" customFormat="1" x14ac:dyDescent="0.3"/>
    <row r="57277" customFormat="1" x14ac:dyDescent="0.3"/>
    <row r="57278" customFormat="1" x14ac:dyDescent="0.3"/>
    <row r="57279" customFormat="1" x14ac:dyDescent="0.3"/>
    <row r="57280" customFormat="1" x14ac:dyDescent="0.3"/>
    <row r="57281" customFormat="1" x14ac:dyDescent="0.3"/>
    <row r="57282" customFormat="1" x14ac:dyDescent="0.3"/>
    <row r="57283" customFormat="1" x14ac:dyDescent="0.3"/>
    <row r="57284" customFormat="1" x14ac:dyDescent="0.3"/>
    <row r="57285" customFormat="1" x14ac:dyDescent="0.3"/>
    <row r="57286" customFormat="1" x14ac:dyDescent="0.3"/>
    <row r="57287" customFormat="1" x14ac:dyDescent="0.3"/>
    <row r="57288" customFormat="1" x14ac:dyDescent="0.3"/>
    <row r="57289" customFormat="1" x14ac:dyDescent="0.3"/>
    <row r="57290" customFormat="1" x14ac:dyDescent="0.3"/>
    <row r="57291" customFormat="1" x14ac:dyDescent="0.3"/>
    <row r="57292" customFormat="1" x14ac:dyDescent="0.3"/>
    <row r="57293" customFormat="1" x14ac:dyDescent="0.3"/>
    <row r="57294" customFormat="1" x14ac:dyDescent="0.3"/>
    <row r="57295" customFormat="1" x14ac:dyDescent="0.3"/>
    <row r="57296" customFormat="1" x14ac:dyDescent="0.3"/>
    <row r="57297" customFormat="1" x14ac:dyDescent="0.3"/>
    <row r="57298" customFormat="1" x14ac:dyDescent="0.3"/>
    <row r="57299" customFormat="1" x14ac:dyDescent="0.3"/>
    <row r="57300" customFormat="1" x14ac:dyDescent="0.3"/>
    <row r="57301" customFormat="1" x14ac:dyDescent="0.3"/>
    <row r="57302" customFormat="1" x14ac:dyDescent="0.3"/>
    <row r="57303" customFormat="1" x14ac:dyDescent="0.3"/>
    <row r="57304" customFormat="1" x14ac:dyDescent="0.3"/>
    <row r="57305" customFormat="1" x14ac:dyDescent="0.3"/>
    <row r="57306" customFormat="1" x14ac:dyDescent="0.3"/>
    <row r="57307" customFormat="1" x14ac:dyDescent="0.3"/>
    <row r="57308" customFormat="1" x14ac:dyDescent="0.3"/>
    <row r="57309" customFormat="1" x14ac:dyDescent="0.3"/>
    <row r="57310" customFormat="1" x14ac:dyDescent="0.3"/>
    <row r="57311" customFormat="1" x14ac:dyDescent="0.3"/>
    <row r="57312" customFormat="1" x14ac:dyDescent="0.3"/>
    <row r="57313" customFormat="1" x14ac:dyDescent="0.3"/>
    <row r="57314" customFormat="1" x14ac:dyDescent="0.3"/>
    <row r="57315" customFormat="1" x14ac:dyDescent="0.3"/>
    <row r="57316" customFormat="1" x14ac:dyDescent="0.3"/>
    <row r="57317" customFormat="1" x14ac:dyDescent="0.3"/>
    <row r="57318" customFormat="1" x14ac:dyDescent="0.3"/>
    <row r="57319" customFormat="1" x14ac:dyDescent="0.3"/>
    <row r="57320" customFormat="1" x14ac:dyDescent="0.3"/>
    <row r="57321" customFormat="1" x14ac:dyDescent="0.3"/>
    <row r="57322" customFormat="1" x14ac:dyDescent="0.3"/>
    <row r="57323" customFormat="1" x14ac:dyDescent="0.3"/>
    <row r="57324" customFormat="1" x14ac:dyDescent="0.3"/>
    <row r="57325" customFormat="1" x14ac:dyDescent="0.3"/>
    <row r="57326" customFormat="1" x14ac:dyDescent="0.3"/>
    <row r="57327" customFormat="1" x14ac:dyDescent="0.3"/>
    <row r="57328" customFormat="1" x14ac:dyDescent="0.3"/>
    <row r="57329" customFormat="1" x14ac:dyDescent="0.3"/>
    <row r="57330" customFormat="1" x14ac:dyDescent="0.3"/>
    <row r="57331" customFormat="1" x14ac:dyDescent="0.3"/>
    <row r="57332" customFormat="1" x14ac:dyDescent="0.3"/>
    <row r="57333" customFormat="1" x14ac:dyDescent="0.3"/>
    <row r="57334" customFormat="1" x14ac:dyDescent="0.3"/>
    <row r="57335" customFormat="1" x14ac:dyDescent="0.3"/>
    <row r="57336" customFormat="1" x14ac:dyDescent="0.3"/>
    <row r="57337" customFormat="1" x14ac:dyDescent="0.3"/>
    <row r="57338" customFormat="1" x14ac:dyDescent="0.3"/>
    <row r="57339" customFormat="1" x14ac:dyDescent="0.3"/>
    <row r="57340" customFormat="1" x14ac:dyDescent="0.3"/>
    <row r="57341" customFormat="1" x14ac:dyDescent="0.3"/>
    <row r="57342" customFormat="1" x14ac:dyDescent="0.3"/>
    <row r="57343" customFormat="1" x14ac:dyDescent="0.3"/>
    <row r="57344" customFormat="1" x14ac:dyDescent="0.3"/>
    <row r="57345" customFormat="1" x14ac:dyDescent="0.3"/>
    <row r="57346" customFormat="1" x14ac:dyDescent="0.3"/>
    <row r="57347" customFormat="1" x14ac:dyDescent="0.3"/>
    <row r="57348" customFormat="1" x14ac:dyDescent="0.3"/>
    <row r="57349" customFormat="1" x14ac:dyDescent="0.3"/>
    <row r="57350" customFormat="1" x14ac:dyDescent="0.3"/>
    <row r="57351" customFormat="1" x14ac:dyDescent="0.3"/>
    <row r="57352" customFormat="1" x14ac:dyDescent="0.3"/>
    <row r="57353" customFormat="1" x14ac:dyDescent="0.3"/>
    <row r="57354" customFormat="1" x14ac:dyDescent="0.3"/>
    <row r="57355" customFormat="1" x14ac:dyDescent="0.3"/>
    <row r="57356" customFormat="1" x14ac:dyDescent="0.3"/>
    <row r="57357" customFormat="1" x14ac:dyDescent="0.3"/>
    <row r="57358" customFormat="1" x14ac:dyDescent="0.3"/>
    <row r="57359" customFormat="1" x14ac:dyDescent="0.3"/>
    <row r="57360" customFormat="1" x14ac:dyDescent="0.3"/>
    <row r="57361" customFormat="1" x14ac:dyDescent="0.3"/>
    <row r="57362" customFormat="1" x14ac:dyDescent="0.3"/>
    <row r="57363" customFormat="1" x14ac:dyDescent="0.3"/>
    <row r="57364" customFormat="1" x14ac:dyDescent="0.3"/>
    <row r="57365" customFormat="1" x14ac:dyDescent="0.3"/>
    <row r="57366" customFormat="1" x14ac:dyDescent="0.3"/>
    <row r="57367" customFormat="1" x14ac:dyDescent="0.3"/>
    <row r="57368" customFormat="1" x14ac:dyDescent="0.3"/>
    <row r="57369" customFormat="1" x14ac:dyDescent="0.3"/>
    <row r="57370" customFormat="1" x14ac:dyDescent="0.3"/>
    <row r="57371" customFormat="1" x14ac:dyDescent="0.3"/>
    <row r="57372" customFormat="1" x14ac:dyDescent="0.3"/>
    <row r="57373" customFormat="1" x14ac:dyDescent="0.3"/>
    <row r="57374" customFormat="1" x14ac:dyDescent="0.3"/>
    <row r="57375" customFormat="1" x14ac:dyDescent="0.3"/>
    <row r="57376" customFormat="1" x14ac:dyDescent="0.3"/>
    <row r="57377" customFormat="1" x14ac:dyDescent="0.3"/>
    <row r="57378" customFormat="1" x14ac:dyDescent="0.3"/>
    <row r="57379" customFormat="1" x14ac:dyDescent="0.3"/>
    <row r="57380" customFormat="1" x14ac:dyDescent="0.3"/>
    <row r="57381" customFormat="1" x14ac:dyDescent="0.3"/>
    <row r="57382" customFormat="1" x14ac:dyDescent="0.3"/>
    <row r="57383" customFormat="1" x14ac:dyDescent="0.3"/>
    <row r="57384" customFormat="1" x14ac:dyDescent="0.3"/>
    <row r="57385" customFormat="1" x14ac:dyDescent="0.3"/>
    <row r="57386" customFormat="1" x14ac:dyDescent="0.3"/>
    <row r="57387" customFormat="1" x14ac:dyDescent="0.3"/>
    <row r="57388" customFormat="1" x14ac:dyDescent="0.3"/>
    <row r="57389" customFormat="1" x14ac:dyDescent="0.3"/>
    <row r="57390" customFormat="1" x14ac:dyDescent="0.3"/>
    <row r="57391" customFormat="1" x14ac:dyDescent="0.3"/>
    <row r="57392" customFormat="1" x14ac:dyDescent="0.3"/>
    <row r="57393" customFormat="1" x14ac:dyDescent="0.3"/>
    <row r="57394" customFormat="1" x14ac:dyDescent="0.3"/>
    <row r="57395" customFormat="1" x14ac:dyDescent="0.3"/>
    <row r="57396" customFormat="1" x14ac:dyDescent="0.3"/>
    <row r="57397" customFormat="1" x14ac:dyDescent="0.3"/>
    <row r="57398" customFormat="1" x14ac:dyDescent="0.3"/>
    <row r="57399" customFormat="1" x14ac:dyDescent="0.3"/>
    <row r="57400" customFormat="1" x14ac:dyDescent="0.3"/>
    <row r="57401" customFormat="1" x14ac:dyDescent="0.3"/>
    <row r="57402" customFormat="1" x14ac:dyDescent="0.3"/>
    <row r="57403" customFormat="1" x14ac:dyDescent="0.3"/>
    <row r="57404" customFormat="1" x14ac:dyDescent="0.3"/>
    <row r="57405" customFormat="1" x14ac:dyDescent="0.3"/>
    <row r="57406" customFormat="1" x14ac:dyDescent="0.3"/>
    <row r="57407" customFormat="1" x14ac:dyDescent="0.3"/>
    <row r="57408" customFormat="1" x14ac:dyDescent="0.3"/>
    <row r="57409" customFormat="1" x14ac:dyDescent="0.3"/>
    <row r="57410" customFormat="1" x14ac:dyDescent="0.3"/>
    <row r="57411" customFormat="1" x14ac:dyDescent="0.3"/>
    <row r="57412" customFormat="1" x14ac:dyDescent="0.3"/>
    <row r="57413" customFormat="1" x14ac:dyDescent="0.3"/>
    <row r="57414" customFormat="1" x14ac:dyDescent="0.3"/>
    <row r="57415" customFormat="1" x14ac:dyDescent="0.3"/>
    <row r="57416" customFormat="1" x14ac:dyDescent="0.3"/>
    <row r="57417" customFormat="1" x14ac:dyDescent="0.3"/>
    <row r="57418" customFormat="1" x14ac:dyDescent="0.3"/>
    <row r="57419" customFormat="1" x14ac:dyDescent="0.3"/>
    <row r="57420" customFormat="1" x14ac:dyDescent="0.3"/>
    <row r="57421" customFormat="1" x14ac:dyDescent="0.3"/>
    <row r="57422" customFormat="1" x14ac:dyDescent="0.3"/>
    <row r="57423" customFormat="1" x14ac:dyDescent="0.3"/>
    <row r="57424" customFormat="1" x14ac:dyDescent="0.3"/>
    <row r="57425" customFormat="1" x14ac:dyDescent="0.3"/>
    <row r="57426" customFormat="1" x14ac:dyDescent="0.3"/>
    <row r="57427" customFormat="1" x14ac:dyDescent="0.3"/>
    <row r="57428" customFormat="1" x14ac:dyDescent="0.3"/>
    <row r="57429" customFormat="1" x14ac:dyDescent="0.3"/>
    <row r="57430" customFormat="1" x14ac:dyDescent="0.3"/>
    <row r="57431" customFormat="1" x14ac:dyDescent="0.3"/>
    <row r="57432" customFormat="1" x14ac:dyDescent="0.3"/>
    <row r="57433" customFormat="1" x14ac:dyDescent="0.3"/>
    <row r="57434" customFormat="1" x14ac:dyDescent="0.3"/>
    <row r="57435" customFormat="1" x14ac:dyDescent="0.3"/>
    <row r="57436" customFormat="1" x14ac:dyDescent="0.3"/>
    <row r="57437" customFormat="1" x14ac:dyDescent="0.3"/>
    <row r="57438" customFormat="1" x14ac:dyDescent="0.3"/>
    <row r="57439" customFormat="1" x14ac:dyDescent="0.3"/>
    <row r="57440" customFormat="1" x14ac:dyDescent="0.3"/>
    <row r="57441" customFormat="1" x14ac:dyDescent="0.3"/>
    <row r="57442" customFormat="1" x14ac:dyDescent="0.3"/>
    <row r="57443" customFormat="1" x14ac:dyDescent="0.3"/>
    <row r="57444" customFormat="1" x14ac:dyDescent="0.3"/>
    <row r="57445" customFormat="1" x14ac:dyDescent="0.3"/>
    <row r="57446" customFormat="1" x14ac:dyDescent="0.3"/>
    <row r="57447" customFormat="1" x14ac:dyDescent="0.3"/>
    <row r="57448" customFormat="1" x14ac:dyDescent="0.3"/>
    <row r="57449" customFormat="1" x14ac:dyDescent="0.3"/>
    <row r="57450" customFormat="1" x14ac:dyDescent="0.3"/>
    <row r="57451" customFormat="1" x14ac:dyDescent="0.3"/>
    <row r="57452" customFormat="1" x14ac:dyDescent="0.3"/>
    <row r="57453" customFormat="1" x14ac:dyDescent="0.3"/>
    <row r="57454" customFormat="1" x14ac:dyDescent="0.3"/>
    <row r="57455" customFormat="1" x14ac:dyDescent="0.3"/>
    <row r="57456" customFormat="1" x14ac:dyDescent="0.3"/>
    <row r="57457" customFormat="1" x14ac:dyDescent="0.3"/>
    <row r="57458" customFormat="1" x14ac:dyDescent="0.3"/>
    <row r="57459" customFormat="1" x14ac:dyDescent="0.3"/>
    <row r="57460" customFormat="1" x14ac:dyDescent="0.3"/>
    <row r="57461" customFormat="1" x14ac:dyDescent="0.3"/>
    <row r="57462" customFormat="1" x14ac:dyDescent="0.3"/>
    <row r="57463" customFormat="1" x14ac:dyDescent="0.3"/>
    <row r="57464" customFormat="1" x14ac:dyDescent="0.3"/>
    <row r="57465" customFormat="1" x14ac:dyDescent="0.3"/>
    <row r="57466" customFormat="1" x14ac:dyDescent="0.3"/>
    <row r="57467" customFormat="1" x14ac:dyDescent="0.3"/>
    <row r="57468" customFormat="1" x14ac:dyDescent="0.3"/>
    <row r="57469" customFormat="1" x14ac:dyDescent="0.3"/>
    <row r="57470" customFormat="1" x14ac:dyDescent="0.3"/>
    <row r="57471" customFormat="1" x14ac:dyDescent="0.3"/>
    <row r="57472" customFormat="1" x14ac:dyDescent="0.3"/>
    <row r="57473" customFormat="1" x14ac:dyDescent="0.3"/>
    <row r="57474" customFormat="1" x14ac:dyDescent="0.3"/>
    <row r="57475" customFormat="1" x14ac:dyDescent="0.3"/>
    <row r="57476" customFormat="1" x14ac:dyDescent="0.3"/>
    <row r="57477" customFormat="1" x14ac:dyDescent="0.3"/>
    <row r="57478" customFormat="1" x14ac:dyDescent="0.3"/>
    <row r="57479" customFormat="1" x14ac:dyDescent="0.3"/>
    <row r="57480" customFormat="1" x14ac:dyDescent="0.3"/>
    <row r="57481" customFormat="1" x14ac:dyDescent="0.3"/>
    <row r="57482" customFormat="1" x14ac:dyDescent="0.3"/>
    <row r="57483" customFormat="1" x14ac:dyDescent="0.3"/>
    <row r="57484" customFormat="1" x14ac:dyDescent="0.3"/>
    <row r="57485" customFormat="1" x14ac:dyDescent="0.3"/>
    <row r="57486" customFormat="1" x14ac:dyDescent="0.3"/>
    <row r="57487" customFormat="1" x14ac:dyDescent="0.3"/>
    <row r="57488" customFormat="1" x14ac:dyDescent="0.3"/>
    <row r="57489" customFormat="1" x14ac:dyDescent="0.3"/>
    <row r="57490" customFormat="1" x14ac:dyDescent="0.3"/>
    <row r="57491" customFormat="1" x14ac:dyDescent="0.3"/>
    <row r="57492" customFormat="1" x14ac:dyDescent="0.3"/>
    <row r="57493" customFormat="1" x14ac:dyDescent="0.3"/>
    <row r="57494" customFormat="1" x14ac:dyDescent="0.3"/>
    <row r="57495" customFormat="1" x14ac:dyDescent="0.3"/>
    <row r="57496" customFormat="1" x14ac:dyDescent="0.3"/>
    <row r="57497" customFormat="1" x14ac:dyDescent="0.3"/>
    <row r="57498" customFormat="1" x14ac:dyDescent="0.3"/>
    <row r="57499" customFormat="1" x14ac:dyDescent="0.3"/>
    <row r="57500" customFormat="1" x14ac:dyDescent="0.3"/>
    <row r="57501" customFormat="1" x14ac:dyDescent="0.3"/>
    <row r="57502" customFormat="1" x14ac:dyDescent="0.3"/>
    <row r="57503" customFormat="1" x14ac:dyDescent="0.3"/>
    <row r="57504" customFormat="1" x14ac:dyDescent="0.3"/>
    <row r="57505" customFormat="1" x14ac:dyDescent="0.3"/>
    <row r="57506" customFormat="1" x14ac:dyDescent="0.3"/>
    <row r="57507" customFormat="1" x14ac:dyDescent="0.3"/>
    <row r="57508" customFormat="1" x14ac:dyDescent="0.3"/>
    <row r="57509" customFormat="1" x14ac:dyDescent="0.3"/>
    <row r="57510" customFormat="1" x14ac:dyDescent="0.3"/>
    <row r="57511" customFormat="1" x14ac:dyDescent="0.3"/>
    <row r="57512" customFormat="1" x14ac:dyDescent="0.3"/>
    <row r="57513" customFormat="1" x14ac:dyDescent="0.3"/>
    <row r="57514" customFormat="1" x14ac:dyDescent="0.3"/>
    <row r="57515" customFormat="1" x14ac:dyDescent="0.3"/>
    <row r="57516" customFormat="1" x14ac:dyDescent="0.3"/>
    <row r="57517" customFormat="1" x14ac:dyDescent="0.3"/>
    <row r="57518" customFormat="1" x14ac:dyDescent="0.3"/>
    <row r="57519" customFormat="1" x14ac:dyDescent="0.3"/>
    <row r="57520" customFormat="1" x14ac:dyDescent="0.3"/>
    <row r="57521" customFormat="1" x14ac:dyDescent="0.3"/>
    <row r="57522" customFormat="1" x14ac:dyDescent="0.3"/>
    <row r="57523" customFormat="1" x14ac:dyDescent="0.3"/>
    <row r="57524" customFormat="1" x14ac:dyDescent="0.3"/>
    <row r="57525" customFormat="1" x14ac:dyDescent="0.3"/>
    <row r="57526" customFormat="1" x14ac:dyDescent="0.3"/>
    <row r="57527" customFormat="1" x14ac:dyDescent="0.3"/>
    <row r="57528" customFormat="1" x14ac:dyDescent="0.3"/>
    <row r="57529" customFormat="1" x14ac:dyDescent="0.3"/>
    <row r="57530" customFormat="1" x14ac:dyDescent="0.3"/>
    <row r="57531" customFormat="1" x14ac:dyDescent="0.3"/>
    <row r="57532" customFormat="1" x14ac:dyDescent="0.3"/>
    <row r="57533" customFormat="1" x14ac:dyDescent="0.3"/>
    <row r="57534" customFormat="1" x14ac:dyDescent="0.3"/>
    <row r="57535" customFormat="1" x14ac:dyDescent="0.3"/>
    <row r="57536" customFormat="1" x14ac:dyDescent="0.3"/>
    <row r="57537" customFormat="1" x14ac:dyDescent="0.3"/>
    <row r="57538" customFormat="1" x14ac:dyDescent="0.3"/>
    <row r="57539" customFormat="1" x14ac:dyDescent="0.3"/>
    <row r="57540" customFormat="1" x14ac:dyDescent="0.3"/>
    <row r="57541" customFormat="1" x14ac:dyDescent="0.3"/>
    <row r="57542" customFormat="1" x14ac:dyDescent="0.3"/>
    <row r="57543" customFormat="1" x14ac:dyDescent="0.3"/>
    <row r="57544" customFormat="1" x14ac:dyDescent="0.3"/>
    <row r="57545" customFormat="1" x14ac:dyDescent="0.3"/>
    <row r="57546" customFormat="1" x14ac:dyDescent="0.3"/>
    <row r="57547" customFormat="1" x14ac:dyDescent="0.3"/>
    <row r="57548" customFormat="1" x14ac:dyDescent="0.3"/>
    <row r="57549" customFormat="1" x14ac:dyDescent="0.3"/>
    <row r="57550" customFormat="1" x14ac:dyDescent="0.3"/>
    <row r="57551" customFormat="1" x14ac:dyDescent="0.3"/>
    <row r="57552" customFormat="1" x14ac:dyDescent="0.3"/>
    <row r="57553" customFormat="1" x14ac:dyDescent="0.3"/>
    <row r="57554" customFormat="1" x14ac:dyDescent="0.3"/>
    <row r="57555" customFormat="1" x14ac:dyDescent="0.3"/>
    <row r="57556" customFormat="1" x14ac:dyDescent="0.3"/>
    <row r="57557" customFormat="1" x14ac:dyDescent="0.3"/>
    <row r="57558" customFormat="1" x14ac:dyDescent="0.3"/>
    <row r="57559" customFormat="1" x14ac:dyDescent="0.3"/>
    <row r="57560" customFormat="1" x14ac:dyDescent="0.3"/>
    <row r="57561" customFormat="1" x14ac:dyDescent="0.3"/>
    <row r="57562" customFormat="1" x14ac:dyDescent="0.3"/>
    <row r="57563" customFormat="1" x14ac:dyDescent="0.3"/>
    <row r="57564" customFormat="1" x14ac:dyDescent="0.3"/>
    <row r="57565" customFormat="1" x14ac:dyDescent="0.3"/>
    <row r="57566" customFormat="1" x14ac:dyDescent="0.3"/>
    <row r="57567" customFormat="1" x14ac:dyDescent="0.3"/>
    <row r="57568" customFormat="1" x14ac:dyDescent="0.3"/>
    <row r="57569" customFormat="1" x14ac:dyDescent="0.3"/>
    <row r="57570" customFormat="1" x14ac:dyDescent="0.3"/>
    <row r="57571" customFormat="1" x14ac:dyDescent="0.3"/>
    <row r="57572" customFormat="1" x14ac:dyDescent="0.3"/>
    <row r="57573" customFormat="1" x14ac:dyDescent="0.3"/>
    <row r="57574" customFormat="1" x14ac:dyDescent="0.3"/>
    <row r="57575" customFormat="1" x14ac:dyDescent="0.3"/>
    <row r="57576" customFormat="1" x14ac:dyDescent="0.3"/>
    <row r="57577" customFormat="1" x14ac:dyDescent="0.3"/>
    <row r="57578" customFormat="1" x14ac:dyDescent="0.3"/>
    <row r="57579" customFormat="1" x14ac:dyDescent="0.3"/>
    <row r="57580" customFormat="1" x14ac:dyDescent="0.3"/>
    <row r="57581" customFormat="1" x14ac:dyDescent="0.3"/>
    <row r="57582" customFormat="1" x14ac:dyDescent="0.3"/>
    <row r="57583" customFormat="1" x14ac:dyDescent="0.3"/>
    <row r="57584" customFormat="1" x14ac:dyDescent="0.3"/>
    <row r="57585" customFormat="1" x14ac:dyDescent="0.3"/>
    <row r="57586" customFormat="1" x14ac:dyDescent="0.3"/>
    <row r="57587" customFormat="1" x14ac:dyDescent="0.3"/>
    <row r="57588" customFormat="1" x14ac:dyDescent="0.3"/>
    <row r="57589" customFormat="1" x14ac:dyDescent="0.3"/>
    <row r="57590" customFormat="1" x14ac:dyDescent="0.3"/>
    <row r="57591" customFormat="1" x14ac:dyDescent="0.3"/>
    <row r="57592" customFormat="1" x14ac:dyDescent="0.3"/>
    <row r="57593" customFormat="1" x14ac:dyDescent="0.3"/>
    <row r="57594" customFormat="1" x14ac:dyDescent="0.3"/>
    <row r="57595" customFormat="1" x14ac:dyDescent="0.3"/>
    <row r="57596" customFormat="1" x14ac:dyDescent="0.3"/>
    <row r="57597" customFormat="1" x14ac:dyDescent="0.3"/>
    <row r="57598" customFormat="1" x14ac:dyDescent="0.3"/>
    <row r="57599" customFormat="1" x14ac:dyDescent="0.3"/>
    <row r="57600" customFormat="1" x14ac:dyDescent="0.3"/>
    <row r="57601" customFormat="1" x14ac:dyDescent="0.3"/>
    <row r="57602" customFormat="1" x14ac:dyDescent="0.3"/>
    <row r="57603" customFormat="1" x14ac:dyDescent="0.3"/>
    <row r="57604" customFormat="1" x14ac:dyDescent="0.3"/>
    <row r="57605" customFormat="1" x14ac:dyDescent="0.3"/>
    <row r="57606" customFormat="1" x14ac:dyDescent="0.3"/>
    <row r="57607" customFormat="1" x14ac:dyDescent="0.3"/>
    <row r="57608" customFormat="1" x14ac:dyDescent="0.3"/>
    <row r="57609" customFormat="1" x14ac:dyDescent="0.3"/>
    <row r="57610" customFormat="1" x14ac:dyDescent="0.3"/>
    <row r="57611" customFormat="1" x14ac:dyDescent="0.3"/>
    <row r="57612" customFormat="1" x14ac:dyDescent="0.3"/>
    <row r="57613" customFormat="1" x14ac:dyDescent="0.3"/>
    <row r="57614" customFormat="1" x14ac:dyDescent="0.3"/>
    <row r="57615" customFormat="1" x14ac:dyDescent="0.3"/>
    <row r="57616" customFormat="1" x14ac:dyDescent="0.3"/>
    <row r="57617" customFormat="1" x14ac:dyDescent="0.3"/>
    <row r="57618" customFormat="1" x14ac:dyDescent="0.3"/>
    <row r="57619" customFormat="1" x14ac:dyDescent="0.3"/>
    <row r="57620" customFormat="1" x14ac:dyDescent="0.3"/>
    <row r="57621" customFormat="1" x14ac:dyDescent="0.3"/>
    <row r="57622" customFormat="1" x14ac:dyDescent="0.3"/>
    <row r="57623" customFormat="1" x14ac:dyDescent="0.3"/>
    <row r="57624" customFormat="1" x14ac:dyDescent="0.3"/>
    <row r="57625" customFormat="1" x14ac:dyDescent="0.3"/>
    <row r="57626" customFormat="1" x14ac:dyDescent="0.3"/>
    <row r="57627" customFormat="1" x14ac:dyDescent="0.3"/>
    <row r="57628" customFormat="1" x14ac:dyDescent="0.3"/>
    <row r="57629" customFormat="1" x14ac:dyDescent="0.3"/>
    <row r="57630" customFormat="1" x14ac:dyDescent="0.3"/>
    <row r="57631" customFormat="1" x14ac:dyDescent="0.3"/>
    <row r="57632" customFormat="1" x14ac:dyDescent="0.3"/>
    <row r="57633" customFormat="1" x14ac:dyDescent="0.3"/>
    <row r="57634" customFormat="1" x14ac:dyDescent="0.3"/>
    <row r="57635" customFormat="1" x14ac:dyDescent="0.3"/>
    <row r="57636" customFormat="1" x14ac:dyDescent="0.3"/>
    <row r="57637" customFormat="1" x14ac:dyDescent="0.3"/>
    <row r="57638" customFormat="1" x14ac:dyDescent="0.3"/>
    <row r="57639" customFormat="1" x14ac:dyDescent="0.3"/>
    <row r="57640" customFormat="1" x14ac:dyDescent="0.3"/>
    <row r="57641" customFormat="1" x14ac:dyDescent="0.3"/>
    <row r="57642" customFormat="1" x14ac:dyDescent="0.3"/>
    <row r="57643" customFormat="1" x14ac:dyDescent="0.3"/>
    <row r="57644" customFormat="1" x14ac:dyDescent="0.3"/>
    <row r="57645" customFormat="1" x14ac:dyDescent="0.3"/>
    <row r="57646" customFormat="1" x14ac:dyDescent="0.3"/>
    <row r="57647" customFormat="1" x14ac:dyDescent="0.3"/>
    <row r="57648" customFormat="1" x14ac:dyDescent="0.3"/>
    <row r="57649" customFormat="1" x14ac:dyDescent="0.3"/>
    <row r="57650" customFormat="1" x14ac:dyDescent="0.3"/>
    <row r="57651" customFormat="1" x14ac:dyDescent="0.3"/>
    <row r="57652" customFormat="1" x14ac:dyDescent="0.3"/>
    <row r="57653" customFormat="1" x14ac:dyDescent="0.3"/>
    <row r="57654" customFormat="1" x14ac:dyDescent="0.3"/>
    <row r="57655" customFormat="1" x14ac:dyDescent="0.3"/>
    <row r="57656" customFormat="1" x14ac:dyDescent="0.3"/>
    <row r="57657" customFormat="1" x14ac:dyDescent="0.3"/>
    <row r="57658" customFormat="1" x14ac:dyDescent="0.3"/>
    <row r="57659" customFormat="1" x14ac:dyDescent="0.3"/>
    <row r="57660" customFormat="1" x14ac:dyDescent="0.3"/>
    <row r="57661" customFormat="1" x14ac:dyDescent="0.3"/>
    <row r="57662" customFormat="1" x14ac:dyDescent="0.3"/>
    <row r="57663" customFormat="1" x14ac:dyDescent="0.3"/>
    <row r="57664" customFormat="1" x14ac:dyDescent="0.3"/>
    <row r="57665" customFormat="1" x14ac:dyDescent="0.3"/>
    <row r="57666" customFormat="1" x14ac:dyDescent="0.3"/>
    <row r="57667" customFormat="1" x14ac:dyDescent="0.3"/>
    <row r="57668" customFormat="1" x14ac:dyDescent="0.3"/>
    <row r="57669" customFormat="1" x14ac:dyDescent="0.3"/>
    <row r="57670" customFormat="1" x14ac:dyDescent="0.3"/>
    <row r="57671" customFormat="1" x14ac:dyDescent="0.3"/>
    <row r="57672" customFormat="1" x14ac:dyDescent="0.3"/>
    <row r="57673" customFormat="1" x14ac:dyDescent="0.3"/>
    <row r="57674" customFormat="1" x14ac:dyDescent="0.3"/>
    <row r="57675" customFormat="1" x14ac:dyDescent="0.3"/>
    <row r="57676" customFormat="1" x14ac:dyDescent="0.3"/>
    <row r="57677" customFormat="1" x14ac:dyDescent="0.3"/>
    <row r="57678" customFormat="1" x14ac:dyDescent="0.3"/>
    <row r="57679" customFormat="1" x14ac:dyDescent="0.3"/>
    <row r="57680" customFormat="1" x14ac:dyDescent="0.3"/>
    <row r="57681" customFormat="1" x14ac:dyDescent="0.3"/>
    <row r="57682" customFormat="1" x14ac:dyDescent="0.3"/>
    <row r="57683" customFormat="1" x14ac:dyDescent="0.3"/>
    <row r="57684" customFormat="1" x14ac:dyDescent="0.3"/>
    <row r="57685" customFormat="1" x14ac:dyDescent="0.3"/>
    <row r="57686" customFormat="1" x14ac:dyDescent="0.3"/>
    <row r="57687" customFormat="1" x14ac:dyDescent="0.3"/>
    <row r="57688" customFormat="1" x14ac:dyDescent="0.3"/>
    <row r="57689" customFormat="1" x14ac:dyDescent="0.3"/>
    <row r="57690" customFormat="1" x14ac:dyDescent="0.3"/>
    <row r="57691" customFormat="1" x14ac:dyDescent="0.3"/>
    <row r="57692" customFormat="1" x14ac:dyDescent="0.3"/>
    <row r="57693" customFormat="1" x14ac:dyDescent="0.3"/>
    <row r="57694" customFormat="1" x14ac:dyDescent="0.3"/>
    <row r="57695" customFormat="1" x14ac:dyDescent="0.3"/>
    <row r="57696" customFormat="1" x14ac:dyDescent="0.3"/>
    <row r="57697" customFormat="1" x14ac:dyDescent="0.3"/>
    <row r="57698" customFormat="1" x14ac:dyDescent="0.3"/>
    <row r="57699" customFormat="1" x14ac:dyDescent="0.3"/>
    <row r="57700" customFormat="1" x14ac:dyDescent="0.3"/>
    <row r="57701" customFormat="1" x14ac:dyDescent="0.3"/>
    <row r="57702" customFormat="1" x14ac:dyDescent="0.3"/>
    <row r="57703" customFormat="1" x14ac:dyDescent="0.3"/>
    <row r="57704" customFormat="1" x14ac:dyDescent="0.3"/>
    <row r="57705" customFormat="1" x14ac:dyDescent="0.3"/>
    <row r="57706" customFormat="1" x14ac:dyDescent="0.3"/>
    <row r="57707" customFormat="1" x14ac:dyDescent="0.3"/>
    <row r="57708" customFormat="1" x14ac:dyDescent="0.3"/>
    <row r="57709" customFormat="1" x14ac:dyDescent="0.3"/>
    <row r="57710" customFormat="1" x14ac:dyDescent="0.3"/>
    <row r="57711" customFormat="1" x14ac:dyDescent="0.3"/>
    <row r="57712" customFormat="1" x14ac:dyDescent="0.3"/>
    <row r="57713" customFormat="1" x14ac:dyDescent="0.3"/>
    <row r="57714" customFormat="1" x14ac:dyDescent="0.3"/>
    <row r="57715" customFormat="1" x14ac:dyDescent="0.3"/>
    <row r="57716" customFormat="1" x14ac:dyDescent="0.3"/>
    <row r="57717" customFormat="1" x14ac:dyDescent="0.3"/>
    <row r="57718" customFormat="1" x14ac:dyDescent="0.3"/>
    <row r="57719" customFormat="1" x14ac:dyDescent="0.3"/>
    <row r="57720" customFormat="1" x14ac:dyDescent="0.3"/>
    <row r="57721" customFormat="1" x14ac:dyDescent="0.3"/>
    <row r="57722" customFormat="1" x14ac:dyDescent="0.3"/>
    <row r="57723" customFormat="1" x14ac:dyDescent="0.3"/>
    <row r="57724" customFormat="1" x14ac:dyDescent="0.3"/>
    <row r="57725" customFormat="1" x14ac:dyDescent="0.3"/>
    <row r="57726" customFormat="1" x14ac:dyDescent="0.3"/>
    <row r="57727" customFormat="1" x14ac:dyDescent="0.3"/>
    <row r="57728" customFormat="1" x14ac:dyDescent="0.3"/>
    <row r="57729" customFormat="1" x14ac:dyDescent="0.3"/>
    <row r="57730" customFormat="1" x14ac:dyDescent="0.3"/>
    <row r="57731" customFormat="1" x14ac:dyDescent="0.3"/>
    <row r="57732" customFormat="1" x14ac:dyDescent="0.3"/>
    <row r="57733" customFormat="1" x14ac:dyDescent="0.3"/>
    <row r="57734" customFormat="1" x14ac:dyDescent="0.3"/>
    <row r="57735" customFormat="1" x14ac:dyDescent="0.3"/>
    <row r="57736" customFormat="1" x14ac:dyDescent="0.3"/>
    <row r="57737" customFormat="1" x14ac:dyDescent="0.3"/>
    <row r="57738" customFormat="1" x14ac:dyDescent="0.3"/>
    <row r="57739" customFormat="1" x14ac:dyDescent="0.3"/>
    <row r="57740" customFormat="1" x14ac:dyDescent="0.3"/>
    <row r="57741" customFormat="1" x14ac:dyDescent="0.3"/>
    <row r="57742" customFormat="1" x14ac:dyDescent="0.3"/>
    <row r="57743" customFormat="1" x14ac:dyDescent="0.3"/>
    <row r="57744" customFormat="1" x14ac:dyDescent="0.3"/>
    <row r="57745" customFormat="1" x14ac:dyDescent="0.3"/>
    <row r="57746" customFormat="1" x14ac:dyDescent="0.3"/>
    <row r="57747" customFormat="1" x14ac:dyDescent="0.3"/>
    <row r="57748" customFormat="1" x14ac:dyDescent="0.3"/>
    <row r="57749" customFormat="1" x14ac:dyDescent="0.3"/>
    <row r="57750" customFormat="1" x14ac:dyDescent="0.3"/>
    <row r="57751" customFormat="1" x14ac:dyDescent="0.3"/>
    <row r="57752" customFormat="1" x14ac:dyDescent="0.3"/>
    <row r="57753" customFormat="1" x14ac:dyDescent="0.3"/>
    <row r="57754" customFormat="1" x14ac:dyDescent="0.3"/>
    <row r="57755" customFormat="1" x14ac:dyDescent="0.3"/>
    <row r="57756" customFormat="1" x14ac:dyDescent="0.3"/>
    <row r="57757" customFormat="1" x14ac:dyDescent="0.3"/>
    <row r="57758" customFormat="1" x14ac:dyDescent="0.3"/>
    <row r="57759" customFormat="1" x14ac:dyDescent="0.3"/>
    <row r="57760" customFormat="1" x14ac:dyDescent="0.3"/>
    <row r="57761" customFormat="1" x14ac:dyDescent="0.3"/>
    <row r="57762" customFormat="1" x14ac:dyDescent="0.3"/>
    <row r="57763" customFormat="1" x14ac:dyDescent="0.3"/>
    <row r="57764" customFormat="1" x14ac:dyDescent="0.3"/>
    <row r="57765" customFormat="1" x14ac:dyDescent="0.3"/>
    <row r="57766" customFormat="1" x14ac:dyDescent="0.3"/>
    <row r="57767" customFormat="1" x14ac:dyDescent="0.3"/>
    <row r="57768" customFormat="1" x14ac:dyDescent="0.3"/>
    <row r="57769" customFormat="1" x14ac:dyDescent="0.3"/>
    <row r="57770" customFormat="1" x14ac:dyDescent="0.3"/>
    <row r="57771" customFormat="1" x14ac:dyDescent="0.3"/>
    <row r="57772" customFormat="1" x14ac:dyDescent="0.3"/>
    <row r="57773" customFormat="1" x14ac:dyDescent="0.3"/>
    <row r="57774" customFormat="1" x14ac:dyDescent="0.3"/>
    <row r="57775" customFormat="1" x14ac:dyDescent="0.3"/>
    <row r="57776" customFormat="1" x14ac:dyDescent="0.3"/>
    <row r="57777" customFormat="1" x14ac:dyDescent="0.3"/>
    <row r="57778" customFormat="1" x14ac:dyDescent="0.3"/>
    <row r="57779" customFormat="1" x14ac:dyDescent="0.3"/>
    <row r="57780" customFormat="1" x14ac:dyDescent="0.3"/>
    <row r="57781" customFormat="1" x14ac:dyDescent="0.3"/>
    <row r="57782" customFormat="1" x14ac:dyDescent="0.3"/>
    <row r="57783" customFormat="1" x14ac:dyDescent="0.3"/>
    <row r="57784" customFormat="1" x14ac:dyDescent="0.3"/>
    <row r="57785" customFormat="1" x14ac:dyDescent="0.3"/>
    <row r="57786" customFormat="1" x14ac:dyDescent="0.3"/>
    <row r="57787" customFormat="1" x14ac:dyDescent="0.3"/>
    <row r="57788" customFormat="1" x14ac:dyDescent="0.3"/>
    <row r="57789" customFormat="1" x14ac:dyDescent="0.3"/>
    <row r="57790" customFormat="1" x14ac:dyDescent="0.3"/>
    <row r="57791" customFormat="1" x14ac:dyDescent="0.3"/>
    <row r="57792" customFormat="1" x14ac:dyDescent="0.3"/>
    <row r="57793" customFormat="1" x14ac:dyDescent="0.3"/>
    <row r="57794" customFormat="1" x14ac:dyDescent="0.3"/>
    <row r="57795" customFormat="1" x14ac:dyDescent="0.3"/>
    <row r="57796" customFormat="1" x14ac:dyDescent="0.3"/>
    <row r="57797" customFormat="1" x14ac:dyDescent="0.3"/>
    <row r="57798" customFormat="1" x14ac:dyDescent="0.3"/>
    <row r="57799" customFormat="1" x14ac:dyDescent="0.3"/>
    <row r="57800" customFormat="1" x14ac:dyDescent="0.3"/>
    <row r="57801" customFormat="1" x14ac:dyDescent="0.3"/>
    <row r="57802" customFormat="1" x14ac:dyDescent="0.3"/>
    <row r="57803" customFormat="1" x14ac:dyDescent="0.3"/>
    <row r="57804" customFormat="1" x14ac:dyDescent="0.3"/>
    <row r="57805" customFormat="1" x14ac:dyDescent="0.3"/>
    <row r="57806" customFormat="1" x14ac:dyDescent="0.3"/>
    <row r="57807" customFormat="1" x14ac:dyDescent="0.3"/>
    <row r="57808" customFormat="1" x14ac:dyDescent="0.3"/>
    <row r="57809" customFormat="1" x14ac:dyDescent="0.3"/>
    <row r="57810" customFormat="1" x14ac:dyDescent="0.3"/>
    <row r="57811" customFormat="1" x14ac:dyDescent="0.3"/>
    <row r="57812" customFormat="1" x14ac:dyDescent="0.3"/>
    <row r="57813" customFormat="1" x14ac:dyDescent="0.3"/>
    <row r="57814" customFormat="1" x14ac:dyDescent="0.3"/>
    <row r="57815" customFormat="1" x14ac:dyDescent="0.3"/>
    <row r="57816" customFormat="1" x14ac:dyDescent="0.3"/>
    <row r="57817" customFormat="1" x14ac:dyDescent="0.3"/>
    <row r="57818" customFormat="1" x14ac:dyDescent="0.3"/>
    <row r="57819" customFormat="1" x14ac:dyDescent="0.3"/>
    <row r="57820" customFormat="1" x14ac:dyDescent="0.3"/>
    <row r="57821" customFormat="1" x14ac:dyDescent="0.3"/>
    <row r="57822" customFormat="1" x14ac:dyDescent="0.3"/>
    <row r="57823" customFormat="1" x14ac:dyDescent="0.3"/>
    <row r="57824" customFormat="1" x14ac:dyDescent="0.3"/>
    <row r="57825" customFormat="1" x14ac:dyDescent="0.3"/>
    <row r="57826" customFormat="1" x14ac:dyDescent="0.3"/>
    <row r="57827" customFormat="1" x14ac:dyDescent="0.3"/>
    <row r="57828" customFormat="1" x14ac:dyDescent="0.3"/>
    <row r="57829" customFormat="1" x14ac:dyDescent="0.3"/>
    <row r="57830" customFormat="1" x14ac:dyDescent="0.3"/>
    <row r="57831" customFormat="1" x14ac:dyDescent="0.3"/>
    <row r="57832" customFormat="1" x14ac:dyDescent="0.3"/>
    <row r="57833" customFormat="1" x14ac:dyDescent="0.3"/>
    <row r="57834" customFormat="1" x14ac:dyDescent="0.3"/>
    <row r="57835" customFormat="1" x14ac:dyDescent="0.3"/>
    <row r="57836" customFormat="1" x14ac:dyDescent="0.3"/>
    <row r="57837" customFormat="1" x14ac:dyDescent="0.3"/>
    <row r="57838" customFormat="1" x14ac:dyDescent="0.3"/>
    <row r="57839" customFormat="1" x14ac:dyDescent="0.3"/>
    <row r="57840" customFormat="1" x14ac:dyDescent="0.3"/>
    <row r="57841" customFormat="1" x14ac:dyDescent="0.3"/>
    <row r="57842" customFormat="1" x14ac:dyDescent="0.3"/>
    <row r="57843" customFormat="1" x14ac:dyDescent="0.3"/>
    <row r="57844" customFormat="1" x14ac:dyDescent="0.3"/>
    <row r="57845" customFormat="1" x14ac:dyDescent="0.3"/>
    <row r="57846" customFormat="1" x14ac:dyDescent="0.3"/>
    <row r="57847" customFormat="1" x14ac:dyDescent="0.3"/>
    <row r="57848" customFormat="1" x14ac:dyDescent="0.3"/>
    <row r="57849" customFormat="1" x14ac:dyDescent="0.3"/>
    <row r="57850" customFormat="1" x14ac:dyDescent="0.3"/>
    <row r="57851" customFormat="1" x14ac:dyDescent="0.3"/>
    <row r="57852" customFormat="1" x14ac:dyDescent="0.3"/>
    <row r="57853" customFormat="1" x14ac:dyDescent="0.3"/>
    <row r="57854" customFormat="1" x14ac:dyDescent="0.3"/>
    <row r="57855" customFormat="1" x14ac:dyDescent="0.3"/>
    <row r="57856" customFormat="1" x14ac:dyDescent="0.3"/>
    <row r="57857" customFormat="1" x14ac:dyDescent="0.3"/>
    <row r="57858" customFormat="1" x14ac:dyDescent="0.3"/>
    <row r="57859" customFormat="1" x14ac:dyDescent="0.3"/>
    <row r="57860" customFormat="1" x14ac:dyDescent="0.3"/>
    <row r="57861" customFormat="1" x14ac:dyDescent="0.3"/>
    <row r="57862" customFormat="1" x14ac:dyDescent="0.3"/>
    <row r="57863" customFormat="1" x14ac:dyDescent="0.3"/>
    <row r="57864" customFormat="1" x14ac:dyDescent="0.3"/>
    <row r="57865" customFormat="1" x14ac:dyDescent="0.3"/>
    <row r="57866" customFormat="1" x14ac:dyDescent="0.3"/>
    <row r="57867" customFormat="1" x14ac:dyDescent="0.3"/>
    <row r="57868" customFormat="1" x14ac:dyDescent="0.3"/>
    <row r="57869" customFormat="1" x14ac:dyDescent="0.3"/>
    <row r="57870" customFormat="1" x14ac:dyDescent="0.3"/>
    <row r="57871" customFormat="1" x14ac:dyDescent="0.3"/>
    <row r="57872" customFormat="1" x14ac:dyDescent="0.3"/>
    <row r="57873" customFormat="1" x14ac:dyDescent="0.3"/>
    <row r="57874" customFormat="1" x14ac:dyDescent="0.3"/>
    <row r="57875" customFormat="1" x14ac:dyDescent="0.3"/>
    <row r="57876" customFormat="1" x14ac:dyDescent="0.3"/>
    <row r="57877" customFormat="1" x14ac:dyDescent="0.3"/>
    <row r="57878" customFormat="1" x14ac:dyDescent="0.3"/>
    <row r="57879" customFormat="1" x14ac:dyDescent="0.3"/>
    <row r="57880" customFormat="1" x14ac:dyDescent="0.3"/>
    <row r="57881" customFormat="1" x14ac:dyDescent="0.3"/>
    <row r="57882" customFormat="1" x14ac:dyDescent="0.3"/>
    <row r="57883" customFormat="1" x14ac:dyDescent="0.3"/>
    <row r="57884" customFormat="1" x14ac:dyDescent="0.3"/>
    <row r="57885" customFormat="1" x14ac:dyDescent="0.3"/>
    <row r="57886" customFormat="1" x14ac:dyDescent="0.3"/>
    <row r="57887" customFormat="1" x14ac:dyDescent="0.3"/>
    <row r="57888" customFormat="1" x14ac:dyDescent="0.3"/>
    <row r="57889" customFormat="1" x14ac:dyDescent="0.3"/>
    <row r="57890" customFormat="1" x14ac:dyDescent="0.3"/>
    <row r="57891" customFormat="1" x14ac:dyDescent="0.3"/>
    <row r="57892" customFormat="1" x14ac:dyDescent="0.3"/>
    <row r="57893" customFormat="1" x14ac:dyDescent="0.3"/>
    <row r="57894" customFormat="1" x14ac:dyDescent="0.3"/>
    <row r="57895" customFormat="1" x14ac:dyDescent="0.3"/>
    <row r="57896" customFormat="1" x14ac:dyDescent="0.3"/>
    <row r="57897" customFormat="1" x14ac:dyDescent="0.3"/>
    <row r="57898" customFormat="1" x14ac:dyDescent="0.3"/>
    <row r="57899" customFormat="1" x14ac:dyDescent="0.3"/>
    <row r="57900" customFormat="1" x14ac:dyDescent="0.3"/>
    <row r="57901" customFormat="1" x14ac:dyDescent="0.3"/>
    <row r="57902" customFormat="1" x14ac:dyDescent="0.3"/>
    <row r="57903" customFormat="1" x14ac:dyDescent="0.3"/>
    <row r="57904" customFormat="1" x14ac:dyDescent="0.3"/>
    <row r="57905" customFormat="1" x14ac:dyDescent="0.3"/>
    <row r="57906" customFormat="1" x14ac:dyDescent="0.3"/>
    <row r="57907" customFormat="1" x14ac:dyDescent="0.3"/>
    <row r="57908" customFormat="1" x14ac:dyDescent="0.3"/>
    <row r="57909" customFormat="1" x14ac:dyDescent="0.3"/>
    <row r="57910" customFormat="1" x14ac:dyDescent="0.3"/>
    <row r="57911" customFormat="1" x14ac:dyDescent="0.3"/>
    <row r="57912" customFormat="1" x14ac:dyDescent="0.3"/>
    <row r="57913" customFormat="1" x14ac:dyDescent="0.3"/>
    <row r="57914" customFormat="1" x14ac:dyDescent="0.3"/>
    <row r="57915" customFormat="1" x14ac:dyDescent="0.3"/>
    <row r="57916" customFormat="1" x14ac:dyDescent="0.3"/>
    <row r="57917" customFormat="1" x14ac:dyDescent="0.3"/>
    <row r="57918" customFormat="1" x14ac:dyDescent="0.3"/>
    <row r="57919" customFormat="1" x14ac:dyDescent="0.3"/>
    <row r="57920" customFormat="1" x14ac:dyDescent="0.3"/>
    <row r="57921" customFormat="1" x14ac:dyDescent="0.3"/>
    <row r="57922" customFormat="1" x14ac:dyDescent="0.3"/>
    <row r="57923" customFormat="1" x14ac:dyDescent="0.3"/>
    <row r="57924" customFormat="1" x14ac:dyDescent="0.3"/>
    <row r="57925" customFormat="1" x14ac:dyDescent="0.3"/>
    <row r="57926" customFormat="1" x14ac:dyDescent="0.3"/>
    <row r="57927" customFormat="1" x14ac:dyDescent="0.3"/>
    <row r="57928" customFormat="1" x14ac:dyDescent="0.3"/>
    <row r="57929" customFormat="1" x14ac:dyDescent="0.3"/>
    <row r="57930" customFormat="1" x14ac:dyDescent="0.3"/>
    <row r="57931" customFormat="1" x14ac:dyDescent="0.3"/>
    <row r="57932" customFormat="1" x14ac:dyDescent="0.3"/>
    <row r="57933" customFormat="1" x14ac:dyDescent="0.3"/>
    <row r="57934" customFormat="1" x14ac:dyDescent="0.3"/>
    <row r="57935" customFormat="1" x14ac:dyDescent="0.3"/>
    <row r="57936" customFormat="1" x14ac:dyDescent="0.3"/>
    <row r="57937" customFormat="1" x14ac:dyDescent="0.3"/>
    <row r="57938" customFormat="1" x14ac:dyDescent="0.3"/>
    <row r="57939" customFormat="1" x14ac:dyDescent="0.3"/>
    <row r="57940" customFormat="1" x14ac:dyDescent="0.3"/>
    <row r="57941" customFormat="1" x14ac:dyDescent="0.3"/>
    <row r="57942" customFormat="1" x14ac:dyDescent="0.3"/>
    <row r="57943" customFormat="1" x14ac:dyDescent="0.3"/>
    <row r="57944" customFormat="1" x14ac:dyDescent="0.3"/>
    <row r="57945" customFormat="1" x14ac:dyDescent="0.3"/>
    <row r="57946" customFormat="1" x14ac:dyDescent="0.3"/>
    <row r="57947" customFormat="1" x14ac:dyDescent="0.3"/>
    <row r="57948" customFormat="1" x14ac:dyDescent="0.3"/>
    <row r="57949" customFormat="1" x14ac:dyDescent="0.3"/>
    <row r="57950" customFormat="1" x14ac:dyDescent="0.3"/>
    <row r="57951" customFormat="1" x14ac:dyDescent="0.3"/>
    <row r="57952" customFormat="1" x14ac:dyDescent="0.3"/>
    <row r="57953" customFormat="1" x14ac:dyDescent="0.3"/>
    <row r="57954" customFormat="1" x14ac:dyDescent="0.3"/>
    <row r="57955" customFormat="1" x14ac:dyDescent="0.3"/>
    <row r="57956" customFormat="1" x14ac:dyDescent="0.3"/>
    <row r="57957" customFormat="1" x14ac:dyDescent="0.3"/>
    <row r="57958" customFormat="1" x14ac:dyDescent="0.3"/>
    <row r="57959" customFormat="1" x14ac:dyDescent="0.3"/>
    <row r="57960" customFormat="1" x14ac:dyDescent="0.3"/>
    <row r="57961" customFormat="1" x14ac:dyDescent="0.3"/>
    <row r="57962" customFormat="1" x14ac:dyDescent="0.3"/>
    <row r="57963" customFormat="1" x14ac:dyDescent="0.3"/>
    <row r="57964" customFormat="1" x14ac:dyDescent="0.3"/>
    <row r="57965" customFormat="1" x14ac:dyDescent="0.3"/>
    <row r="57966" customFormat="1" x14ac:dyDescent="0.3"/>
    <row r="57967" customFormat="1" x14ac:dyDescent="0.3"/>
    <row r="57968" customFormat="1" x14ac:dyDescent="0.3"/>
    <row r="57969" customFormat="1" x14ac:dyDescent="0.3"/>
    <row r="57970" customFormat="1" x14ac:dyDescent="0.3"/>
    <row r="57971" customFormat="1" x14ac:dyDescent="0.3"/>
    <row r="57972" customFormat="1" x14ac:dyDescent="0.3"/>
    <row r="57973" customFormat="1" x14ac:dyDescent="0.3"/>
    <row r="57974" customFormat="1" x14ac:dyDescent="0.3"/>
    <row r="57975" customFormat="1" x14ac:dyDescent="0.3"/>
    <row r="57976" customFormat="1" x14ac:dyDescent="0.3"/>
    <row r="57977" customFormat="1" x14ac:dyDescent="0.3"/>
    <row r="57978" customFormat="1" x14ac:dyDescent="0.3"/>
    <row r="57979" customFormat="1" x14ac:dyDescent="0.3"/>
    <row r="57980" customFormat="1" x14ac:dyDescent="0.3"/>
    <row r="57981" customFormat="1" x14ac:dyDescent="0.3"/>
    <row r="57982" customFormat="1" x14ac:dyDescent="0.3"/>
    <row r="57983" customFormat="1" x14ac:dyDescent="0.3"/>
    <row r="57984" customFormat="1" x14ac:dyDescent="0.3"/>
    <row r="57985" customFormat="1" x14ac:dyDescent="0.3"/>
    <row r="57986" customFormat="1" x14ac:dyDescent="0.3"/>
    <row r="57987" customFormat="1" x14ac:dyDescent="0.3"/>
    <row r="57988" customFormat="1" x14ac:dyDescent="0.3"/>
    <row r="57989" customFormat="1" x14ac:dyDescent="0.3"/>
    <row r="57990" customFormat="1" x14ac:dyDescent="0.3"/>
    <row r="57991" customFormat="1" x14ac:dyDescent="0.3"/>
    <row r="57992" customFormat="1" x14ac:dyDescent="0.3"/>
    <row r="57993" customFormat="1" x14ac:dyDescent="0.3"/>
    <row r="57994" customFormat="1" x14ac:dyDescent="0.3"/>
    <row r="57995" customFormat="1" x14ac:dyDescent="0.3"/>
    <row r="57996" customFormat="1" x14ac:dyDescent="0.3"/>
    <row r="57997" customFormat="1" x14ac:dyDescent="0.3"/>
    <row r="57998" customFormat="1" x14ac:dyDescent="0.3"/>
    <row r="57999" customFormat="1" x14ac:dyDescent="0.3"/>
    <row r="58000" customFormat="1" x14ac:dyDescent="0.3"/>
    <row r="58001" customFormat="1" x14ac:dyDescent="0.3"/>
    <row r="58002" customFormat="1" x14ac:dyDescent="0.3"/>
    <row r="58003" customFormat="1" x14ac:dyDescent="0.3"/>
    <row r="58004" customFormat="1" x14ac:dyDescent="0.3"/>
    <row r="58005" customFormat="1" x14ac:dyDescent="0.3"/>
    <row r="58006" customFormat="1" x14ac:dyDescent="0.3"/>
    <row r="58007" customFormat="1" x14ac:dyDescent="0.3"/>
    <row r="58008" customFormat="1" x14ac:dyDescent="0.3"/>
    <row r="58009" customFormat="1" x14ac:dyDescent="0.3"/>
    <row r="58010" customFormat="1" x14ac:dyDescent="0.3"/>
    <row r="58011" customFormat="1" x14ac:dyDescent="0.3"/>
    <row r="58012" customFormat="1" x14ac:dyDescent="0.3"/>
    <row r="58013" customFormat="1" x14ac:dyDescent="0.3"/>
    <row r="58014" customFormat="1" x14ac:dyDescent="0.3"/>
    <row r="58015" customFormat="1" x14ac:dyDescent="0.3"/>
    <row r="58016" customFormat="1" x14ac:dyDescent="0.3"/>
    <row r="58017" customFormat="1" x14ac:dyDescent="0.3"/>
    <row r="58018" customFormat="1" x14ac:dyDescent="0.3"/>
    <row r="58019" customFormat="1" x14ac:dyDescent="0.3"/>
    <row r="58020" customFormat="1" x14ac:dyDescent="0.3"/>
    <row r="58021" customFormat="1" x14ac:dyDescent="0.3"/>
    <row r="58022" customFormat="1" x14ac:dyDescent="0.3"/>
    <row r="58023" customFormat="1" x14ac:dyDescent="0.3"/>
    <row r="58024" customFormat="1" x14ac:dyDescent="0.3"/>
    <row r="58025" customFormat="1" x14ac:dyDescent="0.3"/>
    <row r="58026" customFormat="1" x14ac:dyDescent="0.3"/>
    <row r="58027" customFormat="1" x14ac:dyDescent="0.3"/>
    <row r="58028" customFormat="1" x14ac:dyDescent="0.3"/>
    <row r="58029" customFormat="1" x14ac:dyDescent="0.3"/>
    <row r="58030" customFormat="1" x14ac:dyDescent="0.3"/>
    <row r="58031" customFormat="1" x14ac:dyDescent="0.3"/>
    <row r="58032" customFormat="1" x14ac:dyDescent="0.3"/>
    <row r="58033" customFormat="1" x14ac:dyDescent="0.3"/>
    <row r="58034" customFormat="1" x14ac:dyDescent="0.3"/>
    <row r="58035" customFormat="1" x14ac:dyDescent="0.3"/>
    <row r="58036" customFormat="1" x14ac:dyDescent="0.3"/>
    <row r="58037" customFormat="1" x14ac:dyDescent="0.3"/>
    <row r="58038" customFormat="1" x14ac:dyDescent="0.3"/>
    <row r="58039" customFormat="1" x14ac:dyDescent="0.3"/>
    <row r="58040" customFormat="1" x14ac:dyDescent="0.3"/>
    <row r="58041" customFormat="1" x14ac:dyDescent="0.3"/>
    <row r="58042" customFormat="1" x14ac:dyDescent="0.3"/>
    <row r="58043" customFormat="1" x14ac:dyDescent="0.3"/>
    <row r="58044" customFormat="1" x14ac:dyDescent="0.3"/>
    <row r="58045" customFormat="1" x14ac:dyDescent="0.3"/>
    <row r="58046" customFormat="1" x14ac:dyDescent="0.3"/>
    <row r="58047" customFormat="1" x14ac:dyDescent="0.3"/>
    <row r="58048" customFormat="1" x14ac:dyDescent="0.3"/>
    <row r="58049" customFormat="1" x14ac:dyDescent="0.3"/>
    <row r="58050" customFormat="1" x14ac:dyDescent="0.3"/>
    <row r="58051" customFormat="1" x14ac:dyDescent="0.3"/>
    <row r="58052" customFormat="1" x14ac:dyDescent="0.3"/>
    <row r="58053" customFormat="1" x14ac:dyDescent="0.3"/>
    <row r="58054" customFormat="1" x14ac:dyDescent="0.3"/>
    <row r="58055" customFormat="1" x14ac:dyDescent="0.3"/>
    <row r="58056" customFormat="1" x14ac:dyDescent="0.3"/>
    <row r="58057" customFormat="1" x14ac:dyDescent="0.3"/>
    <row r="58058" customFormat="1" x14ac:dyDescent="0.3"/>
    <row r="58059" customFormat="1" x14ac:dyDescent="0.3"/>
    <row r="58060" customFormat="1" x14ac:dyDescent="0.3"/>
    <row r="58061" customFormat="1" x14ac:dyDescent="0.3"/>
    <row r="58062" customFormat="1" x14ac:dyDescent="0.3"/>
    <row r="58063" customFormat="1" x14ac:dyDescent="0.3"/>
    <row r="58064" customFormat="1" x14ac:dyDescent="0.3"/>
    <row r="58065" customFormat="1" x14ac:dyDescent="0.3"/>
    <row r="58066" customFormat="1" x14ac:dyDescent="0.3"/>
    <row r="58067" customFormat="1" x14ac:dyDescent="0.3"/>
    <row r="58068" customFormat="1" x14ac:dyDescent="0.3"/>
    <row r="58069" customFormat="1" x14ac:dyDescent="0.3"/>
    <row r="58070" customFormat="1" x14ac:dyDescent="0.3"/>
    <row r="58071" customFormat="1" x14ac:dyDescent="0.3"/>
    <row r="58072" customFormat="1" x14ac:dyDescent="0.3"/>
    <row r="58073" customFormat="1" x14ac:dyDescent="0.3"/>
    <row r="58074" customFormat="1" x14ac:dyDescent="0.3"/>
    <row r="58075" customFormat="1" x14ac:dyDescent="0.3"/>
    <row r="58076" customFormat="1" x14ac:dyDescent="0.3"/>
    <row r="58077" customFormat="1" x14ac:dyDescent="0.3"/>
    <row r="58078" customFormat="1" x14ac:dyDescent="0.3"/>
    <row r="58079" customFormat="1" x14ac:dyDescent="0.3"/>
    <row r="58080" customFormat="1" x14ac:dyDescent="0.3"/>
    <row r="58081" customFormat="1" x14ac:dyDescent="0.3"/>
    <row r="58082" customFormat="1" x14ac:dyDescent="0.3"/>
    <row r="58083" customFormat="1" x14ac:dyDescent="0.3"/>
    <row r="58084" customFormat="1" x14ac:dyDescent="0.3"/>
    <row r="58085" customFormat="1" x14ac:dyDescent="0.3"/>
    <row r="58086" customFormat="1" x14ac:dyDescent="0.3"/>
    <row r="58087" customFormat="1" x14ac:dyDescent="0.3"/>
    <row r="58088" customFormat="1" x14ac:dyDescent="0.3"/>
    <row r="58089" customFormat="1" x14ac:dyDescent="0.3"/>
    <row r="58090" customFormat="1" x14ac:dyDescent="0.3"/>
    <row r="58091" customFormat="1" x14ac:dyDescent="0.3"/>
    <row r="58092" customFormat="1" x14ac:dyDescent="0.3"/>
    <row r="58093" customFormat="1" x14ac:dyDescent="0.3"/>
    <row r="58094" customFormat="1" x14ac:dyDescent="0.3"/>
    <row r="58095" customFormat="1" x14ac:dyDescent="0.3"/>
    <row r="58096" customFormat="1" x14ac:dyDescent="0.3"/>
    <row r="58097" customFormat="1" x14ac:dyDescent="0.3"/>
    <row r="58098" customFormat="1" x14ac:dyDescent="0.3"/>
    <row r="58099" customFormat="1" x14ac:dyDescent="0.3"/>
    <row r="58100" customFormat="1" x14ac:dyDescent="0.3"/>
    <row r="58101" customFormat="1" x14ac:dyDescent="0.3"/>
    <row r="58102" customFormat="1" x14ac:dyDescent="0.3"/>
    <row r="58103" customFormat="1" x14ac:dyDescent="0.3"/>
    <row r="58104" customFormat="1" x14ac:dyDescent="0.3"/>
    <row r="58105" customFormat="1" x14ac:dyDescent="0.3"/>
    <row r="58106" customFormat="1" x14ac:dyDescent="0.3"/>
    <row r="58107" customFormat="1" x14ac:dyDescent="0.3"/>
    <row r="58108" customFormat="1" x14ac:dyDescent="0.3"/>
    <row r="58109" customFormat="1" x14ac:dyDescent="0.3"/>
    <row r="58110" customFormat="1" x14ac:dyDescent="0.3"/>
    <row r="58111" customFormat="1" x14ac:dyDescent="0.3"/>
    <row r="58112" customFormat="1" x14ac:dyDescent="0.3"/>
    <row r="58113" customFormat="1" x14ac:dyDescent="0.3"/>
    <row r="58114" customFormat="1" x14ac:dyDescent="0.3"/>
    <row r="58115" customFormat="1" x14ac:dyDescent="0.3"/>
    <row r="58116" customFormat="1" x14ac:dyDescent="0.3"/>
    <row r="58117" customFormat="1" x14ac:dyDescent="0.3"/>
    <row r="58118" customFormat="1" x14ac:dyDescent="0.3"/>
    <row r="58119" customFormat="1" x14ac:dyDescent="0.3"/>
    <row r="58120" customFormat="1" x14ac:dyDescent="0.3"/>
    <row r="58121" customFormat="1" x14ac:dyDescent="0.3"/>
    <row r="58122" customFormat="1" x14ac:dyDescent="0.3"/>
    <row r="58123" customFormat="1" x14ac:dyDescent="0.3"/>
    <row r="58124" customFormat="1" x14ac:dyDescent="0.3"/>
    <row r="58125" customFormat="1" x14ac:dyDescent="0.3"/>
    <row r="58126" customFormat="1" x14ac:dyDescent="0.3"/>
    <row r="58127" customFormat="1" x14ac:dyDescent="0.3"/>
    <row r="58128" customFormat="1" x14ac:dyDescent="0.3"/>
    <row r="58129" customFormat="1" x14ac:dyDescent="0.3"/>
    <row r="58130" customFormat="1" x14ac:dyDescent="0.3"/>
    <row r="58131" customFormat="1" x14ac:dyDescent="0.3"/>
    <row r="58132" customFormat="1" x14ac:dyDescent="0.3"/>
    <row r="58133" customFormat="1" x14ac:dyDescent="0.3"/>
    <row r="58134" customFormat="1" x14ac:dyDescent="0.3"/>
    <row r="58135" customFormat="1" x14ac:dyDescent="0.3"/>
    <row r="58136" customFormat="1" x14ac:dyDescent="0.3"/>
    <row r="58137" customFormat="1" x14ac:dyDescent="0.3"/>
    <row r="58138" customFormat="1" x14ac:dyDescent="0.3"/>
    <row r="58139" customFormat="1" x14ac:dyDescent="0.3"/>
    <row r="58140" customFormat="1" x14ac:dyDescent="0.3"/>
    <row r="58141" customFormat="1" x14ac:dyDescent="0.3"/>
    <row r="58142" customFormat="1" x14ac:dyDescent="0.3"/>
    <row r="58143" customFormat="1" x14ac:dyDescent="0.3"/>
    <row r="58144" customFormat="1" x14ac:dyDescent="0.3"/>
    <row r="58145" customFormat="1" x14ac:dyDescent="0.3"/>
    <row r="58146" customFormat="1" x14ac:dyDescent="0.3"/>
    <row r="58147" customFormat="1" x14ac:dyDescent="0.3"/>
    <row r="58148" customFormat="1" x14ac:dyDescent="0.3"/>
    <row r="58149" customFormat="1" x14ac:dyDescent="0.3"/>
    <row r="58150" customFormat="1" x14ac:dyDescent="0.3"/>
    <row r="58151" customFormat="1" x14ac:dyDescent="0.3"/>
    <row r="58152" customFormat="1" x14ac:dyDescent="0.3"/>
    <row r="58153" customFormat="1" x14ac:dyDescent="0.3"/>
    <row r="58154" customFormat="1" x14ac:dyDescent="0.3"/>
    <row r="58155" customFormat="1" x14ac:dyDescent="0.3"/>
    <row r="58156" customFormat="1" x14ac:dyDescent="0.3"/>
    <row r="58157" customFormat="1" x14ac:dyDescent="0.3"/>
    <row r="58158" customFormat="1" x14ac:dyDescent="0.3"/>
    <row r="58159" customFormat="1" x14ac:dyDescent="0.3"/>
    <row r="58160" customFormat="1" x14ac:dyDescent="0.3"/>
    <row r="58161" customFormat="1" x14ac:dyDescent="0.3"/>
    <row r="58162" customFormat="1" x14ac:dyDescent="0.3"/>
    <row r="58163" customFormat="1" x14ac:dyDescent="0.3"/>
    <row r="58164" customFormat="1" x14ac:dyDescent="0.3"/>
    <row r="58165" customFormat="1" x14ac:dyDescent="0.3"/>
    <row r="58166" customFormat="1" x14ac:dyDescent="0.3"/>
    <row r="58167" customFormat="1" x14ac:dyDescent="0.3"/>
    <row r="58168" customFormat="1" x14ac:dyDescent="0.3"/>
    <row r="58169" customFormat="1" x14ac:dyDescent="0.3"/>
    <row r="58170" customFormat="1" x14ac:dyDescent="0.3"/>
    <row r="58171" customFormat="1" x14ac:dyDescent="0.3"/>
    <row r="58172" customFormat="1" x14ac:dyDescent="0.3"/>
    <row r="58173" customFormat="1" x14ac:dyDescent="0.3"/>
    <row r="58174" customFormat="1" x14ac:dyDescent="0.3"/>
    <row r="58175" customFormat="1" x14ac:dyDescent="0.3"/>
    <row r="58176" customFormat="1" x14ac:dyDescent="0.3"/>
    <row r="58177" customFormat="1" x14ac:dyDescent="0.3"/>
    <row r="58178" customFormat="1" x14ac:dyDescent="0.3"/>
    <row r="58179" customFormat="1" x14ac:dyDescent="0.3"/>
    <row r="58180" customFormat="1" x14ac:dyDescent="0.3"/>
    <row r="58181" customFormat="1" x14ac:dyDescent="0.3"/>
    <row r="58182" customFormat="1" x14ac:dyDescent="0.3"/>
    <row r="58183" customFormat="1" x14ac:dyDescent="0.3"/>
    <row r="58184" customFormat="1" x14ac:dyDescent="0.3"/>
    <row r="58185" customFormat="1" x14ac:dyDescent="0.3"/>
    <row r="58186" customFormat="1" x14ac:dyDescent="0.3"/>
    <row r="58187" customFormat="1" x14ac:dyDescent="0.3"/>
    <row r="58188" customFormat="1" x14ac:dyDescent="0.3"/>
    <row r="58189" customFormat="1" x14ac:dyDescent="0.3"/>
    <row r="58190" customFormat="1" x14ac:dyDescent="0.3"/>
    <row r="58191" customFormat="1" x14ac:dyDescent="0.3"/>
    <row r="58192" customFormat="1" x14ac:dyDescent="0.3"/>
    <row r="58193" customFormat="1" x14ac:dyDescent="0.3"/>
    <row r="58194" customFormat="1" x14ac:dyDescent="0.3"/>
    <row r="58195" customFormat="1" x14ac:dyDescent="0.3"/>
    <row r="58196" customFormat="1" x14ac:dyDescent="0.3"/>
    <row r="58197" customFormat="1" x14ac:dyDescent="0.3"/>
    <row r="58198" customFormat="1" x14ac:dyDescent="0.3"/>
    <row r="58199" customFormat="1" x14ac:dyDescent="0.3"/>
    <row r="58200" customFormat="1" x14ac:dyDescent="0.3"/>
    <row r="58201" customFormat="1" x14ac:dyDescent="0.3"/>
    <row r="58202" customFormat="1" x14ac:dyDescent="0.3"/>
    <row r="58203" customFormat="1" x14ac:dyDescent="0.3"/>
    <row r="58204" customFormat="1" x14ac:dyDescent="0.3"/>
    <row r="58205" customFormat="1" x14ac:dyDescent="0.3"/>
    <row r="58206" customFormat="1" x14ac:dyDescent="0.3"/>
    <row r="58207" customFormat="1" x14ac:dyDescent="0.3"/>
    <row r="58208" customFormat="1" x14ac:dyDescent="0.3"/>
    <row r="58209" customFormat="1" x14ac:dyDescent="0.3"/>
    <row r="58210" customFormat="1" x14ac:dyDescent="0.3"/>
    <row r="58211" customFormat="1" x14ac:dyDescent="0.3"/>
    <row r="58212" customFormat="1" x14ac:dyDescent="0.3"/>
    <row r="58213" customFormat="1" x14ac:dyDescent="0.3"/>
    <row r="58214" customFormat="1" x14ac:dyDescent="0.3"/>
    <row r="58215" customFormat="1" x14ac:dyDescent="0.3"/>
    <row r="58216" customFormat="1" x14ac:dyDescent="0.3"/>
    <row r="58217" customFormat="1" x14ac:dyDescent="0.3"/>
    <row r="58218" customFormat="1" x14ac:dyDescent="0.3"/>
    <row r="58219" customFormat="1" x14ac:dyDescent="0.3"/>
    <row r="58220" customFormat="1" x14ac:dyDescent="0.3"/>
    <row r="58221" customFormat="1" x14ac:dyDescent="0.3"/>
    <row r="58222" customFormat="1" x14ac:dyDescent="0.3"/>
    <row r="58223" customFormat="1" x14ac:dyDescent="0.3"/>
    <row r="58224" customFormat="1" x14ac:dyDescent="0.3"/>
    <row r="58225" customFormat="1" x14ac:dyDescent="0.3"/>
    <row r="58226" customFormat="1" x14ac:dyDescent="0.3"/>
    <row r="58227" customFormat="1" x14ac:dyDescent="0.3"/>
    <row r="58228" customFormat="1" x14ac:dyDescent="0.3"/>
    <row r="58229" customFormat="1" x14ac:dyDescent="0.3"/>
    <row r="58230" customFormat="1" x14ac:dyDescent="0.3"/>
    <row r="58231" customFormat="1" x14ac:dyDescent="0.3"/>
    <row r="58232" customFormat="1" x14ac:dyDescent="0.3"/>
    <row r="58233" customFormat="1" x14ac:dyDescent="0.3"/>
    <row r="58234" customFormat="1" x14ac:dyDescent="0.3"/>
    <row r="58235" customFormat="1" x14ac:dyDescent="0.3"/>
    <row r="58236" customFormat="1" x14ac:dyDescent="0.3"/>
    <row r="58237" customFormat="1" x14ac:dyDescent="0.3"/>
    <row r="58238" customFormat="1" x14ac:dyDescent="0.3"/>
    <row r="58239" customFormat="1" x14ac:dyDescent="0.3"/>
    <row r="58240" customFormat="1" x14ac:dyDescent="0.3"/>
    <row r="58241" customFormat="1" x14ac:dyDescent="0.3"/>
    <row r="58242" customFormat="1" x14ac:dyDescent="0.3"/>
    <row r="58243" customFormat="1" x14ac:dyDescent="0.3"/>
    <row r="58244" customFormat="1" x14ac:dyDescent="0.3"/>
    <row r="58245" customFormat="1" x14ac:dyDescent="0.3"/>
    <row r="58246" customFormat="1" x14ac:dyDescent="0.3"/>
    <row r="58247" customFormat="1" x14ac:dyDescent="0.3"/>
    <row r="58248" customFormat="1" x14ac:dyDescent="0.3"/>
    <row r="58249" customFormat="1" x14ac:dyDescent="0.3"/>
    <row r="58250" customFormat="1" x14ac:dyDescent="0.3"/>
    <row r="58251" customFormat="1" x14ac:dyDescent="0.3"/>
    <row r="58252" customFormat="1" x14ac:dyDescent="0.3"/>
    <row r="58253" customFormat="1" x14ac:dyDescent="0.3"/>
    <row r="58254" customFormat="1" x14ac:dyDescent="0.3"/>
    <row r="58255" customFormat="1" x14ac:dyDescent="0.3"/>
    <row r="58256" customFormat="1" x14ac:dyDescent="0.3"/>
    <row r="58257" customFormat="1" x14ac:dyDescent="0.3"/>
    <row r="58258" customFormat="1" x14ac:dyDescent="0.3"/>
    <row r="58259" customFormat="1" x14ac:dyDescent="0.3"/>
    <row r="58260" customFormat="1" x14ac:dyDescent="0.3"/>
    <row r="58261" customFormat="1" x14ac:dyDescent="0.3"/>
    <row r="58262" customFormat="1" x14ac:dyDescent="0.3"/>
    <row r="58263" customFormat="1" x14ac:dyDescent="0.3"/>
    <row r="58264" customFormat="1" x14ac:dyDescent="0.3"/>
    <row r="58265" customFormat="1" x14ac:dyDescent="0.3"/>
    <row r="58266" customFormat="1" x14ac:dyDescent="0.3"/>
    <row r="58267" customFormat="1" x14ac:dyDescent="0.3"/>
    <row r="58268" customFormat="1" x14ac:dyDescent="0.3"/>
    <row r="58269" customFormat="1" x14ac:dyDescent="0.3"/>
    <row r="58270" customFormat="1" x14ac:dyDescent="0.3"/>
    <row r="58271" customFormat="1" x14ac:dyDescent="0.3"/>
    <row r="58272" customFormat="1" x14ac:dyDescent="0.3"/>
    <row r="58273" customFormat="1" x14ac:dyDescent="0.3"/>
    <row r="58274" customFormat="1" x14ac:dyDescent="0.3"/>
    <row r="58275" customFormat="1" x14ac:dyDescent="0.3"/>
    <row r="58276" customFormat="1" x14ac:dyDescent="0.3"/>
    <row r="58277" customFormat="1" x14ac:dyDescent="0.3"/>
    <row r="58278" customFormat="1" x14ac:dyDescent="0.3"/>
    <row r="58279" customFormat="1" x14ac:dyDescent="0.3"/>
    <row r="58280" customFormat="1" x14ac:dyDescent="0.3"/>
    <row r="58281" customFormat="1" x14ac:dyDescent="0.3"/>
    <row r="58282" customFormat="1" x14ac:dyDescent="0.3"/>
    <row r="58283" customFormat="1" x14ac:dyDescent="0.3"/>
    <row r="58284" customFormat="1" x14ac:dyDescent="0.3"/>
    <row r="58285" customFormat="1" x14ac:dyDescent="0.3"/>
    <row r="58286" customFormat="1" x14ac:dyDescent="0.3"/>
    <row r="58287" customFormat="1" x14ac:dyDescent="0.3"/>
    <row r="58288" customFormat="1" x14ac:dyDescent="0.3"/>
    <row r="58289" customFormat="1" x14ac:dyDescent="0.3"/>
    <row r="58290" customFormat="1" x14ac:dyDescent="0.3"/>
    <row r="58291" customFormat="1" x14ac:dyDescent="0.3"/>
    <row r="58292" customFormat="1" x14ac:dyDescent="0.3"/>
    <row r="58293" customFormat="1" x14ac:dyDescent="0.3"/>
    <row r="58294" customFormat="1" x14ac:dyDescent="0.3"/>
    <row r="58295" customFormat="1" x14ac:dyDescent="0.3"/>
    <row r="58296" customFormat="1" x14ac:dyDescent="0.3"/>
    <row r="58297" customFormat="1" x14ac:dyDescent="0.3"/>
    <row r="58298" customFormat="1" x14ac:dyDescent="0.3"/>
    <row r="58299" customFormat="1" x14ac:dyDescent="0.3"/>
    <row r="58300" customFormat="1" x14ac:dyDescent="0.3"/>
    <row r="58301" customFormat="1" x14ac:dyDescent="0.3"/>
    <row r="58302" customFormat="1" x14ac:dyDescent="0.3"/>
    <row r="58303" customFormat="1" x14ac:dyDescent="0.3"/>
    <row r="58304" customFormat="1" x14ac:dyDescent="0.3"/>
    <row r="58305" customFormat="1" x14ac:dyDescent="0.3"/>
    <row r="58306" customFormat="1" x14ac:dyDescent="0.3"/>
    <row r="58307" customFormat="1" x14ac:dyDescent="0.3"/>
    <row r="58308" customFormat="1" x14ac:dyDescent="0.3"/>
    <row r="58309" customFormat="1" x14ac:dyDescent="0.3"/>
    <row r="58310" customFormat="1" x14ac:dyDescent="0.3"/>
    <row r="58311" customFormat="1" x14ac:dyDescent="0.3"/>
    <row r="58312" customFormat="1" x14ac:dyDescent="0.3"/>
    <row r="58313" customFormat="1" x14ac:dyDescent="0.3"/>
    <row r="58314" customFormat="1" x14ac:dyDescent="0.3"/>
    <row r="58315" customFormat="1" x14ac:dyDescent="0.3"/>
    <row r="58316" customFormat="1" x14ac:dyDescent="0.3"/>
    <row r="58317" customFormat="1" x14ac:dyDescent="0.3"/>
    <row r="58318" customFormat="1" x14ac:dyDescent="0.3"/>
    <row r="58319" customFormat="1" x14ac:dyDescent="0.3"/>
    <row r="58320" customFormat="1" x14ac:dyDescent="0.3"/>
    <row r="58321" customFormat="1" x14ac:dyDescent="0.3"/>
    <row r="58322" customFormat="1" x14ac:dyDescent="0.3"/>
    <row r="58323" customFormat="1" x14ac:dyDescent="0.3"/>
    <row r="58324" customFormat="1" x14ac:dyDescent="0.3"/>
    <row r="58325" customFormat="1" x14ac:dyDescent="0.3"/>
    <row r="58326" customFormat="1" x14ac:dyDescent="0.3"/>
    <row r="58327" customFormat="1" x14ac:dyDescent="0.3"/>
    <row r="58328" customFormat="1" x14ac:dyDescent="0.3"/>
    <row r="58329" customFormat="1" x14ac:dyDescent="0.3"/>
    <row r="58330" customFormat="1" x14ac:dyDescent="0.3"/>
    <row r="58331" customFormat="1" x14ac:dyDescent="0.3"/>
    <row r="58332" customFormat="1" x14ac:dyDescent="0.3"/>
    <row r="58333" customFormat="1" x14ac:dyDescent="0.3"/>
    <row r="58334" customFormat="1" x14ac:dyDescent="0.3"/>
    <row r="58335" customFormat="1" x14ac:dyDescent="0.3"/>
    <row r="58336" customFormat="1" x14ac:dyDescent="0.3"/>
    <row r="58337" customFormat="1" x14ac:dyDescent="0.3"/>
    <row r="58338" customFormat="1" x14ac:dyDescent="0.3"/>
    <row r="58339" customFormat="1" x14ac:dyDescent="0.3"/>
    <row r="58340" customFormat="1" x14ac:dyDescent="0.3"/>
    <row r="58341" customFormat="1" x14ac:dyDescent="0.3"/>
    <row r="58342" customFormat="1" x14ac:dyDescent="0.3"/>
    <row r="58343" customFormat="1" x14ac:dyDescent="0.3"/>
    <row r="58344" customFormat="1" x14ac:dyDescent="0.3"/>
    <row r="58345" customFormat="1" x14ac:dyDescent="0.3"/>
    <row r="58346" customFormat="1" x14ac:dyDescent="0.3"/>
    <row r="58347" customFormat="1" x14ac:dyDescent="0.3"/>
    <row r="58348" customFormat="1" x14ac:dyDescent="0.3"/>
    <row r="58349" customFormat="1" x14ac:dyDescent="0.3"/>
    <row r="58350" customFormat="1" x14ac:dyDescent="0.3"/>
    <row r="58351" customFormat="1" x14ac:dyDescent="0.3"/>
    <row r="58352" customFormat="1" x14ac:dyDescent="0.3"/>
    <row r="58353" customFormat="1" x14ac:dyDescent="0.3"/>
    <row r="58354" customFormat="1" x14ac:dyDescent="0.3"/>
    <row r="58355" customFormat="1" x14ac:dyDescent="0.3"/>
    <row r="58356" customFormat="1" x14ac:dyDescent="0.3"/>
    <row r="58357" customFormat="1" x14ac:dyDescent="0.3"/>
    <row r="58358" customFormat="1" x14ac:dyDescent="0.3"/>
    <row r="58359" customFormat="1" x14ac:dyDescent="0.3"/>
    <row r="58360" customFormat="1" x14ac:dyDescent="0.3"/>
    <row r="58361" customFormat="1" x14ac:dyDescent="0.3"/>
    <row r="58362" customFormat="1" x14ac:dyDescent="0.3"/>
    <row r="58363" customFormat="1" x14ac:dyDescent="0.3"/>
    <row r="58364" customFormat="1" x14ac:dyDescent="0.3"/>
    <row r="58365" customFormat="1" x14ac:dyDescent="0.3"/>
    <row r="58366" customFormat="1" x14ac:dyDescent="0.3"/>
    <row r="58367" customFormat="1" x14ac:dyDescent="0.3"/>
    <row r="58368" customFormat="1" x14ac:dyDescent="0.3"/>
    <row r="58369" customFormat="1" x14ac:dyDescent="0.3"/>
    <row r="58370" customFormat="1" x14ac:dyDescent="0.3"/>
    <row r="58371" customFormat="1" x14ac:dyDescent="0.3"/>
    <row r="58372" customFormat="1" x14ac:dyDescent="0.3"/>
    <row r="58373" customFormat="1" x14ac:dyDescent="0.3"/>
    <row r="58374" customFormat="1" x14ac:dyDescent="0.3"/>
    <row r="58375" customFormat="1" x14ac:dyDescent="0.3"/>
    <row r="58376" customFormat="1" x14ac:dyDescent="0.3"/>
    <row r="58377" customFormat="1" x14ac:dyDescent="0.3"/>
    <row r="58378" customFormat="1" x14ac:dyDescent="0.3"/>
    <row r="58379" customFormat="1" x14ac:dyDescent="0.3"/>
    <row r="58380" customFormat="1" x14ac:dyDescent="0.3"/>
    <row r="58381" customFormat="1" x14ac:dyDescent="0.3"/>
    <row r="58382" customFormat="1" x14ac:dyDescent="0.3"/>
    <row r="58383" customFormat="1" x14ac:dyDescent="0.3"/>
    <row r="58384" customFormat="1" x14ac:dyDescent="0.3"/>
    <row r="58385" customFormat="1" x14ac:dyDescent="0.3"/>
    <row r="58386" customFormat="1" x14ac:dyDescent="0.3"/>
    <row r="58387" customFormat="1" x14ac:dyDescent="0.3"/>
    <row r="58388" customFormat="1" x14ac:dyDescent="0.3"/>
    <row r="58389" customFormat="1" x14ac:dyDescent="0.3"/>
    <row r="58390" customFormat="1" x14ac:dyDescent="0.3"/>
    <row r="58391" customFormat="1" x14ac:dyDescent="0.3"/>
    <row r="58392" customFormat="1" x14ac:dyDescent="0.3"/>
    <row r="58393" customFormat="1" x14ac:dyDescent="0.3"/>
    <row r="58394" customFormat="1" x14ac:dyDescent="0.3"/>
    <row r="58395" customFormat="1" x14ac:dyDescent="0.3"/>
    <row r="58396" customFormat="1" x14ac:dyDescent="0.3"/>
    <row r="58397" customFormat="1" x14ac:dyDescent="0.3"/>
    <row r="58398" customFormat="1" x14ac:dyDescent="0.3"/>
    <row r="58399" customFormat="1" x14ac:dyDescent="0.3"/>
    <row r="58400" customFormat="1" x14ac:dyDescent="0.3"/>
    <row r="58401" customFormat="1" x14ac:dyDescent="0.3"/>
    <row r="58402" customFormat="1" x14ac:dyDescent="0.3"/>
    <row r="58403" customFormat="1" x14ac:dyDescent="0.3"/>
    <row r="58404" customFormat="1" x14ac:dyDescent="0.3"/>
    <row r="58405" customFormat="1" x14ac:dyDescent="0.3"/>
    <row r="58406" customFormat="1" x14ac:dyDescent="0.3"/>
    <row r="58407" customFormat="1" x14ac:dyDescent="0.3"/>
    <row r="58408" customFormat="1" x14ac:dyDescent="0.3"/>
    <row r="58409" customFormat="1" x14ac:dyDescent="0.3"/>
    <row r="58410" customFormat="1" x14ac:dyDescent="0.3"/>
    <row r="58411" customFormat="1" x14ac:dyDescent="0.3"/>
    <row r="58412" customFormat="1" x14ac:dyDescent="0.3"/>
    <row r="58413" customFormat="1" x14ac:dyDescent="0.3"/>
    <row r="58414" customFormat="1" x14ac:dyDescent="0.3"/>
    <row r="58415" customFormat="1" x14ac:dyDescent="0.3"/>
    <row r="58416" customFormat="1" x14ac:dyDescent="0.3"/>
    <row r="58417" customFormat="1" x14ac:dyDescent="0.3"/>
    <row r="58418" customFormat="1" x14ac:dyDescent="0.3"/>
    <row r="58419" customFormat="1" x14ac:dyDescent="0.3"/>
    <row r="58420" customFormat="1" x14ac:dyDescent="0.3"/>
    <row r="58421" customFormat="1" x14ac:dyDescent="0.3"/>
    <row r="58422" customFormat="1" x14ac:dyDescent="0.3"/>
    <row r="58423" customFormat="1" x14ac:dyDescent="0.3"/>
    <row r="58424" customFormat="1" x14ac:dyDescent="0.3"/>
    <row r="58425" customFormat="1" x14ac:dyDescent="0.3"/>
    <row r="58426" customFormat="1" x14ac:dyDescent="0.3"/>
    <row r="58427" customFormat="1" x14ac:dyDescent="0.3"/>
    <row r="58428" customFormat="1" x14ac:dyDescent="0.3"/>
    <row r="58429" customFormat="1" x14ac:dyDescent="0.3"/>
    <row r="58430" customFormat="1" x14ac:dyDescent="0.3"/>
    <row r="58431" customFormat="1" x14ac:dyDescent="0.3"/>
    <row r="58432" customFormat="1" x14ac:dyDescent="0.3"/>
    <row r="58433" customFormat="1" x14ac:dyDescent="0.3"/>
    <row r="58434" customFormat="1" x14ac:dyDescent="0.3"/>
    <row r="58435" customFormat="1" x14ac:dyDescent="0.3"/>
    <row r="58436" customFormat="1" x14ac:dyDescent="0.3"/>
    <row r="58437" customFormat="1" x14ac:dyDescent="0.3"/>
    <row r="58438" customFormat="1" x14ac:dyDescent="0.3"/>
    <row r="58439" customFormat="1" x14ac:dyDescent="0.3"/>
    <row r="58440" customFormat="1" x14ac:dyDescent="0.3"/>
    <row r="58441" customFormat="1" x14ac:dyDescent="0.3"/>
    <row r="58442" customFormat="1" x14ac:dyDescent="0.3"/>
    <row r="58443" customFormat="1" x14ac:dyDescent="0.3"/>
    <row r="58444" customFormat="1" x14ac:dyDescent="0.3"/>
    <row r="58445" customFormat="1" x14ac:dyDescent="0.3"/>
    <row r="58446" customFormat="1" x14ac:dyDescent="0.3"/>
    <row r="58447" customFormat="1" x14ac:dyDescent="0.3"/>
    <row r="58448" customFormat="1" x14ac:dyDescent="0.3"/>
    <row r="58449" customFormat="1" x14ac:dyDescent="0.3"/>
    <row r="58450" customFormat="1" x14ac:dyDescent="0.3"/>
    <row r="58451" customFormat="1" x14ac:dyDescent="0.3"/>
    <row r="58452" customFormat="1" x14ac:dyDescent="0.3"/>
    <row r="58453" customFormat="1" x14ac:dyDescent="0.3"/>
    <row r="58454" customFormat="1" x14ac:dyDescent="0.3"/>
    <row r="58455" customFormat="1" x14ac:dyDescent="0.3"/>
    <row r="58456" customFormat="1" x14ac:dyDescent="0.3"/>
    <row r="58457" customFormat="1" x14ac:dyDescent="0.3"/>
    <row r="58458" customFormat="1" x14ac:dyDescent="0.3"/>
    <row r="58459" customFormat="1" x14ac:dyDescent="0.3"/>
    <row r="58460" customFormat="1" x14ac:dyDescent="0.3"/>
    <row r="58461" customFormat="1" x14ac:dyDescent="0.3"/>
    <row r="58462" customFormat="1" x14ac:dyDescent="0.3"/>
    <row r="58463" customFormat="1" x14ac:dyDescent="0.3"/>
    <row r="58464" customFormat="1" x14ac:dyDescent="0.3"/>
    <row r="58465" customFormat="1" x14ac:dyDescent="0.3"/>
    <row r="58466" customFormat="1" x14ac:dyDescent="0.3"/>
    <row r="58467" customFormat="1" x14ac:dyDescent="0.3"/>
    <row r="58468" customFormat="1" x14ac:dyDescent="0.3"/>
    <row r="58469" customFormat="1" x14ac:dyDescent="0.3"/>
    <row r="58470" customFormat="1" x14ac:dyDescent="0.3"/>
    <row r="58471" customFormat="1" x14ac:dyDescent="0.3"/>
    <row r="58472" customFormat="1" x14ac:dyDescent="0.3"/>
    <row r="58473" customFormat="1" x14ac:dyDescent="0.3"/>
    <row r="58474" customFormat="1" x14ac:dyDescent="0.3"/>
    <row r="58475" customFormat="1" x14ac:dyDescent="0.3"/>
    <row r="58476" customFormat="1" x14ac:dyDescent="0.3"/>
    <row r="58477" customFormat="1" x14ac:dyDescent="0.3"/>
    <row r="58478" customFormat="1" x14ac:dyDescent="0.3"/>
    <row r="58479" customFormat="1" x14ac:dyDescent="0.3"/>
    <row r="58480" customFormat="1" x14ac:dyDescent="0.3"/>
    <row r="58481" customFormat="1" x14ac:dyDescent="0.3"/>
    <row r="58482" customFormat="1" x14ac:dyDescent="0.3"/>
    <row r="58483" customFormat="1" x14ac:dyDescent="0.3"/>
    <row r="58484" customFormat="1" x14ac:dyDescent="0.3"/>
    <row r="58485" customFormat="1" x14ac:dyDescent="0.3"/>
    <row r="58486" customFormat="1" x14ac:dyDescent="0.3"/>
    <row r="58487" customFormat="1" x14ac:dyDescent="0.3"/>
    <row r="58488" customFormat="1" x14ac:dyDescent="0.3"/>
    <row r="58489" customFormat="1" x14ac:dyDescent="0.3"/>
    <row r="58490" customFormat="1" x14ac:dyDescent="0.3"/>
    <row r="58491" customFormat="1" x14ac:dyDescent="0.3"/>
    <row r="58492" customFormat="1" x14ac:dyDescent="0.3"/>
    <row r="58493" customFormat="1" x14ac:dyDescent="0.3"/>
    <row r="58494" customFormat="1" x14ac:dyDescent="0.3"/>
    <row r="58495" customFormat="1" x14ac:dyDescent="0.3"/>
    <row r="58496" customFormat="1" x14ac:dyDescent="0.3"/>
    <row r="58497" customFormat="1" x14ac:dyDescent="0.3"/>
    <row r="58498" customFormat="1" x14ac:dyDescent="0.3"/>
    <row r="58499" customFormat="1" x14ac:dyDescent="0.3"/>
    <row r="58500" customFormat="1" x14ac:dyDescent="0.3"/>
    <row r="58501" customFormat="1" x14ac:dyDescent="0.3"/>
    <row r="58502" customFormat="1" x14ac:dyDescent="0.3"/>
    <row r="58503" customFormat="1" x14ac:dyDescent="0.3"/>
    <row r="58504" customFormat="1" x14ac:dyDescent="0.3"/>
    <row r="58505" customFormat="1" x14ac:dyDescent="0.3"/>
    <row r="58506" customFormat="1" x14ac:dyDescent="0.3"/>
    <row r="58507" customFormat="1" x14ac:dyDescent="0.3"/>
    <row r="58508" customFormat="1" x14ac:dyDescent="0.3"/>
    <row r="58509" customFormat="1" x14ac:dyDescent="0.3"/>
    <row r="58510" customFormat="1" x14ac:dyDescent="0.3"/>
    <row r="58511" customFormat="1" x14ac:dyDescent="0.3"/>
    <row r="58512" customFormat="1" x14ac:dyDescent="0.3"/>
    <row r="58513" customFormat="1" x14ac:dyDescent="0.3"/>
    <row r="58514" customFormat="1" x14ac:dyDescent="0.3"/>
    <row r="58515" customFormat="1" x14ac:dyDescent="0.3"/>
    <row r="58516" customFormat="1" x14ac:dyDescent="0.3"/>
    <row r="58517" customFormat="1" x14ac:dyDescent="0.3"/>
    <row r="58518" customFormat="1" x14ac:dyDescent="0.3"/>
    <row r="58519" customFormat="1" x14ac:dyDescent="0.3"/>
    <row r="58520" customFormat="1" x14ac:dyDescent="0.3"/>
    <row r="58521" customFormat="1" x14ac:dyDescent="0.3"/>
    <row r="58522" customFormat="1" x14ac:dyDescent="0.3"/>
    <row r="58523" customFormat="1" x14ac:dyDescent="0.3"/>
    <row r="58524" customFormat="1" x14ac:dyDescent="0.3"/>
    <row r="58525" customFormat="1" x14ac:dyDescent="0.3"/>
    <row r="58526" customFormat="1" x14ac:dyDescent="0.3"/>
    <row r="58527" customFormat="1" x14ac:dyDescent="0.3"/>
    <row r="58528" customFormat="1" x14ac:dyDescent="0.3"/>
    <row r="58529" customFormat="1" x14ac:dyDescent="0.3"/>
    <row r="58530" customFormat="1" x14ac:dyDescent="0.3"/>
    <row r="58531" customFormat="1" x14ac:dyDescent="0.3"/>
    <row r="58532" customFormat="1" x14ac:dyDescent="0.3"/>
    <row r="58533" customFormat="1" x14ac:dyDescent="0.3"/>
    <row r="58534" customFormat="1" x14ac:dyDescent="0.3"/>
    <row r="58535" customFormat="1" x14ac:dyDescent="0.3"/>
    <row r="58536" customFormat="1" x14ac:dyDescent="0.3"/>
    <row r="58537" customFormat="1" x14ac:dyDescent="0.3"/>
    <row r="58538" customFormat="1" x14ac:dyDescent="0.3"/>
    <row r="58539" customFormat="1" x14ac:dyDescent="0.3"/>
    <row r="58540" customFormat="1" x14ac:dyDescent="0.3"/>
    <row r="58541" customFormat="1" x14ac:dyDescent="0.3"/>
    <row r="58542" customFormat="1" x14ac:dyDescent="0.3"/>
    <row r="58543" customFormat="1" x14ac:dyDescent="0.3"/>
    <row r="58544" customFormat="1" x14ac:dyDescent="0.3"/>
    <row r="58545" customFormat="1" x14ac:dyDescent="0.3"/>
    <row r="58546" customFormat="1" x14ac:dyDescent="0.3"/>
    <row r="58547" customFormat="1" x14ac:dyDescent="0.3"/>
    <row r="58548" customFormat="1" x14ac:dyDescent="0.3"/>
    <row r="58549" customFormat="1" x14ac:dyDescent="0.3"/>
    <row r="58550" customFormat="1" x14ac:dyDescent="0.3"/>
    <row r="58551" customFormat="1" x14ac:dyDescent="0.3"/>
    <row r="58552" customFormat="1" x14ac:dyDescent="0.3"/>
    <row r="58553" customFormat="1" x14ac:dyDescent="0.3"/>
    <row r="58554" customFormat="1" x14ac:dyDescent="0.3"/>
    <row r="58555" customFormat="1" x14ac:dyDescent="0.3"/>
    <row r="58556" customFormat="1" x14ac:dyDescent="0.3"/>
    <row r="58557" customFormat="1" x14ac:dyDescent="0.3"/>
    <row r="58558" customFormat="1" x14ac:dyDescent="0.3"/>
    <row r="58559" customFormat="1" x14ac:dyDescent="0.3"/>
    <row r="58560" customFormat="1" x14ac:dyDescent="0.3"/>
    <row r="58561" customFormat="1" x14ac:dyDescent="0.3"/>
    <row r="58562" customFormat="1" x14ac:dyDescent="0.3"/>
    <row r="58563" customFormat="1" x14ac:dyDescent="0.3"/>
    <row r="58564" customFormat="1" x14ac:dyDescent="0.3"/>
    <row r="58565" customFormat="1" x14ac:dyDescent="0.3"/>
    <row r="58566" customFormat="1" x14ac:dyDescent="0.3"/>
    <row r="58567" customFormat="1" x14ac:dyDescent="0.3"/>
    <row r="58568" customFormat="1" x14ac:dyDescent="0.3"/>
    <row r="58569" customFormat="1" x14ac:dyDescent="0.3"/>
    <row r="58570" customFormat="1" x14ac:dyDescent="0.3"/>
    <row r="58571" customFormat="1" x14ac:dyDescent="0.3"/>
    <row r="58572" customFormat="1" x14ac:dyDescent="0.3"/>
    <row r="58573" customFormat="1" x14ac:dyDescent="0.3"/>
    <row r="58574" customFormat="1" x14ac:dyDescent="0.3"/>
    <row r="58575" customFormat="1" x14ac:dyDescent="0.3"/>
    <row r="58576" customFormat="1" x14ac:dyDescent="0.3"/>
    <row r="58577" customFormat="1" x14ac:dyDescent="0.3"/>
    <row r="58578" customFormat="1" x14ac:dyDescent="0.3"/>
    <row r="58579" customFormat="1" x14ac:dyDescent="0.3"/>
    <row r="58580" customFormat="1" x14ac:dyDescent="0.3"/>
    <row r="58581" customFormat="1" x14ac:dyDescent="0.3"/>
    <row r="58582" customFormat="1" x14ac:dyDescent="0.3"/>
    <row r="58583" customFormat="1" x14ac:dyDescent="0.3"/>
    <row r="58584" customFormat="1" x14ac:dyDescent="0.3"/>
    <row r="58585" customFormat="1" x14ac:dyDescent="0.3"/>
    <row r="58586" customFormat="1" x14ac:dyDescent="0.3"/>
    <row r="58587" customFormat="1" x14ac:dyDescent="0.3"/>
    <row r="58588" customFormat="1" x14ac:dyDescent="0.3"/>
    <row r="58589" customFormat="1" x14ac:dyDescent="0.3"/>
    <row r="58590" customFormat="1" x14ac:dyDescent="0.3"/>
    <row r="58591" customFormat="1" x14ac:dyDescent="0.3"/>
    <row r="58592" customFormat="1" x14ac:dyDescent="0.3"/>
    <row r="58593" customFormat="1" x14ac:dyDescent="0.3"/>
    <row r="58594" customFormat="1" x14ac:dyDescent="0.3"/>
    <row r="58595" customFormat="1" x14ac:dyDescent="0.3"/>
    <row r="58596" customFormat="1" x14ac:dyDescent="0.3"/>
    <row r="58597" customFormat="1" x14ac:dyDescent="0.3"/>
    <row r="58598" customFormat="1" x14ac:dyDescent="0.3"/>
    <row r="58599" customFormat="1" x14ac:dyDescent="0.3"/>
    <row r="58600" customFormat="1" x14ac:dyDescent="0.3"/>
    <row r="58601" customFormat="1" x14ac:dyDescent="0.3"/>
    <row r="58602" customFormat="1" x14ac:dyDescent="0.3"/>
    <row r="58603" customFormat="1" x14ac:dyDescent="0.3"/>
    <row r="58604" customFormat="1" x14ac:dyDescent="0.3"/>
    <row r="58605" customFormat="1" x14ac:dyDescent="0.3"/>
    <row r="58606" customFormat="1" x14ac:dyDescent="0.3"/>
    <row r="58607" customFormat="1" x14ac:dyDescent="0.3"/>
    <row r="58608" customFormat="1" x14ac:dyDescent="0.3"/>
    <row r="58609" customFormat="1" x14ac:dyDescent="0.3"/>
    <row r="58610" customFormat="1" x14ac:dyDescent="0.3"/>
    <row r="58611" customFormat="1" x14ac:dyDescent="0.3"/>
    <row r="58612" customFormat="1" x14ac:dyDescent="0.3"/>
    <row r="58613" customFormat="1" x14ac:dyDescent="0.3"/>
    <row r="58614" customFormat="1" x14ac:dyDescent="0.3"/>
    <row r="58615" customFormat="1" x14ac:dyDescent="0.3"/>
    <row r="58616" customFormat="1" x14ac:dyDescent="0.3"/>
    <row r="58617" customFormat="1" x14ac:dyDescent="0.3"/>
    <row r="58618" customFormat="1" x14ac:dyDescent="0.3"/>
    <row r="58619" customFormat="1" x14ac:dyDescent="0.3"/>
    <row r="58620" customFormat="1" x14ac:dyDescent="0.3"/>
    <row r="58621" customFormat="1" x14ac:dyDescent="0.3"/>
    <row r="58622" customFormat="1" x14ac:dyDescent="0.3"/>
    <row r="58623" customFormat="1" x14ac:dyDescent="0.3"/>
    <row r="58624" customFormat="1" x14ac:dyDescent="0.3"/>
    <row r="58625" customFormat="1" x14ac:dyDescent="0.3"/>
    <row r="58626" customFormat="1" x14ac:dyDescent="0.3"/>
    <row r="58627" customFormat="1" x14ac:dyDescent="0.3"/>
    <row r="58628" customFormat="1" x14ac:dyDescent="0.3"/>
    <row r="58629" customFormat="1" x14ac:dyDescent="0.3"/>
    <row r="58630" customFormat="1" x14ac:dyDescent="0.3"/>
    <row r="58631" customFormat="1" x14ac:dyDescent="0.3"/>
    <row r="58632" customFormat="1" x14ac:dyDescent="0.3"/>
    <row r="58633" customFormat="1" x14ac:dyDescent="0.3"/>
    <row r="58634" customFormat="1" x14ac:dyDescent="0.3"/>
    <row r="58635" customFormat="1" x14ac:dyDescent="0.3"/>
    <row r="58636" customFormat="1" x14ac:dyDescent="0.3"/>
    <row r="58637" customFormat="1" x14ac:dyDescent="0.3"/>
    <row r="58638" customFormat="1" x14ac:dyDescent="0.3"/>
    <row r="58639" customFormat="1" x14ac:dyDescent="0.3"/>
    <row r="58640" customFormat="1" x14ac:dyDescent="0.3"/>
    <row r="58641" customFormat="1" x14ac:dyDescent="0.3"/>
    <row r="58642" customFormat="1" x14ac:dyDescent="0.3"/>
    <row r="58643" customFormat="1" x14ac:dyDescent="0.3"/>
    <row r="58644" customFormat="1" x14ac:dyDescent="0.3"/>
    <row r="58645" customFormat="1" x14ac:dyDescent="0.3"/>
    <row r="58646" customFormat="1" x14ac:dyDescent="0.3"/>
    <row r="58647" customFormat="1" x14ac:dyDescent="0.3"/>
    <row r="58648" customFormat="1" x14ac:dyDescent="0.3"/>
    <row r="58649" customFormat="1" x14ac:dyDescent="0.3"/>
    <row r="58650" customFormat="1" x14ac:dyDescent="0.3"/>
    <row r="58651" customFormat="1" x14ac:dyDescent="0.3"/>
    <row r="58652" customFormat="1" x14ac:dyDescent="0.3"/>
    <row r="58653" customFormat="1" x14ac:dyDescent="0.3"/>
    <row r="58654" customFormat="1" x14ac:dyDescent="0.3"/>
    <row r="58655" customFormat="1" x14ac:dyDescent="0.3"/>
    <row r="58656" customFormat="1" x14ac:dyDescent="0.3"/>
    <row r="58657" customFormat="1" x14ac:dyDescent="0.3"/>
    <row r="58658" customFormat="1" x14ac:dyDescent="0.3"/>
    <row r="58659" customFormat="1" x14ac:dyDescent="0.3"/>
    <row r="58660" customFormat="1" x14ac:dyDescent="0.3"/>
    <row r="58661" customFormat="1" x14ac:dyDescent="0.3"/>
    <row r="58662" customFormat="1" x14ac:dyDescent="0.3"/>
    <row r="58663" customFormat="1" x14ac:dyDescent="0.3"/>
    <row r="58664" customFormat="1" x14ac:dyDescent="0.3"/>
    <row r="58665" customFormat="1" x14ac:dyDescent="0.3"/>
    <row r="58666" customFormat="1" x14ac:dyDescent="0.3"/>
    <row r="58667" customFormat="1" x14ac:dyDescent="0.3"/>
    <row r="58668" customFormat="1" x14ac:dyDescent="0.3"/>
    <row r="58669" customFormat="1" x14ac:dyDescent="0.3"/>
    <row r="58670" customFormat="1" x14ac:dyDescent="0.3"/>
    <row r="58671" customFormat="1" x14ac:dyDescent="0.3"/>
    <row r="58672" customFormat="1" x14ac:dyDescent="0.3"/>
    <row r="58673" customFormat="1" x14ac:dyDescent="0.3"/>
    <row r="58674" customFormat="1" x14ac:dyDescent="0.3"/>
    <row r="58675" customFormat="1" x14ac:dyDescent="0.3"/>
    <row r="58676" customFormat="1" x14ac:dyDescent="0.3"/>
    <row r="58677" customFormat="1" x14ac:dyDescent="0.3"/>
    <row r="58678" customFormat="1" x14ac:dyDescent="0.3"/>
    <row r="58679" customFormat="1" x14ac:dyDescent="0.3"/>
    <row r="58680" customFormat="1" x14ac:dyDescent="0.3"/>
    <row r="58681" customFormat="1" x14ac:dyDescent="0.3"/>
    <row r="58682" customFormat="1" x14ac:dyDescent="0.3"/>
    <row r="58683" customFormat="1" x14ac:dyDescent="0.3"/>
    <row r="58684" customFormat="1" x14ac:dyDescent="0.3"/>
    <row r="58685" customFormat="1" x14ac:dyDescent="0.3"/>
    <row r="58686" customFormat="1" x14ac:dyDescent="0.3"/>
    <row r="58687" customFormat="1" x14ac:dyDescent="0.3"/>
    <row r="58688" customFormat="1" x14ac:dyDescent="0.3"/>
    <row r="58689" customFormat="1" x14ac:dyDescent="0.3"/>
    <row r="58690" customFormat="1" x14ac:dyDescent="0.3"/>
    <row r="58691" customFormat="1" x14ac:dyDescent="0.3"/>
    <row r="58692" customFormat="1" x14ac:dyDescent="0.3"/>
    <row r="58693" customFormat="1" x14ac:dyDescent="0.3"/>
    <row r="58694" customFormat="1" x14ac:dyDescent="0.3"/>
    <row r="58695" customFormat="1" x14ac:dyDescent="0.3"/>
    <row r="58696" customFormat="1" x14ac:dyDescent="0.3"/>
    <row r="58697" customFormat="1" x14ac:dyDescent="0.3"/>
    <row r="58698" customFormat="1" x14ac:dyDescent="0.3"/>
    <row r="58699" customFormat="1" x14ac:dyDescent="0.3"/>
    <row r="58700" customFormat="1" x14ac:dyDescent="0.3"/>
    <row r="58701" customFormat="1" x14ac:dyDescent="0.3"/>
    <row r="58702" customFormat="1" x14ac:dyDescent="0.3"/>
    <row r="58703" customFormat="1" x14ac:dyDescent="0.3"/>
    <row r="58704" customFormat="1" x14ac:dyDescent="0.3"/>
    <row r="58705" customFormat="1" x14ac:dyDescent="0.3"/>
    <row r="58706" customFormat="1" x14ac:dyDescent="0.3"/>
    <row r="58707" customFormat="1" x14ac:dyDescent="0.3"/>
    <row r="58708" customFormat="1" x14ac:dyDescent="0.3"/>
    <row r="58709" customFormat="1" x14ac:dyDescent="0.3"/>
    <row r="58710" customFormat="1" x14ac:dyDescent="0.3"/>
    <row r="58711" customFormat="1" x14ac:dyDescent="0.3"/>
    <row r="58712" customFormat="1" x14ac:dyDescent="0.3"/>
    <row r="58713" customFormat="1" x14ac:dyDescent="0.3"/>
    <row r="58714" customFormat="1" x14ac:dyDescent="0.3"/>
    <row r="58715" customFormat="1" x14ac:dyDescent="0.3"/>
    <row r="58716" customFormat="1" x14ac:dyDescent="0.3"/>
    <row r="58717" customFormat="1" x14ac:dyDescent="0.3"/>
    <row r="58718" customFormat="1" x14ac:dyDescent="0.3"/>
    <row r="58719" customFormat="1" x14ac:dyDescent="0.3"/>
    <row r="58720" customFormat="1" x14ac:dyDescent="0.3"/>
    <row r="58721" customFormat="1" x14ac:dyDescent="0.3"/>
    <row r="58722" customFormat="1" x14ac:dyDescent="0.3"/>
    <row r="58723" customFormat="1" x14ac:dyDescent="0.3"/>
    <row r="58724" customFormat="1" x14ac:dyDescent="0.3"/>
    <row r="58725" customFormat="1" x14ac:dyDescent="0.3"/>
    <row r="58726" customFormat="1" x14ac:dyDescent="0.3"/>
    <row r="58727" customFormat="1" x14ac:dyDescent="0.3"/>
    <row r="58728" customFormat="1" x14ac:dyDescent="0.3"/>
    <row r="58729" customFormat="1" x14ac:dyDescent="0.3"/>
    <row r="58730" customFormat="1" x14ac:dyDescent="0.3"/>
    <row r="58731" customFormat="1" x14ac:dyDescent="0.3"/>
    <row r="58732" customFormat="1" x14ac:dyDescent="0.3"/>
    <row r="58733" customFormat="1" x14ac:dyDescent="0.3"/>
    <row r="58734" customFormat="1" x14ac:dyDescent="0.3"/>
    <row r="58735" customFormat="1" x14ac:dyDescent="0.3"/>
    <row r="58736" customFormat="1" x14ac:dyDescent="0.3"/>
    <row r="58737" customFormat="1" x14ac:dyDescent="0.3"/>
    <row r="58738" customFormat="1" x14ac:dyDescent="0.3"/>
    <row r="58739" customFormat="1" x14ac:dyDescent="0.3"/>
    <row r="58740" customFormat="1" x14ac:dyDescent="0.3"/>
    <row r="58741" customFormat="1" x14ac:dyDescent="0.3"/>
    <row r="58742" customFormat="1" x14ac:dyDescent="0.3"/>
    <row r="58743" customFormat="1" x14ac:dyDescent="0.3"/>
    <row r="58744" customFormat="1" x14ac:dyDescent="0.3"/>
    <row r="58745" customFormat="1" x14ac:dyDescent="0.3"/>
    <row r="58746" customFormat="1" x14ac:dyDescent="0.3"/>
    <row r="58747" customFormat="1" x14ac:dyDescent="0.3"/>
    <row r="58748" customFormat="1" x14ac:dyDescent="0.3"/>
    <row r="58749" customFormat="1" x14ac:dyDescent="0.3"/>
    <row r="58750" customFormat="1" x14ac:dyDescent="0.3"/>
    <row r="58751" customFormat="1" x14ac:dyDescent="0.3"/>
    <row r="58752" customFormat="1" x14ac:dyDescent="0.3"/>
    <row r="58753" customFormat="1" x14ac:dyDescent="0.3"/>
    <row r="58754" customFormat="1" x14ac:dyDescent="0.3"/>
    <row r="58755" customFormat="1" x14ac:dyDescent="0.3"/>
    <row r="58756" customFormat="1" x14ac:dyDescent="0.3"/>
    <row r="58757" customFormat="1" x14ac:dyDescent="0.3"/>
    <row r="58758" customFormat="1" x14ac:dyDescent="0.3"/>
    <row r="58759" customFormat="1" x14ac:dyDescent="0.3"/>
    <row r="58760" customFormat="1" x14ac:dyDescent="0.3"/>
    <row r="58761" customFormat="1" x14ac:dyDescent="0.3"/>
    <row r="58762" customFormat="1" x14ac:dyDescent="0.3"/>
    <row r="58763" customFormat="1" x14ac:dyDescent="0.3"/>
    <row r="58764" customFormat="1" x14ac:dyDescent="0.3"/>
    <row r="58765" customFormat="1" x14ac:dyDescent="0.3"/>
    <row r="58766" customFormat="1" x14ac:dyDescent="0.3"/>
    <row r="58767" customFormat="1" x14ac:dyDescent="0.3"/>
    <row r="58768" customFormat="1" x14ac:dyDescent="0.3"/>
    <row r="58769" customFormat="1" x14ac:dyDescent="0.3"/>
    <row r="58770" customFormat="1" x14ac:dyDescent="0.3"/>
    <row r="58771" customFormat="1" x14ac:dyDescent="0.3"/>
    <row r="58772" customFormat="1" x14ac:dyDescent="0.3"/>
    <row r="58773" customFormat="1" x14ac:dyDescent="0.3"/>
    <row r="58774" customFormat="1" x14ac:dyDescent="0.3"/>
    <row r="58775" customFormat="1" x14ac:dyDescent="0.3"/>
    <row r="58776" customFormat="1" x14ac:dyDescent="0.3"/>
    <row r="58777" customFormat="1" x14ac:dyDescent="0.3"/>
    <row r="58778" customFormat="1" x14ac:dyDescent="0.3"/>
    <row r="58779" customFormat="1" x14ac:dyDescent="0.3"/>
    <row r="58780" customFormat="1" x14ac:dyDescent="0.3"/>
    <row r="58781" customFormat="1" x14ac:dyDescent="0.3"/>
    <row r="58782" customFormat="1" x14ac:dyDescent="0.3"/>
    <row r="58783" customFormat="1" x14ac:dyDescent="0.3"/>
    <row r="58784" customFormat="1" x14ac:dyDescent="0.3"/>
    <row r="58785" customFormat="1" x14ac:dyDescent="0.3"/>
    <row r="58786" customFormat="1" x14ac:dyDescent="0.3"/>
    <row r="58787" customFormat="1" x14ac:dyDescent="0.3"/>
    <row r="58788" customFormat="1" x14ac:dyDescent="0.3"/>
    <row r="58789" customFormat="1" x14ac:dyDescent="0.3"/>
    <row r="58790" customFormat="1" x14ac:dyDescent="0.3"/>
    <row r="58791" customFormat="1" x14ac:dyDescent="0.3"/>
    <row r="58792" customFormat="1" x14ac:dyDescent="0.3"/>
    <row r="58793" customFormat="1" x14ac:dyDescent="0.3"/>
    <row r="58794" customFormat="1" x14ac:dyDescent="0.3"/>
    <row r="58795" customFormat="1" x14ac:dyDescent="0.3"/>
    <row r="58796" customFormat="1" x14ac:dyDescent="0.3"/>
    <row r="58797" customFormat="1" x14ac:dyDescent="0.3"/>
    <row r="58798" customFormat="1" x14ac:dyDescent="0.3"/>
    <row r="58799" customFormat="1" x14ac:dyDescent="0.3"/>
    <row r="58800" customFormat="1" x14ac:dyDescent="0.3"/>
    <row r="58801" customFormat="1" x14ac:dyDescent="0.3"/>
    <row r="58802" customFormat="1" x14ac:dyDescent="0.3"/>
    <row r="58803" customFormat="1" x14ac:dyDescent="0.3"/>
    <row r="58804" customFormat="1" x14ac:dyDescent="0.3"/>
    <row r="58805" customFormat="1" x14ac:dyDescent="0.3"/>
    <row r="58806" customFormat="1" x14ac:dyDescent="0.3"/>
    <row r="58807" customFormat="1" x14ac:dyDescent="0.3"/>
    <row r="58808" customFormat="1" x14ac:dyDescent="0.3"/>
    <row r="58809" customFormat="1" x14ac:dyDescent="0.3"/>
    <row r="58810" customFormat="1" x14ac:dyDescent="0.3"/>
    <row r="58811" customFormat="1" x14ac:dyDescent="0.3"/>
    <row r="58812" customFormat="1" x14ac:dyDescent="0.3"/>
    <row r="58813" customFormat="1" x14ac:dyDescent="0.3"/>
    <row r="58814" customFormat="1" x14ac:dyDescent="0.3"/>
    <row r="58815" customFormat="1" x14ac:dyDescent="0.3"/>
    <row r="58816" customFormat="1" x14ac:dyDescent="0.3"/>
    <row r="58817" customFormat="1" x14ac:dyDescent="0.3"/>
    <row r="58818" customFormat="1" x14ac:dyDescent="0.3"/>
    <row r="58819" customFormat="1" x14ac:dyDescent="0.3"/>
    <row r="58820" customFormat="1" x14ac:dyDescent="0.3"/>
    <row r="58821" customFormat="1" x14ac:dyDescent="0.3"/>
    <row r="58822" customFormat="1" x14ac:dyDescent="0.3"/>
    <row r="58823" customFormat="1" x14ac:dyDescent="0.3"/>
    <row r="58824" customFormat="1" x14ac:dyDescent="0.3"/>
    <row r="58825" customFormat="1" x14ac:dyDescent="0.3"/>
    <row r="58826" customFormat="1" x14ac:dyDescent="0.3"/>
    <row r="58827" customFormat="1" x14ac:dyDescent="0.3"/>
    <row r="58828" customFormat="1" x14ac:dyDescent="0.3"/>
    <row r="58829" customFormat="1" x14ac:dyDescent="0.3"/>
    <row r="58830" customFormat="1" x14ac:dyDescent="0.3"/>
    <row r="58831" customFormat="1" x14ac:dyDescent="0.3"/>
    <row r="58832" customFormat="1" x14ac:dyDescent="0.3"/>
    <row r="58833" customFormat="1" x14ac:dyDescent="0.3"/>
    <row r="58834" customFormat="1" x14ac:dyDescent="0.3"/>
    <row r="58835" customFormat="1" x14ac:dyDescent="0.3"/>
    <row r="58836" customFormat="1" x14ac:dyDescent="0.3"/>
    <row r="58837" customFormat="1" x14ac:dyDescent="0.3"/>
    <row r="58838" customFormat="1" x14ac:dyDescent="0.3"/>
    <row r="58839" customFormat="1" x14ac:dyDescent="0.3"/>
    <row r="58840" customFormat="1" x14ac:dyDescent="0.3"/>
    <row r="58841" customFormat="1" x14ac:dyDescent="0.3"/>
    <row r="58842" customFormat="1" x14ac:dyDescent="0.3"/>
    <row r="58843" customFormat="1" x14ac:dyDescent="0.3"/>
    <row r="58844" customFormat="1" x14ac:dyDescent="0.3"/>
    <row r="58845" customFormat="1" x14ac:dyDescent="0.3"/>
    <row r="58846" customFormat="1" x14ac:dyDescent="0.3"/>
    <row r="58847" customFormat="1" x14ac:dyDescent="0.3"/>
    <row r="58848" customFormat="1" x14ac:dyDescent="0.3"/>
    <row r="58849" customFormat="1" x14ac:dyDescent="0.3"/>
    <row r="58850" customFormat="1" x14ac:dyDescent="0.3"/>
    <row r="58851" customFormat="1" x14ac:dyDescent="0.3"/>
    <row r="58852" customFormat="1" x14ac:dyDescent="0.3"/>
    <row r="58853" customFormat="1" x14ac:dyDescent="0.3"/>
    <row r="58854" customFormat="1" x14ac:dyDescent="0.3"/>
    <row r="58855" customFormat="1" x14ac:dyDescent="0.3"/>
    <row r="58856" customFormat="1" x14ac:dyDescent="0.3"/>
    <row r="58857" customFormat="1" x14ac:dyDescent="0.3"/>
    <row r="58858" customFormat="1" x14ac:dyDescent="0.3"/>
    <row r="58859" customFormat="1" x14ac:dyDescent="0.3"/>
    <row r="58860" customFormat="1" x14ac:dyDescent="0.3"/>
    <row r="58861" customFormat="1" x14ac:dyDescent="0.3"/>
    <row r="58862" customFormat="1" x14ac:dyDescent="0.3"/>
    <row r="58863" customFormat="1" x14ac:dyDescent="0.3"/>
    <row r="58864" customFormat="1" x14ac:dyDescent="0.3"/>
    <row r="58865" customFormat="1" x14ac:dyDescent="0.3"/>
    <row r="58866" customFormat="1" x14ac:dyDescent="0.3"/>
    <row r="58867" customFormat="1" x14ac:dyDescent="0.3"/>
    <row r="58868" customFormat="1" x14ac:dyDescent="0.3"/>
    <row r="58869" customFormat="1" x14ac:dyDescent="0.3"/>
    <row r="58870" customFormat="1" x14ac:dyDescent="0.3"/>
    <row r="58871" customFormat="1" x14ac:dyDescent="0.3"/>
    <row r="58872" customFormat="1" x14ac:dyDescent="0.3"/>
    <row r="58873" customFormat="1" x14ac:dyDescent="0.3"/>
    <row r="58874" customFormat="1" x14ac:dyDescent="0.3"/>
    <row r="58875" customFormat="1" x14ac:dyDescent="0.3"/>
    <row r="58876" customFormat="1" x14ac:dyDescent="0.3"/>
    <row r="58877" customFormat="1" x14ac:dyDescent="0.3"/>
    <row r="58878" customFormat="1" x14ac:dyDescent="0.3"/>
    <row r="58879" customFormat="1" x14ac:dyDescent="0.3"/>
    <row r="58880" customFormat="1" x14ac:dyDescent="0.3"/>
    <row r="58881" customFormat="1" x14ac:dyDescent="0.3"/>
    <row r="58882" customFormat="1" x14ac:dyDescent="0.3"/>
    <row r="58883" customFormat="1" x14ac:dyDescent="0.3"/>
    <row r="58884" customFormat="1" x14ac:dyDescent="0.3"/>
    <row r="58885" customFormat="1" x14ac:dyDescent="0.3"/>
    <row r="58886" customFormat="1" x14ac:dyDescent="0.3"/>
    <row r="58887" customFormat="1" x14ac:dyDescent="0.3"/>
    <row r="58888" customFormat="1" x14ac:dyDescent="0.3"/>
    <row r="58889" customFormat="1" x14ac:dyDescent="0.3"/>
    <row r="58890" customFormat="1" x14ac:dyDescent="0.3"/>
    <row r="58891" customFormat="1" x14ac:dyDescent="0.3"/>
    <row r="58892" customFormat="1" x14ac:dyDescent="0.3"/>
    <row r="58893" customFormat="1" x14ac:dyDescent="0.3"/>
    <row r="58894" customFormat="1" x14ac:dyDescent="0.3"/>
    <row r="58895" customFormat="1" x14ac:dyDescent="0.3"/>
    <row r="58896" customFormat="1" x14ac:dyDescent="0.3"/>
    <row r="58897" customFormat="1" x14ac:dyDescent="0.3"/>
    <row r="58898" customFormat="1" x14ac:dyDescent="0.3"/>
    <row r="58899" customFormat="1" x14ac:dyDescent="0.3"/>
    <row r="58900" customFormat="1" x14ac:dyDescent="0.3"/>
    <row r="58901" customFormat="1" x14ac:dyDescent="0.3"/>
    <row r="58902" customFormat="1" x14ac:dyDescent="0.3"/>
    <row r="58903" customFormat="1" x14ac:dyDescent="0.3"/>
    <row r="58904" customFormat="1" x14ac:dyDescent="0.3"/>
    <row r="58905" customFormat="1" x14ac:dyDescent="0.3"/>
    <row r="58906" customFormat="1" x14ac:dyDescent="0.3"/>
    <row r="58907" customFormat="1" x14ac:dyDescent="0.3"/>
    <row r="58908" customFormat="1" x14ac:dyDescent="0.3"/>
    <row r="58909" customFormat="1" x14ac:dyDescent="0.3"/>
    <row r="58910" customFormat="1" x14ac:dyDescent="0.3"/>
    <row r="58911" customFormat="1" x14ac:dyDescent="0.3"/>
    <row r="58912" customFormat="1" x14ac:dyDescent="0.3"/>
    <row r="58913" customFormat="1" x14ac:dyDescent="0.3"/>
    <row r="58914" customFormat="1" x14ac:dyDescent="0.3"/>
    <row r="58915" customFormat="1" x14ac:dyDescent="0.3"/>
    <row r="58916" customFormat="1" x14ac:dyDescent="0.3"/>
    <row r="58917" customFormat="1" x14ac:dyDescent="0.3"/>
    <row r="58918" customFormat="1" x14ac:dyDescent="0.3"/>
    <row r="58919" customFormat="1" x14ac:dyDescent="0.3"/>
    <row r="58920" customFormat="1" x14ac:dyDescent="0.3"/>
    <row r="58921" customFormat="1" x14ac:dyDescent="0.3"/>
    <row r="58922" customFormat="1" x14ac:dyDescent="0.3"/>
    <row r="58923" customFormat="1" x14ac:dyDescent="0.3"/>
    <row r="58924" customFormat="1" x14ac:dyDescent="0.3"/>
    <row r="58925" customFormat="1" x14ac:dyDescent="0.3"/>
    <row r="58926" customFormat="1" x14ac:dyDescent="0.3"/>
    <row r="58927" customFormat="1" x14ac:dyDescent="0.3"/>
    <row r="58928" customFormat="1" x14ac:dyDescent="0.3"/>
    <row r="58929" customFormat="1" x14ac:dyDescent="0.3"/>
    <row r="58930" customFormat="1" x14ac:dyDescent="0.3"/>
    <row r="58931" customFormat="1" x14ac:dyDescent="0.3"/>
    <row r="58932" customFormat="1" x14ac:dyDescent="0.3"/>
    <row r="58933" customFormat="1" x14ac:dyDescent="0.3"/>
    <row r="58934" customFormat="1" x14ac:dyDescent="0.3"/>
    <row r="58935" customFormat="1" x14ac:dyDescent="0.3"/>
    <row r="58936" customFormat="1" x14ac:dyDescent="0.3"/>
    <row r="58937" customFormat="1" x14ac:dyDescent="0.3"/>
    <row r="58938" customFormat="1" x14ac:dyDescent="0.3"/>
    <row r="58939" customFormat="1" x14ac:dyDescent="0.3"/>
    <row r="58940" customFormat="1" x14ac:dyDescent="0.3"/>
    <row r="58941" customFormat="1" x14ac:dyDescent="0.3"/>
    <row r="58942" customFormat="1" x14ac:dyDescent="0.3"/>
    <row r="58943" customFormat="1" x14ac:dyDescent="0.3"/>
    <row r="58944" customFormat="1" x14ac:dyDescent="0.3"/>
    <row r="58945" customFormat="1" x14ac:dyDescent="0.3"/>
    <row r="58946" customFormat="1" x14ac:dyDescent="0.3"/>
    <row r="58947" customFormat="1" x14ac:dyDescent="0.3"/>
    <row r="58948" customFormat="1" x14ac:dyDescent="0.3"/>
    <row r="58949" customFormat="1" x14ac:dyDescent="0.3"/>
    <row r="58950" customFormat="1" x14ac:dyDescent="0.3"/>
    <row r="58951" customFormat="1" x14ac:dyDescent="0.3"/>
    <row r="58952" customFormat="1" x14ac:dyDescent="0.3"/>
    <row r="58953" customFormat="1" x14ac:dyDescent="0.3"/>
    <row r="58954" customFormat="1" x14ac:dyDescent="0.3"/>
    <row r="58955" customFormat="1" x14ac:dyDescent="0.3"/>
    <row r="58956" customFormat="1" x14ac:dyDescent="0.3"/>
    <row r="58957" customFormat="1" x14ac:dyDescent="0.3"/>
    <row r="58958" customFormat="1" x14ac:dyDescent="0.3"/>
    <row r="58959" customFormat="1" x14ac:dyDescent="0.3"/>
    <row r="58960" customFormat="1" x14ac:dyDescent="0.3"/>
    <row r="58961" customFormat="1" x14ac:dyDescent="0.3"/>
    <row r="58962" customFormat="1" x14ac:dyDescent="0.3"/>
    <row r="58963" customFormat="1" x14ac:dyDescent="0.3"/>
    <row r="58964" customFormat="1" x14ac:dyDescent="0.3"/>
    <row r="58965" customFormat="1" x14ac:dyDescent="0.3"/>
    <row r="58966" customFormat="1" x14ac:dyDescent="0.3"/>
    <row r="58967" customFormat="1" x14ac:dyDescent="0.3"/>
    <row r="58968" customFormat="1" x14ac:dyDescent="0.3"/>
    <row r="58969" customFormat="1" x14ac:dyDescent="0.3"/>
    <row r="58970" customFormat="1" x14ac:dyDescent="0.3"/>
    <row r="58971" customFormat="1" x14ac:dyDescent="0.3"/>
    <row r="58972" customFormat="1" x14ac:dyDescent="0.3"/>
    <row r="58973" customFormat="1" x14ac:dyDescent="0.3"/>
    <row r="58974" customFormat="1" x14ac:dyDescent="0.3"/>
    <row r="58975" customFormat="1" x14ac:dyDescent="0.3"/>
    <row r="58976" customFormat="1" x14ac:dyDescent="0.3"/>
    <row r="58977" customFormat="1" x14ac:dyDescent="0.3"/>
    <row r="58978" customFormat="1" x14ac:dyDescent="0.3"/>
    <row r="58979" customFormat="1" x14ac:dyDescent="0.3"/>
    <row r="58980" customFormat="1" x14ac:dyDescent="0.3"/>
    <row r="58981" customFormat="1" x14ac:dyDescent="0.3"/>
    <row r="58982" customFormat="1" x14ac:dyDescent="0.3"/>
    <row r="58983" customFormat="1" x14ac:dyDescent="0.3"/>
    <row r="58984" customFormat="1" x14ac:dyDescent="0.3"/>
    <row r="58985" customFormat="1" x14ac:dyDescent="0.3"/>
    <row r="58986" customFormat="1" x14ac:dyDescent="0.3"/>
    <row r="58987" customFormat="1" x14ac:dyDescent="0.3"/>
    <row r="58988" customFormat="1" x14ac:dyDescent="0.3"/>
    <row r="58989" customFormat="1" x14ac:dyDescent="0.3"/>
    <row r="58990" customFormat="1" x14ac:dyDescent="0.3"/>
    <row r="58991" customFormat="1" x14ac:dyDescent="0.3"/>
    <row r="58992" customFormat="1" x14ac:dyDescent="0.3"/>
    <row r="58993" customFormat="1" x14ac:dyDescent="0.3"/>
    <row r="58994" customFormat="1" x14ac:dyDescent="0.3"/>
    <row r="58995" customFormat="1" x14ac:dyDescent="0.3"/>
    <row r="58996" customFormat="1" x14ac:dyDescent="0.3"/>
    <row r="58997" customFormat="1" x14ac:dyDescent="0.3"/>
    <row r="58998" customFormat="1" x14ac:dyDescent="0.3"/>
    <row r="58999" customFormat="1" x14ac:dyDescent="0.3"/>
    <row r="59000" customFormat="1" x14ac:dyDescent="0.3"/>
    <row r="59001" customFormat="1" x14ac:dyDescent="0.3"/>
    <row r="59002" customFormat="1" x14ac:dyDescent="0.3"/>
    <row r="59003" customFormat="1" x14ac:dyDescent="0.3"/>
    <row r="59004" customFormat="1" x14ac:dyDescent="0.3"/>
    <row r="59005" customFormat="1" x14ac:dyDescent="0.3"/>
    <row r="59006" customFormat="1" x14ac:dyDescent="0.3"/>
    <row r="59007" customFormat="1" x14ac:dyDescent="0.3"/>
    <row r="59008" customFormat="1" x14ac:dyDescent="0.3"/>
    <row r="59009" customFormat="1" x14ac:dyDescent="0.3"/>
    <row r="59010" customFormat="1" x14ac:dyDescent="0.3"/>
    <row r="59011" customFormat="1" x14ac:dyDescent="0.3"/>
    <row r="59012" customFormat="1" x14ac:dyDescent="0.3"/>
    <row r="59013" customFormat="1" x14ac:dyDescent="0.3"/>
    <row r="59014" customFormat="1" x14ac:dyDescent="0.3"/>
    <row r="59015" customFormat="1" x14ac:dyDescent="0.3"/>
    <row r="59016" customFormat="1" x14ac:dyDescent="0.3"/>
    <row r="59017" customFormat="1" x14ac:dyDescent="0.3"/>
    <row r="59018" customFormat="1" x14ac:dyDescent="0.3"/>
    <row r="59019" customFormat="1" x14ac:dyDescent="0.3"/>
    <row r="59020" customFormat="1" x14ac:dyDescent="0.3"/>
    <row r="59021" customFormat="1" x14ac:dyDescent="0.3"/>
    <row r="59022" customFormat="1" x14ac:dyDescent="0.3"/>
    <row r="59023" customFormat="1" x14ac:dyDescent="0.3"/>
    <row r="59024" customFormat="1" x14ac:dyDescent="0.3"/>
    <row r="59025" customFormat="1" x14ac:dyDescent="0.3"/>
    <row r="59026" customFormat="1" x14ac:dyDescent="0.3"/>
    <row r="59027" customFormat="1" x14ac:dyDescent="0.3"/>
    <row r="59028" customFormat="1" x14ac:dyDescent="0.3"/>
    <row r="59029" customFormat="1" x14ac:dyDescent="0.3"/>
    <row r="59030" customFormat="1" x14ac:dyDescent="0.3"/>
    <row r="59031" customFormat="1" x14ac:dyDescent="0.3"/>
    <row r="59032" customFormat="1" x14ac:dyDescent="0.3"/>
    <row r="59033" customFormat="1" x14ac:dyDescent="0.3"/>
    <row r="59034" customFormat="1" x14ac:dyDescent="0.3"/>
    <row r="59035" customFormat="1" x14ac:dyDescent="0.3"/>
    <row r="59036" customFormat="1" x14ac:dyDescent="0.3"/>
    <row r="59037" customFormat="1" x14ac:dyDescent="0.3"/>
    <row r="59038" customFormat="1" x14ac:dyDescent="0.3"/>
    <row r="59039" customFormat="1" x14ac:dyDescent="0.3"/>
    <row r="59040" customFormat="1" x14ac:dyDescent="0.3"/>
    <row r="59041" customFormat="1" x14ac:dyDescent="0.3"/>
    <row r="59042" customFormat="1" x14ac:dyDescent="0.3"/>
    <row r="59043" customFormat="1" x14ac:dyDescent="0.3"/>
    <row r="59044" customFormat="1" x14ac:dyDescent="0.3"/>
    <row r="59045" customFormat="1" x14ac:dyDescent="0.3"/>
    <row r="59046" customFormat="1" x14ac:dyDescent="0.3"/>
    <row r="59047" customFormat="1" x14ac:dyDescent="0.3"/>
    <row r="59048" customFormat="1" x14ac:dyDescent="0.3"/>
    <row r="59049" customFormat="1" x14ac:dyDescent="0.3"/>
    <row r="59050" customFormat="1" x14ac:dyDescent="0.3"/>
    <row r="59051" customFormat="1" x14ac:dyDescent="0.3"/>
    <row r="59052" customFormat="1" x14ac:dyDescent="0.3"/>
    <row r="59053" customFormat="1" x14ac:dyDescent="0.3"/>
    <row r="59054" customFormat="1" x14ac:dyDescent="0.3"/>
    <row r="59055" customFormat="1" x14ac:dyDescent="0.3"/>
    <row r="59056" customFormat="1" x14ac:dyDescent="0.3"/>
    <row r="59057" customFormat="1" x14ac:dyDescent="0.3"/>
    <row r="59058" customFormat="1" x14ac:dyDescent="0.3"/>
    <row r="59059" customFormat="1" x14ac:dyDescent="0.3"/>
    <row r="59060" customFormat="1" x14ac:dyDescent="0.3"/>
    <row r="59061" customFormat="1" x14ac:dyDescent="0.3"/>
    <row r="59062" customFormat="1" x14ac:dyDescent="0.3"/>
    <row r="59063" customFormat="1" x14ac:dyDescent="0.3"/>
    <row r="59064" customFormat="1" x14ac:dyDescent="0.3"/>
    <row r="59065" customFormat="1" x14ac:dyDescent="0.3"/>
    <row r="59066" customFormat="1" x14ac:dyDescent="0.3"/>
    <row r="59067" customFormat="1" x14ac:dyDescent="0.3"/>
    <row r="59068" customFormat="1" x14ac:dyDescent="0.3"/>
    <row r="59069" customFormat="1" x14ac:dyDescent="0.3"/>
    <row r="59070" customFormat="1" x14ac:dyDescent="0.3"/>
    <row r="59071" customFormat="1" x14ac:dyDescent="0.3"/>
    <row r="59072" customFormat="1" x14ac:dyDescent="0.3"/>
    <row r="59073" customFormat="1" x14ac:dyDescent="0.3"/>
    <row r="59074" customFormat="1" x14ac:dyDescent="0.3"/>
    <row r="59075" customFormat="1" x14ac:dyDescent="0.3"/>
    <row r="59076" customFormat="1" x14ac:dyDescent="0.3"/>
    <row r="59077" customFormat="1" x14ac:dyDescent="0.3"/>
    <row r="59078" customFormat="1" x14ac:dyDescent="0.3"/>
    <row r="59079" customFormat="1" x14ac:dyDescent="0.3"/>
    <row r="59080" customFormat="1" x14ac:dyDescent="0.3"/>
    <row r="59081" customFormat="1" x14ac:dyDescent="0.3"/>
    <row r="59082" customFormat="1" x14ac:dyDescent="0.3"/>
    <row r="59083" customFormat="1" x14ac:dyDescent="0.3"/>
    <row r="59084" customFormat="1" x14ac:dyDescent="0.3"/>
    <row r="59085" customFormat="1" x14ac:dyDescent="0.3"/>
    <row r="59086" customFormat="1" x14ac:dyDescent="0.3"/>
    <row r="59087" customFormat="1" x14ac:dyDescent="0.3"/>
    <row r="59088" customFormat="1" x14ac:dyDescent="0.3"/>
    <row r="59089" customFormat="1" x14ac:dyDescent="0.3"/>
    <row r="59090" customFormat="1" x14ac:dyDescent="0.3"/>
    <row r="59091" customFormat="1" x14ac:dyDescent="0.3"/>
    <row r="59092" customFormat="1" x14ac:dyDescent="0.3"/>
    <row r="59093" customFormat="1" x14ac:dyDescent="0.3"/>
    <row r="59094" customFormat="1" x14ac:dyDescent="0.3"/>
    <row r="59095" customFormat="1" x14ac:dyDescent="0.3"/>
    <row r="59096" customFormat="1" x14ac:dyDescent="0.3"/>
    <row r="59097" customFormat="1" x14ac:dyDescent="0.3"/>
    <row r="59098" customFormat="1" x14ac:dyDescent="0.3"/>
    <row r="59099" customFormat="1" x14ac:dyDescent="0.3"/>
    <row r="59100" customFormat="1" x14ac:dyDescent="0.3"/>
    <row r="59101" customFormat="1" x14ac:dyDescent="0.3"/>
    <row r="59102" customFormat="1" x14ac:dyDescent="0.3"/>
    <row r="59103" customFormat="1" x14ac:dyDescent="0.3"/>
    <row r="59104" customFormat="1" x14ac:dyDescent="0.3"/>
    <row r="59105" customFormat="1" x14ac:dyDescent="0.3"/>
    <row r="59106" customFormat="1" x14ac:dyDescent="0.3"/>
    <row r="59107" customFormat="1" x14ac:dyDescent="0.3"/>
    <row r="59108" customFormat="1" x14ac:dyDescent="0.3"/>
    <row r="59109" customFormat="1" x14ac:dyDescent="0.3"/>
    <row r="59110" customFormat="1" x14ac:dyDescent="0.3"/>
    <row r="59111" customFormat="1" x14ac:dyDescent="0.3"/>
    <row r="59112" customFormat="1" x14ac:dyDescent="0.3"/>
    <row r="59113" customFormat="1" x14ac:dyDescent="0.3"/>
    <row r="59114" customFormat="1" x14ac:dyDescent="0.3"/>
    <row r="59115" customFormat="1" x14ac:dyDescent="0.3"/>
    <row r="59116" customFormat="1" x14ac:dyDescent="0.3"/>
    <row r="59117" customFormat="1" x14ac:dyDescent="0.3"/>
    <row r="59118" customFormat="1" x14ac:dyDescent="0.3"/>
    <row r="59119" customFormat="1" x14ac:dyDescent="0.3"/>
    <row r="59120" customFormat="1" x14ac:dyDescent="0.3"/>
    <row r="59121" customFormat="1" x14ac:dyDescent="0.3"/>
    <row r="59122" customFormat="1" x14ac:dyDescent="0.3"/>
    <row r="59123" customFormat="1" x14ac:dyDescent="0.3"/>
    <row r="59124" customFormat="1" x14ac:dyDescent="0.3"/>
    <row r="59125" customFormat="1" x14ac:dyDescent="0.3"/>
    <row r="59126" customFormat="1" x14ac:dyDescent="0.3"/>
    <row r="59127" customFormat="1" x14ac:dyDescent="0.3"/>
    <row r="59128" customFormat="1" x14ac:dyDescent="0.3"/>
    <row r="59129" customFormat="1" x14ac:dyDescent="0.3"/>
    <row r="59130" customFormat="1" x14ac:dyDescent="0.3"/>
    <row r="59131" customFormat="1" x14ac:dyDescent="0.3"/>
    <row r="59132" customFormat="1" x14ac:dyDescent="0.3"/>
    <row r="59133" customFormat="1" x14ac:dyDescent="0.3"/>
    <row r="59134" customFormat="1" x14ac:dyDescent="0.3"/>
    <row r="59135" customFormat="1" x14ac:dyDescent="0.3"/>
    <row r="59136" customFormat="1" x14ac:dyDescent="0.3"/>
    <row r="59137" customFormat="1" x14ac:dyDescent="0.3"/>
    <row r="59138" customFormat="1" x14ac:dyDescent="0.3"/>
    <row r="59139" customFormat="1" x14ac:dyDescent="0.3"/>
    <row r="59140" customFormat="1" x14ac:dyDescent="0.3"/>
    <row r="59141" customFormat="1" x14ac:dyDescent="0.3"/>
    <row r="59142" customFormat="1" x14ac:dyDescent="0.3"/>
    <row r="59143" customFormat="1" x14ac:dyDescent="0.3"/>
    <row r="59144" customFormat="1" x14ac:dyDescent="0.3"/>
    <row r="59145" customFormat="1" x14ac:dyDescent="0.3"/>
    <row r="59146" customFormat="1" x14ac:dyDescent="0.3"/>
    <row r="59147" customFormat="1" x14ac:dyDescent="0.3"/>
    <row r="59148" customFormat="1" x14ac:dyDescent="0.3"/>
    <row r="59149" customFormat="1" x14ac:dyDescent="0.3"/>
    <row r="59150" customFormat="1" x14ac:dyDescent="0.3"/>
    <row r="59151" customFormat="1" x14ac:dyDescent="0.3"/>
    <row r="59152" customFormat="1" x14ac:dyDescent="0.3"/>
    <row r="59153" customFormat="1" x14ac:dyDescent="0.3"/>
    <row r="59154" customFormat="1" x14ac:dyDescent="0.3"/>
    <row r="59155" customFormat="1" x14ac:dyDescent="0.3"/>
    <row r="59156" customFormat="1" x14ac:dyDescent="0.3"/>
    <row r="59157" customFormat="1" x14ac:dyDescent="0.3"/>
    <row r="59158" customFormat="1" x14ac:dyDescent="0.3"/>
    <row r="59159" customFormat="1" x14ac:dyDescent="0.3"/>
    <row r="59160" customFormat="1" x14ac:dyDescent="0.3"/>
    <row r="59161" customFormat="1" x14ac:dyDescent="0.3"/>
    <row r="59162" customFormat="1" x14ac:dyDescent="0.3"/>
    <row r="59163" customFormat="1" x14ac:dyDescent="0.3"/>
    <row r="59164" customFormat="1" x14ac:dyDescent="0.3"/>
    <row r="59165" customFormat="1" x14ac:dyDescent="0.3"/>
    <row r="59166" customFormat="1" x14ac:dyDescent="0.3"/>
    <row r="59167" customFormat="1" x14ac:dyDescent="0.3"/>
    <row r="59168" customFormat="1" x14ac:dyDescent="0.3"/>
    <row r="59169" customFormat="1" x14ac:dyDescent="0.3"/>
    <row r="59170" customFormat="1" x14ac:dyDescent="0.3"/>
    <row r="59171" customFormat="1" x14ac:dyDescent="0.3"/>
    <row r="59172" customFormat="1" x14ac:dyDescent="0.3"/>
    <row r="59173" customFormat="1" x14ac:dyDescent="0.3"/>
    <row r="59174" customFormat="1" x14ac:dyDescent="0.3"/>
    <row r="59175" customFormat="1" x14ac:dyDescent="0.3"/>
    <row r="59176" customFormat="1" x14ac:dyDescent="0.3"/>
    <row r="59177" customFormat="1" x14ac:dyDescent="0.3"/>
    <row r="59178" customFormat="1" x14ac:dyDescent="0.3"/>
    <row r="59179" customFormat="1" x14ac:dyDescent="0.3"/>
    <row r="59180" customFormat="1" x14ac:dyDescent="0.3"/>
    <row r="59181" customFormat="1" x14ac:dyDescent="0.3"/>
    <row r="59182" customFormat="1" x14ac:dyDescent="0.3"/>
    <row r="59183" customFormat="1" x14ac:dyDescent="0.3"/>
    <row r="59184" customFormat="1" x14ac:dyDescent="0.3"/>
    <row r="59185" customFormat="1" x14ac:dyDescent="0.3"/>
    <row r="59186" customFormat="1" x14ac:dyDescent="0.3"/>
    <row r="59187" customFormat="1" x14ac:dyDescent="0.3"/>
    <row r="59188" customFormat="1" x14ac:dyDescent="0.3"/>
    <row r="59189" customFormat="1" x14ac:dyDescent="0.3"/>
    <row r="59190" customFormat="1" x14ac:dyDescent="0.3"/>
    <row r="59191" customFormat="1" x14ac:dyDescent="0.3"/>
    <row r="59192" customFormat="1" x14ac:dyDescent="0.3"/>
    <row r="59193" customFormat="1" x14ac:dyDescent="0.3"/>
    <row r="59194" customFormat="1" x14ac:dyDescent="0.3"/>
    <row r="59195" customFormat="1" x14ac:dyDescent="0.3"/>
    <row r="59196" customFormat="1" x14ac:dyDescent="0.3"/>
    <row r="59197" customFormat="1" x14ac:dyDescent="0.3"/>
    <row r="59198" customFormat="1" x14ac:dyDescent="0.3"/>
    <row r="59199" customFormat="1" x14ac:dyDescent="0.3"/>
    <row r="59200" customFormat="1" x14ac:dyDescent="0.3"/>
    <row r="59201" customFormat="1" x14ac:dyDescent="0.3"/>
    <row r="59202" customFormat="1" x14ac:dyDescent="0.3"/>
    <row r="59203" customFormat="1" x14ac:dyDescent="0.3"/>
    <row r="59204" customFormat="1" x14ac:dyDescent="0.3"/>
    <row r="59205" customFormat="1" x14ac:dyDescent="0.3"/>
    <row r="59206" customFormat="1" x14ac:dyDescent="0.3"/>
    <row r="59207" customFormat="1" x14ac:dyDescent="0.3"/>
    <row r="59208" customFormat="1" x14ac:dyDescent="0.3"/>
    <row r="59209" customFormat="1" x14ac:dyDescent="0.3"/>
    <row r="59210" customFormat="1" x14ac:dyDescent="0.3"/>
    <row r="59211" customFormat="1" x14ac:dyDescent="0.3"/>
    <row r="59212" customFormat="1" x14ac:dyDescent="0.3"/>
    <row r="59213" customFormat="1" x14ac:dyDescent="0.3"/>
    <row r="59214" customFormat="1" x14ac:dyDescent="0.3"/>
    <row r="59215" customFormat="1" x14ac:dyDescent="0.3"/>
    <row r="59216" customFormat="1" x14ac:dyDescent="0.3"/>
    <row r="59217" customFormat="1" x14ac:dyDescent="0.3"/>
    <row r="59218" customFormat="1" x14ac:dyDescent="0.3"/>
    <row r="59219" customFormat="1" x14ac:dyDescent="0.3"/>
    <row r="59220" customFormat="1" x14ac:dyDescent="0.3"/>
    <row r="59221" customFormat="1" x14ac:dyDescent="0.3"/>
    <row r="59222" customFormat="1" x14ac:dyDescent="0.3"/>
    <row r="59223" customFormat="1" x14ac:dyDescent="0.3"/>
    <row r="59224" customFormat="1" x14ac:dyDescent="0.3"/>
    <row r="59225" customFormat="1" x14ac:dyDescent="0.3"/>
    <row r="59226" customFormat="1" x14ac:dyDescent="0.3"/>
    <row r="59227" customFormat="1" x14ac:dyDescent="0.3"/>
    <row r="59228" customFormat="1" x14ac:dyDescent="0.3"/>
    <row r="59229" customFormat="1" x14ac:dyDescent="0.3"/>
    <row r="59230" customFormat="1" x14ac:dyDescent="0.3"/>
    <row r="59231" customFormat="1" x14ac:dyDescent="0.3"/>
    <row r="59232" customFormat="1" x14ac:dyDescent="0.3"/>
    <row r="59233" customFormat="1" x14ac:dyDescent="0.3"/>
    <row r="59234" customFormat="1" x14ac:dyDescent="0.3"/>
    <row r="59235" customFormat="1" x14ac:dyDescent="0.3"/>
    <row r="59236" customFormat="1" x14ac:dyDescent="0.3"/>
    <row r="59237" customFormat="1" x14ac:dyDescent="0.3"/>
    <row r="59238" customFormat="1" x14ac:dyDescent="0.3"/>
    <row r="59239" customFormat="1" x14ac:dyDescent="0.3"/>
    <row r="59240" customFormat="1" x14ac:dyDescent="0.3"/>
    <row r="59241" customFormat="1" x14ac:dyDescent="0.3"/>
    <row r="59242" customFormat="1" x14ac:dyDescent="0.3"/>
    <row r="59243" customFormat="1" x14ac:dyDescent="0.3"/>
    <row r="59244" customFormat="1" x14ac:dyDescent="0.3"/>
    <row r="59245" customFormat="1" x14ac:dyDescent="0.3"/>
    <row r="59246" customFormat="1" x14ac:dyDescent="0.3"/>
    <row r="59247" customFormat="1" x14ac:dyDescent="0.3"/>
    <row r="59248" customFormat="1" x14ac:dyDescent="0.3"/>
    <row r="59249" customFormat="1" x14ac:dyDescent="0.3"/>
    <row r="59250" customFormat="1" x14ac:dyDescent="0.3"/>
    <row r="59251" customFormat="1" x14ac:dyDescent="0.3"/>
    <row r="59252" customFormat="1" x14ac:dyDescent="0.3"/>
    <row r="59253" customFormat="1" x14ac:dyDescent="0.3"/>
    <row r="59254" customFormat="1" x14ac:dyDescent="0.3"/>
    <row r="59255" customFormat="1" x14ac:dyDescent="0.3"/>
    <row r="59256" customFormat="1" x14ac:dyDescent="0.3"/>
    <row r="59257" customFormat="1" x14ac:dyDescent="0.3"/>
    <row r="59258" customFormat="1" x14ac:dyDescent="0.3"/>
    <row r="59259" customFormat="1" x14ac:dyDescent="0.3"/>
    <row r="59260" customFormat="1" x14ac:dyDescent="0.3"/>
    <row r="59261" customFormat="1" x14ac:dyDescent="0.3"/>
    <row r="59262" customFormat="1" x14ac:dyDescent="0.3"/>
    <row r="59263" customFormat="1" x14ac:dyDescent="0.3"/>
    <row r="59264" customFormat="1" x14ac:dyDescent="0.3"/>
    <row r="59265" customFormat="1" x14ac:dyDescent="0.3"/>
    <row r="59266" customFormat="1" x14ac:dyDescent="0.3"/>
    <row r="59267" customFormat="1" x14ac:dyDescent="0.3"/>
    <row r="59268" customFormat="1" x14ac:dyDescent="0.3"/>
    <row r="59269" customFormat="1" x14ac:dyDescent="0.3"/>
    <row r="59270" customFormat="1" x14ac:dyDescent="0.3"/>
    <row r="59271" customFormat="1" x14ac:dyDescent="0.3"/>
    <row r="59272" customFormat="1" x14ac:dyDescent="0.3"/>
    <row r="59273" customFormat="1" x14ac:dyDescent="0.3"/>
    <row r="59274" customFormat="1" x14ac:dyDescent="0.3"/>
    <row r="59275" customFormat="1" x14ac:dyDescent="0.3"/>
    <row r="59276" customFormat="1" x14ac:dyDescent="0.3"/>
    <row r="59277" customFormat="1" x14ac:dyDescent="0.3"/>
    <row r="59278" customFormat="1" x14ac:dyDescent="0.3"/>
    <row r="59279" customFormat="1" x14ac:dyDescent="0.3"/>
    <row r="59280" customFormat="1" x14ac:dyDescent="0.3"/>
    <row r="59281" customFormat="1" x14ac:dyDescent="0.3"/>
    <row r="59282" customFormat="1" x14ac:dyDescent="0.3"/>
    <row r="59283" customFormat="1" x14ac:dyDescent="0.3"/>
    <row r="59284" customFormat="1" x14ac:dyDescent="0.3"/>
    <row r="59285" customFormat="1" x14ac:dyDescent="0.3"/>
    <row r="59286" customFormat="1" x14ac:dyDescent="0.3"/>
    <row r="59287" customFormat="1" x14ac:dyDescent="0.3"/>
    <row r="59288" customFormat="1" x14ac:dyDescent="0.3"/>
    <row r="59289" customFormat="1" x14ac:dyDescent="0.3"/>
    <row r="59290" customFormat="1" x14ac:dyDescent="0.3"/>
    <row r="59291" customFormat="1" x14ac:dyDescent="0.3"/>
    <row r="59292" customFormat="1" x14ac:dyDescent="0.3"/>
    <row r="59293" customFormat="1" x14ac:dyDescent="0.3"/>
    <row r="59294" customFormat="1" x14ac:dyDescent="0.3"/>
    <row r="59295" customFormat="1" x14ac:dyDescent="0.3"/>
    <row r="59296" customFormat="1" x14ac:dyDescent="0.3"/>
    <row r="59297" customFormat="1" x14ac:dyDescent="0.3"/>
    <row r="59298" customFormat="1" x14ac:dyDescent="0.3"/>
    <row r="59299" customFormat="1" x14ac:dyDescent="0.3"/>
    <row r="59300" customFormat="1" x14ac:dyDescent="0.3"/>
    <row r="59301" customFormat="1" x14ac:dyDescent="0.3"/>
    <row r="59302" customFormat="1" x14ac:dyDescent="0.3"/>
    <row r="59303" customFormat="1" x14ac:dyDescent="0.3"/>
    <row r="59304" customFormat="1" x14ac:dyDescent="0.3"/>
    <row r="59305" customFormat="1" x14ac:dyDescent="0.3"/>
    <row r="59306" customFormat="1" x14ac:dyDescent="0.3"/>
    <row r="59307" customFormat="1" x14ac:dyDescent="0.3"/>
    <row r="59308" customFormat="1" x14ac:dyDescent="0.3"/>
    <row r="59309" customFormat="1" x14ac:dyDescent="0.3"/>
    <row r="59310" customFormat="1" x14ac:dyDescent="0.3"/>
    <row r="59311" customFormat="1" x14ac:dyDescent="0.3"/>
    <row r="59312" customFormat="1" x14ac:dyDescent="0.3"/>
    <row r="59313" customFormat="1" x14ac:dyDescent="0.3"/>
    <row r="59314" customFormat="1" x14ac:dyDescent="0.3"/>
    <row r="59315" customFormat="1" x14ac:dyDescent="0.3"/>
    <row r="59316" customFormat="1" x14ac:dyDescent="0.3"/>
    <row r="59317" customFormat="1" x14ac:dyDescent="0.3"/>
    <row r="59318" customFormat="1" x14ac:dyDescent="0.3"/>
    <row r="59319" customFormat="1" x14ac:dyDescent="0.3"/>
    <row r="59320" customFormat="1" x14ac:dyDescent="0.3"/>
    <row r="59321" customFormat="1" x14ac:dyDescent="0.3"/>
    <row r="59322" customFormat="1" x14ac:dyDescent="0.3"/>
    <row r="59323" customFormat="1" x14ac:dyDescent="0.3"/>
    <row r="59324" customFormat="1" x14ac:dyDescent="0.3"/>
    <row r="59325" customFormat="1" x14ac:dyDescent="0.3"/>
    <row r="59326" customFormat="1" x14ac:dyDescent="0.3"/>
    <row r="59327" customFormat="1" x14ac:dyDescent="0.3"/>
    <row r="59328" customFormat="1" x14ac:dyDescent="0.3"/>
    <row r="59329" customFormat="1" x14ac:dyDescent="0.3"/>
    <row r="59330" customFormat="1" x14ac:dyDescent="0.3"/>
    <row r="59331" customFormat="1" x14ac:dyDescent="0.3"/>
    <row r="59332" customFormat="1" x14ac:dyDescent="0.3"/>
    <row r="59333" customFormat="1" x14ac:dyDescent="0.3"/>
    <row r="59334" customFormat="1" x14ac:dyDescent="0.3"/>
    <row r="59335" customFormat="1" x14ac:dyDescent="0.3"/>
    <row r="59336" customFormat="1" x14ac:dyDescent="0.3"/>
    <row r="59337" customFormat="1" x14ac:dyDescent="0.3"/>
    <row r="59338" customFormat="1" x14ac:dyDescent="0.3"/>
    <row r="59339" customFormat="1" x14ac:dyDescent="0.3"/>
    <row r="59340" customFormat="1" x14ac:dyDescent="0.3"/>
    <row r="59341" customFormat="1" x14ac:dyDescent="0.3"/>
    <row r="59342" customFormat="1" x14ac:dyDescent="0.3"/>
    <row r="59343" customFormat="1" x14ac:dyDescent="0.3"/>
    <row r="59344" customFormat="1" x14ac:dyDescent="0.3"/>
    <row r="59345" customFormat="1" x14ac:dyDescent="0.3"/>
    <row r="59346" customFormat="1" x14ac:dyDescent="0.3"/>
    <row r="59347" customFormat="1" x14ac:dyDescent="0.3"/>
    <row r="59348" customFormat="1" x14ac:dyDescent="0.3"/>
    <row r="59349" customFormat="1" x14ac:dyDescent="0.3"/>
    <row r="59350" customFormat="1" x14ac:dyDescent="0.3"/>
    <row r="59351" customFormat="1" x14ac:dyDescent="0.3"/>
    <row r="59352" customFormat="1" x14ac:dyDescent="0.3"/>
    <row r="59353" customFormat="1" x14ac:dyDescent="0.3"/>
    <row r="59354" customFormat="1" x14ac:dyDescent="0.3"/>
    <row r="59355" customFormat="1" x14ac:dyDescent="0.3"/>
    <row r="59356" customFormat="1" x14ac:dyDescent="0.3"/>
    <row r="59357" customFormat="1" x14ac:dyDescent="0.3"/>
    <row r="59358" customFormat="1" x14ac:dyDescent="0.3"/>
    <row r="59359" customFormat="1" x14ac:dyDescent="0.3"/>
    <row r="59360" customFormat="1" x14ac:dyDescent="0.3"/>
    <row r="59361" customFormat="1" x14ac:dyDescent="0.3"/>
    <row r="59362" customFormat="1" x14ac:dyDescent="0.3"/>
    <row r="59363" customFormat="1" x14ac:dyDescent="0.3"/>
    <row r="59364" customFormat="1" x14ac:dyDescent="0.3"/>
    <row r="59365" customFormat="1" x14ac:dyDescent="0.3"/>
    <row r="59366" customFormat="1" x14ac:dyDescent="0.3"/>
    <row r="59367" customFormat="1" x14ac:dyDescent="0.3"/>
    <row r="59368" customFormat="1" x14ac:dyDescent="0.3"/>
    <row r="59369" customFormat="1" x14ac:dyDescent="0.3"/>
    <row r="59370" customFormat="1" x14ac:dyDescent="0.3"/>
    <row r="59371" customFormat="1" x14ac:dyDescent="0.3"/>
    <row r="59372" customFormat="1" x14ac:dyDescent="0.3"/>
    <row r="59373" customFormat="1" x14ac:dyDescent="0.3"/>
    <row r="59374" customFormat="1" x14ac:dyDescent="0.3"/>
    <row r="59375" customFormat="1" x14ac:dyDescent="0.3"/>
    <row r="59376" customFormat="1" x14ac:dyDescent="0.3"/>
    <row r="59377" customFormat="1" x14ac:dyDescent="0.3"/>
    <row r="59378" customFormat="1" x14ac:dyDescent="0.3"/>
    <row r="59379" customFormat="1" x14ac:dyDescent="0.3"/>
    <row r="59380" customFormat="1" x14ac:dyDescent="0.3"/>
    <row r="59381" customFormat="1" x14ac:dyDescent="0.3"/>
    <row r="59382" customFormat="1" x14ac:dyDescent="0.3"/>
    <row r="59383" customFormat="1" x14ac:dyDescent="0.3"/>
    <row r="59384" customFormat="1" x14ac:dyDescent="0.3"/>
    <row r="59385" customFormat="1" x14ac:dyDescent="0.3"/>
    <row r="59386" customFormat="1" x14ac:dyDescent="0.3"/>
    <row r="59387" customFormat="1" x14ac:dyDescent="0.3"/>
    <row r="59388" customFormat="1" x14ac:dyDescent="0.3"/>
    <row r="59389" customFormat="1" x14ac:dyDescent="0.3"/>
    <row r="59390" customFormat="1" x14ac:dyDescent="0.3"/>
    <row r="59391" customFormat="1" x14ac:dyDescent="0.3"/>
    <row r="59392" customFormat="1" x14ac:dyDescent="0.3"/>
    <row r="59393" customFormat="1" x14ac:dyDescent="0.3"/>
    <row r="59394" customFormat="1" x14ac:dyDescent="0.3"/>
    <row r="59395" customFormat="1" x14ac:dyDescent="0.3"/>
    <row r="59396" customFormat="1" x14ac:dyDescent="0.3"/>
    <row r="59397" customFormat="1" x14ac:dyDescent="0.3"/>
    <row r="59398" customFormat="1" x14ac:dyDescent="0.3"/>
    <row r="59399" customFormat="1" x14ac:dyDescent="0.3"/>
    <row r="59400" customFormat="1" x14ac:dyDescent="0.3"/>
    <row r="59401" customFormat="1" x14ac:dyDescent="0.3"/>
    <row r="59402" customFormat="1" x14ac:dyDescent="0.3"/>
    <row r="59403" customFormat="1" x14ac:dyDescent="0.3"/>
    <row r="59404" customFormat="1" x14ac:dyDescent="0.3"/>
    <row r="59405" customFormat="1" x14ac:dyDescent="0.3"/>
    <row r="59406" customFormat="1" x14ac:dyDescent="0.3"/>
    <row r="59407" customFormat="1" x14ac:dyDescent="0.3"/>
    <row r="59408" customFormat="1" x14ac:dyDescent="0.3"/>
    <row r="59409" customFormat="1" x14ac:dyDescent="0.3"/>
    <row r="59410" customFormat="1" x14ac:dyDescent="0.3"/>
    <row r="59411" customFormat="1" x14ac:dyDescent="0.3"/>
    <row r="59412" customFormat="1" x14ac:dyDescent="0.3"/>
    <row r="59413" customFormat="1" x14ac:dyDescent="0.3"/>
    <row r="59414" customFormat="1" x14ac:dyDescent="0.3"/>
    <row r="59415" customFormat="1" x14ac:dyDescent="0.3"/>
    <row r="59416" customFormat="1" x14ac:dyDescent="0.3"/>
    <row r="59417" customFormat="1" x14ac:dyDescent="0.3"/>
    <row r="59418" customFormat="1" x14ac:dyDescent="0.3"/>
    <row r="59419" customFormat="1" x14ac:dyDescent="0.3"/>
    <row r="59420" customFormat="1" x14ac:dyDescent="0.3"/>
    <row r="59421" customFormat="1" x14ac:dyDescent="0.3"/>
    <row r="59422" customFormat="1" x14ac:dyDescent="0.3"/>
    <row r="59423" customFormat="1" x14ac:dyDescent="0.3"/>
    <row r="59424" customFormat="1" x14ac:dyDescent="0.3"/>
    <row r="59425" customFormat="1" x14ac:dyDescent="0.3"/>
    <row r="59426" customFormat="1" x14ac:dyDescent="0.3"/>
    <row r="59427" customFormat="1" x14ac:dyDescent="0.3"/>
    <row r="59428" customFormat="1" x14ac:dyDescent="0.3"/>
    <row r="59429" customFormat="1" x14ac:dyDescent="0.3"/>
    <row r="59430" customFormat="1" x14ac:dyDescent="0.3"/>
    <row r="59431" customFormat="1" x14ac:dyDescent="0.3"/>
    <row r="59432" customFormat="1" x14ac:dyDescent="0.3"/>
    <row r="59433" customFormat="1" x14ac:dyDescent="0.3"/>
    <row r="59434" customFormat="1" x14ac:dyDescent="0.3"/>
    <row r="59435" customFormat="1" x14ac:dyDescent="0.3"/>
    <row r="59436" customFormat="1" x14ac:dyDescent="0.3"/>
    <row r="59437" customFormat="1" x14ac:dyDescent="0.3"/>
    <row r="59438" customFormat="1" x14ac:dyDescent="0.3"/>
    <row r="59439" customFormat="1" x14ac:dyDescent="0.3"/>
    <row r="59440" customFormat="1" x14ac:dyDescent="0.3"/>
    <row r="59441" customFormat="1" x14ac:dyDescent="0.3"/>
    <row r="59442" customFormat="1" x14ac:dyDescent="0.3"/>
    <row r="59443" customFormat="1" x14ac:dyDescent="0.3"/>
    <row r="59444" customFormat="1" x14ac:dyDescent="0.3"/>
    <row r="59445" customFormat="1" x14ac:dyDescent="0.3"/>
    <row r="59446" customFormat="1" x14ac:dyDescent="0.3"/>
    <row r="59447" customFormat="1" x14ac:dyDescent="0.3"/>
    <row r="59448" customFormat="1" x14ac:dyDescent="0.3"/>
    <row r="59449" customFormat="1" x14ac:dyDescent="0.3"/>
    <row r="59450" customFormat="1" x14ac:dyDescent="0.3"/>
    <row r="59451" customFormat="1" x14ac:dyDescent="0.3"/>
    <row r="59452" customFormat="1" x14ac:dyDescent="0.3"/>
    <row r="59453" customFormat="1" x14ac:dyDescent="0.3"/>
    <row r="59454" customFormat="1" x14ac:dyDescent="0.3"/>
    <row r="59455" customFormat="1" x14ac:dyDescent="0.3"/>
    <row r="59456" customFormat="1" x14ac:dyDescent="0.3"/>
    <row r="59457" customFormat="1" x14ac:dyDescent="0.3"/>
    <row r="59458" customFormat="1" x14ac:dyDescent="0.3"/>
    <row r="59459" customFormat="1" x14ac:dyDescent="0.3"/>
    <row r="59460" customFormat="1" x14ac:dyDescent="0.3"/>
    <row r="59461" customFormat="1" x14ac:dyDescent="0.3"/>
    <row r="59462" customFormat="1" x14ac:dyDescent="0.3"/>
    <row r="59463" customFormat="1" x14ac:dyDescent="0.3"/>
    <row r="59464" customFormat="1" x14ac:dyDescent="0.3"/>
    <row r="59465" customFormat="1" x14ac:dyDescent="0.3"/>
    <row r="59466" customFormat="1" x14ac:dyDescent="0.3"/>
    <row r="59467" customFormat="1" x14ac:dyDescent="0.3"/>
    <row r="59468" customFormat="1" x14ac:dyDescent="0.3"/>
    <row r="59469" customFormat="1" x14ac:dyDescent="0.3"/>
    <row r="59470" customFormat="1" x14ac:dyDescent="0.3"/>
    <row r="59471" customFormat="1" x14ac:dyDescent="0.3"/>
    <row r="59472" customFormat="1" x14ac:dyDescent="0.3"/>
    <row r="59473" customFormat="1" x14ac:dyDescent="0.3"/>
    <row r="59474" customFormat="1" x14ac:dyDescent="0.3"/>
    <row r="59475" customFormat="1" x14ac:dyDescent="0.3"/>
    <row r="59476" customFormat="1" x14ac:dyDescent="0.3"/>
    <row r="59477" customFormat="1" x14ac:dyDescent="0.3"/>
    <row r="59478" customFormat="1" x14ac:dyDescent="0.3"/>
    <row r="59479" customFormat="1" x14ac:dyDescent="0.3"/>
    <row r="59480" customFormat="1" x14ac:dyDescent="0.3"/>
    <row r="59481" customFormat="1" x14ac:dyDescent="0.3"/>
    <row r="59482" customFormat="1" x14ac:dyDescent="0.3"/>
    <row r="59483" customFormat="1" x14ac:dyDescent="0.3"/>
    <row r="59484" customFormat="1" x14ac:dyDescent="0.3"/>
    <row r="59485" customFormat="1" x14ac:dyDescent="0.3"/>
    <row r="59486" customFormat="1" x14ac:dyDescent="0.3"/>
    <row r="59487" customFormat="1" x14ac:dyDescent="0.3"/>
    <row r="59488" customFormat="1" x14ac:dyDescent="0.3"/>
    <row r="59489" customFormat="1" x14ac:dyDescent="0.3"/>
    <row r="59490" customFormat="1" x14ac:dyDescent="0.3"/>
    <row r="59491" customFormat="1" x14ac:dyDescent="0.3"/>
    <row r="59492" customFormat="1" x14ac:dyDescent="0.3"/>
    <row r="59493" customFormat="1" x14ac:dyDescent="0.3"/>
    <row r="59494" customFormat="1" x14ac:dyDescent="0.3"/>
    <row r="59495" customFormat="1" x14ac:dyDescent="0.3"/>
    <row r="59496" customFormat="1" x14ac:dyDescent="0.3"/>
    <row r="59497" customFormat="1" x14ac:dyDescent="0.3"/>
    <row r="59498" customFormat="1" x14ac:dyDescent="0.3"/>
    <row r="59499" customFormat="1" x14ac:dyDescent="0.3"/>
    <row r="59500" customFormat="1" x14ac:dyDescent="0.3"/>
    <row r="59501" customFormat="1" x14ac:dyDescent="0.3"/>
    <row r="59502" customFormat="1" x14ac:dyDescent="0.3"/>
    <row r="59503" customFormat="1" x14ac:dyDescent="0.3"/>
    <row r="59504" customFormat="1" x14ac:dyDescent="0.3"/>
    <row r="59505" customFormat="1" x14ac:dyDescent="0.3"/>
    <row r="59506" customFormat="1" x14ac:dyDescent="0.3"/>
    <row r="59507" customFormat="1" x14ac:dyDescent="0.3"/>
    <row r="59508" customFormat="1" x14ac:dyDescent="0.3"/>
    <row r="59509" customFormat="1" x14ac:dyDescent="0.3"/>
    <row r="59510" customFormat="1" x14ac:dyDescent="0.3"/>
    <row r="59511" customFormat="1" x14ac:dyDescent="0.3"/>
    <row r="59512" customFormat="1" x14ac:dyDescent="0.3"/>
    <row r="59513" customFormat="1" x14ac:dyDescent="0.3"/>
    <row r="59514" customFormat="1" x14ac:dyDescent="0.3"/>
    <row r="59515" customFormat="1" x14ac:dyDescent="0.3"/>
    <row r="59516" customFormat="1" x14ac:dyDescent="0.3"/>
    <row r="59517" customFormat="1" x14ac:dyDescent="0.3"/>
    <row r="59518" customFormat="1" x14ac:dyDescent="0.3"/>
    <row r="59519" customFormat="1" x14ac:dyDescent="0.3"/>
    <row r="59520" customFormat="1" x14ac:dyDescent="0.3"/>
    <row r="59521" customFormat="1" x14ac:dyDescent="0.3"/>
    <row r="59522" customFormat="1" x14ac:dyDescent="0.3"/>
    <row r="59523" customFormat="1" x14ac:dyDescent="0.3"/>
    <row r="59524" customFormat="1" x14ac:dyDescent="0.3"/>
    <row r="59525" customFormat="1" x14ac:dyDescent="0.3"/>
    <row r="59526" customFormat="1" x14ac:dyDescent="0.3"/>
    <row r="59527" customFormat="1" x14ac:dyDescent="0.3"/>
    <row r="59528" customFormat="1" x14ac:dyDescent="0.3"/>
    <row r="59529" customFormat="1" x14ac:dyDescent="0.3"/>
    <row r="59530" customFormat="1" x14ac:dyDescent="0.3"/>
    <row r="59531" customFormat="1" x14ac:dyDescent="0.3"/>
    <row r="59532" customFormat="1" x14ac:dyDescent="0.3"/>
    <row r="59533" customFormat="1" x14ac:dyDescent="0.3"/>
    <row r="59534" customFormat="1" x14ac:dyDescent="0.3"/>
    <row r="59535" customFormat="1" x14ac:dyDescent="0.3"/>
    <row r="59536" customFormat="1" x14ac:dyDescent="0.3"/>
    <row r="59537" customFormat="1" x14ac:dyDescent="0.3"/>
    <row r="59538" customFormat="1" x14ac:dyDescent="0.3"/>
    <row r="59539" customFormat="1" x14ac:dyDescent="0.3"/>
    <row r="59540" customFormat="1" x14ac:dyDescent="0.3"/>
    <row r="59541" customFormat="1" x14ac:dyDescent="0.3"/>
    <row r="59542" customFormat="1" x14ac:dyDescent="0.3"/>
    <row r="59543" customFormat="1" x14ac:dyDescent="0.3"/>
    <row r="59544" customFormat="1" x14ac:dyDescent="0.3"/>
    <row r="59545" customFormat="1" x14ac:dyDescent="0.3"/>
    <row r="59546" customFormat="1" x14ac:dyDescent="0.3"/>
    <row r="59547" customFormat="1" x14ac:dyDescent="0.3"/>
    <row r="59548" customFormat="1" x14ac:dyDescent="0.3"/>
    <row r="59549" customFormat="1" x14ac:dyDescent="0.3"/>
    <row r="59550" customFormat="1" x14ac:dyDescent="0.3"/>
    <row r="59551" customFormat="1" x14ac:dyDescent="0.3"/>
    <row r="59552" customFormat="1" x14ac:dyDescent="0.3"/>
    <row r="59553" customFormat="1" x14ac:dyDescent="0.3"/>
    <row r="59554" customFormat="1" x14ac:dyDescent="0.3"/>
    <row r="59555" customFormat="1" x14ac:dyDescent="0.3"/>
    <row r="59556" customFormat="1" x14ac:dyDescent="0.3"/>
    <row r="59557" customFormat="1" x14ac:dyDescent="0.3"/>
    <row r="59558" customFormat="1" x14ac:dyDescent="0.3"/>
    <row r="59559" customFormat="1" x14ac:dyDescent="0.3"/>
    <row r="59560" customFormat="1" x14ac:dyDescent="0.3"/>
    <row r="59561" customFormat="1" x14ac:dyDescent="0.3"/>
    <row r="59562" customFormat="1" x14ac:dyDescent="0.3"/>
    <row r="59563" customFormat="1" x14ac:dyDescent="0.3"/>
    <row r="59564" customFormat="1" x14ac:dyDescent="0.3"/>
    <row r="59565" customFormat="1" x14ac:dyDescent="0.3"/>
    <row r="59566" customFormat="1" x14ac:dyDescent="0.3"/>
    <row r="59567" customFormat="1" x14ac:dyDescent="0.3"/>
    <row r="59568" customFormat="1" x14ac:dyDescent="0.3"/>
    <row r="59569" customFormat="1" x14ac:dyDescent="0.3"/>
    <row r="59570" customFormat="1" x14ac:dyDescent="0.3"/>
    <row r="59571" customFormat="1" x14ac:dyDescent="0.3"/>
    <row r="59572" customFormat="1" x14ac:dyDescent="0.3"/>
    <row r="59573" customFormat="1" x14ac:dyDescent="0.3"/>
    <row r="59574" customFormat="1" x14ac:dyDescent="0.3"/>
    <row r="59575" customFormat="1" x14ac:dyDescent="0.3"/>
    <row r="59576" customFormat="1" x14ac:dyDescent="0.3"/>
    <row r="59577" customFormat="1" x14ac:dyDescent="0.3"/>
    <row r="59578" customFormat="1" x14ac:dyDescent="0.3"/>
    <row r="59579" customFormat="1" x14ac:dyDescent="0.3"/>
    <row r="59580" customFormat="1" x14ac:dyDescent="0.3"/>
    <row r="59581" customFormat="1" x14ac:dyDescent="0.3"/>
    <row r="59582" customFormat="1" x14ac:dyDescent="0.3"/>
    <row r="59583" customFormat="1" x14ac:dyDescent="0.3"/>
    <row r="59584" customFormat="1" x14ac:dyDescent="0.3"/>
    <row r="59585" customFormat="1" x14ac:dyDescent="0.3"/>
    <row r="59586" customFormat="1" x14ac:dyDescent="0.3"/>
    <row r="59587" customFormat="1" x14ac:dyDescent="0.3"/>
    <row r="59588" customFormat="1" x14ac:dyDescent="0.3"/>
    <row r="59589" customFormat="1" x14ac:dyDescent="0.3"/>
    <row r="59590" customFormat="1" x14ac:dyDescent="0.3"/>
    <row r="59591" customFormat="1" x14ac:dyDescent="0.3"/>
    <row r="59592" customFormat="1" x14ac:dyDescent="0.3"/>
    <row r="59593" customFormat="1" x14ac:dyDescent="0.3"/>
    <row r="59594" customFormat="1" x14ac:dyDescent="0.3"/>
    <row r="59595" customFormat="1" x14ac:dyDescent="0.3"/>
    <row r="59596" customFormat="1" x14ac:dyDescent="0.3"/>
    <row r="59597" customFormat="1" x14ac:dyDescent="0.3"/>
    <row r="59598" customFormat="1" x14ac:dyDescent="0.3"/>
    <row r="59599" customFormat="1" x14ac:dyDescent="0.3"/>
    <row r="59600" customFormat="1" x14ac:dyDescent="0.3"/>
    <row r="59601" customFormat="1" x14ac:dyDescent="0.3"/>
    <row r="59602" customFormat="1" x14ac:dyDescent="0.3"/>
    <row r="59603" customFormat="1" x14ac:dyDescent="0.3"/>
    <row r="59604" customFormat="1" x14ac:dyDescent="0.3"/>
    <row r="59605" customFormat="1" x14ac:dyDescent="0.3"/>
    <row r="59606" customFormat="1" x14ac:dyDescent="0.3"/>
    <row r="59607" customFormat="1" x14ac:dyDescent="0.3"/>
    <row r="59608" customFormat="1" x14ac:dyDescent="0.3"/>
    <row r="59609" customFormat="1" x14ac:dyDescent="0.3"/>
    <row r="59610" customFormat="1" x14ac:dyDescent="0.3"/>
    <row r="59611" customFormat="1" x14ac:dyDescent="0.3"/>
    <row r="59612" customFormat="1" x14ac:dyDescent="0.3"/>
    <row r="59613" customFormat="1" x14ac:dyDescent="0.3"/>
    <row r="59614" customFormat="1" x14ac:dyDescent="0.3"/>
    <row r="59615" customFormat="1" x14ac:dyDescent="0.3"/>
    <row r="59616" customFormat="1" x14ac:dyDescent="0.3"/>
    <row r="59617" customFormat="1" x14ac:dyDescent="0.3"/>
    <row r="59618" customFormat="1" x14ac:dyDescent="0.3"/>
    <row r="59619" customFormat="1" x14ac:dyDescent="0.3"/>
    <row r="59620" customFormat="1" x14ac:dyDescent="0.3"/>
    <row r="59621" customFormat="1" x14ac:dyDescent="0.3"/>
    <row r="59622" customFormat="1" x14ac:dyDescent="0.3"/>
    <row r="59623" customFormat="1" x14ac:dyDescent="0.3"/>
    <row r="59624" customFormat="1" x14ac:dyDescent="0.3"/>
    <row r="59625" customFormat="1" x14ac:dyDescent="0.3"/>
    <row r="59626" customFormat="1" x14ac:dyDescent="0.3"/>
    <row r="59627" customFormat="1" x14ac:dyDescent="0.3"/>
    <row r="59628" customFormat="1" x14ac:dyDescent="0.3"/>
    <row r="59629" customFormat="1" x14ac:dyDescent="0.3"/>
    <row r="59630" customFormat="1" x14ac:dyDescent="0.3"/>
    <row r="59631" customFormat="1" x14ac:dyDescent="0.3"/>
    <row r="59632" customFormat="1" x14ac:dyDescent="0.3"/>
    <row r="59633" customFormat="1" x14ac:dyDescent="0.3"/>
    <row r="59634" customFormat="1" x14ac:dyDescent="0.3"/>
    <row r="59635" customFormat="1" x14ac:dyDescent="0.3"/>
    <row r="59636" customFormat="1" x14ac:dyDescent="0.3"/>
    <row r="59637" customFormat="1" x14ac:dyDescent="0.3"/>
    <row r="59638" customFormat="1" x14ac:dyDescent="0.3"/>
    <row r="59639" customFormat="1" x14ac:dyDescent="0.3"/>
    <row r="59640" customFormat="1" x14ac:dyDescent="0.3"/>
    <row r="59641" customFormat="1" x14ac:dyDescent="0.3"/>
    <row r="59642" customFormat="1" x14ac:dyDescent="0.3"/>
    <row r="59643" customFormat="1" x14ac:dyDescent="0.3"/>
    <row r="59644" customFormat="1" x14ac:dyDescent="0.3"/>
    <row r="59645" customFormat="1" x14ac:dyDescent="0.3"/>
    <row r="59646" customFormat="1" x14ac:dyDescent="0.3"/>
    <row r="59647" customFormat="1" x14ac:dyDescent="0.3"/>
    <row r="59648" customFormat="1" x14ac:dyDescent="0.3"/>
    <row r="59649" customFormat="1" x14ac:dyDescent="0.3"/>
    <row r="59650" customFormat="1" x14ac:dyDescent="0.3"/>
    <row r="59651" customFormat="1" x14ac:dyDescent="0.3"/>
    <row r="59652" customFormat="1" x14ac:dyDescent="0.3"/>
    <row r="59653" customFormat="1" x14ac:dyDescent="0.3"/>
    <row r="59654" customFormat="1" x14ac:dyDescent="0.3"/>
    <row r="59655" customFormat="1" x14ac:dyDescent="0.3"/>
    <row r="59656" customFormat="1" x14ac:dyDescent="0.3"/>
    <row r="59657" customFormat="1" x14ac:dyDescent="0.3"/>
    <row r="59658" customFormat="1" x14ac:dyDescent="0.3"/>
    <row r="59659" customFormat="1" x14ac:dyDescent="0.3"/>
    <row r="59660" customFormat="1" x14ac:dyDescent="0.3"/>
    <row r="59661" customFormat="1" x14ac:dyDescent="0.3"/>
    <row r="59662" customFormat="1" x14ac:dyDescent="0.3"/>
    <row r="59663" customFormat="1" x14ac:dyDescent="0.3"/>
    <row r="59664" customFormat="1" x14ac:dyDescent="0.3"/>
    <row r="59665" customFormat="1" x14ac:dyDescent="0.3"/>
    <row r="59666" customFormat="1" x14ac:dyDescent="0.3"/>
    <row r="59667" customFormat="1" x14ac:dyDescent="0.3"/>
    <row r="59668" customFormat="1" x14ac:dyDescent="0.3"/>
    <row r="59669" customFormat="1" x14ac:dyDescent="0.3"/>
    <row r="59670" customFormat="1" x14ac:dyDescent="0.3"/>
    <row r="59671" customFormat="1" x14ac:dyDescent="0.3"/>
    <row r="59672" customFormat="1" x14ac:dyDescent="0.3"/>
    <row r="59673" customFormat="1" x14ac:dyDescent="0.3"/>
    <row r="59674" customFormat="1" x14ac:dyDescent="0.3"/>
    <row r="59675" customFormat="1" x14ac:dyDescent="0.3"/>
    <row r="59676" customFormat="1" x14ac:dyDescent="0.3"/>
    <row r="59677" customFormat="1" x14ac:dyDescent="0.3"/>
    <row r="59678" customFormat="1" x14ac:dyDescent="0.3"/>
    <row r="59679" customFormat="1" x14ac:dyDescent="0.3"/>
    <row r="59680" customFormat="1" x14ac:dyDescent="0.3"/>
    <row r="59681" customFormat="1" x14ac:dyDescent="0.3"/>
    <row r="59682" customFormat="1" x14ac:dyDescent="0.3"/>
    <row r="59683" customFormat="1" x14ac:dyDescent="0.3"/>
    <row r="59684" customFormat="1" x14ac:dyDescent="0.3"/>
    <row r="59685" customFormat="1" x14ac:dyDescent="0.3"/>
    <row r="59686" customFormat="1" x14ac:dyDescent="0.3"/>
    <row r="59687" customFormat="1" x14ac:dyDescent="0.3"/>
    <row r="59688" customFormat="1" x14ac:dyDescent="0.3"/>
    <row r="59689" customFormat="1" x14ac:dyDescent="0.3"/>
    <row r="59690" customFormat="1" x14ac:dyDescent="0.3"/>
    <row r="59691" customFormat="1" x14ac:dyDescent="0.3"/>
    <row r="59692" customFormat="1" x14ac:dyDescent="0.3"/>
    <row r="59693" customFormat="1" x14ac:dyDescent="0.3"/>
    <row r="59694" customFormat="1" x14ac:dyDescent="0.3"/>
    <row r="59695" customFormat="1" x14ac:dyDescent="0.3"/>
    <row r="59696" customFormat="1" x14ac:dyDescent="0.3"/>
    <row r="59697" customFormat="1" x14ac:dyDescent="0.3"/>
    <row r="59698" customFormat="1" x14ac:dyDescent="0.3"/>
    <row r="59699" customFormat="1" x14ac:dyDescent="0.3"/>
    <row r="59700" customFormat="1" x14ac:dyDescent="0.3"/>
    <row r="59701" customFormat="1" x14ac:dyDescent="0.3"/>
    <row r="59702" customFormat="1" x14ac:dyDescent="0.3"/>
    <row r="59703" customFormat="1" x14ac:dyDescent="0.3"/>
    <row r="59704" customFormat="1" x14ac:dyDescent="0.3"/>
    <row r="59705" customFormat="1" x14ac:dyDescent="0.3"/>
    <row r="59706" customFormat="1" x14ac:dyDescent="0.3"/>
    <row r="59707" customFormat="1" x14ac:dyDescent="0.3"/>
    <row r="59708" customFormat="1" x14ac:dyDescent="0.3"/>
    <row r="59709" customFormat="1" x14ac:dyDescent="0.3"/>
    <row r="59710" customFormat="1" x14ac:dyDescent="0.3"/>
    <row r="59711" customFormat="1" x14ac:dyDescent="0.3"/>
    <row r="59712" customFormat="1" x14ac:dyDescent="0.3"/>
    <row r="59713" customFormat="1" x14ac:dyDescent="0.3"/>
    <row r="59714" customFormat="1" x14ac:dyDescent="0.3"/>
    <row r="59715" customFormat="1" x14ac:dyDescent="0.3"/>
    <row r="59716" customFormat="1" x14ac:dyDescent="0.3"/>
    <row r="59717" customFormat="1" x14ac:dyDescent="0.3"/>
    <row r="59718" customFormat="1" x14ac:dyDescent="0.3"/>
    <row r="59719" customFormat="1" x14ac:dyDescent="0.3"/>
    <row r="59720" customFormat="1" x14ac:dyDescent="0.3"/>
    <row r="59721" customFormat="1" x14ac:dyDescent="0.3"/>
    <row r="59722" customFormat="1" x14ac:dyDescent="0.3"/>
    <row r="59723" customFormat="1" x14ac:dyDescent="0.3"/>
    <row r="59724" customFormat="1" x14ac:dyDescent="0.3"/>
    <row r="59725" customFormat="1" x14ac:dyDescent="0.3"/>
    <row r="59726" customFormat="1" x14ac:dyDescent="0.3"/>
    <row r="59727" customFormat="1" x14ac:dyDescent="0.3"/>
    <row r="59728" customFormat="1" x14ac:dyDescent="0.3"/>
    <row r="59729" customFormat="1" x14ac:dyDescent="0.3"/>
    <row r="59730" customFormat="1" x14ac:dyDescent="0.3"/>
    <row r="59731" customFormat="1" x14ac:dyDescent="0.3"/>
    <row r="59732" customFormat="1" x14ac:dyDescent="0.3"/>
    <row r="59733" customFormat="1" x14ac:dyDescent="0.3"/>
    <row r="59734" customFormat="1" x14ac:dyDescent="0.3"/>
    <row r="59735" customFormat="1" x14ac:dyDescent="0.3"/>
    <row r="59736" customFormat="1" x14ac:dyDescent="0.3"/>
    <row r="59737" customFormat="1" x14ac:dyDescent="0.3"/>
    <row r="59738" customFormat="1" x14ac:dyDescent="0.3"/>
    <row r="59739" customFormat="1" x14ac:dyDescent="0.3"/>
    <row r="59740" customFormat="1" x14ac:dyDescent="0.3"/>
    <row r="59741" customFormat="1" x14ac:dyDescent="0.3"/>
    <row r="59742" customFormat="1" x14ac:dyDescent="0.3"/>
    <row r="59743" customFormat="1" x14ac:dyDescent="0.3"/>
    <row r="59744" customFormat="1" x14ac:dyDescent="0.3"/>
    <row r="59745" customFormat="1" x14ac:dyDescent="0.3"/>
    <row r="59746" customFormat="1" x14ac:dyDescent="0.3"/>
    <row r="59747" customFormat="1" x14ac:dyDescent="0.3"/>
    <row r="59748" customFormat="1" x14ac:dyDescent="0.3"/>
    <row r="59749" customFormat="1" x14ac:dyDescent="0.3"/>
    <row r="59750" customFormat="1" x14ac:dyDescent="0.3"/>
    <row r="59751" customFormat="1" x14ac:dyDescent="0.3"/>
    <row r="59752" customFormat="1" x14ac:dyDescent="0.3"/>
    <row r="59753" customFormat="1" x14ac:dyDescent="0.3"/>
    <row r="59754" customFormat="1" x14ac:dyDescent="0.3"/>
    <row r="59755" customFormat="1" x14ac:dyDescent="0.3"/>
    <row r="59756" customFormat="1" x14ac:dyDescent="0.3"/>
    <row r="59757" customFormat="1" x14ac:dyDescent="0.3"/>
    <row r="59758" customFormat="1" x14ac:dyDescent="0.3"/>
    <row r="59759" customFormat="1" x14ac:dyDescent="0.3"/>
    <row r="59760" customFormat="1" x14ac:dyDescent="0.3"/>
    <row r="59761" customFormat="1" x14ac:dyDescent="0.3"/>
    <row r="59762" customFormat="1" x14ac:dyDescent="0.3"/>
    <row r="59763" customFormat="1" x14ac:dyDescent="0.3"/>
    <row r="59764" customFormat="1" x14ac:dyDescent="0.3"/>
    <row r="59765" customFormat="1" x14ac:dyDescent="0.3"/>
    <row r="59766" customFormat="1" x14ac:dyDescent="0.3"/>
    <row r="59767" customFormat="1" x14ac:dyDescent="0.3"/>
    <row r="59768" customFormat="1" x14ac:dyDescent="0.3"/>
    <row r="59769" customFormat="1" x14ac:dyDescent="0.3"/>
    <row r="59770" customFormat="1" x14ac:dyDescent="0.3"/>
    <row r="59771" customFormat="1" x14ac:dyDescent="0.3"/>
    <row r="59772" customFormat="1" x14ac:dyDescent="0.3"/>
    <row r="59773" customFormat="1" x14ac:dyDescent="0.3"/>
    <row r="59774" customFormat="1" x14ac:dyDescent="0.3"/>
    <row r="59775" customFormat="1" x14ac:dyDescent="0.3"/>
    <row r="59776" customFormat="1" x14ac:dyDescent="0.3"/>
    <row r="59777" customFormat="1" x14ac:dyDescent="0.3"/>
    <row r="59778" customFormat="1" x14ac:dyDescent="0.3"/>
    <row r="59779" customFormat="1" x14ac:dyDescent="0.3"/>
    <row r="59780" customFormat="1" x14ac:dyDescent="0.3"/>
    <row r="59781" customFormat="1" x14ac:dyDescent="0.3"/>
    <row r="59782" customFormat="1" x14ac:dyDescent="0.3"/>
    <row r="59783" customFormat="1" x14ac:dyDescent="0.3"/>
    <row r="59784" customFormat="1" x14ac:dyDescent="0.3"/>
    <row r="59785" customFormat="1" x14ac:dyDescent="0.3"/>
    <row r="59786" customFormat="1" x14ac:dyDescent="0.3"/>
    <row r="59787" customFormat="1" x14ac:dyDescent="0.3"/>
    <row r="59788" customFormat="1" x14ac:dyDescent="0.3"/>
    <row r="59789" customFormat="1" x14ac:dyDescent="0.3"/>
    <row r="59790" customFormat="1" x14ac:dyDescent="0.3"/>
    <row r="59791" customFormat="1" x14ac:dyDescent="0.3"/>
    <row r="59792" customFormat="1" x14ac:dyDescent="0.3"/>
    <row r="59793" customFormat="1" x14ac:dyDescent="0.3"/>
    <row r="59794" customFormat="1" x14ac:dyDescent="0.3"/>
    <row r="59795" customFormat="1" x14ac:dyDescent="0.3"/>
    <row r="59796" customFormat="1" x14ac:dyDescent="0.3"/>
    <row r="59797" customFormat="1" x14ac:dyDescent="0.3"/>
    <row r="59798" customFormat="1" x14ac:dyDescent="0.3"/>
    <row r="59799" customFormat="1" x14ac:dyDescent="0.3"/>
    <row r="59800" customFormat="1" x14ac:dyDescent="0.3"/>
    <row r="59801" customFormat="1" x14ac:dyDescent="0.3"/>
    <row r="59802" customFormat="1" x14ac:dyDescent="0.3"/>
    <row r="59803" customFormat="1" x14ac:dyDescent="0.3"/>
    <row r="59804" customFormat="1" x14ac:dyDescent="0.3"/>
    <row r="59805" customFormat="1" x14ac:dyDescent="0.3"/>
    <row r="59806" customFormat="1" x14ac:dyDescent="0.3"/>
    <row r="59807" customFormat="1" x14ac:dyDescent="0.3"/>
    <row r="59808" customFormat="1" x14ac:dyDescent="0.3"/>
    <row r="59809" customFormat="1" x14ac:dyDescent="0.3"/>
    <row r="59810" customFormat="1" x14ac:dyDescent="0.3"/>
    <row r="59811" customFormat="1" x14ac:dyDescent="0.3"/>
    <row r="59812" customFormat="1" x14ac:dyDescent="0.3"/>
    <row r="59813" customFormat="1" x14ac:dyDescent="0.3"/>
    <row r="59814" customFormat="1" x14ac:dyDescent="0.3"/>
    <row r="59815" customFormat="1" x14ac:dyDescent="0.3"/>
    <row r="59816" customFormat="1" x14ac:dyDescent="0.3"/>
    <row r="59817" customFormat="1" x14ac:dyDescent="0.3"/>
    <row r="59818" customFormat="1" x14ac:dyDescent="0.3"/>
    <row r="59819" customFormat="1" x14ac:dyDescent="0.3"/>
    <row r="59820" customFormat="1" x14ac:dyDescent="0.3"/>
    <row r="59821" customFormat="1" x14ac:dyDescent="0.3"/>
    <row r="59822" customFormat="1" x14ac:dyDescent="0.3"/>
    <row r="59823" customFormat="1" x14ac:dyDescent="0.3"/>
    <row r="59824" customFormat="1" x14ac:dyDescent="0.3"/>
    <row r="59825" customFormat="1" x14ac:dyDescent="0.3"/>
    <row r="59826" customFormat="1" x14ac:dyDescent="0.3"/>
    <row r="59827" customFormat="1" x14ac:dyDescent="0.3"/>
    <row r="59828" customFormat="1" x14ac:dyDescent="0.3"/>
    <row r="59829" customFormat="1" x14ac:dyDescent="0.3"/>
    <row r="59830" customFormat="1" x14ac:dyDescent="0.3"/>
    <row r="59831" customFormat="1" x14ac:dyDescent="0.3"/>
    <row r="59832" customFormat="1" x14ac:dyDescent="0.3"/>
    <row r="59833" customFormat="1" x14ac:dyDescent="0.3"/>
    <row r="59834" customFormat="1" x14ac:dyDescent="0.3"/>
    <row r="59835" customFormat="1" x14ac:dyDescent="0.3"/>
    <row r="59836" customFormat="1" x14ac:dyDescent="0.3"/>
    <row r="59837" customFormat="1" x14ac:dyDescent="0.3"/>
    <row r="59838" customFormat="1" x14ac:dyDescent="0.3"/>
    <row r="59839" customFormat="1" x14ac:dyDescent="0.3"/>
    <row r="59840" customFormat="1" x14ac:dyDescent="0.3"/>
    <row r="59841" customFormat="1" x14ac:dyDescent="0.3"/>
    <row r="59842" customFormat="1" x14ac:dyDescent="0.3"/>
    <row r="59843" customFormat="1" x14ac:dyDescent="0.3"/>
    <row r="59844" customFormat="1" x14ac:dyDescent="0.3"/>
    <row r="59845" customFormat="1" x14ac:dyDescent="0.3"/>
    <row r="59846" customFormat="1" x14ac:dyDescent="0.3"/>
    <row r="59847" customFormat="1" x14ac:dyDescent="0.3"/>
    <row r="59848" customFormat="1" x14ac:dyDescent="0.3"/>
    <row r="59849" customFormat="1" x14ac:dyDescent="0.3"/>
    <row r="59850" customFormat="1" x14ac:dyDescent="0.3"/>
    <row r="59851" customFormat="1" x14ac:dyDescent="0.3"/>
    <row r="59852" customFormat="1" x14ac:dyDescent="0.3"/>
    <row r="59853" customFormat="1" x14ac:dyDescent="0.3"/>
    <row r="59854" customFormat="1" x14ac:dyDescent="0.3"/>
    <row r="59855" customFormat="1" x14ac:dyDescent="0.3"/>
    <row r="59856" customFormat="1" x14ac:dyDescent="0.3"/>
    <row r="59857" customFormat="1" x14ac:dyDescent="0.3"/>
    <row r="59858" customFormat="1" x14ac:dyDescent="0.3"/>
    <row r="59859" customFormat="1" x14ac:dyDescent="0.3"/>
    <row r="59860" customFormat="1" x14ac:dyDescent="0.3"/>
    <row r="59861" customFormat="1" x14ac:dyDescent="0.3"/>
    <row r="59862" customFormat="1" x14ac:dyDescent="0.3"/>
    <row r="59863" customFormat="1" x14ac:dyDescent="0.3"/>
    <row r="59864" customFormat="1" x14ac:dyDescent="0.3"/>
    <row r="59865" customFormat="1" x14ac:dyDescent="0.3"/>
    <row r="59866" customFormat="1" x14ac:dyDescent="0.3"/>
    <row r="59867" customFormat="1" x14ac:dyDescent="0.3"/>
    <row r="59868" customFormat="1" x14ac:dyDescent="0.3"/>
    <row r="59869" customFormat="1" x14ac:dyDescent="0.3"/>
    <row r="59870" customFormat="1" x14ac:dyDescent="0.3"/>
    <row r="59871" customFormat="1" x14ac:dyDescent="0.3"/>
    <row r="59872" customFormat="1" x14ac:dyDescent="0.3"/>
    <row r="59873" customFormat="1" x14ac:dyDescent="0.3"/>
    <row r="59874" customFormat="1" x14ac:dyDescent="0.3"/>
    <row r="59875" customFormat="1" x14ac:dyDescent="0.3"/>
    <row r="59876" customFormat="1" x14ac:dyDescent="0.3"/>
    <row r="59877" customFormat="1" x14ac:dyDescent="0.3"/>
    <row r="59878" customFormat="1" x14ac:dyDescent="0.3"/>
    <row r="59879" customFormat="1" x14ac:dyDescent="0.3"/>
    <row r="59880" customFormat="1" x14ac:dyDescent="0.3"/>
    <row r="59881" customFormat="1" x14ac:dyDescent="0.3"/>
    <row r="59882" customFormat="1" x14ac:dyDescent="0.3"/>
    <row r="59883" customFormat="1" x14ac:dyDescent="0.3"/>
    <row r="59884" customFormat="1" x14ac:dyDescent="0.3"/>
    <row r="59885" customFormat="1" x14ac:dyDescent="0.3"/>
    <row r="59886" customFormat="1" x14ac:dyDescent="0.3"/>
    <row r="59887" customFormat="1" x14ac:dyDescent="0.3"/>
    <row r="59888" customFormat="1" x14ac:dyDescent="0.3"/>
    <row r="59889" customFormat="1" x14ac:dyDescent="0.3"/>
    <row r="59890" customFormat="1" x14ac:dyDescent="0.3"/>
    <row r="59891" customFormat="1" x14ac:dyDescent="0.3"/>
    <row r="59892" customFormat="1" x14ac:dyDescent="0.3"/>
    <row r="59893" customFormat="1" x14ac:dyDescent="0.3"/>
    <row r="59894" customFormat="1" x14ac:dyDescent="0.3"/>
    <row r="59895" customFormat="1" x14ac:dyDescent="0.3"/>
    <row r="59896" customFormat="1" x14ac:dyDescent="0.3"/>
    <row r="59897" customFormat="1" x14ac:dyDescent="0.3"/>
    <row r="59898" customFormat="1" x14ac:dyDescent="0.3"/>
    <row r="59899" customFormat="1" x14ac:dyDescent="0.3"/>
    <row r="59900" customFormat="1" x14ac:dyDescent="0.3"/>
    <row r="59901" customFormat="1" x14ac:dyDescent="0.3"/>
    <row r="59902" customFormat="1" x14ac:dyDescent="0.3"/>
    <row r="59903" customFormat="1" x14ac:dyDescent="0.3"/>
    <row r="59904" customFormat="1" x14ac:dyDescent="0.3"/>
    <row r="59905" customFormat="1" x14ac:dyDescent="0.3"/>
    <row r="59906" customFormat="1" x14ac:dyDescent="0.3"/>
    <row r="59907" customFormat="1" x14ac:dyDescent="0.3"/>
    <row r="59908" customFormat="1" x14ac:dyDescent="0.3"/>
    <row r="59909" customFormat="1" x14ac:dyDescent="0.3"/>
    <row r="59910" customFormat="1" x14ac:dyDescent="0.3"/>
    <row r="59911" customFormat="1" x14ac:dyDescent="0.3"/>
    <row r="59912" customFormat="1" x14ac:dyDescent="0.3"/>
    <row r="59913" customFormat="1" x14ac:dyDescent="0.3"/>
    <row r="59914" customFormat="1" x14ac:dyDescent="0.3"/>
    <row r="59915" customFormat="1" x14ac:dyDescent="0.3"/>
    <row r="59916" customFormat="1" x14ac:dyDescent="0.3"/>
    <row r="59917" customFormat="1" x14ac:dyDescent="0.3"/>
    <row r="59918" customFormat="1" x14ac:dyDescent="0.3"/>
    <row r="59919" customFormat="1" x14ac:dyDescent="0.3"/>
    <row r="59920" customFormat="1" x14ac:dyDescent="0.3"/>
    <row r="59921" customFormat="1" x14ac:dyDescent="0.3"/>
    <row r="59922" customFormat="1" x14ac:dyDescent="0.3"/>
    <row r="59923" customFormat="1" x14ac:dyDescent="0.3"/>
    <row r="59924" customFormat="1" x14ac:dyDescent="0.3"/>
    <row r="59925" customFormat="1" x14ac:dyDescent="0.3"/>
    <row r="59926" customFormat="1" x14ac:dyDescent="0.3"/>
    <row r="59927" customFormat="1" x14ac:dyDescent="0.3"/>
    <row r="59928" customFormat="1" x14ac:dyDescent="0.3"/>
    <row r="59929" customFormat="1" x14ac:dyDescent="0.3"/>
    <row r="59930" customFormat="1" x14ac:dyDescent="0.3"/>
    <row r="59931" customFormat="1" x14ac:dyDescent="0.3"/>
    <row r="59932" customFormat="1" x14ac:dyDescent="0.3"/>
    <row r="59933" customFormat="1" x14ac:dyDescent="0.3"/>
    <row r="59934" customFormat="1" x14ac:dyDescent="0.3"/>
    <row r="59935" customFormat="1" x14ac:dyDescent="0.3"/>
    <row r="59936" customFormat="1" x14ac:dyDescent="0.3"/>
    <row r="59937" customFormat="1" x14ac:dyDescent="0.3"/>
    <row r="59938" customFormat="1" x14ac:dyDescent="0.3"/>
    <row r="59939" customFormat="1" x14ac:dyDescent="0.3"/>
    <row r="59940" customFormat="1" x14ac:dyDescent="0.3"/>
    <row r="59941" customFormat="1" x14ac:dyDescent="0.3"/>
    <row r="59942" customFormat="1" x14ac:dyDescent="0.3"/>
    <row r="59943" customFormat="1" x14ac:dyDescent="0.3"/>
    <row r="59944" customFormat="1" x14ac:dyDescent="0.3"/>
    <row r="59945" customFormat="1" x14ac:dyDescent="0.3"/>
    <row r="59946" customFormat="1" x14ac:dyDescent="0.3"/>
    <row r="59947" customFormat="1" x14ac:dyDescent="0.3"/>
    <row r="59948" customFormat="1" x14ac:dyDescent="0.3"/>
    <row r="59949" customFormat="1" x14ac:dyDescent="0.3"/>
    <row r="59950" customFormat="1" x14ac:dyDescent="0.3"/>
    <row r="59951" customFormat="1" x14ac:dyDescent="0.3"/>
    <row r="59952" customFormat="1" x14ac:dyDescent="0.3"/>
    <row r="59953" customFormat="1" x14ac:dyDescent="0.3"/>
    <row r="59954" customFormat="1" x14ac:dyDescent="0.3"/>
    <row r="59955" customFormat="1" x14ac:dyDescent="0.3"/>
    <row r="59956" customFormat="1" x14ac:dyDescent="0.3"/>
    <row r="59957" customFormat="1" x14ac:dyDescent="0.3"/>
    <row r="59958" customFormat="1" x14ac:dyDescent="0.3"/>
    <row r="59959" customFormat="1" x14ac:dyDescent="0.3"/>
    <row r="59960" customFormat="1" x14ac:dyDescent="0.3"/>
    <row r="59961" customFormat="1" x14ac:dyDescent="0.3"/>
    <row r="59962" customFormat="1" x14ac:dyDescent="0.3"/>
    <row r="59963" customFormat="1" x14ac:dyDescent="0.3"/>
    <row r="59964" customFormat="1" x14ac:dyDescent="0.3"/>
    <row r="59965" customFormat="1" x14ac:dyDescent="0.3"/>
    <row r="59966" customFormat="1" x14ac:dyDescent="0.3"/>
    <row r="59967" customFormat="1" x14ac:dyDescent="0.3"/>
    <row r="59968" customFormat="1" x14ac:dyDescent="0.3"/>
    <row r="59969" customFormat="1" x14ac:dyDescent="0.3"/>
    <row r="59970" customFormat="1" x14ac:dyDescent="0.3"/>
    <row r="59971" customFormat="1" x14ac:dyDescent="0.3"/>
    <row r="59972" customFormat="1" x14ac:dyDescent="0.3"/>
    <row r="59973" customFormat="1" x14ac:dyDescent="0.3"/>
    <row r="59974" customFormat="1" x14ac:dyDescent="0.3"/>
    <row r="59975" customFormat="1" x14ac:dyDescent="0.3"/>
    <row r="59976" customFormat="1" x14ac:dyDescent="0.3"/>
    <row r="59977" customFormat="1" x14ac:dyDescent="0.3"/>
    <row r="59978" customFormat="1" x14ac:dyDescent="0.3"/>
    <row r="59979" customFormat="1" x14ac:dyDescent="0.3"/>
    <row r="59980" customFormat="1" x14ac:dyDescent="0.3"/>
    <row r="59981" customFormat="1" x14ac:dyDescent="0.3"/>
    <row r="59982" customFormat="1" x14ac:dyDescent="0.3"/>
    <row r="59983" customFormat="1" x14ac:dyDescent="0.3"/>
    <row r="59984" customFormat="1" x14ac:dyDescent="0.3"/>
    <row r="59985" customFormat="1" x14ac:dyDescent="0.3"/>
    <row r="59986" customFormat="1" x14ac:dyDescent="0.3"/>
    <row r="59987" customFormat="1" x14ac:dyDescent="0.3"/>
    <row r="59988" customFormat="1" x14ac:dyDescent="0.3"/>
    <row r="59989" customFormat="1" x14ac:dyDescent="0.3"/>
    <row r="59990" customFormat="1" x14ac:dyDescent="0.3"/>
    <row r="59991" customFormat="1" x14ac:dyDescent="0.3"/>
    <row r="59992" customFormat="1" x14ac:dyDescent="0.3"/>
    <row r="59993" customFormat="1" x14ac:dyDescent="0.3"/>
    <row r="59994" customFormat="1" x14ac:dyDescent="0.3"/>
    <row r="59995" customFormat="1" x14ac:dyDescent="0.3"/>
    <row r="59996" customFormat="1" x14ac:dyDescent="0.3"/>
    <row r="59997" customFormat="1" x14ac:dyDescent="0.3"/>
    <row r="59998" customFormat="1" x14ac:dyDescent="0.3"/>
    <row r="59999" customFormat="1" x14ac:dyDescent="0.3"/>
    <row r="60000" customFormat="1" x14ac:dyDescent="0.3"/>
    <row r="60001" customFormat="1" x14ac:dyDescent="0.3"/>
    <row r="60002" customFormat="1" x14ac:dyDescent="0.3"/>
    <row r="60003" customFormat="1" x14ac:dyDescent="0.3"/>
    <row r="60004" customFormat="1" x14ac:dyDescent="0.3"/>
    <row r="60005" customFormat="1" x14ac:dyDescent="0.3"/>
    <row r="60006" customFormat="1" x14ac:dyDescent="0.3"/>
    <row r="60007" customFormat="1" x14ac:dyDescent="0.3"/>
    <row r="60008" customFormat="1" x14ac:dyDescent="0.3"/>
    <row r="60009" customFormat="1" x14ac:dyDescent="0.3"/>
    <row r="60010" customFormat="1" x14ac:dyDescent="0.3"/>
    <row r="60011" customFormat="1" x14ac:dyDescent="0.3"/>
    <row r="60012" customFormat="1" x14ac:dyDescent="0.3"/>
    <row r="60013" customFormat="1" x14ac:dyDescent="0.3"/>
    <row r="60014" customFormat="1" x14ac:dyDescent="0.3"/>
    <row r="60015" customFormat="1" x14ac:dyDescent="0.3"/>
    <row r="60016" customFormat="1" x14ac:dyDescent="0.3"/>
    <row r="60017" customFormat="1" x14ac:dyDescent="0.3"/>
    <row r="60018" customFormat="1" x14ac:dyDescent="0.3"/>
    <row r="60019" customFormat="1" x14ac:dyDescent="0.3"/>
    <row r="60020" customFormat="1" x14ac:dyDescent="0.3"/>
    <row r="60021" customFormat="1" x14ac:dyDescent="0.3"/>
    <row r="60022" customFormat="1" x14ac:dyDescent="0.3"/>
    <row r="60023" customFormat="1" x14ac:dyDescent="0.3"/>
    <row r="60024" customFormat="1" x14ac:dyDescent="0.3"/>
    <row r="60025" customFormat="1" x14ac:dyDescent="0.3"/>
    <row r="60026" customFormat="1" x14ac:dyDescent="0.3"/>
    <row r="60027" customFormat="1" x14ac:dyDescent="0.3"/>
    <row r="60028" customFormat="1" x14ac:dyDescent="0.3"/>
    <row r="60029" customFormat="1" x14ac:dyDescent="0.3"/>
    <row r="60030" customFormat="1" x14ac:dyDescent="0.3"/>
    <row r="60031" customFormat="1" x14ac:dyDescent="0.3"/>
    <row r="60032" customFormat="1" x14ac:dyDescent="0.3"/>
    <row r="60033" customFormat="1" x14ac:dyDescent="0.3"/>
    <row r="60034" customFormat="1" x14ac:dyDescent="0.3"/>
    <row r="60035" customFormat="1" x14ac:dyDescent="0.3"/>
    <row r="60036" customFormat="1" x14ac:dyDescent="0.3"/>
    <row r="60037" customFormat="1" x14ac:dyDescent="0.3"/>
    <row r="60038" customFormat="1" x14ac:dyDescent="0.3"/>
    <row r="60039" customFormat="1" x14ac:dyDescent="0.3"/>
    <row r="60040" customFormat="1" x14ac:dyDescent="0.3"/>
    <row r="60041" customFormat="1" x14ac:dyDescent="0.3"/>
    <row r="60042" customFormat="1" x14ac:dyDescent="0.3"/>
    <row r="60043" customFormat="1" x14ac:dyDescent="0.3"/>
    <row r="60044" customFormat="1" x14ac:dyDescent="0.3"/>
    <row r="60045" customFormat="1" x14ac:dyDescent="0.3"/>
    <row r="60046" customFormat="1" x14ac:dyDescent="0.3"/>
    <row r="60047" customFormat="1" x14ac:dyDescent="0.3"/>
    <row r="60048" customFormat="1" x14ac:dyDescent="0.3"/>
    <row r="60049" customFormat="1" x14ac:dyDescent="0.3"/>
    <row r="60050" customFormat="1" x14ac:dyDescent="0.3"/>
    <row r="60051" customFormat="1" x14ac:dyDescent="0.3"/>
    <row r="60052" customFormat="1" x14ac:dyDescent="0.3"/>
    <row r="60053" customFormat="1" x14ac:dyDescent="0.3"/>
    <row r="60054" customFormat="1" x14ac:dyDescent="0.3"/>
    <row r="60055" customFormat="1" x14ac:dyDescent="0.3"/>
    <row r="60056" customFormat="1" x14ac:dyDescent="0.3"/>
    <row r="60057" customFormat="1" x14ac:dyDescent="0.3"/>
    <row r="60058" customFormat="1" x14ac:dyDescent="0.3"/>
    <row r="60059" customFormat="1" x14ac:dyDescent="0.3"/>
    <row r="60060" customFormat="1" x14ac:dyDescent="0.3"/>
    <row r="60061" customFormat="1" x14ac:dyDescent="0.3"/>
    <row r="60062" customFormat="1" x14ac:dyDescent="0.3"/>
    <row r="60063" customFormat="1" x14ac:dyDescent="0.3"/>
    <row r="60064" customFormat="1" x14ac:dyDescent="0.3"/>
    <row r="60065" customFormat="1" x14ac:dyDescent="0.3"/>
    <row r="60066" customFormat="1" x14ac:dyDescent="0.3"/>
    <row r="60067" customFormat="1" x14ac:dyDescent="0.3"/>
    <row r="60068" customFormat="1" x14ac:dyDescent="0.3"/>
    <row r="60069" customFormat="1" x14ac:dyDescent="0.3"/>
    <row r="60070" customFormat="1" x14ac:dyDescent="0.3"/>
    <row r="60071" customFormat="1" x14ac:dyDescent="0.3"/>
    <row r="60072" customFormat="1" x14ac:dyDescent="0.3"/>
    <row r="60073" customFormat="1" x14ac:dyDescent="0.3"/>
    <row r="60074" customFormat="1" x14ac:dyDescent="0.3"/>
    <row r="60075" customFormat="1" x14ac:dyDescent="0.3"/>
    <row r="60076" customFormat="1" x14ac:dyDescent="0.3"/>
    <row r="60077" customFormat="1" x14ac:dyDescent="0.3"/>
    <row r="60078" customFormat="1" x14ac:dyDescent="0.3"/>
    <row r="60079" customFormat="1" x14ac:dyDescent="0.3"/>
    <row r="60080" customFormat="1" x14ac:dyDescent="0.3"/>
    <row r="60081" customFormat="1" x14ac:dyDescent="0.3"/>
    <row r="60082" customFormat="1" x14ac:dyDescent="0.3"/>
    <row r="60083" customFormat="1" x14ac:dyDescent="0.3"/>
    <row r="60084" customFormat="1" x14ac:dyDescent="0.3"/>
    <row r="60085" customFormat="1" x14ac:dyDescent="0.3"/>
    <row r="60086" customFormat="1" x14ac:dyDescent="0.3"/>
    <row r="60087" customFormat="1" x14ac:dyDescent="0.3"/>
    <row r="60088" customFormat="1" x14ac:dyDescent="0.3"/>
    <row r="60089" customFormat="1" x14ac:dyDescent="0.3"/>
    <row r="60090" customFormat="1" x14ac:dyDescent="0.3"/>
    <row r="60091" customFormat="1" x14ac:dyDescent="0.3"/>
    <row r="60092" customFormat="1" x14ac:dyDescent="0.3"/>
    <row r="60093" customFormat="1" x14ac:dyDescent="0.3"/>
    <row r="60094" customFormat="1" x14ac:dyDescent="0.3"/>
    <row r="60095" customFormat="1" x14ac:dyDescent="0.3"/>
    <row r="60096" customFormat="1" x14ac:dyDescent="0.3"/>
    <row r="60097" customFormat="1" x14ac:dyDescent="0.3"/>
    <row r="60098" customFormat="1" x14ac:dyDescent="0.3"/>
    <row r="60099" customFormat="1" x14ac:dyDescent="0.3"/>
    <row r="60100" customFormat="1" x14ac:dyDescent="0.3"/>
    <row r="60101" customFormat="1" x14ac:dyDescent="0.3"/>
    <row r="60102" customFormat="1" x14ac:dyDescent="0.3"/>
    <row r="60103" customFormat="1" x14ac:dyDescent="0.3"/>
    <row r="60104" customFormat="1" x14ac:dyDescent="0.3"/>
    <row r="60105" customFormat="1" x14ac:dyDescent="0.3"/>
    <row r="60106" customFormat="1" x14ac:dyDescent="0.3"/>
    <row r="60107" customFormat="1" x14ac:dyDescent="0.3"/>
    <row r="60108" customFormat="1" x14ac:dyDescent="0.3"/>
    <row r="60109" customFormat="1" x14ac:dyDescent="0.3"/>
    <row r="60110" customFormat="1" x14ac:dyDescent="0.3"/>
    <row r="60111" customFormat="1" x14ac:dyDescent="0.3"/>
    <row r="60112" customFormat="1" x14ac:dyDescent="0.3"/>
    <row r="60113" customFormat="1" x14ac:dyDescent="0.3"/>
    <row r="60114" customFormat="1" x14ac:dyDescent="0.3"/>
    <row r="60115" customFormat="1" x14ac:dyDescent="0.3"/>
    <row r="60116" customFormat="1" x14ac:dyDescent="0.3"/>
    <row r="60117" customFormat="1" x14ac:dyDescent="0.3"/>
    <row r="60118" customFormat="1" x14ac:dyDescent="0.3"/>
    <row r="60119" customFormat="1" x14ac:dyDescent="0.3"/>
    <row r="60120" customFormat="1" x14ac:dyDescent="0.3"/>
    <row r="60121" customFormat="1" x14ac:dyDescent="0.3"/>
    <row r="60122" customFormat="1" x14ac:dyDescent="0.3"/>
    <row r="60123" customFormat="1" x14ac:dyDescent="0.3"/>
    <row r="60124" customFormat="1" x14ac:dyDescent="0.3"/>
    <row r="60125" customFormat="1" x14ac:dyDescent="0.3"/>
    <row r="60126" customFormat="1" x14ac:dyDescent="0.3"/>
    <row r="60127" customFormat="1" x14ac:dyDescent="0.3"/>
    <row r="60128" customFormat="1" x14ac:dyDescent="0.3"/>
    <row r="60129" customFormat="1" x14ac:dyDescent="0.3"/>
    <row r="60130" customFormat="1" x14ac:dyDescent="0.3"/>
    <row r="60131" customFormat="1" x14ac:dyDescent="0.3"/>
    <row r="60132" customFormat="1" x14ac:dyDescent="0.3"/>
    <row r="60133" customFormat="1" x14ac:dyDescent="0.3"/>
    <row r="60134" customFormat="1" x14ac:dyDescent="0.3"/>
    <row r="60135" customFormat="1" x14ac:dyDescent="0.3"/>
    <row r="60136" customFormat="1" x14ac:dyDescent="0.3"/>
    <row r="60137" customFormat="1" x14ac:dyDescent="0.3"/>
    <row r="60138" customFormat="1" x14ac:dyDescent="0.3"/>
    <row r="60139" customFormat="1" x14ac:dyDescent="0.3"/>
    <row r="60140" customFormat="1" x14ac:dyDescent="0.3"/>
    <row r="60141" customFormat="1" x14ac:dyDescent="0.3"/>
    <row r="60142" customFormat="1" x14ac:dyDescent="0.3"/>
    <row r="60143" customFormat="1" x14ac:dyDescent="0.3"/>
    <row r="60144" customFormat="1" x14ac:dyDescent="0.3"/>
    <row r="60145" customFormat="1" x14ac:dyDescent="0.3"/>
    <row r="60146" customFormat="1" x14ac:dyDescent="0.3"/>
    <row r="60147" customFormat="1" x14ac:dyDescent="0.3"/>
    <row r="60148" customFormat="1" x14ac:dyDescent="0.3"/>
    <row r="60149" customFormat="1" x14ac:dyDescent="0.3"/>
    <row r="60150" customFormat="1" x14ac:dyDescent="0.3"/>
    <row r="60151" customFormat="1" x14ac:dyDescent="0.3"/>
    <row r="60152" customFormat="1" x14ac:dyDescent="0.3"/>
    <row r="60153" customFormat="1" x14ac:dyDescent="0.3"/>
    <row r="60154" customFormat="1" x14ac:dyDescent="0.3"/>
    <row r="60155" customFormat="1" x14ac:dyDescent="0.3"/>
    <row r="60156" customFormat="1" x14ac:dyDescent="0.3"/>
    <row r="60157" customFormat="1" x14ac:dyDescent="0.3"/>
    <row r="60158" customFormat="1" x14ac:dyDescent="0.3"/>
    <row r="60159" customFormat="1" x14ac:dyDescent="0.3"/>
    <row r="60160" customFormat="1" x14ac:dyDescent="0.3"/>
    <row r="60161" customFormat="1" x14ac:dyDescent="0.3"/>
    <row r="60162" customFormat="1" x14ac:dyDescent="0.3"/>
    <row r="60163" customFormat="1" x14ac:dyDescent="0.3"/>
    <row r="60164" customFormat="1" x14ac:dyDescent="0.3"/>
    <row r="60165" customFormat="1" x14ac:dyDescent="0.3"/>
    <row r="60166" customFormat="1" x14ac:dyDescent="0.3"/>
    <row r="60167" customFormat="1" x14ac:dyDescent="0.3"/>
    <row r="60168" customFormat="1" x14ac:dyDescent="0.3"/>
    <row r="60169" customFormat="1" x14ac:dyDescent="0.3"/>
    <row r="60170" customFormat="1" x14ac:dyDescent="0.3"/>
    <row r="60171" customFormat="1" x14ac:dyDescent="0.3"/>
    <row r="60172" customFormat="1" x14ac:dyDescent="0.3"/>
    <row r="60173" customFormat="1" x14ac:dyDescent="0.3"/>
    <row r="60174" customFormat="1" x14ac:dyDescent="0.3"/>
    <row r="60175" customFormat="1" x14ac:dyDescent="0.3"/>
    <row r="60176" customFormat="1" x14ac:dyDescent="0.3"/>
    <row r="60177" customFormat="1" x14ac:dyDescent="0.3"/>
    <row r="60178" customFormat="1" x14ac:dyDescent="0.3"/>
    <row r="60179" customFormat="1" x14ac:dyDescent="0.3"/>
    <row r="60180" customFormat="1" x14ac:dyDescent="0.3"/>
    <row r="60181" customFormat="1" x14ac:dyDescent="0.3"/>
    <row r="60182" customFormat="1" x14ac:dyDescent="0.3"/>
    <row r="60183" customFormat="1" x14ac:dyDescent="0.3"/>
    <row r="60184" customFormat="1" x14ac:dyDescent="0.3"/>
    <row r="60185" customFormat="1" x14ac:dyDescent="0.3"/>
    <row r="60186" customFormat="1" x14ac:dyDescent="0.3"/>
    <row r="60187" customFormat="1" x14ac:dyDescent="0.3"/>
    <row r="60188" customFormat="1" x14ac:dyDescent="0.3"/>
    <row r="60189" customFormat="1" x14ac:dyDescent="0.3"/>
    <row r="60190" customFormat="1" x14ac:dyDescent="0.3"/>
    <row r="60191" customFormat="1" x14ac:dyDescent="0.3"/>
    <row r="60192" customFormat="1" x14ac:dyDescent="0.3"/>
    <row r="60193" customFormat="1" x14ac:dyDescent="0.3"/>
    <row r="60194" customFormat="1" x14ac:dyDescent="0.3"/>
    <row r="60195" customFormat="1" x14ac:dyDescent="0.3"/>
    <row r="60196" customFormat="1" x14ac:dyDescent="0.3"/>
    <row r="60197" customFormat="1" x14ac:dyDescent="0.3"/>
    <row r="60198" customFormat="1" x14ac:dyDescent="0.3"/>
    <row r="60199" customFormat="1" x14ac:dyDescent="0.3"/>
    <row r="60200" customFormat="1" x14ac:dyDescent="0.3"/>
    <row r="60201" customFormat="1" x14ac:dyDescent="0.3"/>
    <row r="60202" customFormat="1" x14ac:dyDescent="0.3"/>
    <row r="60203" customFormat="1" x14ac:dyDescent="0.3"/>
    <row r="60204" customFormat="1" x14ac:dyDescent="0.3"/>
    <row r="60205" customFormat="1" x14ac:dyDescent="0.3"/>
    <row r="60206" customFormat="1" x14ac:dyDescent="0.3"/>
    <row r="60207" customFormat="1" x14ac:dyDescent="0.3"/>
    <row r="60208" customFormat="1" x14ac:dyDescent="0.3"/>
    <row r="60209" customFormat="1" x14ac:dyDescent="0.3"/>
    <row r="60210" customFormat="1" x14ac:dyDescent="0.3"/>
    <row r="60211" customFormat="1" x14ac:dyDescent="0.3"/>
    <row r="60212" customFormat="1" x14ac:dyDescent="0.3"/>
    <row r="60213" customFormat="1" x14ac:dyDescent="0.3"/>
    <row r="60214" customFormat="1" x14ac:dyDescent="0.3"/>
    <row r="60215" customFormat="1" x14ac:dyDescent="0.3"/>
    <row r="60216" customFormat="1" x14ac:dyDescent="0.3"/>
    <row r="60217" customFormat="1" x14ac:dyDescent="0.3"/>
    <row r="60218" customFormat="1" x14ac:dyDescent="0.3"/>
    <row r="60219" customFormat="1" x14ac:dyDescent="0.3"/>
    <row r="60220" customFormat="1" x14ac:dyDescent="0.3"/>
    <row r="60221" customFormat="1" x14ac:dyDescent="0.3"/>
    <row r="60222" customFormat="1" x14ac:dyDescent="0.3"/>
    <row r="60223" customFormat="1" x14ac:dyDescent="0.3"/>
    <row r="60224" customFormat="1" x14ac:dyDescent="0.3"/>
    <row r="60225" customFormat="1" x14ac:dyDescent="0.3"/>
    <row r="60226" customFormat="1" x14ac:dyDescent="0.3"/>
    <row r="60227" customFormat="1" x14ac:dyDescent="0.3"/>
    <row r="60228" customFormat="1" x14ac:dyDescent="0.3"/>
    <row r="60229" customFormat="1" x14ac:dyDescent="0.3"/>
    <row r="60230" customFormat="1" x14ac:dyDescent="0.3"/>
    <row r="60231" customFormat="1" x14ac:dyDescent="0.3"/>
    <row r="60232" customFormat="1" x14ac:dyDescent="0.3"/>
    <row r="60233" customFormat="1" x14ac:dyDescent="0.3"/>
    <row r="60234" customFormat="1" x14ac:dyDescent="0.3"/>
    <row r="60235" customFormat="1" x14ac:dyDescent="0.3"/>
    <row r="60236" customFormat="1" x14ac:dyDescent="0.3"/>
    <row r="60237" customFormat="1" x14ac:dyDescent="0.3"/>
    <row r="60238" customFormat="1" x14ac:dyDescent="0.3"/>
    <row r="60239" customFormat="1" x14ac:dyDescent="0.3"/>
    <row r="60240" customFormat="1" x14ac:dyDescent="0.3"/>
    <row r="60241" customFormat="1" x14ac:dyDescent="0.3"/>
    <row r="60242" customFormat="1" x14ac:dyDescent="0.3"/>
    <row r="60243" customFormat="1" x14ac:dyDescent="0.3"/>
    <row r="60244" customFormat="1" x14ac:dyDescent="0.3"/>
    <row r="60245" customFormat="1" x14ac:dyDescent="0.3"/>
    <row r="60246" customFormat="1" x14ac:dyDescent="0.3"/>
    <row r="60247" customFormat="1" x14ac:dyDescent="0.3"/>
    <row r="60248" customFormat="1" x14ac:dyDescent="0.3"/>
    <row r="60249" customFormat="1" x14ac:dyDescent="0.3"/>
    <row r="60250" customFormat="1" x14ac:dyDescent="0.3"/>
    <row r="60251" customFormat="1" x14ac:dyDescent="0.3"/>
    <row r="60252" customFormat="1" x14ac:dyDescent="0.3"/>
    <row r="60253" customFormat="1" x14ac:dyDescent="0.3"/>
    <row r="60254" customFormat="1" x14ac:dyDescent="0.3"/>
    <row r="60255" customFormat="1" x14ac:dyDescent="0.3"/>
    <row r="60256" customFormat="1" x14ac:dyDescent="0.3"/>
    <row r="60257" customFormat="1" x14ac:dyDescent="0.3"/>
    <row r="60258" customFormat="1" x14ac:dyDescent="0.3"/>
    <row r="60259" customFormat="1" x14ac:dyDescent="0.3"/>
    <row r="60260" customFormat="1" x14ac:dyDescent="0.3"/>
    <row r="60261" customFormat="1" x14ac:dyDescent="0.3"/>
    <row r="60262" customFormat="1" x14ac:dyDescent="0.3"/>
    <row r="60263" customFormat="1" x14ac:dyDescent="0.3"/>
    <row r="60264" customFormat="1" x14ac:dyDescent="0.3"/>
    <row r="60265" customFormat="1" x14ac:dyDescent="0.3"/>
    <row r="60266" customFormat="1" x14ac:dyDescent="0.3"/>
    <row r="60267" customFormat="1" x14ac:dyDescent="0.3"/>
    <row r="60268" customFormat="1" x14ac:dyDescent="0.3"/>
    <row r="60269" customFormat="1" x14ac:dyDescent="0.3"/>
    <row r="60270" customFormat="1" x14ac:dyDescent="0.3"/>
    <row r="60271" customFormat="1" x14ac:dyDescent="0.3"/>
    <row r="60272" customFormat="1" x14ac:dyDescent="0.3"/>
    <row r="60273" customFormat="1" x14ac:dyDescent="0.3"/>
    <row r="60274" customFormat="1" x14ac:dyDescent="0.3"/>
    <row r="60275" customFormat="1" x14ac:dyDescent="0.3"/>
    <row r="60276" customFormat="1" x14ac:dyDescent="0.3"/>
    <row r="60277" customFormat="1" x14ac:dyDescent="0.3"/>
    <row r="60278" customFormat="1" x14ac:dyDescent="0.3"/>
    <row r="60279" customFormat="1" x14ac:dyDescent="0.3"/>
    <row r="60280" customFormat="1" x14ac:dyDescent="0.3"/>
    <row r="60281" customFormat="1" x14ac:dyDescent="0.3"/>
    <row r="60282" customFormat="1" x14ac:dyDescent="0.3"/>
    <row r="60283" customFormat="1" x14ac:dyDescent="0.3"/>
    <row r="60284" customFormat="1" x14ac:dyDescent="0.3"/>
    <row r="60285" customFormat="1" x14ac:dyDescent="0.3"/>
    <row r="60286" customFormat="1" x14ac:dyDescent="0.3"/>
    <row r="60287" customFormat="1" x14ac:dyDescent="0.3"/>
    <row r="60288" customFormat="1" x14ac:dyDescent="0.3"/>
    <row r="60289" customFormat="1" x14ac:dyDescent="0.3"/>
    <row r="60290" customFormat="1" x14ac:dyDescent="0.3"/>
    <row r="60291" customFormat="1" x14ac:dyDescent="0.3"/>
    <row r="60292" customFormat="1" x14ac:dyDescent="0.3"/>
    <row r="60293" customFormat="1" x14ac:dyDescent="0.3"/>
    <row r="60294" customFormat="1" x14ac:dyDescent="0.3"/>
    <row r="60295" customFormat="1" x14ac:dyDescent="0.3"/>
    <row r="60296" customFormat="1" x14ac:dyDescent="0.3"/>
    <row r="60297" customFormat="1" x14ac:dyDescent="0.3"/>
    <row r="60298" customFormat="1" x14ac:dyDescent="0.3"/>
    <row r="60299" customFormat="1" x14ac:dyDescent="0.3"/>
    <row r="60300" customFormat="1" x14ac:dyDescent="0.3"/>
    <row r="60301" customFormat="1" x14ac:dyDescent="0.3"/>
    <row r="60302" customFormat="1" x14ac:dyDescent="0.3"/>
    <row r="60303" customFormat="1" x14ac:dyDescent="0.3"/>
    <row r="60304" customFormat="1" x14ac:dyDescent="0.3"/>
    <row r="60305" customFormat="1" x14ac:dyDescent="0.3"/>
    <row r="60306" customFormat="1" x14ac:dyDescent="0.3"/>
    <row r="60307" customFormat="1" x14ac:dyDescent="0.3"/>
    <row r="60308" customFormat="1" x14ac:dyDescent="0.3"/>
    <row r="60309" customFormat="1" x14ac:dyDescent="0.3"/>
    <row r="60310" customFormat="1" x14ac:dyDescent="0.3"/>
    <row r="60311" customFormat="1" x14ac:dyDescent="0.3"/>
    <row r="60312" customFormat="1" x14ac:dyDescent="0.3"/>
    <row r="60313" customFormat="1" x14ac:dyDescent="0.3"/>
    <row r="60314" customFormat="1" x14ac:dyDescent="0.3"/>
    <row r="60315" customFormat="1" x14ac:dyDescent="0.3"/>
    <row r="60316" customFormat="1" x14ac:dyDescent="0.3"/>
    <row r="60317" customFormat="1" x14ac:dyDescent="0.3"/>
    <row r="60318" customFormat="1" x14ac:dyDescent="0.3"/>
    <row r="60319" customFormat="1" x14ac:dyDescent="0.3"/>
    <row r="60320" customFormat="1" x14ac:dyDescent="0.3"/>
    <row r="60321" customFormat="1" x14ac:dyDescent="0.3"/>
    <row r="60322" customFormat="1" x14ac:dyDescent="0.3"/>
    <row r="60323" customFormat="1" x14ac:dyDescent="0.3"/>
    <row r="60324" customFormat="1" x14ac:dyDescent="0.3"/>
    <row r="60325" customFormat="1" x14ac:dyDescent="0.3"/>
    <row r="60326" customFormat="1" x14ac:dyDescent="0.3"/>
    <row r="60327" customFormat="1" x14ac:dyDescent="0.3"/>
    <row r="60328" customFormat="1" x14ac:dyDescent="0.3"/>
    <row r="60329" customFormat="1" x14ac:dyDescent="0.3"/>
    <row r="60330" customFormat="1" x14ac:dyDescent="0.3"/>
    <row r="60331" customFormat="1" x14ac:dyDescent="0.3"/>
    <row r="60332" customFormat="1" x14ac:dyDescent="0.3"/>
    <row r="60333" customFormat="1" x14ac:dyDescent="0.3"/>
    <row r="60334" customFormat="1" x14ac:dyDescent="0.3"/>
    <row r="60335" customFormat="1" x14ac:dyDescent="0.3"/>
    <row r="60336" customFormat="1" x14ac:dyDescent="0.3"/>
    <row r="60337" customFormat="1" x14ac:dyDescent="0.3"/>
    <row r="60338" customFormat="1" x14ac:dyDescent="0.3"/>
    <row r="60339" customFormat="1" x14ac:dyDescent="0.3"/>
    <row r="60340" customFormat="1" x14ac:dyDescent="0.3"/>
    <row r="60341" customFormat="1" x14ac:dyDescent="0.3"/>
    <row r="60342" customFormat="1" x14ac:dyDescent="0.3"/>
    <row r="60343" customFormat="1" x14ac:dyDescent="0.3"/>
    <row r="60344" customFormat="1" x14ac:dyDescent="0.3"/>
    <row r="60345" customFormat="1" x14ac:dyDescent="0.3"/>
    <row r="60346" customFormat="1" x14ac:dyDescent="0.3"/>
    <row r="60347" customFormat="1" x14ac:dyDescent="0.3"/>
    <row r="60348" customFormat="1" x14ac:dyDescent="0.3"/>
    <row r="60349" customFormat="1" x14ac:dyDescent="0.3"/>
    <row r="60350" customFormat="1" x14ac:dyDescent="0.3"/>
    <row r="60351" customFormat="1" x14ac:dyDescent="0.3"/>
    <row r="60352" customFormat="1" x14ac:dyDescent="0.3"/>
    <row r="60353" customFormat="1" x14ac:dyDescent="0.3"/>
    <row r="60354" customFormat="1" x14ac:dyDescent="0.3"/>
    <row r="60355" customFormat="1" x14ac:dyDescent="0.3"/>
    <row r="60356" customFormat="1" x14ac:dyDescent="0.3"/>
    <row r="60357" customFormat="1" x14ac:dyDescent="0.3"/>
    <row r="60358" customFormat="1" x14ac:dyDescent="0.3"/>
    <row r="60359" customFormat="1" x14ac:dyDescent="0.3"/>
    <row r="60360" customFormat="1" x14ac:dyDescent="0.3"/>
    <row r="60361" customFormat="1" x14ac:dyDescent="0.3"/>
    <row r="60362" customFormat="1" x14ac:dyDescent="0.3"/>
    <row r="60363" customFormat="1" x14ac:dyDescent="0.3"/>
    <row r="60364" customFormat="1" x14ac:dyDescent="0.3"/>
    <row r="60365" customFormat="1" x14ac:dyDescent="0.3"/>
    <row r="60366" customFormat="1" x14ac:dyDescent="0.3"/>
    <row r="60367" customFormat="1" x14ac:dyDescent="0.3"/>
    <row r="60368" customFormat="1" x14ac:dyDescent="0.3"/>
    <row r="60369" customFormat="1" x14ac:dyDescent="0.3"/>
    <row r="60370" customFormat="1" x14ac:dyDescent="0.3"/>
    <row r="60371" customFormat="1" x14ac:dyDescent="0.3"/>
    <row r="60372" customFormat="1" x14ac:dyDescent="0.3"/>
    <row r="60373" customFormat="1" x14ac:dyDescent="0.3"/>
    <row r="60374" customFormat="1" x14ac:dyDescent="0.3"/>
    <row r="60375" customFormat="1" x14ac:dyDescent="0.3"/>
    <row r="60376" customFormat="1" x14ac:dyDescent="0.3"/>
    <row r="60377" customFormat="1" x14ac:dyDescent="0.3"/>
    <row r="60378" customFormat="1" x14ac:dyDescent="0.3"/>
    <row r="60379" customFormat="1" x14ac:dyDescent="0.3"/>
    <row r="60380" customFormat="1" x14ac:dyDescent="0.3"/>
    <row r="60381" customFormat="1" x14ac:dyDescent="0.3"/>
    <row r="60382" customFormat="1" x14ac:dyDescent="0.3"/>
    <row r="60383" customFormat="1" x14ac:dyDescent="0.3"/>
    <row r="60384" customFormat="1" x14ac:dyDescent="0.3"/>
    <row r="60385" customFormat="1" x14ac:dyDescent="0.3"/>
    <row r="60386" customFormat="1" x14ac:dyDescent="0.3"/>
    <row r="60387" customFormat="1" x14ac:dyDescent="0.3"/>
    <row r="60388" customFormat="1" x14ac:dyDescent="0.3"/>
    <row r="60389" customFormat="1" x14ac:dyDescent="0.3"/>
    <row r="60390" customFormat="1" x14ac:dyDescent="0.3"/>
    <row r="60391" customFormat="1" x14ac:dyDescent="0.3"/>
    <row r="60392" customFormat="1" x14ac:dyDescent="0.3"/>
    <row r="60393" customFormat="1" x14ac:dyDescent="0.3"/>
    <row r="60394" customFormat="1" x14ac:dyDescent="0.3"/>
    <row r="60395" customFormat="1" x14ac:dyDescent="0.3"/>
    <row r="60396" customFormat="1" x14ac:dyDescent="0.3"/>
    <row r="60397" customFormat="1" x14ac:dyDescent="0.3"/>
    <row r="60398" customFormat="1" x14ac:dyDescent="0.3"/>
    <row r="60399" customFormat="1" x14ac:dyDescent="0.3"/>
    <row r="60400" customFormat="1" x14ac:dyDescent="0.3"/>
    <row r="60401" customFormat="1" x14ac:dyDescent="0.3"/>
    <row r="60402" customFormat="1" x14ac:dyDescent="0.3"/>
    <row r="60403" customFormat="1" x14ac:dyDescent="0.3"/>
    <row r="60404" customFormat="1" x14ac:dyDescent="0.3"/>
    <row r="60405" customFormat="1" x14ac:dyDescent="0.3"/>
    <row r="60406" customFormat="1" x14ac:dyDescent="0.3"/>
    <row r="60407" customFormat="1" x14ac:dyDescent="0.3"/>
    <row r="60408" customFormat="1" x14ac:dyDescent="0.3"/>
    <row r="60409" customFormat="1" x14ac:dyDescent="0.3"/>
    <row r="60410" customFormat="1" x14ac:dyDescent="0.3"/>
    <row r="60411" customFormat="1" x14ac:dyDescent="0.3"/>
    <row r="60412" customFormat="1" x14ac:dyDescent="0.3"/>
    <row r="60413" customFormat="1" x14ac:dyDescent="0.3"/>
    <row r="60414" customFormat="1" x14ac:dyDescent="0.3"/>
    <row r="60415" customFormat="1" x14ac:dyDescent="0.3"/>
    <row r="60416" customFormat="1" x14ac:dyDescent="0.3"/>
    <row r="60417" customFormat="1" x14ac:dyDescent="0.3"/>
    <row r="60418" customFormat="1" x14ac:dyDescent="0.3"/>
    <row r="60419" customFormat="1" x14ac:dyDescent="0.3"/>
    <row r="60420" customFormat="1" x14ac:dyDescent="0.3"/>
    <row r="60421" customFormat="1" x14ac:dyDescent="0.3"/>
    <row r="60422" customFormat="1" x14ac:dyDescent="0.3"/>
    <row r="60423" customFormat="1" x14ac:dyDescent="0.3"/>
    <row r="60424" customFormat="1" x14ac:dyDescent="0.3"/>
    <row r="60425" customFormat="1" x14ac:dyDescent="0.3"/>
    <row r="60426" customFormat="1" x14ac:dyDescent="0.3"/>
    <row r="60427" customFormat="1" x14ac:dyDescent="0.3"/>
    <row r="60428" customFormat="1" x14ac:dyDescent="0.3"/>
    <row r="60429" customFormat="1" x14ac:dyDescent="0.3"/>
    <row r="60430" customFormat="1" x14ac:dyDescent="0.3"/>
    <row r="60431" customFormat="1" x14ac:dyDescent="0.3"/>
    <row r="60432" customFormat="1" x14ac:dyDescent="0.3"/>
    <row r="60433" customFormat="1" x14ac:dyDescent="0.3"/>
    <row r="60434" customFormat="1" x14ac:dyDescent="0.3"/>
    <row r="60435" customFormat="1" x14ac:dyDescent="0.3"/>
    <row r="60436" customFormat="1" x14ac:dyDescent="0.3"/>
    <row r="60437" customFormat="1" x14ac:dyDescent="0.3"/>
    <row r="60438" customFormat="1" x14ac:dyDescent="0.3"/>
    <row r="60439" customFormat="1" x14ac:dyDescent="0.3"/>
    <row r="60440" customFormat="1" x14ac:dyDescent="0.3"/>
    <row r="60441" customFormat="1" x14ac:dyDescent="0.3"/>
    <row r="60442" customFormat="1" x14ac:dyDescent="0.3"/>
    <row r="60443" customFormat="1" x14ac:dyDescent="0.3"/>
    <row r="60444" customFormat="1" x14ac:dyDescent="0.3"/>
    <row r="60445" customFormat="1" x14ac:dyDescent="0.3"/>
    <row r="60446" customFormat="1" x14ac:dyDescent="0.3"/>
    <row r="60447" customFormat="1" x14ac:dyDescent="0.3"/>
    <row r="60448" customFormat="1" x14ac:dyDescent="0.3"/>
    <row r="60449" customFormat="1" x14ac:dyDescent="0.3"/>
    <row r="60450" customFormat="1" x14ac:dyDescent="0.3"/>
    <row r="60451" customFormat="1" x14ac:dyDescent="0.3"/>
    <row r="60452" customFormat="1" x14ac:dyDescent="0.3"/>
    <row r="60453" customFormat="1" x14ac:dyDescent="0.3"/>
    <row r="60454" customFormat="1" x14ac:dyDescent="0.3"/>
    <row r="60455" customFormat="1" x14ac:dyDescent="0.3"/>
    <row r="60456" customFormat="1" x14ac:dyDescent="0.3"/>
    <row r="60457" customFormat="1" x14ac:dyDescent="0.3"/>
    <row r="60458" customFormat="1" x14ac:dyDescent="0.3"/>
    <row r="60459" customFormat="1" x14ac:dyDescent="0.3"/>
    <row r="60460" customFormat="1" x14ac:dyDescent="0.3"/>
    <row r="60461" customFormat="1" x14ac:dyDescent="0.3"/>
    <row r="60462" customFormat="1" x14ac:dyDescent="0.3"/>
    <row r="60463" customFormat="1" x14ac:dyDescent="0.3"/>
    <row r="60464" customFormat="1" x14ac:dyDescent="0.3"/>
    <row r="60465" customFormat="1" x14ac:dyDescent="0.3"/>
    <row r="60466" customFormat="1" x14ac:dyDescent="0.3"/>
    <row r="60467" customFormat="1" x14ac:dyDescent="0.3"/>
    <row r="60468" customFormat="1" x14ac:dyDescent="0.3"/>
    <row r="60469" customFormat="1" x14ac:dyDescent="0.3"/>
    <row r="60470" customFormat="1" x14ac:dyDescent="0.3"/>
    <row r="60471" customFormat="1" x14ac:dyDescent="0.3"/>
    <row r="60472" customFormat="1" x14ac:dyDescent="0.3"/>
    <row r="60473" customFormat="1" x14ac:dyDescent="0.3"/>
    <row r="60474" customFormat="1" x14ac:dyDescent="0.3"/>
    <row r="60475" customFormat="1" x14ac:dyDescent="0.3"/>
    <row r="60476" customFormat="1" x14ac:dyDescent="0.3"/>
    <row r="60477" customFormat="1" x14ac:dyDescent="0.3"/>
    <row r="60478" customFormat="1" x14ac:dyDescent="0.3"/>
    <row r="60479" customFormat="1" x14ac:dyDescent="0.3"/>
    <row r="60480" customFormat="1" x14ac:dyDescent="0.3"/>
    <row r="60481" customFormat="1" x14ac:dyDescent="0.3"/>
    <row r="60482" customFormat="1" x14ac:dyDescent="0.3"/>
    <row r="60483" customFormat="1" x14ac:dyDescent="0.3"/>
    <row r="60484" customFormat="1" x14ac:dyDescent="0.3"/>
    <row r="60485" customFormat="1" x14ac:dyDescent="0.3"/>
    <row r="60486" customFormat="1" x14ac:dyDescent="0.3"/>
    <row r="60487" customFormat="1" x14ac:dyDescent="0.3"/>
    <row r="60488" customFormat="1" x14ac:dyDescent="0.3"/>
    <row r="60489" customFormat="1" x14ac:dyDescent="0.3"/>
    <row r="60490" customFormat="1" x14ac:dyDescent="0.3"/>
    <row r="60491" customFormat="1" x14ac:dyDescent="0.3"/>
    <row r="60492" customFormat="1" x14ac:dyDescent="0.3"/>
    <row r="60493" customFormat="1" x14ac:dyDescent="0.3"/>
    <row r="60494" customFormat="1" x14ac:dyDescent="0.3"/>
    <row r="60495" customFormat="1" x14ac:dyDescent="0.3"/>
    <row r="60496" customFormat="1" x14ac:dyDescent="0.3"/>
    <row r="60497" customFormat="1" x14ac:dyDescent="0.3"/>
    <row r="60498" customFormat="1" x14ac:dyDescent="0.3"/>
    <row r="60499" customFormat="1" x14ac:dyDescent="0.3"/>
    <row r="60500" customFormat="1" x14ac:dyDescent="0.3"/>
    <row r="60501" customFormat="1" x14ac:dyDescent="0.3"/>
    <row r="60502" customFormat="1" x14ac:dyDescent="0.3"/>
    <row r="60503" customFormat="1" x14ac:dyDescent="0.3"/>
    <row r="60504" customFormat="1" x14ac:dyDescent="0.3"/>
    <row r="60505" customFormat="1" x14ac:dyDescent="0.3"/>
    <row r="60506" customFormat="1" x14ac:dyDescent="0.3"/>
    <row r="60507" customFormat="1" x14ac:dyDescent="0.3"/>
    <row r="60508" customFormat="1" x14ac:dyDescent="0.3"/>
    <row r="60509" customFormat="1" x14ac:dyDescent="0.3"/>
    <row r="60510" customFormat="1" x14ac:dyDescent="0.3"/>
    <row r="60511" customFormat="1" x14ac:dyDescent="0.3"/>
    <row r="60512" customFormat="1" x14ac:dyDescent="0.3"/>
    <row r="60513" customFormat="1" x14ac:dyDescent="0.3"/>
    <row r="60514" customFormat="1" x14ac:dyDescent="0.3"/>
    <row r="60515" customFormat="1" x14ac:dyDescent="0.3"/>
    <row r="60516" customFormat="1" x14ac:dyDescent="0.3"/>
    <row r="60517" customFormat="1" x14ac:dyDescent="0.3"/>
    <row r="60518" customFormat="1" x14ac:dyDescent="0.3"/>
    <row r="60519" customFormat="1" x14ac:dyDescent="0.3"/>
    <row r="60520" customFormat="1" x14ac:dyDescent="0.3"/>
    <row r="60521" customFormat="1" x14ac:dyDescent="0.3"/>
    <row r="60522" customFormat="1" x14ac:dyDescent="0.3"/>
    <row r="60523" customFormat="1" x14ac:dyDescent="0.3"/>
    <row r="60524" customFormat="1" x14ac:dyDescent="0.3"/>
    <row r="60525" customFormat="1" x14ac:dyDescent="0.3"/>
    <row r="60526" customFormat="1" x14ac:dyDescent="0.3"/>
    <row r="60527" customFormat="1" x14ac:dyDescent="0.3"/>
    <row r="60528" customFormat="1" x14ac:dyDescent="0.3"/>
    <row r="60529" customFormat="1" x14ac:dyDescent="0.3"/>
    <row r="60530" customFormat="1" x14ac:dyDescent="0.3"/>
    <row r="60531" customFormat="1" x14ac:dyDescent="0.3"/>
    <row r="60532" customFormat="1" x14ac:dyDescent="0.3"/>
    <row r="60533" customFormat="1" x14ac:dyDescent="0.3"/>
    <row r="60534" customFormat="1" x14ac:dyDescent="0.3"/>
    <row r="60535" customFormat="1" x14ac:dyDescent="0.3"/>
    <row r="60536" customFormat="1" x14ac:dyDescent="0.3"/>
    <row r="60537" customFormat="1" x14ac:dyDescent="0.3"/>
    <row r="60538" customFormat="1" x14ac:dyDescent="0.3"/>
    <row r="60539" customFormat="1" x14ac:dyDescent="0.3"/>
    <row r="60540" customFormat="1" x14ac:dyDescent="0.3"/>
    <row r="60541" customFormat="1" x14ac:dyDescent="0.3"/>
    <row r="60542" customFormat="1" x14ac:dyDescent="0.3"/>
    <row r="60543" customFormat="1" x14ac:dyDescent="0.3"/>
    <row r="60544" customFormat="1" x14ac:dyDescent="0.3"/>
    <row r="60545" customFormat="1" x14ac:dyDescent="0.3"/>
    <row r="60546" customFormat="1" x14ac:dyDescent="0.3"/>
    <row r="60547" customFormat="1" x14ac:dyDescent="0.3"/>
    <row r="60548" customFormat="1" x14ac:dyDescent="0.3"/>
    <row r="60549" customFormat="1" x14ac:dyDescent="0.3"/>
    <row r="60550" customFormat="1" x14ac:dyDescent="0.3"/>
    <row r="60551" customFormat="1" x14ac:dyDescent="0.3"/>
    <row r="60552" customFormat="1" x14ac:dyDescent="0.3"/>
    <row r="60553" customFormat="1" x14ac:dyDescent="0.3"/>
    <row r="60554" customFormat="1" x14ac:dyDescent="0.3"/>
    <row r="60555" customFormat="1" x14ac:dyDescent="0.3"/>
    <row r="60556" customFormat="1" x14ac:dyDescent="0.3"/>
    <row r="60557" customFormat="1" x14ac:dyDescent="0.3"/>
    <row r="60558" customFormat="1" x14ac:dyDescent="0.3"/>
    <row r="60559" customFormat="1" x14ac:dyDescent="0.3"/>
    <row r="60560" customFormat="1" x14ac:dyDescent="0.3"/>
    <row r="60561" customFormat="1" x14ac:dyDescent="0.3"/>
    <row r="60562" customFormat="1" x14ac:dyDescent="0.3"/>
    <row r="60563" customFormat="1" x14ac:dyDescent="0.3"/>
    <row r="60564" customFormat="1" x14ac:dyDescent="0.3"/>
    <row r="60565" customFormat="1" x14ac:dyDescent="0.3"/>
    <row r="60566" customFormat="1" x14ac:dyDescent="0.3"/>
    <row r="60567" customFormat="1" x14ac:dyDescent="0.3"/>
    <row r="60568" customFormat="1" x14ac:dyDescent="0.3"/>
    <row r="60569" customFormat="1" x14ac:dyDescent="0.3"/>
    <row r="60570" customFormat="1" x14ac:dyDescent="0.3"/>
    <row r="60571" customFormat="1" x14ac:dyDescent="0.3"/>
    <row r="60572" customFormat="1" x14ac:dyDescent="0.3"/>
    <row r="60573" customFormat="1" x14ac:dyDescent="0.3"/>
    <row r="60574" customFormat="1" x14ac:dyDescent="0.3"/>
    <row r="60575" customFormat="1" x14ac:dyDescent="0.3"/>
    <row r="60576" customFormat="1" x14ac:dyDescent="0.3"/>
    <row r="60577" customFormat="1" x14ac:dyDescent="0.3"/>
    <row r="60578" customFormat="1" x14ac:dyDescent="0.3"/>
    <row r="60579" customFormat="1" x14ac:dyDescent="0.3"/>
    <row r="60580" customFormat="1" x14ac:dyDescent="0.3"/>
    <row r="60581" customFormat="1" x14ac:dyDescent="0.3"/>
    <row r="60582" customFormat="1" x14ac:dyDescent="0.3"/>
    <row r="60583" customFormat="1" x14ac:dyDescent="0.3"/>
    <row r="60584" customFormat="1" x14ac:dyDescent="0.3"/>
    <row r="60585" customFormat="1" x14ac:dyDescent="0.3"/>
    <row r="60586" customFormat="1" x14ac:dyDescent="0.3"/>
    <row r="60587" customFormat="1" x14ac:dyDescent="0.3"/>
    <row r="60588" customFormat="1" x14ac:dyDescent="0.3"/>
    <row r="60589" customFormat="1" x14ac:dyDescent="0.3"/>
    <row r="60590" customFormat="1" x14ac:dyDescent="0.3"/>
    <row r="60591" customFormat="1" x14ac:dyDescent="0.3"/>
    <row r="60592" customFormat="1" x14ac:dyDescent="0.3"/>
    <row r="60593" customFormat="1" x14ac:dyDescent="0.3"/>
    <row r="60594" customFormat="1" x14ac:dyDescent="0.3"/>
    <row r="60595" customFormat="1" x14ac:dyDescent="0.3"/>
    <row r="60596" customFormat="1" x14ac:dyDescent="0.3"/>
    <row r="60597" customFormat="1" x14ac:dyDescent="0.3"/>
    <row r="60598" customFormat="1" x14ac:dyDescent="0.3"/>
    <row r="60599" customFormat="1" x14ac:dyDescent="0.3"/>
    <row r="60600" customFormat="1" x14ac:dyDescent="0.3"/>
    <row r="60601" customFormat="1" x14ac:dyDescent="0.3"/>
    <row r="60602" customFormat="1" x14ac:dyDescent="0.3"/>
    <row r="60603" customFormat="1" x14ac:dyDescent="0.3"/>
    <row r="60604" customFormat="1" x14ac:dyDescent="0.3"/>
    <row r="60605" customFormat="1" x14ac:dyDescent="0.3"/>
    <row r="60606" customFormat="1" x14ac:dyDescent="0.3"/>
    <row r="60607" customFormat="1" x14ac:dyDescent="0.3"/>
    <row r="60608" customFormat="1" x14ac:dyDescent="0.3"/>
    <row r="60609" customFormat="1" x14ac:dyDescent="0.3"/>
    <row r="60610" customFormat="1" x14ac:dyDescent="0.3"/>
    <row r="60611" customFormat="1" x14ac:dyDescent="0.3"/>
    <row r="60612" customFormat="1" x14ac:dyDescent="0.3"/>
    <row r="60613" customFormat="1" x14ac:dyDescent="0.3"/>
    <row r="60614" customFormat="1" x14ac:dyDescent="0.3"/>
    <row r="60615" customFormat="1" x14ac:dyDescent="0.3"/>
    <row r="60616" customFormat="1" x14ac:dyDescent="0.3"/>
    <row r="60617" customFormat="1" x14ac:dyDescent="0.3"/>
    <row r="60618" customFormat="1" x14ac:dyDescent="0.3"/>
    <row r="60619" customFormat="1" x14ac:dyDescent="0.3"/>
    <row r="60620" customFormat="1" x14ac:dyDescent="0.3"/>
    <row r="60621" customFormat="1" x14ac:dyDescent="0.3"/>
    <row r="60622" customFormat="1" x14ac:dyDescent="0.3"/>
    <row r="60623" customFormat="1" x14ac:dyDescent="0.3"/>
    <row r="60624" customFormat="1" x14ac:dyDescent="0.3"/>
    <row r="60625" customFormat="1" x14ac:dyDescent="0.3"/>
    <row r="60626" customFormat="1" x14ac:dyDescent="0.3"/>
    <row r="60627" customFormat="1" x14ac:dyDescent="0.3"/>
    <row r="60628" customFormat="1" x14ac:dyDescent="0.3"/>
    <row r="60629" customFormat="1" x14ac:dyDescent="0.3"/>
    <row r="60630" customFormat="1" x14ac:dyDescent="0.3"/>
    <row r="60631" customFormat="1" x14ac:dyDescent="0.3"/>
    <row r="60632" customFormat="1" x14ac:dyDescent="0.3"/>
    <row r="60633" customFormat="1" x14ac:dyDescent="0.3"/>
    <row r="60634" customFormat="1" x14ac:dyDescent="0.3"/>
    <row r="60635" customFormat="1" x14ac:dyDescent="0.3"/>
    <row r="60636" customFormat="1" x14ac:dyDescent="0.3"/>
    <row r="60637" customFormat="1" x14ac:dyDescent="0.3"/>
    <row r="60638" customFormat="1" x14ac:dyDescent="0.3"/>
    <row r="60639" customFormat="1" x14ac:dyDescent="0.3"/>
    <row r="60640" customFormat="1" x14ac:dyDescent="0.3"/>
    <row r="60641" customFormat="1" x14ac:dyDescent="0.3"/>
    <row r="60642" customFormat="1" x14ac:dyDescent="0.3"/>
    <row r="60643" customFormat="1" x14ac:dyDescent="0.3"/>
    <row r="60644" customFormat="1" x14ac:dyDescent="0.3"/>
    <row r="60645" customFormat="1" x14ac:dyDescent="0.3"/>
    <row r="60646" customFormat="1" x14ac:dyDescent="0.3"/>
    <row r="60647" customFormat="1" x14ac:dyDescent="0.3"/>
    <row r="60648" customFormat="1" x14ac:dyDescent="0.3"/>
    <row r="60649" customFormat="1" x14ac:dyDescent="0.3"/>
    <row r="60650" customFormat="1" x14ac:dyDescent="0.3"/>
    <row r="60651" customFormat="1" x14ac:dyDescent="0.3"/>
    <row r="60652" customFormat="1" x14ac:dyDescent="0.3"/>
    <row r="60653" customFormat="1" x14ac:dyDescent="0.3"/>
    <row r="60654" customFormat="1" x14ac:dyDescent="0.3"/>
    <row r="60655" customFormat="1" x14ac:dyDescent="0.3"/>
    <row r="60656" customFormat="1" x14ac:dyDescent="0.3"/>
    <row r="60657" customFormat="1" x14ac:dyDescent="0.3"/>
    <row r="60658" customFormat="1" x14ac:dyDescent="0.3"/>
    <row r="60659" customFormat="1" x14ac:dyDescent="0.3"/>
    <row r="60660" customFormat="1" x14ac:dyDescent="0.3"/>
    <row r="60661" customFormat="1" x14ac:dyDescent="0.3"/>
    <row r="60662" customFormat="1" x14ac:dyDescent="0.3"/>
    <row r="60663" customFormat="1" x14ac:dyDescent="0.3"/>
    <row r="60664" customFormat="1" x14ac:dyDescent="0.3"/>
    <row r="60665" customFormat="1" x14ac:dyDescent="0.3"/>
    <row r="60666" customFormat="1" x14ac:dyDescent="0.3"/>
    <row r="60667" customFormat="1" x14ac:dyDescent="0.3"/>
    <row r="60668" customFormat="1" x14ac:dyDescent="0.3"/>
    <row r="60669" customFormat="1" x14ac:dyDescent="0.3"/>
    <row r="60670" customFormat="1" x14ac:dyDescent="0.3"/>
    <row r="60671" customFormat="1" x14ac:dyDescent="0.3"/>
    <row r="60672" customFormat="1" x14ac:dyDescent="0.3"/>
    <row r="60673" customFormat="1" x14ac:dyDescent="0.3"/>
    <row r="60674" customFormat="1" x14ac:dyDescent="0.3"/>
    <row r="60675" customFormat="1" x14ac:dyDescent="0.3"/>
    <row r="60676" customFormat="1" x14ac:dyDescent="0.3"/>
    <row r="60677" customFormat="1" x14ac:dyDescent="0.3"/>
    <row r="60678" customFormat="1" x14ac:dyDescent="0.3"/>
    <row r="60679" customFormat="1" x14ac:dyDescent="0.3"/>
    <row r="60680" customFormat="1" x14ac:dyDescent="0.3"/>
    <row r="60681" customFormat="1" x14ac:dyDescent="0.3"/>
    <row r="60682" customFormat="1" x14ac:dyDescent="0.3"/>
    <row r="60683" customFormat="1" x14ac:dyDescent="0.3"/>
    <row r="60684" customFormat="1" x14ac:dyDescent="0.3"/>
    <row r="60685" customFormat="1" x14ac:dyDescent="0.3"/>
    <row r="60686" customFormat="1" x14ac:dyDescent="0.3"/>
    <row r="60687" customFormat="1" x14ac:dyDescent="0.3"/>
    <row r="60688" customFormat="1" x14ac:dyDescent="0.3"/>
    <row r="60689" customFormat="1" x14ac:dyDescent="0.3"/>
    <row r="60690" customFormat="1" x14ac:dyDescent="0.3"/>
    <row r="60691" customFormat="1" x14ac:dyDescent="0.3"/>
    <row r="60692" customFormat="1" x14ac:dyDescent="0.3"/>
    <row r="60693" customFormat="1" x14ac:dyDescent="0.3"/>
    <row r="60694" customFormat="1" x14ac:dyDescent="0.3"/>
    <row r="60695" customFormat="1" x14ac:dyDescent="0.3"/>
    <row r="60696" customFormat="1" x14ac:dyDescent="0.3"/>
    <row r="60697" customFormat="1" x14ac:dyDescent="0.3"/>
    <row r="60698" customFormat="1" x14ac:dyDescent="0.3"/>
    <row r="60699" customFormat="1" x14ac:dyDescent="0.3"/>
    <row r="60700" customFormat="1" x14ac:dyDescent="0.3"/>
    <row r="60701" customFormat="1" x14ac:dyDescent="0.3"/>
    <row r="60702" customFormat="1" x14ac:dyDescent="0.3"/>
    <row r="60703" customFormat="1" x14ac:dyDescent="0.3"/>
    <row r="60704" customFormat="1" x14ac:dyDescent="0.3"/>
    <row r="60705" customFormat="1" x14ac:dyDescent="0.3"/>
    <row r="60706" customFormat="1" x14ac:dyDescent="0.3"/>
    <row r="60707" customFormat="1" x14ac:dyDescent="0.3"/>
    <row r="60708" customFormat="1" x14ac:dyDescent="0.3"/>
    <row r="60709" customFormat="1" x14ac:dyDescent="0.3"/>
    <row r="60710" customFormat="1" x14ac:dyDescent="0.3"/>
    <row r="60711" customFormat="1" x14ac:dyDescent="0.3"/>
    <row r="60712" customFormat="1" x14ac:dyDescent="0.3"/>
    <row r="60713" customFormat="1" x14ac:dyDescent="0.3"/>
    <row r="60714" customFormat="1" x14ac:dyDescent="0.3"/>
    <row r="60715" customFormat="1" x14ac:dyDescent="0.3"/>
    <row r="60716" customFormat="1" x14ac:dyDescent="0.3"/>
    <row r="60717" customFormat="1" x14ac:dyDescent="0.3"/>
    <row r="60718" customFormat="1" x14ac:dyDescent="0.3"/>
    <row r="60719" customFormat="1" x14ac:dyDescent="0.3"/>
    <row r="60720" customFormat="1" x14ac:dyDescent="0.3"/>
    <row r="60721" customFormat="1" x14ac:dyDescent="0.3"/>
    <row r="60722" customFormat="1" x14ac:dyDescent="0.3"/>
    <row r="60723" customFormat="1" x14ac:dyDescent="0.3"/>
    <row r="60724" customFormat="1" x14ac:dyDescent="0.3"/>
    <row r="60725" customFormat="1" x14ac:dyDescent="0.3"/>
    <row r="60726" customFormat="1" x14ac:dyDescent="0.3"/>
    <row r="60727" customFormat="1" x14ac:dyDescent="0.3"/>
    <row r="60728" customFormat="1" x14ac:dyDescent="0.3"/>
    <row r="60729" customFormat="1" x14ac:dyDescent="0.3"/>
    <row r="60730" customFormat="1" x14ac:dyDescent="0.3"/>
    <row r="60731" customFormat="1" x14ac:dyDescent="0.3"/>
    <row r="60732" customFormat="1" x14ac:dyDescent="0.3"/>
    <row r="60733" customFormat="1" x14ac:dyDescent="0.3"/>
    <row r="60734" customFormat="1" x14ac:dyDescent="0.3"/>
    <row r="60735" customFormat="1" x14ac:dyDescent="0.3"/>
    <row r="60736" customFormat="1" x14ac:dyDescent="0.3"/>
    <row r="60737" customFormat="1" x14ac:dyDescent="0.3"/>
    <row r="60738" customFormat="1" x14ac:dyDescent="0.3"/>
    <row r="60739" customFormat="1" x14ac:dyDescent="0.3"/>
    <row r="60740" customFormat="1" x14ac:dyDescent="0.3"/>
    <row r="60741" customFormat="1" x14ac:dyDescent="0.3"/>
    <row r="60742" customFormat="1" x14ac:dyDescent="0.3"/>
    <row r="60743" customFormat="1" x14ac:dyDescent="0.3"/>
    <row r="60744" customFormat="1" x14ac:dyDescent="0.3"/>
    <row r="60745" customFormat="1" x14ac:dyDescent="0.3"/>
    <row r="60746" customFormat="1" x14ac:dyDescent="0.3"/>
    <row r="60747" customFormat="1" x14ac:dyDescent="0.3"/>
    <row r="60748" customFormat="1" x14ac:dyDescent="0.3"/>
    <row r="60749" customFormat="1" x14ac:dyDescent="0.3"/>
    <row r="60750" customFormat="1" x14ac:dyDescent="0.3"/>
    <row r="60751" customFormat="1" x14ac:dyDescent="0.3"/>
    <row r="60752" customFormat="1" x14ac:dyDescent="0.3"/>
    <row r="60753" customFormat="1" x14ac:dyDescent="0.3"/>
    <row r="60754" customFormat="1" x14ac:dyDescent="0.3"/>
    <row r="60755" customFormat="1" x14ac:dyDescent="0.3"/>
    <row r="60756" customFormat="1" x14ac:dyDescent="0.3"/>
    <row r="60757" customFormat="1" x14ac:dyDescent="0.3"/>
    <row r="60758" customFormat="1" x14ac:dyDescent="0.3"/>
    <row r="60759" customFormat="1" x14ac:dyDescent="0.3"/>
    <row r="60760" customFormat="1" x14ac:dyDescent="0.3"/>
    <row r="60761" customFormat="1" x14ac:dyDescent="0.3"/>
    <row r="60762" customFormat="1" x14ac:dyDescent="0.3"/>
    <row r="60763" customFormat="1" x14ac:dyDescent="0.3"/>
    <row r="60764" customFormat="1" x14ac:dyDescent="0.3"/>
    <row r="60765" customFormat="1" x14ac:dyDescent="0.3"/>
    <row r="60766" customFormat="1" x14ac:dyDescent="0.3"/>
    <row r="60767" customFormat="1" x14ac:dyDescent="0.3"/>
    <row r="60768" customFormat="1" x14ac:dyDescent="0.3"/>
    <row r="60769" customFormat="1" x14ac:dyDescent="0.3"/>
    <row r="60770" customFormat="1" x14ac:dyDescent="0.3"/>
    <row r="60771" customFormat="1" x14ac:dyDescent="0.3"/>
    <row r="60772" customFormat="1" x14ac:dyDescent="0.3"/>
    <row r="60773" customFormat="1" x14ac:dyDescent="0.3"/>
    <row r="60774" customFormat="1" x14ac:dyDescent="0.3"/>
    <row r="60775" customFormat="1" x14ac:dyDescent="0.3"/>
    <row r="60776" customFormat="1" x14ac:dyDescent="0.3"/>
    <row r="60777" customFormat="1" x14ac:dyDescent="0.3"/>
    <row r="60778" customFormat="1" x14ac:dyDescent="0.3"/>
    <row r="60779" customFormat="1" x14ac:dyDescent="0.3"/>
    <row r="60780" customFormat="1" x14ac:dyDescent="0.3"/>
    <row r="60781" customFormat="1" x14ac:dyDescent="0.3"/>
    <row r="60782" customFormat="1" x14ac:dyDescent="0.3"/>
    <row r="60783" customFormat="1" x14ac:dyDescent="0.3"/>
    <row r="60784" customFormat="1" x14ac:dyDescent="0.3"/>
    <row r="60785" customFormat="1" x14ac:dyDescent="0.3"/>
    <row r="60786" customFormat="1" x14ac:dyDescent="0.3"/>
    <row r="60787" customFormat="1" x14ac:dyDescent="0.3"/>
    <row r="60788" customFormat="1" x14ac:dyDescent="0.3"/>
    <row r="60789" customFormat="1" x14ac:dyDescent="0.3"/>
    <row r="60790" customFormat="1" x14ac:dyDescent="0.3"/>
    <row r="60791" customFormat="1" x14ac:dyDescent="0.3"/>
    <row r="60792" customFormat="1" x14ac:dyDescent="0.3"/>
    <row r="60793" customFormat="1" x14ac:dyDescent="0.3"/>
    <row r="60794" customFormat="1" x14ac:dyDescent="0.3"/>
    <row r="60795" customFormat="1" x14ac:dyDescent="0.3"/>
    <row r="60796" customFormat="1" x14ac:dyDescent="0.3"/>
    <row r="60797" customFormat="1" x14ac:dyDescent="0.3"/>
    <row r="60798" customFormat="1" x14ac:dyDescent="0.3"/>
    <row r="60799" customFormat="1" x14ac:dyDescent="0.3"/>
    <row r="60800" customFormat="1" x14ac:dyDescent="0.3"/>
    <row r="60801" customFormat="1" x14ac:dyDescent="0.3"/>
    <row r="60802" customFormat="1" x14ac:dyDescent="0.3"/>
    <row r="60803" customFormat="1" x14ac:dyDescent="0.3"/>
    <row r="60804" customFormat="1" x14ac:dyDescent="0.3"/>
    <row r="60805" customFormat="1" x14ac:dyDescent="0.3"/>
    <row r="60806" customFormat="1" x14ac:dyDescent="0.3"/>
    <row r="60807" customFormat="1" x14ac:dyDescent="0.3"/>
    <row r="60808" customFormat="1" x14ac:dyDescent="0.3"/>
    <row r="60809" customFormat="1" x14ac:dyDescent="0.3"/>
    <row r="60810" customFormat="1" x14ac:dyDescent="0.3"/>
    <row r="60811" customFormat="1" x14ac:dyDescent="0.3"/>
    <row r="60812" customFormat="1" x14ac:dyDescent="0.3"/>
    <row r="60813" customFormat="1" x14ac:dyDescent="0.3"/>
    <row r="60814" customFormat="1" x14ac:dyDescent="0.3"/>
    <row r="60815" customFormat="1" x14ac:dyDescent="0.3"/>
    <row r="60816" customFormat="1" x14ac:dyDescent="0.3"/>
    <row r="60817" customFormat="1" x14ac:dyDescent="0.3"/>
    <row r="60818" customFormat="1" x14ac:dyDescent="0.3"/>
    <row r="60819" customFormat="1" x14ac:dyDescent="0.3"/>
    <row r="60820" customFormat="1" x14ac:dyDescent="0.3"/>
    <row r="60821" customFormat="1" x14ac:dyDescent="0.3"/>
    <row r="60822" customFormat="1" x14ac:dyDescent="0.3"/>
    <row r="60823" customFormat="1" x14ac:dyDescent="0.3"/>
    <row r="60824" customFormat="1" x14ac:dyDescent="0.3"/>
    <row r="60825" customFormat="1" x14ac:dyDescent="0.3"/>
    <row r="60826" customFormat="1" x14ac:dyDescent="0.3"/>
    <row r="60827" customFormat="1" x14ac:dyDescent="0.3"/>
    <row r="60828" customFormat="1" x14ac:dyDescent="0.3"/>
    <row r="60829" customFormat="1" x14ac:dyDescent="0.3"/>
    <row r="60830" customFormat="1" x14ac:dyDescent="0.3"/>
    <row r="60831" customFormat="1" x14ac:dyDescent="0.3"/>
    <row r="60832" customFormat="1" x14ac:dyDescent="0.3"/>
    <row r="60833" customFormat="1" x14ac:dyDescent="0.3"/>
    <row r="60834" customFormat="1" x14ac:dyDescent="0.3"/>
    <row r="60835" customFormat="1" x14ac:dyDescent="0.3"/>
    <row r="60836" customFormat="1" x14ac:dyDescent="0.3"/>
    <row r="60837" customFormat="1" x14ac:dyDescent="0.3"/>
    <row r="60838" customFormat="1" x14ac:dyDescent="0.3"/>
    <row r="60839" customFormat="1" x14ac:dyDescent="0.3"/>
    <row r="60840" customFormat="1" x14ac:dyDescent="0.3"/>
    <row r="60841" customFormat="1" x14ac:dyDescent="0.3"/>
    <row r="60842" customFormat="1" x14ac:dyDescent="0.3"/>
    <row r="60843" customFormat="1" x14ac:dyDescent="0.3"/>
    <row r="60844" customFormat="1" x14ac:dyDescent="0.3"/>
    <row r="60845" customFormat="1" x14ac:dyDescent="0.3"/>
    <row r="60846" customFormat="1" x14ac:dyDescent="0.3"/>
    <row r="60847" customFormat="1" x14ac:dyDescent="0.3"/>
    <row r="60848" customFormat="1" x14ac:dyDescent="0.3"/>
    <row r="60849" customFormat="1" x14ac:dyDescent="0.3"/>
    <row r="60850" customFormat="1" x14ac:dyDescent="0.3"/>
    <row r="60851" customFormat="1" x14ac:dyDescent="0.3"/>
    <row r="60852" customFormat="1" x14ac:dyDescent="0.3"/>
    <row r="60853" customFormat="1" x14ac:dyDescent="0.3"/>
    <row r="60854" customFormat="1" x14ac:dyDescent="0.3"/>
    <row r="60855" customFormat="1" x14ac:dyDescent="0.3"/>
    <row r="60856" customFormat="1" x14ac:dyDescent="0.3"/>
    <row r="60857" customFormat="1" x14ac:dyDescent="0.3"/>
    <row r="60858" customFormat="1" x14ac:dyDescent="0.3"/>
    <row r="60859" customFormat="1" x14ac:dyDescent="0.3"/>
    <row r="60860" customFormat="1" x14ac:dyDescent="0.3"/>
    <row r="60861" customFormat="1" x14ac:dyDescent="0.3"/>
    <row r="60862" customFormat="1" x14ac:dyDescent="0.3"/>
    <row r="60863" customFormat="1" x14ac:dyDescent="0.3"/>
    <row r="60864" customFormat="1" x14ac:dyDescent="0.3"/>
    <row r="60865" customFormat="1" x14ac:dyDescent="0.3"/>
    <row r="60866" customFormat="1" x14ac:dyDescent="0.3"/>
    <row r="60867" customFormat="1" x14ac:dyDescent="0.3"/>
    <row r="60868" customFormat="1" x14ac:dyDescent="0.3"/>
    <row r="60869" customFormat="1" x14ac:dyDescent="0.3"/>
    <row r="60870" customFormat="1" x14ac:dyDescent="0.3"/>
    <row r="60871" customFormat="1" x14ac:dyDescent="0.3"/>
    <row r="60872" customFormat="1" x14ac:dyDescent="0.3"/>
    <row r="60873" customFormat="1" x14ac:dyDescent="0.3"/>
    <row r="60874" customFormat="1" x14ac:dyDescent="0.3"/>
    <row r="60875" customFormat="1" x14ac:dyDescent="0.3"/>
    <row r="60876" customFormat="1" x14ac:dyDescent="0.3"/>
    <row r="60877" customFormat="1" x14ac:dyDescent="0.3"/>
    <row r="60878" customFormat="1" x14ac:dyDescent="0.3"/>
    <row r="60879" customFormat="1" x14ac:dyDescent="0.3"/>
    <row r="60880" customFormat="1" x14ac:dyDescent="0.3"/>
    <row r="60881" customFormat="1" x14ac:dyDescent="0.3"/>
    <row r="60882" customFormat="1" x14ac:dyDescent="0.3"/>
    <row r="60883" customFormat="1" x14ac:dyDescent="0.3"/>
    <row r="60884" customFormat="1" x14ac:dyDescent="0.3"/>
    <row r="60885" customFormat="1" x14ac:dyDescent="0.3"/>
    <row r="60886" customFormat="1" x14ac:dyDescent="0.3"/>
    <row r="60887" customFormat="1" x14ac:dyDescent="0.3"/>
    <row r="60888" customFormat="1" x14ac:dyDescent="0.3"/>
    <row r="60889" customFormat="1" x14ac:dyDescent="0.3"/>
    <row r="60890" customFormat="1" x14ac:dyDescent="0.3"/>
    <row r="60891" customFormat="1" x14ac:dyDescent="0.3"/>
    <row r="60892" customFormat="1" x14ac:dyDescent="0.3"/>
    <row r="60893" customFormat="1" x14ac:dyDescent="0.3"/>
    <row r="60894" customFormat="1" x14ac:dyDescent="0.3"/>
    <row r="60895" customFormat="1" x14ac:dyDescent="0.3"/>
    <row r="60896" customFormat="1" x14ac:dyDescent="0.3"/>
    <row r="60897" customFormat="1" x14ac:dyDescent="0.3"/>
    <row r="60898" customFormat="1" x14ac:dyDescent="0.3"/>
    <row r="60899" customFormat="1" x14ac:dyDescent="0.3"/>
    <row r="60900" customFormat="1" x14ac:dyDescent="0.3"/>
    <row r="60901" customFormat="1" x14ac:dyDescent="0.3"/>
    <row r="60902" customFormat="1" x14ac:dyDescent="0.3"/>
    <row r="60903" customFormat="1" x14ac:dyDescent="0.3"/>
    <row r="60904" customFormat="1" x14ac:dyDescent="0.3"/>
    <row r="60905" customFormat="1" x14ac:dyDescent="0.3"/>
    <row r="60906" customFormat="1" x14ac:dyDescent="0.3"/>
    <row r="60907" customFormat="1" x14ac:dyDescent="0.3"/>
    <row r="60908" customFormat="1" x14ac:dyDescent="0.3"/>
    <row r="60909" customFormat="1" x14ac:dyDescent="0.3"/>
    <row r="60910" customFormat="1" x14ac:dyDescent="0.3"/>
    <row r="60911" customFormat="1" x14ac:dyDescent="0.3"/>
    <row r="60912" customFormat="1" x14ac:dyDescent="0.3"/>
    <row r="60913" customFormat="1" x14ac:dyDescent="0.3"/>
    <row r="60914" customFormat="1" x14ac:dyDescent="0.3"/>
    <row r="60915" customFormat="1" x14ac:dyDescent="0.3"/>
    <row r="60916" customFormat="1" x14ac:dyDescent="0.3"/>
    <row r="60917" customFormat="1" x14ac:dyDescent="0.3"/>
    <row r="60918" customFormat="1" x14ac:dyDescent="0.3"/>
    <row r="60919" customFormat="1" x14ac:dyDescent="0.3"/>
    <row r="60920" customFormat="1" x14ac:dyDescent="0.3"/>
    <row r="60921" customFormat="1" x14ac:dyDescent="0.3"/>
    <row r="60922" customFormat="1" x14ac:dyDescent="0.3"/>
    <row r="60923" customFormat="1" x14ac:dyDescent="0.3"/>
    <row r="60924" customFormat="1" x14ac:dyDescent="0.3"/>
    <row r="60925" customFormat="1" x14ac:dyDescent="0.3"/>
    <row r="60926" customFormat="1" x14ac:dyDescent="0.3"/>
    <row r="60927" customFormat="1" x14ac:dyDescent="0.3"/>
    <row r="60928" customFormat="1" x14ac:dyDescent="0.3"/>
    <row r="60929" customFormat="1" x14ac:dyDescent="0.3"/>
    <row r="60930" customFormat="1" x14ac:dyDescent="0.3"/>
    <row r="60931" customFormat="1" x14ac:dyDescent="0.3"/>
    <row r="60932" customFormat="1" x14ac:dyDescent="0.3"/>
    <row r="60933" customFormat="1" x14ac:dyDescent="0.3"/>
    <row r="60934" customFormat="1" x14ac:dyDescent="0.3"/>
    <row r="60935" customFormat="1" x14ac:dyDescent="0.3"/>
    <row r="60936" customFormat="1" x14ac:dyDescent="0.3"/>
    <row r="60937" customFormat="1" x14ac:dyDescent="0.3"/>
    <row r="60938" customFormat="1" x14ac:dyDescent="0.3"/>
    <row r="60939" customFormat="1" x14ac:dyDescent="0.3"/>
    <row r="60940" customFormat="1" x14ac:dyDescent="0.3"/>
    <row r="60941" customFormat="1" x14ac:dyDescent="0.3"/>
    <row r="60942" customFormat="1" x14ac:dyDescent="0.3"/>
    <row r="60943" customFormat="1" x14ac:dyDescent="0.3"/>
    <row r="60944" customFormat="1" x14ac:dyDescent="0.3"/>
    <row r="60945" customFormat="1" x14ac:dyDescent="0.3"/>
    <row r="60946" customFormat="1" x14ac:dyDescent="0.3"/>
    <row r="60947" customFormat="1" x14ac:dyDescent="0.3"/>
    <row r="60948" customFormat="1" x14ac:dyDescent="0.3"/>
    <row r="60949" customFormat="1" x14ac:dyDescent="0.3"/>
    <row r="60950" customFormat="1" x14ac:dyDescent="0.3"/>
    <row r="60951" customFormat="1" x14ac:dyDescent="0.3"/>
    <row r="60952" customFormat="1" x14ac:dyDescent="0.3"/>
    <row r="60953" customFormat="1" x14ac:dyDescent="0.3"/>
    <row r="60954" customFormat="1" x14ac:dyDescent="0.3"/>
    <row r="60955" customFormat="1" x14ac:dyDescent="0.3"/>
    <row r="60956" customFormat="1" x14ac:dyDescent="0.3"/>
    <row r="60957" customFormat="1" x14ac:dyDescent="0.3"/>
    <row r="60958" customFormat="1" x14ac:dyDescent="0.3"/>
    <row r="60959" customFormat="1" x14ac:dyDescent="0.3"/>
    <row r="60960" customFormat="1" x14ac:dyDescent="0.3"/>
    <row r="60961" customFormat="1" x14ac:dyDescent="0.3"/>
    <row r="60962" customFormat="1" x14ac:dyDescent="0.3"/>
    <row r="60963" customFormat="1" x14ac:dyDescent="0.3"/>
    <row r="60964" customFormat="1" x14ac:dyDescent="0.3"/>
    <row r="60965" customFormat="1" x14ac:dyDescent="0.3"/>
    <row r="60966" customFormat="1" x14ac:dyDescent="0.3"/>
    <row r="60967" customFormat="1" x14ac:dyDescent="0.3"/>
    <row r="60968" customFormat="1" x14ac:dyDescent="0.3"/>
    <row r="60969" customFormat="1" x14ac:dyDescent="0.3"/>
    <row r="60970" customFormat="1" x14ac:dyDescent="0.3"/>
    <row r="60971" customFormat="1" x14ac:dyDescent="0.3"/>
    <row r="60972" customFormat="1" x14ac:dyDescent="0.3"/>
    <row r="60973" customFormat="1" x14ac:dyDescent="0.3"/>
    <row r="60974" customFormat="1" x14ac:dyDescent="0.3"/>
    <row r="60975" customFormat="1" x14ac:dyDescent="0.3"/>
    <row r="60976" customFormat="1" x14ac:dyDescent="0.3"/>
    <row r="60977" customFormat="1" x14ac:dyDescent="0.3"/>
    <row r="60978" customFormat="1" x14ac:dyDescent="0.3"/>
    <row r="60979" customFormat="1" x14ac:dyDescent="0.3"/>
    <row r="60980" customFormat="1" x14ac:dyDescent="0.3"/>
    <row r="60981" customFormat="1" x14ac:dyDescent="0.3"/>
    <row r="60982" customFormat="1" x14ac:dyDescent="0.3"/>
    <row r="60983" customFormat="1" x14ac:dyDescent="0.3"/>
    <row r="60984" customFormat="1" x14ac:dyDescent="0.3"/>
    <row r="60985" customFormat="1" x14ac:dyDescent="0.3"/>
    <row r="60986" customFormat="1" x14ac:dyDescent="0.3"/>
    <row r="60987" customFormat="1" x14ac:dyDescent="0.3"/>
    <row r="60988" customFormat="1" x14ac:dyDescent="0.3"/>
    <row r="60989" customFormat="1" x14ac:dyDescent="0.3"/>
    <row r="60990" customFormat="1" x14ac:dyDescent="0.3"/>
    <row r="60991" customFormat="1" x14ac:dyDescent="0.3"/>
    <row r="60992" customFormat="1" x14ac:dyDescent="0.3"/>
    <row r="60993" customFormat="1" x14ac:dyDescent="0.3"/>
    <row r="60994" customFormat="1" x14ac:dyDescent="0.3"/>
    <row r="60995" customFormat="1" x14ac:dyDescent="0.3"/>
    <row r="60996" customFormat="1" x14ac:dyDescent="0.3"/>
    <row r="60997" customFormat="1" x14ac:dyDescent="0.3"/>
    <row r="60998" customFormat="1" x14ac:dyDescent="0.3"/>
    <row r="60999" customFormat="1" x14ac:dyDescent="0.3"/>
    <row r="61000" customFormat="1" x14ac:dyDescent="0.3"/>
    <row r="61001" customFormat="1" x14ac:dyDescent="0.3"/>
    <row r="61002" customFormat="1" x14ac:dyDescent="0.3"/>
    <row r="61003" customFormat="1" x14ac:dyDescent="0.3"/>
    <row r="61004" customFormat="1" x14ac:dyDescent="0.3"/>
    <row r="61005" customFormat="1" x14ac:dyDescent="0.3"/>
    <row r="61006" customFormat="1" x14ac:dyDescent="0.3"/>
    <row r="61007" customFormat="1" x14ac:dyDescent="0.3"/>
    <row r="61008" customFormat="1" x14ac:dyDescent="0.3"/>
    <row r="61009" customFormat="1" x14ac:dyDescent="0.3"/>
    <row r="61010" customFormat="1" x14ac:dyDescent="0.3"/>
    <row r="61011" customFormat="1" x14ac:dyDescent="0.3"/>
    <row r="61012" customFormat="1" x14ac:dyDescent="0.3"/>
    <row r="61013" customFormat="1" x14ac:dyDescent="0.3"/>
    <row r="61014" customFormat="1" x14ac:dyDescent="0.3"/>
    <row r="61015" customFormat="1" x14ac:dyDescent="0.3"/>
    <row r="61016" customFormat="1" x14ac:dyDescent="0.3"/>
    <row r="61017" customFormat="1" x14ac:dyDescent="0.3"/>
    <row r="61018" customFormat="1" x14ac:dyDescent="0.3"/>
    <row r="61019" customFormat="1" x14ac:dyDescent="0.3"/>
    <row r="61020" customFormat="1" x14ac:dyDescent="0.3"/>
    <row r="61021" customFormat="1" x14ac:dyDescent="0.3"/>
    <row r="61022" customFormat="1" x14ac:dyDescent="0.3"/>
    <row r="61023" customFormat="1" x14ac:dyDescent="0.3"/>
    <row r="61024" customFormat="1" x14ac:dyDescent="0.3"/>
    <row r="61025" customFormat="1" x14ac:dyDescent="0.3"/>
    <row r="61026" customFormat="1" x14ac:dyDescent="0.3"/>
    <row r="61027" customFormat="1" x14ac:dyDescent="0.3"/>
    <row r="61028" customFormat="1" x14ac:dyDescent="0.3"/>
    <row r="61029" customFormat="1" x14ac:dyDescent="0.3"/>
    <row r="61030" customFormat="1" x14ac:dyDescent="0.3"/>
    <row r="61031" customFormat="1" x14ac:dyDescent="0.3"/>
    <row r="61032" customFormat="1" x14ac:dyDescent="0.3"/>
    <row r="61033" customFormat="1" x14ac:dyDescent="0.3"/>
    <row r="61034" customFormat="1" x14ac:dyDescent="0.3"/>
    <row r="61035" customFormat="1" x14ac:dyDescent="0.3"/>
    <row r="61036" customFormat="1" x14ac:dyDescent="0.3"/>
    <row r="61037" customFormat="1" x14ac:dyDescent="0.3"/>
    <row r="61038" customFormat="1" x14ac:dyDescent="0.3"/>
    <row r="61039" customFormat="1" x14ac:dyDescent="0.3"/>
    <row r="61040" customFormat="1" x14ac:dyDescent="0.3"/>
    <row r="61041" customFormat="1" x14ac:dyDescent="0.3"/>
    <row r="61042" customFormat="1" x14ac:dyDescent="0.3"/>
    <row r="61043" customFormat="1" x14ac:dyDescent="0.3"/>
    <row r="61044" customFormat="1" x14ac:dyDescent="0.3"/>
    <row r="61045" customFormat="1" x14ac:dyDescent="0.3"/>
    <row r="61046" customFormat="1" x14ac:dyDescent="0.3"/>
    <row r="61047" customFormat="1" x14ac:dyDescent="0.3"/>
    <row r="61048" customFormat="1" x14ac:dyDescent="0.3"/>
    <row r="61049" customFormat="1" x14ac:dyDescent="0.3"/>
    <row r="61050" customFormat="1" x14ac:dyDescent="0.3"/>
    <row r="61051" customFormat="1" x14ac:dyDescent="0.3"/>
    <row r="61052" customFormat="1" x14ac:dyDescent="0.3"/>
    <row r="61053" customFormat="1" x14ac:dyDescent="0.3"/>
    <row r="61054" customFormat="1" x14ac:dyDescent="0.3"/>
    <row r="61055" customFormat="1" x14ac:dyDescent="0.3"/>
    <row r="61056" customFormat="1" x14ac:dyDescent="0.3"/>
    <row r="61057" customFormat="1" x14ac:dyDescent="0.3"/>
    <row r="61058" customFormat="1" x14ac:dyDescent="0.3"/>
    <row r="61059" customFormat="1" x14ac:dyDescent="0.3"/>
    <row r="61060" customFormat="1" x14ac:dyDescent="0.3"/>
    <row r="61061" customFormat="1" x14ac:dyDescent="0.3"/>
    <row r="61062" customFormat="1" x14ac:dyDescent="0.3"/>
    <row r="61063" customFormat="1" x14ac:dyDescent="0.3"/>
    <row r="61064" customFormat="1" x14ac:dyDescent="0.3"/>
    <row r="61065" customFormat="1" x14ac:dyDescent="0.3"/>
    <row r="61066" customFormat="1" x14ac:dyDescent="0.3"/>
    <row r="61067" customFormat="1" x14ac:dyDescent="0.3"/>
    <row r="61068" customFormat="1" x14ac:dyDescent="0.3"/>
    <row r="61069" customFormat="1" x14ac:dyDescent="0.3"/>
    <row r="61070" customFormat="1" x14ac:dyDescent="0.3"/>
    <row r="61071" customFormat="1" x14ac:dyDescent="0.3"/>
    <row r="61072" customFormat="1" x14ac:dyDescent="0.3"/>
    <row r="61073" customFormat="1" x14ac:dyDescent="0.3"/>
    <row r="61074" customFormat="1" x14ac:dyDescent="0.3"/>
    <row r="61075" customFormat="1" x14ac:dyDescent="0.3"/>
    <row r="61076" customFormat="1" x14ac:dyDescent="0.3"/>
    <row r="61077" customFormat="1" x14ac:dyDescent="0.3"/>
    <row r="61078" customFormat="1" x14ac:dyDescent="0.3"/>
    <row r="61079" customFormat="1" x14ac:dyDescent="0.3"/>
    <row r="61080" customFormat="1" x14ac:dyDescent="0.3"/>
    <row r="61081" customFormat="1" x14ac:dyDescent="0.3"/>
    <row r="61082" customFormat="1" x14ac:dyDescent="0.3"/>
    <row r="61083" customFormat="1" x14ac:dyDescent="0.3"/>
    <row r="61084" customFormat="1" x14ac:dyDescent="0.3"/>
    <row r="61085" customFormat="1" x14ac:dyDescent="0.3"/>
    <row r="61086" customFormat="1" x14ac:dyDescent="0.3"/>
    <row r="61087" customFormat="1" x14ac:dyDescent="0.3"/>
    <row r="61088" customFormat="1" x14ac:dyDescent="0.3"/>
    <row r="61089" customFormat="1" x14ac:dyDescent="0.3"/>
    <row r="61090" customFormat="1" x14ac:dyDescent="0.3"/>
    <row r="61091" customFormat="1" x14ac:dyDescent="0.3"/>
    <row r="61092" customFormat="1" x14ac:dyDescent="0.3"/>
    <row r="61093" customFormat="1" x14ac:dyDescent="0.3"/>
    <row r="61094" customFormat="1" x14ac:dyDescent="0.3"/>
    <row r="61095" customFormat="1" x14ac:dyDescent="0.3"/>
    <row r="61096" customFormat="1" x14ac:dyDescent="0.3"/>
    <row r="61097" customFormat="1" x14ac:dyDescent="0.3"/>
    <row r="61098" customFormat="1" x14ac:dyDescent="0.3"/>
    <row r="61099" customFormat="1" x14ac:dyDescent="0.3"/>
    <row r="61100" customFormat="1" x14ac:dyDescent="0.3"/>
    <row r="61101" customFormat="1" x14ac:dyDescent="0.3"/>
    <row r="61102" customFormat="1" x14ac:dyDescent="0.3"/>
    <row r="61103" customFormat="1" x14ac:dyDescent="0.3"/>
    <row r="61104" customFormat="1" x14ac:dyDescent="0.3"/>
    <row r="61105" customFormat="1" x14ac:dyDescent="0.3"/>
    <row r="61106" customFormat="1" x14ac:dyDescent="0.3"/>
    <row r="61107" customFormat="1" x14ac:dyDescent="0.3"/>
    <row r="61108" customFormat="1" x14ac:dyDescent="0.3"/>
    <row r="61109" customFormat="1" x14ac:dyDescent="0.3"/>
    <row r="61110" customFormat="1" x14ac:dyDescent="0.3"/>
    <row r="61111" customFormat="1" x14ac:dyDescent="0.3"/>
    <row r="61112" customFormat="1" x14ac:dyDescent="0.3"/>
    <row r="61113" customFormat="1" x14ac:dyDescent="0.3"/>
    <row r="61114" customFormat="1" x14ac:dyDescent="0.3"/>
    <row r="61115" customFormat="1" x14ac:dyDescent="0.3"/>
    <row r="61116" customFormat="1" x14ac:dyDescent="0.3"/>
    <row r="61117" customFormat="1" x14ac:dyDescent="0.3"/>
    <row r="61118" customFormat="1" x14ac:dyDescent="0.3"/>
    <row r="61119" customFormat="1" x14ac:dyDescent="0.3"/>
    <row r="61120" customFormat="1" x14ac:dyDescent="0.3"/>
    <row r="61121" customFormat="1" x14ac:dyDescent="0.3"/>
    <row r="61122" customFormat="1" x14ac:dyDescent="0.3"/>
    <row r="61123" customFormat="1" x14ac:dyDescent="0.3"/>
    <row r="61124" customFormat="1" x14ac:dyDescent="0.3"/>
    <row r="61125" customFormat="1" x14ac:dyDescent="0.3"/>
    <row r="61126" customFormat="1" x14ac:dyDescent="0.3"/>
    <row r="61127" customFormat="1" x14ac:dyDescent="0.3"/>
    <row r="61128" customFormat="1" x14ac:dyDescent="0.3"/>
    <row r="61129" customFormat="1" x14ac:dyDescent="0.3"/>
    <row r="61130" customFormat="1" x14ac:dyDescent="0.3"/>
    <row r="61131" customFormat="1" x14ac:dyDescent="0.3"/>
    <row r="61132" customFormat="1" x14ac:dyDescent="0.3"/>
    <row r="61133" customFormat="1" x14ac:dyDescent="0.3"/>
    <row r="61134" customFormat="1" x14ac:dyDescent="0.3"/>
    <row r="61135" customFormat="1" x14ac:dyDescent="0.3"/>
    <row r="61136" customFormat="1" x14ac:dyDescent="0.3"/>
    <row r="61137" customFormat="1" x14ac:dyDescent="0.3"/>
    <row r="61138" customFormat="1" x14ac:dyDescent="0.3"/>
    <row r="61139" customFormat="1" x14ac:dyDescent="0.3"/>
    <row r="61140" customFormat="1" x14ac:dyDescent="0.3"/>
    <row r="61141" customFormat="1" x14ac:dyDescent="0.3"/>
    <row r="61142" customFormat="1" x14ac:dyDescent="0.3"/>
    <row r="61143" customFormat="1" x14ac:dyDescent="0.3"/>
    <row r="61144" customFormat="1" x14ac:dyDescent="0.3"/>
    <row r="61145" customFormat="1" x14ac:dyDescent="0.3"/>
    <row r="61146" customFormat="1" x14ac:dyDescent="0.3"/>
    <row r="61147" customFormat="1" x14ac:dyDescent="0.3"/>
    <row r="61148" customFormat="1" x14ac:dyDescent="0.3"/>
    <row r="61149" customFormat="1" x14ac:dyDescent="0.3"/>
    <row r="61150" customFormat="1" x14ac:dyDescent="0.3"/>
    <row r="61151" customFormat="1" x14ac:dyDescent="0.3"/>
    <row r="61152" customFormat="1" x14ac:dyDescent="0.3"/>
    <row r="61153" customFormat="1" x14ac:dyDescent="0.3"/>
    <row r="61154" customFormat="1" x14ac:dyDescent="0.3"/>
    <row r="61155" customFormat="1" x14ac:dyDescent="0.3"/>
    <row r="61156" customFormat="1" x14ac:dyDescent="0.3"/>
    <row r="61157" customFormat="1" x14ac:dyDescent="0.3"/>
    <row r="61158" customFormat="1" x14ac:dyDescent="0.3"/>
    <row r="61159" customFormat="1" x14ac:dyDescent="0.3"/>
    <row r="61160" customFormat="1" x14ac:dyDescent="0.3"/>
    <row r="61161" customFormat="1" x14ac:dyDescent="0.3"/>
    <row r="61162" customFormat="1" x14ac:dyDescent="0.3"/>
    <row r="61163" customFormat="1" x14ac:dyDescent="0.3"/>
    <row r="61164" customFormat="1" x14ac:dyDescent="0.3"/>
    <row r="61165" customFormat="1" x14ac:dyDescent="0.3"/>
    <row r="61166" customFormat="1" x14ac:dyDescent="0.3"/>
    <row r="61167" customFormat="1" x14ac:dyDescent="0.3"/>
    <row r="61168" customFormat="1" x14ac:dyDescent="0.3"/>
    <row r="61169" customFormat="1" x14ac:dyDescent="0.3"/>
    <row r="61170" customFormat="1" x14ac:dyDescent="0.3"/>
    <row r="61171" customFormat="1" x14ac:dyDescent="0.3"/>
    <row r="61172" customFormat="1" x14ac:dyDescent="0.3"/>
    <row r="61173" customFormat="1" x14ac:dyDescent="0.3"/>
    <row r="61174" customFormat="1" x14ac:dyDescent="0.3"/>
    <row r="61175" customFormat="1" x14ac:dyDescent="0.3"/>
    <row r="61176" customFormat="1" x14ac:dyDescent="0.3"/>
    <row r="61177" customFormat="1" x14ac:dyDescent="0.3"/>
    <row r="61178" customFormat="1" x14ac:dyDescent="0.3"/>
    <row r="61179" customFormat="1" x14ac:dyDescent="0.3"/>
    <row r="61180" customFormat="1" x14ac:dyDescent="0.3"/>
    <row r="61181" customFormat="1" x14ac:dyDescent="0.3"/>
    <row r="61182" customFormat="1" x14ac:dyDescent="0.3"/>
    <row r="61183" customFormat="1" x14ac:dyDescent="0.3"/>
    <row r="61184" customFormat="1" x14ac:dyDescent="0.3"/>
    <row r="61185" customFormat="1" x14ac:dyDescent="0.3"/>
    <row r="61186" customFormat="1" x14ac:dyDescent="0.3"/>
    <row r="61187" customFormat="1" x14ac:dyDescent="0.3"/>
    <row r="61188" customFormat="1" x14ac:dyDescent="0.3"/>
    <row r="61189" customFormat="1" x14ac:dyDescent="0.3"/>
    <row r="61190" customFormat="1" x14ac:dyDescent="0.3"/>
    <row r="61191" customFormat="1" x14ac:dyDescent="0.3"/>
    <row r="61192" customFormat="1" x14ac:dyDescent="0.3"/>
    <row r="61193" customFormat="1" x14ac:dyDescent="0.3"/>
    <row r="61194" customFormat="1" x14ac:dyDescent="0.3"/>
    <row r="61195" customFormat="1" x14ac:dyDescent="0.3"/>
    <row r="61196" customFormat="1" x14ac:dyDescent="0.3"/>
    <row r="61197" customFormat="1" x14ac:dyDescent="0.3"/>
    <row r="61198" customFormat="1" x14ac:dyDescent="0.3"/>
    <row r="61199" customFormat="1" x14ac:dyDescent="0.3"/>
    <row r="61200" customFormat="1" x14ac:dyDescent="0.3"/>
    <row r="61201" customFormat="1" x14ac:dyDescent="0.3"/>
    <row r="61202" customFormat="1" x14ac:dyDescent="0.3"/>
    <row r="61203" customFormat="1" x14ac:dyDescent="0.3"/>
    <row r="61204" customFormat="1" x14ac:dyDescent="0.3"/>
    <row r="61205" customFormat="1" x14ac:dyDescent="0.3"/>
    <row r="61206" customFormat="1" x14ac:dyDescent="0.3"/>
    <row r="61207" customFormat="1" x14ac:dyDescent="0.3"/>
    <row r="61208" customFormat="1" x14ac:dyDescent="0.3"/>
    <row r="61209" customFormat="1" x14ac:dyDescent="0.3"/>
    <row r="61210" customFormat="1" x14ac:dyDescent="0.3"/>
    <row r="61211" customFormat="1" x14ac:dyDescent="0.3"/>
    <row r="61212" customFormat="1" x14ac:dyDescent="0.3"/>
    <row r="61213" customFormat="1" x14ac:dyDescent="0.3"/>
    <row r="61214" customFormat="1" x14ac:dyDescent="0.3"/>
    <row r="61215" customFormat="1" x14ac:dyDescent="0.3"/>
    <row r="61216" customFormat="1" x14ac:dyDescent="0.3"/>
    <row r="61217" customFormat="1" x14ac:dyDescent="0.3"/>
    <row r="61218" customFormat="1" x14ac:dyDescent="0.3"/>
    <row r="61219" customFormat="1" x14ac:dyDescent="0.3"/>
    <row r="61220" customFormat="1" x14ac:dyDescent="0.3"/>
    <row r="61221" customFormat="1" x14ac:dyDescent="0.3"/>
    <row r="61222" customFormat="1" x14ac:dyDescent="0.3"/>
    <row r="61223" customFormat="1" x14ac:dyDescent="0.3"/>
    <row r="61224" customFormat="1" x14ac:dyDescent="0.3"/>
    <row r="61225" customFormat="1" x14ac:dyDescent="0.3"/>
    <row r="61226" customFormat="1" x14ac:dyDescent="0.3"/>
    <row r="61227" customFormat="1" x14ac:dyDescent="0.3"/>
    <row r="61228" customFormat="1" x14ac:dyDescent="0.3"/>
    <row r="61229" customFormat="1" x14ac:dyDescent="0.3"/>
    <row r="61230" customFormat="1" x14ac:dyDescent="0.3"/>
    <row r="61231" customFormat="1" x14ac:dyDescent="0.3"/>
    <row r="61232" customFormat="1" x14ac:dyDescent="0.3"/>
    <row r="61233" customFormat="1" x14ac:dyDescent="0.3"/>
    <row r="61234" customFormat="1" x14ac:dyDescent="0.3"/>
    <row r="61235" customFormat="1" x14ac:dyDescent="0.3"/>
    <row r="61236" customFormat="1" x14ac:dyDescent="0.3"/>
    <row r="61237" customFormat="1" x14ac:dyDescent="0.3"/>
    <row r="61238" customFormat="1" x14ac:dyDescent="0.3"/>
    <row r="61239" customFormat="1" x14ac:dyDescent="0.3"/>
    <row r="61240" customFormat="1" x14ac:dyDescent="0.3"/>
    <row r="61241" customFormat="1" x14ac:dyDescent="0.3"/>
    <row r="61242" customFormat="1" x14ac:dyDescent="0.3"/>
    <row r="61243" customFormat="1" x14ac:dyDescent="0.3"/>
    <row r="61244" customFormat="1" x14ac:dyDescent="0.3"/>
    <row r="61245" customFormat="1" x14ac:dyDescent="0.3"/>
    <row r="61246" customFormat="1" x14ac:dyDescent="0.3"/>
    <row r="61247" customFormat="1" x14ac:dyDescent="0.3"/>
    <row r="61248" customFormat="1" x14ac:dyDescent="0.3"/>
    <row r="61249" customFormat="1" x14ac:dyDescent="0.3"/>
    <row r="61250" customFormat="1" x14ac:dyDescent="0.3"/>
    <row r="61251" customFormat="1" x14ac:dyDescent="0.3"/>
    <row r="61252" customFormat="1" x14ac:dyDescent="0.3"/>
    <row r="61253" customFormat="1" x14ac:dyDescent="0.3"/>
    <row r="61254" customFormat="1" x14ac:dyDescent="0.3"/>
    <row r="61255" customFormat="1" x14ac:dyDescent="0.3"/>
    <row r="61256" customFormat="1" x14ac:dyDescent="0.3"/>
    <row r="61257" customFormat="1" x14ac:dyDescent="0.3"/>
    <row r="61258" customFormat="1" x14ac:dyDescent="0.3"/>
    <row r="61259" customFormat="1" x14ac:dyDescent="0.3"/>
    <row r="61260" customFormat="1" x14ac:dyDescent="0.3"/>
    <row r="61261" customFormat="1" x14ac:dyDescent="0.3"/>
    <row r="61262" customFormat="1" x14ac:dyDescent="0.3"/>
    <row r="61263" customFormat="1" x14ac:dyDescent="0.3"/>
    <row r="61264" customFormat="1" x14ac:dyDescent="0.3"/>
    <row r="61265" customFormat="1" x14ac:dyDescent="0.3"/>
    <row r="61266" customFormat="1" x14ac:dyDescent="0.3"/>
    <row r="61267" customFormat="1" x14ac:dyDescent="0.3"/>
    <row r="61268" customFormat="1" x14ac:dyDescent="0.3"/>
    <row r="61269" customFormat="1" x14ac:dyDescent="0.3"/>
    <row r="61270" customFormat="1" x14ac:dyDescent="0.3"/>
    <row r="61271" customFormat="1" x14ac:dyDescent="0.3"/>
    <row r="61272" customFormat="1" x14ac:dyDescent="0.3"/>
    <row r="61273" customFormat="1" x14ac:dyDescent="0.3"/>
    <row r="61274" customFormat="1" x14ac:dyDescent="0.3"/>
    <row r="61275" customFormat="1" x14ac:dyDescent="0.3"/>
    <row r="61276" customFormat="1" x14ac:dyDescent="0.3"/>
    <row r="61277" customFormat="1" x14ac:dyDescent="0.3"/>
    <row r="61278" customFormat="1" x14ac:dyDescent="0.3"/>
    <row r="61279" customFormat="1" x14ac:dyDescent="0.3"/>
    <row r="61280" customFormat="1" x14ac:dyDescent="0.3"/>
    <row r="61281" customFormat="1" x14ac:dyDescent="0.3"/>
    <row r="61282" customFormat="1" x14ac:dyDescent="0.3"/>
    <row r="61283" customFormat="1" x14ac:dyDescent="0.3"/>
    <row r="61284" customFormat="1" x14ac:dyDescent="0.3"/>
    <row r="61285" customFormat="1" x14ac:dyDescent="0.3"/>
    <row r="61286" customFormat="1" x14ac:dyDescent="0.3"/>
    <row r="61287" customFormat="1" x14ac:dyDescent="0.3"/>
    <row r="61288" customFormat="1" x14ac:dyDescent="0.3"/>
    <row r="61289" customFormat="1" x14ac:dyDescent="0.3"/>
    <row r="61290" customFormat="1" x14ac:dyDescent="0.3"/>
    <row r="61291" customFormat="1" x14ac:dyDescent="0.3"/>
    <row r="61292" customFormat="1" x14ac:dyDescent="0.3"/>
    <row r="61293" customFormat="1" x14ac:dyDescent="0.3"/>
    <row r="61294" customFormat="1" x14ac:dyDescent="0.3"/>
    <row r="61295" customFormat="1" x14ac:dyDescent="0.3"/>
    <row r="61296" customFormat="1" x14ac:dyDescent="0.3"/>
    <row r="61297" customFormat="1" x14ac:dyDescent="0.3"/>
    <row r="61298" customFormat="1" x14ac:dyDescent="0.3"/>
    <row r="61299" customFormat="1" x14ac:dyDescent="0.3"/>
    <row r="61300" customFormat="1" x14ac:dyDescent="0.3"/>
    <row r="61301" customFormat="1" x14ac:dyDescent="0.3"/>
    <row r="61302" customFormat="1" x14ac:dyDescent="0.3"/>
    <row r="61303" customFormat="1" x14ac:dyDescent="0.3"/>
    <row r="61304" customFormat="1" x14ac:dyDescent="0.3"/>
    <row r="61305" customFormat="1" x14ac:dyDescent="0.3"/>
    <row r="61306" customFormat="1" x14ac:dyDescent="0.3"/>
    <row r="61307" customFormat="1" x14ac:dyDescent="0.3"/>
    <row r="61308" customFormat="1" x14ac:dyDescent="0.3"/>
    <row r="61309" customFormat="1" x14ac:dyDescent="0.3"/>
    <row r="61310" customFormat="1" x14ac:dyDescent="0.3"/>
    <row r="61311" customFormat="1" x14ac:dyDescent="0.3"/>
    <row r="61312" customFormat="1" x14ac:dyDescent="0.3"/>
    <row r="61313" customFormat="1" x14ac:dyDescent="0.3"/>
    <row r="61314" customFormat="1" x14ac:dyDescent="0.3"/>
    <row r="61315" customFormat="1" x14ac:dyDescent="0.3"/>
    <row r="61316" customFormat="1" x14ac:dyDescent="0.3"/>
    <row r="61317" customFormat="1" x14ac:dyDescent="0.3"/>
    <row r="61318" customFormat="1" x14ac:dyDescent="0.3"/>
    <row r="61319" customFormat="1" x14ac:dyDescent="0.3"/>
    <row r="61320" customFormat="1" x14ac:dyDescent="0.3"/>
    <row r="61321" customFormat="1" x14ac:dyDescent="0.3"/>
    <row r="61322" customFormat="1" x14ac:dyDescent="0.3"/>
    <row r="61323" customFormat="1" x14ac:dyDescent="0.3"/>
    <row r="61324" customFormat="1" x14ac:dyDescent="0.3"/>
    <row r="61325" customFormat="1" x14ac:dyDescent="0.3"/>
    <row r="61326" customFormat="1" x14ac:dyDescent="0.3"/>
    <row r="61327" customFormat="1" x14ac:dyDescent="0.3"/>
    <row r="61328" customFormat="1" x14ac:dyDescent="0.3"/>
    <row r="61329" customFormat="1" x14ac:dyDescent="0.3"/>
    <row r="61330" customFormat="1" x14ac:dyDescent="0.3"/>
    <row r="61331" customFormat="1" x14ac:dyDescent="0.3"/>
    <row r="61332" customFormat="1" x14ac:dyDescent="0.3"/>
    <row r="61333" customFormat="1" x14ac:dyDescent="0.3"/>
    <row r="61334" customFormat="1" x14ac:dyDescent="0.3"/>
    <row r="61335" customFormat="1" x14ac:dyDescent="0.3"/>
    <row r="61336" customFormat="1" x14ac:dyDescent="0.3"/>
    <row r="61337" customFormat="1" x14ac:dyDescent="0.3"/>
    <row r="61338" customFormat="1" x14ac:dyDescent="0.3"/>
    <row r="61339" customFormat="1" x14ac:dyDescent="0.3"/>
    <row r="61340" customFormat="1" x14ac:dyDescent="0.3"/>
    <row r="61341" customFormat="1" x14ac:dyDescent="0.3"/>
    <row r="61342" customFormat="1" x14ac:dyDescent="0.3"/>
    <row r="61343" customFormat="1" x14ac:dyDescent="0.3"/>
    <row r="61344" customFormat="1" x14ac:dyDescent="0.3"/>
    <row r="61345" customFormat="1" x14ac:dyDescent="0.3"/>
    <row r="61346" customFormat="1" x14ac:dyDescent="0.3"/>
    <row r="61347" customFormat="1" x14ac:dyDescent="0.3"/>
    <row r="61348" customFormat="1" x14ac:dyDescent="0.3"/>
    <row r="61349" customFormat="1" x14ac:dyDescent="0.3"/>
    <row r="61350" customFormat="1" x14ac:dyDescent="0.3"/>
    <row r="61351" customFormat="1" x14ac:dyDescent="0.3"/>
    <row r="61352" customFormat="1" x14ac:dyDescent="0.3"/>
    <row r="61353" customFormat="1" x14ac:dyDescent="0.3"/>
    <row r="61354" customFormat="1" x14ac:dyDescent="0.3"/>
    <row r="61355" customFormat="1" x14ac:dyDescent="0.3"/>
    <row r="61356" customFormat="1" x14ac:dyDescent="0.3"/>
    <row r="61357" customFormat="1" x14ac:dyDescent="0.3"/>
    <row r="61358" customFormat="1" x14ac:dyDescent="0.3"/>
    <row r="61359" customFormat="1" x14ac:dyDescent="0.3"/>
    <row r="61360" customFormat="1" x14ac:dyDescent="0.3"/>
    <row r="61361" customFormat="1" x14ac:dyDescent="0.3"/>
    <row r="61362" customFormat="1" x14ac:dyDescent="0.3"/>
    <row r="61363" customFormat="1" x14ac:dyDescent="0.3"/>
    <row r="61364" customFormat="1" x14ac:dyDescent="0.3"/>
    <row r="61365" customFormat="1" x14ac:dyDescent="0.3"/>
    <row r="61366" customFormat="1" x14ac:dyDescent="0.3"/>
    <row r="61367" customFormat="1" x14ac:dyDescent="0.3"/>
    <row r="61368" customFormat="1" x14ac:dyDescent="0.3"/>
    <row r="61369" customFormat="1" x14ac:dyDescent="0.3"/>
    <row r="61370" customFormat="1" x14ac:dyDescent="0.3"/>
    <row r="61371" customFormat="1" x14ac:dyDescent="0.3"/>
    <row r="61372" customFormat="1" x14ac:dyDescent="0.3"/>
    <row r="61373" customFormat="1" x14ac:dyDescent="0.3"/>
    <row r="61374" customFormat="1" x14ac:dyDescent="0.3"/>
    <row r="61375" customFormat="1" x14ac:dyDescent="0.3"/>
    <row r="61376" customFormat="1" x14ac:dyDescent="0.3"/>
    <row r="61377" customFormat="1" x14ac:dyDescent="0.3"/>
    <row r="61378" customFormat="1" x14ac:dyDescent="0.3"/>
    <row r="61379" customFormat="1" x14ac:dyDescent="0.3"/>
    <row r="61380" customFormat="1" x14ac:dyDescent="0.3"/>
    <row r="61381" customFormat="1" x14ac:dyDescent="0.3"/>
    <row r="61382" customFormat="1" x14ac:dyDescent="0.3"/>
    <row r="61383" customFormat="1" x14ac:dyDescent="0.3"/>
    <row r="61384" customFormat="1" x14ac:dyDescent="0.3"/>
    <row r="61385" customFormat="1" x14ac:dyDescent="0.3"/>
    <row r="61386" customFormat="1" x14ac:dyDescent="0.3"/>
    <row r="61387" customFormat="1" x14ac:dyDescent="0.3"/>
    <row r="61388" customFormat="1" x14ac:dyDescent="0.3"/>
    <row r="61389" customFormat="1" x14ac:dyDescent="0.3"/>
    <row r="61390" customFormat="1" x14ac:dyDescent="0.3"/>
    <row r="61391" customFormat="1" x14ac:dyDescent="0.3"/>
    <row r="61392" customFormat="1" x14ac:dyDescent="0.3"/>
    <row r="61393" customFormat="1" x14ac:dyDescent="0.3"/>
    <row r="61394" customFormat="1" x14ac:dyDescent="0.3"/>
    <row r="61395" customFormat="1" x14ac:dyDescent="0.3"/>
    <row r="61396" customFormat="1" x14ac:dyDescent="0.3"/>
    <row r="61397" customFormat="1" x14ac:dyDescent="0.3"/>
    <row r="61398" customFormat="1" x14ac:dyDescent="0.3"/>
    <row r="61399" customFormat="1" x14ac:dyDescent="0.3"/>
    <row r="61400" customFormat="1" x14ac:dyDescent="0.3"/>
    <row r="61401" customFormat="1" x14ac:dyDescent="0.3"/>
    <row r="61402" customFormat="1" x14ac:dyDescent="0.3"/>
    <row r="61403" customFormat="1" x14ac:dyDescent="0.3"/>
    <row r="61404" customFormat="1" x14ac:dyDescent="0.3"/>
    <row r="61405" customFormat="1" x14ac:dyDescent="0.3"/>
    <row r="61406" customFormat="1" x14ac:dyDescent="0.3"/>
    <row r="61407" customFormat="1" x14ac:dyDescent="0.3"/>
    <row r="61408" customFormat="1" x14ac:dyDescent="0.3"/>
    <row r="61409" customFormat="1" x14ac:dyDescent="0.3"/>
    <row r="61410" customFormat="1" x14ac:dyDescent="0.3"/>
    <row r="61411" customFormat="1" x14ac:dyDescent="0.3"/>
    <row r="61412" customFormat="1" x14ac:dyDescent="0.3"/>
    <row r="61413" customFormat="1" x14ac:dyDescent="0.3"/>
    <row r="61414" customFormat="1" x14ac:dyDescent="0.3"/>
    <row r="61415" customFormat="1" x14ac:dyDescent="0.3"/>
    <row r="61416" customFormat="1" x14ac:dyDescent="0.3"/>
    <row r="61417" customFormat="1" x14ac:dyDescent="0.3"/>
    <row r="61418" customFormat="1" x14ac:dyDescent="0.3"/>
    <row r="61419" customFormat="1" x14ac:dyDescent="0.3"/>
    <row r="61420" customFormat="1" x14ac:dyDescent="0.3"/>
    <row r="61421" customFormat="1" x14ac:dyDescent="0.3"/>
    <row r="61422" customFormat="1" x14ac:dyDescent="0.3"/>
    <row r="61423" customFormat="1" x14ac:dyDescent="0.3"/>
    <row r="61424" customFormat="1" x14ac:dyDescent="0.3"/>
    <row r="61425" customFormat="1" x14ac:dyDescent="0.3"/>
    <row r="61426" customFormat="1" x14ac:dyDescent="0.3"/>
    <row r="61427" customFormat="1" x14ac:dyDescent="0.3"/>
    <row r="61428" customFormat="1" x14ac:dyDescent="0.3"/>
    <row r="61429" customFormat="1" x14ac:dyDescent="0.3"/>
    <row r="61430" customFormat="1" x14ac:dyDescent="0.3"/>
    <row r="61431" customFormat="1" x14ac:dyDescent="0.3"/>
    <row r="61432" customFormat="1" x14ac:dyDescent="0.3"/>
    <row r="61433" customFormat="1" x14ac:dyDescent="0.3"/>
    <row r="61434" customFormat="1" x14ac:dyDescent="0.3"/>
    <row r="61435" customFormat="1" x14ac:dyDescent="0.3"/>
    <row r="61436" customFormat="1" x14ac:dyDescent="0.3"/>
    <row r="61437" customFormat="1" x14ac:dyDescent="0.3"/>
    <row r="61438" customFormat="1" x14ac:dyDescent="0.3"/>
    <row r="61439" customFormat="1" x14ac:dyDescent="0.3"/>
    <row r="61440" customFormat="1" x14ac:dyDescent="0.3"/>
    <row r="61441" customFormat="1" x14ac:dyDescent="0.3"/>
    <row r="61442" customFormat="1" x14ac:dyDescent="0.3"/>
    <row r="61443" customFormat="1" x14ac:dyDescent="0.3"/>
    <row r="61444" customFormat="1" x14ac:dyDescent="0.3"/>
    <row r="61445" customFormat="1" x14ac:dyDescent="0.3"/>
    <row r="61446" customFormat="1" x14ac:dyDescent="0.3"/>
    <row r="61447" customFormat="1" x14ac:dyDescent="0.3"/>
    <row r="61448" customFormat="1" x14ac:dyDescent="0.3"/>
    <row r="61449" customFormat="1" x14ac:dyDescent="0.3"/>
    <row r="61450" customFormat="1" x14ac:dyDescent="0.3"/>
    <row r="61451" customFormat="1" x14ac:dyDescent="0.3"/>
    <row r="61452" customFormat="1" x14ac:dyDescent="0.3"/>
    <row r="61453" customFormat="1" x14ac:dyDescent="0.3"/>
    <row r="61454" customFormat="1" x14ac:dyDescent="0.3"/>
    <row r="61455" customFormat="1" x14ac:dyDescent="0.3"/>
    <row r="61456" customFormat="1" x14ac:dyDescent="0.3"/>
    <row r="61457" customFormat="1" x14ac:dyDescent="0.3"/>
    <row r="61458" customFormat="1" x14ac:dyDescent="0.3"/>
    <row r="61459" customFormat="1" x14ac:dyDescent="0.3"/>
    <row r="61460" customFormat="1" x14ac:dyDescent="0.3"/>
    <row r="61461" customFormat="1" x14ac:dyDescent="0.3"/>
    <row r="61462" customFormat="1" x14ac:dyDescent="0.3"/>
    <row r="61463" customFormat="1" x14ac:dyDescent="0.3"/>
    <row r="61464" customFormat="1" x14ac:dyDescent="0.3"/>
    <row r="61465" customFormat="1" x14ac:dyDescent="0.3"/>
    <row r="61466" customFormat="1" x14ac:dyDescent="0.3"/>
    <row r="61467" customFormat="1" x14ac:dyDescent="0.3"/>
    <row r="61468" customFormat="1" x14ac:dyDescent="0.3"/>
    <row r="61469" customFormat="1" x14ac:dyDescent="0.3"/>
    <row r="61470" customFormat="1" x14ac:dyDescent="0.3"/>
    <row r="61471" customFormat="1" x14ac:dyDescent="0.3"/>
    <row r="61472" customFormat="1" x14ac:dyDescent="0.3"/>
    <row r="61473" customFormat="1" x14ac:dyDescent="0.3"/>
    <row r="61474" customFormat="1" x14ac:dyDescent="0.3"/>
    <row r="61475" customFormat="1" x14ac:dyDescent="0.3"/>
    <row r="61476" customFormat="1" x14ac:dyDescent="0.3"/>
    <row r="61477" customFormat="1" x14ac:dyDescent="0.3"/>
    <row r="61478" customFormat="1" x14ac:dyDescent="0.3"/>
    <row r="61479" customFormat="1" x14ac:dyDescent="0.3"/>
    <row r="61480" customFormat="1" x14ac:dyDescent="0.3"/>
    <row r="61481" customFormat="1" x14ac:dyDescent="0.3"/>
    <row r="61482" customFormat="1" x14ac:dyDescent="0.3"/>
    <row r="61483" customFormat="1" x14ac:dyDescent="0.3"/>
    <row r="61484" customFormat="1" x14ac:dyDescent="0.3"/>
    <row r="61485" customFormat="1" x14ac:dyDescent="0.3"/>
    <row r="61486" customFormat="1" x14ac:dyDescent="0.3"/>
    <row r="61487" customFormat="1" x14ac:dyDescent="0.3"/>
    <row r="61488" customFormat="1" x14ac:dyDescent="0.3"/>
    <row r="61489" customFormat="1" x14ac:dyDescent="0.3"/>
    <row r="61490" customFormat="1" x14ac:dyDescent="0.3"/>
    <row r="61491" customFormat="1" x14ac:dyDescent="0.3"/>
    <row r="61492" customFormat="1" x14ac:dyDescent="0.3"/>
    <row r="61493" customFormat="1" x14ac:dyDescent="0.3"/>
    <row r="61494" customFormat="1" x14ac:dyDescent="0.3"/>
    <row r="61495" customFormat="1" x14ac:dyDescent="0.3"/>
    <row r="61496" customFormat="1" x14ac:dyDescent="0.3"/>
    <row r="61497" customFormat="1" x14ac:dyDescent="0.3"/>
    <row r="61498" customFormat="1" x14ac:dyDescent="0.3"/>
    <row r="61499" customFormat="1" x14ac:dyDescent="0.3"/>
    <row r="61500" customFormat="1" x14ac:dyDescent="0.3"/>
    <row r="61501" customFormat="1" x14ac:dyDescent="0.3"/>
    <row r="61502" customFormat="1" x14ac:dyDescent="0.3"/>
    <row r="61503" customFormat="1" x14ac:dyDescent="0.3"/>
    <row r="61504" customFormat="1" x14ac:dyDescent="0.3"/>
    <row r="61505" customFormat="1" x14ac:dyDescent="0.3"/>
    <row r="61506" customFormat="1" x14ac:dyDescent="0.3"/>
    <row r="61507" customFormat="1" x14ac:dyDescent="0.3"/>
    <row r="61508" customFormat="1" x14ac:dyDescent="0.3"/>
    <row r="61509" customFormat="1" x14ac:dyDescent="0.3"/>
    <row r="61510" customFormat="1" x14ac:dyDescent="0.3"/>
    <row r="61511" customFormat="1" x14ac:dyDescent="0.3"/>
    <row r="61512" customFormat="1" x14ac:dyDescent="0.3"/>
    <row r="61513" customFormat="1" x14ac:dyDescent="0.3"/>
    <row r="61514" customFormat="1" x14ac:dyDescent="0.3"/>
    <row r="61515" customFormat="1" x14ac:dyDescent="0.3"/>
    <row r="61516" customFormat="1" x14ac:dyDescent="0.3"/>
    <row r="61517" customFormat="1" x14ac:dyDescent="0.3"/>
    <row r="61518" customFormat="1" x14ac:dyDescent="0.3"/>
    <row r="61519" customFormat="1" x14ac:dyDescent="0.3"/>
    <row r="61520" customFormat="1" x14ac:dyDescent="0.3"/>
    <row r="61521" customFormat="1" x14ac:dyDescent="0.3"/>
    <row r="61522" customFormat="1" x14ac:dyDescent="0.3"/>
    <row r="61523" customFormat="1" x14ac:dyDescent="0.3"/>
    <row r="61524" customFormat="1" x14ac:dyDescent="0.3"/>
    <row r="61525" customFormat="1" x14ac:dyDescent="0.3"/>
    <row r="61526" customFormat="1" x14ac:dyDescent="0.3"/>
    <row r="61527" customFormat="1" x14ac:dyDescent="0.3"/>
    <row r="61528" customFormat="1" x14ac:dyDescent="0.3"/>
    <row r="61529" customFormat="1" x14ac:dyDescent="0.3"/>
    <row r="61530" customFormat="1" x14ac:dyDescent="0.3"/>
    <row r="61531" customFormat="1" x14ac:dyDescent="0.3"/>
    <row r="61532" customFormat="1" x14ac:dyDescent="0.3"/>
    <row r="61533" customFormat="1" x14ac:dyDescent="0.3"/>
    <row r="61534" customFormat="1" x14ac:dyDescent="0.3"/>
    <row r="61535" customFormat="1" x14ac:dyDescent="0.3"/>
    <row r="61536" customFormat="1" x14ac:dyDescent="0.3"/>
    <row r="61537" customFormat="1" x14ac:dyDescent="0.3"/>
    <row r="61538" customFormat="1" x14ac:dyDescent="0.3"/>
    <row r="61539" customFormat="1" x14ac:dyDescent="0.3"/>
    <row r="61540" customFormat="1" x14ac:dyDescent="0.3"/>
    <row r="61541" customFormat="1" x14ac:dyDescent="0.3"/>
    <row r="61542" customFormat="1" x14ac:dyDescent="0.3"/>
    <row r="61543" customFormat="1" x14ac:dyDescent="0.3"/>
    <row r="61544" customFormat="1" x14ac:dyDescent="0.3"/>
    <row r="61545" customFormat="1" x14ac:dyDescent="0.3"/>
    <row r="61546" customFormat="1" x14ac:dyDescent="0.3"/>
    <row r="61547" customFormat="1" x14ac:dyDescent="0.3"/>
    <row r="61548" customFormat="1" x14ac:dyDescent="0.3"/>
    <row r="61549" customFormat="1" x14ac:dyDescent="0.3"/>
    <row r="61550" customFormat="1" x14ac:dyDescent="0.3"/>
    <row r="61551" customFormat="1" x14ac:dyDescent="0.3"/>
    <row r="61552" customFormat="1" x14ac:dyDescent="0.3"/>
    <row r="61553" customFormat="1" x14ac:dyDescent="0.3"/>
    <row r="61554" customFormat="1" x14ac:dyDescent="0.3"/>
    <row r="61555" customFormat="1" x14ac:dyDescent="0.3"/>
    <row r="61556" customFormat="1" x14ac:dyDescent="0.3"/>
    <row r="61557" customFormat="1" x14ac:dyDescent="0.3"/>
    <row r="61558" customFormat="1" x14ac:dyDescent="0.3"/>
    <row r="61559" customFormat="1" x14ac:dyDescent="0.3"/>
    <row r="61560" customFormat="1" x14ac:dyDescent="0.3"/>
    <row r="61561" customFormat="1" x14ac:dyDescent="0.3"/>
    <row r="61562" customFormat="1" x14ac:dyDescent="0.3"/>
    <row r="61563" customFormat="1" x14ac:dyDescent="0.3"/>
    <row r="61564" customFormat="1" x14ac:dyDescent="0.3"/>
    <row r="61565" customFormat="1" x14ac:dyDescent="0.3"/>
    <row r="61566" customFormat="1" x14ac:dyDescent="0.3"/>
    <row r="61567" customFormat="1" x14ac:dyDescent="0.3"/>
    <row r="61568" customFormat="1" x14ac:dyDescent="0.3"/>
    <row r="61569" customFormat="1" x14ac:dyDescent="0.3"/>
    <row r="61570" customFormat="1" x14ac:dyDescent="0.3"/>
    <row r="61571" customFormat="1" x14ac:dyDescent="0.3"/>
    <row r="61572" customFormat="1" x14ac:dyDescent="0.3"/>
    <row r="61573" customFormat="1" x14ac:dyDescent="0.3"/>
    <row r="61574" customFormat="1" x14ac:dyDescent="0.3"/>
    <row r="61575" customFormat="1" x14ac:dyDescent="0.3"/>
    <row r="61576" customFormat="1" x14ac:dyDescent="0.3"/>
    <row r="61577" customFormat="1" x14ac:dyDescent="0.3"/>
    <row r="61578" customFormat="1" x14ac:dyDescent="0.3"/>
    <row r="61579" customFormat="1" x14ac:dyDescent="0.3"/>
    <row r="61580" customFormat="1" x14ac:dyDescent="0.3"/>
    <row r="61581" customFormat="1" x14ac:dyDescent="0.3"/>
    <row r="61582" customFormat="1" x14ac:dyDescent="0.3"/>
    <row r="61583" customFormat="1" x14ac:dyDescent="0.3"/>
    <row r="61584" customFormat="1" x14ac:dyDescent="0.3"/>
    <row r="61585" customFormat="1" x14ac:dyDescent="0.3"/>
    <row r="61586" customFormat="1" x14ac:dyDescent="0.3"/>
    <row r="61587" customFormat="1" x14ac:dyDescent="0.3"/>
    <row r="61588" customFormat="1" x14ac:dyDescent="0.3"/>
    <row r="61589" customFormat="1" x14ac:dyDescent="0.3"/>
    <row r="61590" customFormat="1" x14ac:dyDescent="0.3"/>
    <row r="61591" customFormat="1" x14ac:dyDescent="0.3"/>
    <row r="61592" customFormat="1" x14ac:dyDescent="0.3"/>
    <row r="61593" customFormat="1" x14ac:dyDescent="0.3"/>
    <row r="61594" customFormat="1" x14ac:dyDescent="0.3"/>
    <row r="61595" customFormat="1" x14ac:dyDescent="0.3"/>
    <row r="61596" customFormat="1" x14ac:dyDescent="0.3"/>
    <row r="61597" customFormat="1" x14ac:dyDescent="0.3"/>
    <row r="61598" customFormat="1" x14ac:dyDescent="0.3"/>
    <row r="61599" customFormat="1" x14ac:dyDescent="0.3"/>
    <row r="61600" customFormat="1" x14ac:dyDescent="0.3"/>
    <row r="61601" customFormat="1" x14ac:dyDescent="0.3"/>
    <row r="61602" customFormat="1" x14ac:dyDescent="0.3"/>
    <row r="61603" customFormat="1" x14ac:dyDescent="0.3"/>
    <row r="61604" customFormat="1" x14ac:dyDescent="0.3"/>
    <row r="61605" customFormat="1" x14ac:dyDescent="0.3"/>
    <row r="61606" customFormat="1" x14ac:dyDescent="0.3"/>
    <row r="61607" customFormat="1" x14ac:dyDescent="0.3"/>
    <row r="61608" customFormat="1" x14ac:dyDescent="0.3"/>
    <row r="61609" customFormat="1" x14ac:dyDescent="0.3"/>
    <row r="61610" customFormat="1" x14ac:dyDescent="0.3"/>
    <row r="61611" customFormat="1" x14ac:dyDescent="0.3"/>
    <row r="61612" customFormat="1" x14ac:dyDescent="0.3"/>
    <row r="61613" customFormat="1" x14ac:dyDescent="0.3"/>
    <row r="61614" customFormat="1" x14ac:dyDescent="0.3"/>
    <row r="61615" customFormat="1" x14ac:dyDescent="0.3"/>
    <row r="61616" customFormat="1" x14ac:dyDescent="0.3"/>
    <row r="61617" customFormat="1" x14ac:dyDescent="0.3"/>
    <row r="61618" customFormat="1" x14ac:dyDescent="0.3"/>
    <row r="61619" customFormat="1" x14ac:dyDescent="0.3"/>
    <row r="61620" customFormat="1" x14ac:dyDescent="0.3"/>
    <row r="61621" customFormat="1" x14ac:dyDescent="0.3"/>
    <row r="61622" customFormat="1" x14ac:dyDescent="0.3"/>
    <row r="61623" customFormat="1" x14ac:dyDescent="0.3"/>
    <row r="61624" customFormat="1" x14ac:dyDescent="0.3"/>
    <row r="61625" customFormat="1" x14ac:dyDescent="0.3"/>
    <row r="61626" customFormat="1" x14ac:dyDescent="0.3"/>
    <row r="61627" customFormat="1" x14ac:dyDescent="0.3"/>
    <row r="61628" customFormat="1" x14ac:dyDescent="0.3"/>
    <row r="61629" customFormat="1" x14ac:dyDescent="0.3"/>
    <row r="61630" customFormat="1" x14ac:dyDescent="0.3"/>
    <row r="61631" customFormat="1" x14ac:dyDescent="0.3"/>
    <row r="61632" customFormat="1" x14ac:dyDescent="0.3"/>
    <row r="61633" customFormat="1" x14ac:dyDescent="0.3"/>
    <row r="61634" customFormat="1" x14ac:dyDescent="0.3"/>
    <row r="61635" customFormat="1" x14ac:dyDescent="0.3"/>
    <row r="61636" customFormat="1" x14ac:dyDescent="0.3"/>
    <row r="61637" customFormat="1" x14ac:dyDescent="0.3"/>
    <row r="61638" customFormat="1" x14ac:dyDescent="0.3"/>
    <row r="61639" customFormat="1" x14ac:dyDescent="0.3"/>
    <row r="61640" customFormat="1" x14ac:dyDescent="0.3"/>
    <row r="61641" customFormat="1" x14ac:dyDescent="0.3"/>
    <row r="61642" customFormat="1" x14ac:dyDescent="0.3"/>
    <row r="61643" customFormat="1" x14ac:dyDescent="0.3"/>
    <row r="61644" customFormat="1" x14ac:dyDescent="0.3"/>
    <row r="61645" customFormat="1" x14ac:dyDescent="0.3"/>
    <row r="61646" customFormat="1" x14ac:dyDescent="0.3"/>
    <row r="61647" customFormat="1" x14ac:dyDescent="0.3"/>
    <row r="61648" customFormat="1" x14ac:dyDescent="0.3"/>
    <row r="61649" customFormat="1" x14ac:dyDescent="0.3"/>
    <row r="61650" customFormat="1" x14ac:dyDescent="0.3"/>
    <row r="61651" customFormat="1" x14ac:dyDescent="0.3"/>
    <row r="61652" customFormat="1" x14ac:dyDescent="0.3"/>
    <row r="61653" customFormat="1" x14ac:dyDescent="0.3"/>
    <row r="61654" customFormat="1" x14ac:dyDescent="0.3"/>
    <row r="61655" customFormat="1" x14ac:dyDescent="0.3"/>
    <row r="61656" customFormat="1" x14ac:dyDescent="0.3"/>
    <row r="61657" customFormat="1" x14ac:dyDescent="0.3"/>
    <row r="61658" customFormat="1" x14ac:dyDescent="0.3"/>
    <row r="61659" customFormat="1" x14ac:dyDescent="0.3"/>
    <row r="61660" customFormat="1" x14ac:dyDescent="0.3"/>
    <row r="61661" customFormat="1" x14ac:dyDescent="0.3"/>
    <row r="61662" customFormat="1" x14ac:dyDescent="0.3"/>
    <row r="61663" customFormat="1" x14ac:dyDescent="0.3"/>
    <row r="61664" customFormat="1" x14ac:dyDescent="0.3"/>
    <row r="61665" customFormat="1" x14ac:dyDescent="0.3"/>
    <row r="61666" customFormat="1" x14ac:dyDescent="0.3"/>
    <row r="61667" customFormat="1" x14ac:dyDescent="0.3"/>
    <row r="61668" customFormat="1" x14ac:dyDescent="0.3"/>
    <row r="61669" customFormat="1" x14ac:dyDescent="0.3"/>
    <row r="61670" customFormat="1" x14ac:dyDescent="0.3"/>
    <row r="61671" customFormat="1" x14ac:dyDescent="0.3"/>
    <row r="61672" customFormat="1" x14ac:dyDescent="0.3"/>
    <row r="61673" customFormat="1" x14ac:dyDescent="0.3"/>
    <row r="61674" customFormat="1" x14ac:dyDescent="0.3"/>
    <row r="61675" customFormat="1" x14ac:dyDescent="0.3"/>
    <row r="61676" customFormat="1" x14ac:dyDescent="0.3"/>
    <row r="61677" customFormat="1" x14ac:dyDescent="0.3"/>
    <row r="61678" customFormat="1" x14ac:dyDescent="0.3"/>
    <row r="61679" customFormat="1" x14ac:dyDescent="0.3"/>
    <row r="61680" customFormat="1" x14ac:dyDescent="0.3"/>
    <row r="61681" customFormat="1" x14ac:dyDescent="0.3"/>
    <row r="61682" customFormat="1" x14ac:dyDescent="0.3"/>
    <row r="61683" customFormat="1" x14ac:dyDescent="0.3"/>
    <row r="61684" customFormat="1" x14ac:dyDescent="0.3"/>
    <row r="61685" customFormat="1" x14ac:dyDescent="0.3"/>
    <row r="61686" customFormat="1" x14ac:dyDescent="0.3"/>
    <row r="61687" customFormat="1" x14ac:dyDescent="0.3"/>
    <row r="61688" customFormat="1" x14ac:dyDescent="0.3"/>
    <row r="61689" customFormat="1" x14ac:dyDescent="0.3"/>
    <row r="61690" customFormat="1" x14ac:dyDescent="0.3"/>
    <row r="61691" customFormat="1" x14ac:dyDescent="0.3"/>
    <row r="61692" customFormat="1" x14ac:dyDescent="0.3"/>
    <row r="61693" customFormat="1" x14ac:dyDescent="0.3"/>
    <row r="61694" customFormat="1" x14ac:dyDescent="0.3"/>
    <row r="61695" customFormat="1" x14ac:dyDescent="0.3"/>
    <row r="61696" customFormat="1" x14ac:dyDescent="0.3"/>
    <row r="61697" customFormat="1" x14ac:dyDescent="0.3"/>
    <row r="61698" customFormat="1" x14ac:dyDescent="0.3"/>
    <row r="61699" customFormat="1" x14ac:dyDescent="0.3"/>
    <row r="61700" customFormat="1" x14ac:dyDescent="0.3"/>
    <row r="61701" customFormat="1" x14ac:dyDescent="0.3"/>
    <row r="61702" customFormat="1" x14ac:dyDescent="0.3"/>
    <row r="61703" customFormat="1" x14ac:dyDescent="0.3"/>
    <row r="61704" customFormat="1" x14ac:dyDescent="0.3"/>
    <row r="61705" customFormat="1" x14ac:dyDescent="0.3"/>
    <row r="61706" customFormat="1" x14ac:dyDescent="0.3"/>
    <row r="61707" customFormat="1" x14ac:dyDescent="0.3"/>
    <row r="61708" customFormat="1" x14ac:dyDescent="0.3"/>
    <row r="61709" customFormat="1" x14ac:dyDescent="0.3"/>
    <row r="61710" customFormat="1" x14ac:dyDescent="0.3"/>
    <row r="61711" customFormat="1" x14ac:dyDescent="0.3"/>
    <row r="61712" customFormat="1" x14ac:dyDescent="0.3"/>
    <row r="61713" customFormat="1" x14ac:dyDescent="0.3"/>
    <row r="61714" customFormat="1" x14ac:dyDescent="0.3"/>
    <row r="61715" customFormat="1" x14ac:dyDescent="0.3"/>
    <row r="61716" customFormat="1" x14ac:dyDescent="0.3"/>
    <row r="61717" customFormat="1" x14ac:dyDescent="0.3"/>
    <row r="61718" customFormat="1" x14ac:dyDescent="0.3"/>
    <row r="61719" customFormat="1" x14ac:dyDescent="0.3"/>
    <row r="61720" customFormat="1" x14ac:dyDescent="0.3"/>
    <row r="61721" customFormat="1" x14ac:dyDescent="0.3"/>
    <row r="61722" customFormat="1" x14ac:dyDescent="0.3"/>
    <row r="61723" customFormat="1" x14ac:dyDescent="0.3"/>
    <row r="61724" customFormat="1" x14ac:dyDescent="0.3"/>
    <row r="61725" customFormat="1" x14ac:dyDescent="0.3"/>
    <row r="61726" customFormat="1" x14ac:dyDescent="0.3"/>
    <row r="61727" customFormat="1" x14ac:dyDescent="0.3"/>
    <row r="61728" customFormat="1" x14ac:dyDescent="0.3"/>
    <row r="61729" customFormat="1" x14ac:dyDescent="0.3"/>
    <row r="61730" customFormat="1" x14ac:dyDescent="0.3"/>
    <row r="61731" customFormat="1" x14ac:dyDescent="0.3"/>
    <row r="61732" customFormat="1" x14ac:dyDescent="0.3"/>
    <row r="61733" customFormat="1" x14ac:dyDescent="0.3"/>
    <row r="61734" customFormat="1" x14ac:dyDescent="0.3"/>
    <row r="61735" customFormat="1" x14ac:dyDescent="0.3"/>
    <row r="61736" customFormat="1" x14ac:dyDescent="0.3"/>
    <row r="61737" customFormat="1" x14ac:dyDescent="0.3"/>
    <row r="61738" customFormat="1" x14ac:dyDescent="0.3"/>
    <row r="61739" customFormat="1" x14ac:dyDescent="0.3"/>
    <row r="61740" customFormat="1" x14ac:dyDescent="0.3"/>
    <row r="61741" customFormat="1" x14ac:dyDescent="0.3"/>
    <row r="61742" customFormat="1" x14ac:dyDescent="0.3"/>
    <row r="61743" customFormat="1" x14ac:dyDescent="0.3"/>
    <row r="61744" customFormat="1" x14ac:dyDescent="0.3"/>
    <row r="61745" customFormat="1" x14ac:dyDescent="0.3"/>
    <row r="61746" customFormat="1" x14ac:dyDescent="0.3"/>
    <row r="61747" customFormat="1" x14ac:dyDescent="0.3"/>
    <row r="61748" customFormat="1" x14ac:dyDescent="0.3"/>
    <row r="61749" customFormat="1" x14ac:dyDescent="0.3"/>
    <row r="61750" customFormat="1" x14ac:dyDescent="0.3"/>
    <row r="61751" customFormat="1" x14ac:dyDescent="0.3"/>
    <row r="61752" customFormat="1" x14ac:dyDescent="0.3"/>
    <row r="61753" customFormat="1" x14ac:dyDescent="0.3"/>
    <row r="61754" customFormat="1" x14ac:dyDescent="0.3"/>
    <row r="61755" customFormat="1" x14ac:dyDescent="0.3"/>
    <row r="61756" customFormat="1" x14ac:dyDescent="0.3"/>
    <row r="61757" customFormat="1" x14ac:dyDescent="0.3"/>
    <row r="61758" customFormat="1" x14ac:dyDescent="0.3"/>
    <row r="61759" customFormat="1" x14ac:dyDescent="0.3"/>
    <row r="61760" customFormat="1" x14ac:dyDescent="0.3"/>
    <row r="61761" customFormat="1" x14ac:dyDescent="0.3"/>
    <row r="61762" customFormat="1" x14ac:dyDescent="0.3"/>
    <row r="61763" customFormat="1" x14ac:dyDescent="0.3"/>
    <row r="61764" customFormat="1" x14ac:dyDescent="0.3"/>
    <row r="61765" customFormat="1" x14ac:dyDescent="0.3"/>
    <row r="61766" customFormat="1" x14ac:dyDescent="0.3"/>
    <row r="61767" customFormat="1" x14ac:dyDescent="0.3"/>
    <row r="61768" customFormat="1" x14ac:dyDescent="0.3"/>
    <row r="61769" customFormat="1" x14ac:dyDescent="0.3"/>
    <row r="61770" customFormat="1" x14ac:dyDescent="0.3"/>
    <row r="61771" customFormat="1" x14ac:dyDescent="0.3"/>
    <row r="61772" customFormat="1" x14ac:dyDescent="0.3"/>
    <row r="61773" customFormat="1" x14ac:dyDescent="0.3"/>
    <row r="61774" customFormat="1" x14ac:dyDescent="0.3"/>
    <row r="61775" customFormat="1" x14ac:dyDescent="0.3"/>
    <row r="61776" customFormat="1" x14ac:dyDescent="0.3"/>
    <row r="61777" customFormat="1" x14ac:dyDescent="0.3"/>
    <row r="61778" customFormat="1" x14ac:dyDescent="0.3"/>
    <row r="61779" customFormat="1" x14ac:dyDescent="0.3"/>
    <row r="61780" customFormat="1" x14ac:dyDescent="0.3"/>
    <row r="61781" customFormat="1" x14ac:dyDescent="0.3"/>
    <row r="61782" customFormat="1" x14ac:dyDescent="0.3"/>
    <row r="61783" customFormat="1" x14ac:dyDescent="0.3"/>
    <row r="61784" customFormat="1" x14ac:dyDescent="0.3"/>
    <row r="61785" customFormat="1" x14ac:dyDescent="0.3"/>
    <row r="61786" customFormat="1" x14ac:dyDescent="0.3"/>
    <row r="61787" customFormat="1" x14ac:dyDescent="0.3"/>
    <row r="61788" customFormat="1" x14ac:dyDescent="0.3"/>
    <row r="61789" customFormat="1" x14ac:dyDescent="0.3"/>
    <row r="61790" customFormat="1" x14ac:dyDescent="0.3"/>
    <row r="61791" customFormat="1" x14ac:dyDescent="0.3"/>
    <row r="61792" customFormat="1" x14ac:dyDescent="0.3"/>
    <row r="61793" customFormat="1" x14ac:dyDescent="0.3"/>
    <row r="61794" customFormat="1" x14ac:dyDescent="0.3"/>
    <row r="61795" customFormat="1" x14ac:dyDescent="0.3"/>
    <row r="61796" customFormat="1" x14ac:dyDescent="0.3"/>
    <row r="61797" customFormat="1" x14ac:dyDescent="0.3"/>
    <row r="61798" customFormat="1" x14ac:dyDescent="0.3"/>
    <row r="61799" customFormat="1" x14ac:dyDescent="0.3"/>
    <row r="61800" customFormat="1" x14ac:dyDescent="0.3"/>
    <row r="61801" customFormat="1" x14ac:dyDescent="0.3"/>
    <row r="61802" customFormat="1" x14ac:dyDescent="0.3"/>
    <row r="61803" customFormat="1" x14ac:dyDescent="0.3"/>
    <row r="61804" customFormat="1" x14ac:dyDescent="0.3"/>
    <row r="61805" customFormat="1" x14ac:dyDescent="0.3"/>
    <row r="61806" customFormat="1" x14ac:dyDescent="0.3"/>
    <row r="61807" customFormat="1" x14ac:dyDescent="0.3"/>
    <row r="61808" customFormat="1" x14ac:dyDescent="0.3"/>
    <row r="61809" customFormat="1" x14ac:dyDescent="0.3"/>
    <row r="61810" customFormat="1" x14ac:dyDescent="0.3"/>
    <row r="61811" customFormat="1" x14ac:dyDescent="0.3"/>
    <row r="61812" customFormat="1" x14ac:dyDescent="0.3"/>
    <row r="61813" customFormat="1" x14ac:dyDescent="0.3"/>
    <row r="61814" customFormat="1" x14ac:dyDescent="0.3"/>
    <row r="61815" customFormat="1" x14ac:dyDescent="0.3"/>
    <row r="61816" customFormat="1" x14ac:dyDescent="0.3"/>
    <row r="61817" customFormat="1" x14ac:dyDescent="0.3"/>
    <row r="61818" customFormat="1" x14ac:dyDescent="0.3"/>
    <row r="61819" customFormat="1" x14ac:dyDescent="0.3"/>
    <row r="61820" customFormat="1" x14ac:dyDescent="0.3"/>
    <row r="61821" customFormat="1" x14ac:dyDescent="0.3"/>
    <row r="61822" customFormat="1" x14ac:dyDescent="0.3"/>
    <row r="61823" customFormat="1" x14ac:dyDescent="0.3"/>
    <row r="61824" customFormat="1" x14ac:dyDescent="0.3"/>
    <row r="61825" customFormat="1" x14ac:dyDescent="0.3"/>
    <row r="61826" customFormat="1" x14ac:dyDescent="0.3"/>
    <row r="61827" customFormat="1" x14ac:dyDescent="0.3"/>
    <row r="61828" customFormat="1" x14ac:dyDescent="0.3"/>
    <row r="61829" customFormat="1" x14ac:dyDescent="0.3"/>
    <row r="61830" customFormat="1" x14ac:dyDescent="0.3"/>
    <row r="61831" customFormat="1" x14ac:dyDescent="0.3"/>
    <row r="61832" customFormat="1" x14ac:dyDescent="0.3"/>
    <row r="61833" customFormat="1" x14ac:dyDescent="0.3"/>
    <row r="61834" customFormat="1" x14ac:dyDescent="0.3"/>
    <row r="61835" customFormat="1" x14ac:dyDescent="0.3"/>
    <row r="61836" customFormat="1" x14ac:dyDescent="0.3"/>
    <row r="61837" customFormat="1" x14ac:dyDescent="0.3"/>
    <row r="61838" customFormat="1" x14ac:dyDescent="0.3"/>
    <row r="61839" customFormat="1" x14ac:dyDescent="0.3"/>
    <row r="61840" customFormat="1" x14ac:dyDescent="0.3"/>
    <row r="61841" customFormat="1" x14ac:dyDescent="0.3"/>
    <row r="61842" customFormat="1" x14ac:dyDescent="0.3"/>
    <row r="61843" customFormat="1" x14ac:dyDescent="0.3"/>
    <row r="61844" customFormat="1" x14ac:dyDescent="0.3"/>
    <row r="61845" customFormat="1" x14ac:dyDescent="0.3"/>
    <row r="61846" customFormat="1" x14ac:dyDescent="0.3"/>
    <row r="61847" customFormat="1" x14ac:dyDescent="0.3"/>
    <row r="61848" customFormat="1" x14ac:dyDescent="0.3"/>
    <row r="61849" customFormat="1" x14ac:dyDescent="0.3"/>
    <row r="61850" customFormat="1" x14ac:dyDescent="0.3"/>
    <row r="61851" customFormat="1" x14ac:dyDescent="0.3"/>
    <row r="61852" customFormat="1" x14ac:dyDescent="0.3"/>
    <row r="61853" customFormat="1" x14ac:dyDescent="0.3"/>
    <row r="61854" customFormat="1" x14ac:dyDescent="0.3"/>
    <row r="61855" customFormat="1" x14ac:dyDescent="0.3"/>
    <row r="61856" customFormat="1" x14ac:dyDescent="0.3"/>
    <row r="61857" customFormat="1" x14ac:dyDescent="0.3"/>
    <row r="61858" customFormat="1" x14ac:dyDescent="0.3"/>
    <row r="61859" customFormat="1" x14ac:dyDescent="0.3"/>
    <row r="61860" customFormat="1" x14ac:dyDescent="0.3"/>
    <row r="61861" customFormat="1" x14ac:dyDescent="0.3"/>
    <row r="61862" customFormat="1" x14ac:dyDescent="0.3"/>
    <row r="61863" customFormat="1" x14ac:dyDescent="0.3"/>
    <row r="61864" customFormat="1" x14ac:dyDescent="0.3"/>
    <row r="61865" customFormat="1" x14ac:dyDescent="0.3"/>
    <row r="61866" customFormat="1" x14ac:dyDescent="0.3"/>
    <row r="61867" customFormat="1" x14ac:dyDescent="0.3"/>
    <row r="61868" customFormat="1" x14ac:dyDescent="0.3"/>
    <row r="61869" customFormat="1" x14ac:dyDescent="0.3"/>
    <row r="61870" customFormat="1" x14ac:dyDescent="0.3"/>
    <row r="61871" customFormat="1" x14ac:dyDescent="0.3"/>
    <row r="61872" customFormat="1" x14ac:dyDescent="0.3"/>
    <row r="61873" customFormat="1" x14ac:dyDescent="0.3"/>
    <row r="61874" customFormat="1" x14ac:dyDescent="0.3"/>
    <row r="61875" customFormat="1" x14ac:dyDescent="0.3"/>
    <row r="61876" customFormat="1" x14ac:dyDescent="0.3"/>
    <row r="61877" customFormat="1" x14ac:dyDescent="0.3"/>
    <row r="61878" customFormat="1" x14ac:dyDescent="0.3"/>
    <row r="61879" customFormat="1" x14ac:dyDescent="0.3"/>
    <row r="61880" customFormat="1" x14ac:dyDescent="0.3"/>
    <row r="61881" customFormat="1" x14ac:dyDescent="0.3"/>
    <row r="61882" customFormat="1" x14ac:dyDescent="0.3"/>
    <row r="61883" customFormat="1" x14ac:dyDescent="0.3"/>
    <row r="61884" customFormat="1" x14ac:dyDescent="0.3"/>
    <row r="61885" customFormat="1" x14ac:dyDescent="0.3"/>
    <row r="61886" customFormat="1" x14ac:dyDescent="0.3"/>
    <row r="61887" customFormat="1" x14ac:dyDescent="0.3"/>
    <row r="61888" customFormat="1" x14ac:dyDescent="0.3"/>
    <row r="61889" customFormat="1" x14ac:dyDescent="0.3"/>
    <row r="61890" customFormat="1" x14ac:dyDescent="0.3"/>
    <row r="61891" customFormat="1" x14ac:dyDescent="0.3"/>
    <row r="61892" customFormat="1" x14ac:dyDescent="0.3"/>
    <row r="61893" customFormat="1" x14ac:dyDescent="0.3"/>
    <row r="61894" customFormat="1" x14ac:dyDescent="0.3"/>
    <row r="61895" customFormat="1" x14ac:dyDescent="0.3"/>
    <row r="61896" customFormat="1" x14ac:dyDescent="0.3"/>
    <row r="61897" customFormat="1" x14ac:dyDescent="0.3"/>
    <row r="61898" customFormat="1" x14ac:dyDescent="0.3"/>
    <row r="61899" customFormat="1" x14ac:dyDescent="0.3"/>
    <row r="61900" customFormat="1" x14ac:dyDescent="0.3"/>
    <row r="61901" customFormat="1" x14ac:dyDescent="0.3"/>
    <row r="61902" customFormat="1" x14ac:dyDescent="0.3"/>
    <row r="61903" customFormat="1" x14ac:dyDescent="0.3"/>
    <row r="61904" customFormat="1" x14ac:dyDescent="0.3"/>
    <row r="61905" customFormat="1" x14ac:dyDescent="0.3"/>
    <row r="61906" customFormat="1" x14ac:dyDescent="0.3"/>
    <row r="61907" customFormat="1" x14ac:dyDescent="0.3"/>
    <row r="61908" customFormat="1" x14ac:dyDescent="0.3"/>
    <row r="61909" customFormat="1" x14ac:dyDescent="0.3"/>
    <row r="61910" customFormat="1" x14ac:dyDescent="0.3"/>
    <row r="61911" customFormat="1" x14ac:dyDescent="0.3"/>
    <row r="61912" customFormat="1" x14ac:dyDescent="0.3"/>
    <row r="61913" customFormat="1" x14ac:dyDescent="0.3"/>
    <row r="61914" customFormat="1" x14ac:dyDescent="0.3"/>
    <row r="61915" customFormat="1" x14ac:dyDescent="0.3"/>
    <row r="61916" customFormat="1" x14ac:dyDescent="0.3"/>
    <row r="61917" customFormat="1" x14ac:dyDescent="0.3"/>
    <row r="61918" customFormat="1" x14ac:dyDescent="0.3"/>
    <row r="61919" customFormat="1" x14ac:dyDescent="0.3"/>
    <row r="61920" customFormat="1" x14ac:dyDescent="0.3"/>
    <row r="61921" customFormat="1" x14ac:dyDescent="0.3"/>
    <row r="61922" customFormat="1" x14ac:dyDescent="0.3"/>
    <row r="61923" customFormat="1" x14ac:dyDescent="0.3"/>
    <row r="61924" customFormat="1" x14ac:dyDescent="0.3"/>
    <row r="61925" customFormat="1" x14ac:dyDescent="0.3"/>
    <row r="61926" customFormat="1" x14ac:dyDescent="0.3"/>
    <row r="61927" customFormat="1" x14ac:dyDescent="0.3"/>
    <row r="61928" customFormat="1" x14ac:dyDescent="0.3"/>
    <row r="61929" customFormat="1" x14ac:dyDescent="0.3"/>
    <row r="61930" customFormat="1" x14ac:dyDescent="0.3"/>
    <row r="61931" customFormat="1" x14ac:dyDescent="0.3"/>
    <row r="61932" customFormat="1" x14ac:dyDescent="0.3"/>
    <row r="61933" customFormat="1" x14ac:dyDescent="0.3"/>
    <row r="61934" customFormat="1" x14ac:dyDescent="0.3"/>
    <row r="61935" customFormat="1" x14ac:dyDescent="0.3"/>
    <row r="61936" customFormat="1" x14ac:dyDescent="0.3"/>
    <row r="61937" customFormat="1" x14ac:dyDescent="0.3"/>
    <row r="61938" customFormat="1" x14ac:dyDescent="0.3"/>
    <row r="61939" customFormat="1" x14ac:dyDescent="0.3"/>
    <row r="61940" customFormat="1" x14ac:dyDescent="0.3"/>
    <row r="61941" customFormat="1" x14ac:dyDescent="0.3"/>
    <row r="61942" customFormat="1" x14ac:dyDescent="0.3"/>
    <row r="61943" customFormat="1" x14ac:dyDescent="0.3"/>
    <row r="61944" customFormat="1" x14ac:dyDescent="0.3"/>
    <row r="61945" customFormat="1" x14ac:dyDescent="0.3"/>
    <row r="61946" customFormat="1" x14ac:dyDescent="0.3"/>
    <row r="61947" customFormat="1" x14ac:dyDescent="0.3"/>
    <row r="61948" customFormat="1" x14ac:dyDescent="0.3"/>
    <row r="61949" customFormat="1" x14ac:dyDescent="0.3"/>
    <row r="61950" customFormat="1" x14ac:dyDescent="0.3"/>
    <row r="61951" customFormat="1" x14ac:dyDescent="0.3"/>
    <row r="61952" customFormat="1" x14ac:dyDescent="0.3"/>
    <row r="61953" customFormat="1" x14ac:dyDescent="0.3"/>
    <row r="61954" customFormat="1" x14ac:dyDescent="0.3"/>
    <row r="61955" customFormat="1" x14ac:dyDescent="0.3"/>
    <row r="61956" customFormat="1" x14ac:dyDescent="0.3"/>
    <row r="61957" customFormat="1" x14ac:dyDescent="0.3"/>
    <row r="61958" customFormat="1" x14ac:dyDescent="0.3"/>
    <row r="61959" customFormat="1" x14ac:dyDescent="0.3"/>
    <row r="61960" customFormat="1" x14ac:dyDescent="0.3"/>
    <row r="61961" customFormat="1" x14ac:dyDescent="0.3"/>
    <row r="61962" customFormat="1" x14ac:dyDescent="0.3"/>
    <row r="61963" customFormat="1" x14ac:dyDescent="0.3"/>
    <row r="61964" customFormat="1" x14ac:dyDescent="0.3"/>
    <row r="61965" customFormat="1" x14ac:dyDescent="0.3"/>
    <row r="61966" customFormat="1" x14ac:dyDescent="0.3"/>
    <row r="61967" customFormat="1" x14ac:dyDescent="0.3"/>
    <row r="61968" customFormat="1" x14ac:dyDescent="0.3"/>
    <row r="61969" customFormat="1" x14ac:dyDescent="0.3"/>
    <row r="61970" customFormat="1" x14ac:dyDescent="0.3"/>
    <row r="61971" customFormat="1" x14ac:dyDescent="0.3"/>
    <row r="61972" customFormat="1" x14ac:dyDescent="0.3"/>
    <row r="61973" customFormat="1" x14ac:dyDescent="0.3"/>
    <row r="61974" customFormat="1" x14ac:dyDescent="0.3"/>
    <row r="61975" customFormat="1" x14ac:dyDescent="0.3"/>
    <row r="61976" customFormat="1" x14ac:dyDescent="0.3"/>
    <row r="61977" customFormat="1" x14ac:dyDescent="0.3"/>
    <row r="61978" customFormat="1" x14ac:dyDescent="0.3"/>
    <row r="61979" customFormat="1" x14ac:dyDescent="0.3"/>
    <row r="61980" customFormat="1" x14ac:dyDescent="0.3"/>
    <row r="61981" customFormat="1" x14ac:dyDescent="0.3"/>
    <row r="61982" customFormat="1" x14ac:dyDescent="0.3"/>
    <row r="61983" customFormat="1" x14ac:dyDescent="0.3"/>
    <row r="61984" customFormat="1" x14ac:dyDescent="0.3"/>
    <row r="61985" customFormat="1" x14ac:dyDescent="0.3"/>
    <row r="61986" customFormat="1" x14ac:dyDescent="0.3"/>
    <row r="61987" customFormat="1" x14ac:dyDescent="0.3"/>
    <row r="61988" customFormat="1" x14ac:dyDescent="0.3"/>
    <row r="61989" customFormat="1" x14ac:dyDescent="0.3"/>
    <row r="61990" customFormat="1" x14ac:dyDescent="0.3"/>
    <row r="61991" customFormat="1" x14ac:dyDescent="0.3"/>
    <row r="61992" customFormat="1" x14ac:dyDescent="0.3"/>
    <row r="61993" customFormat="1" x14ac:dyDescent="0.3"/>
    <row r="61994" customFormat="1" x14ac:dyDescent="0.3"/>
    <row r="61995" customFormat="1" x14ac:dyDescent="0.3"/>
    <row r="61996" customFormat="1" x14ac:dyDescent="0.3"/>
    <row r="61997" customFormat="1" x14ac:dyDescent="0.3"/>
    <row r="61998" customFormat="1" x14ac:dyDescent="0.3"/>
    <row r="61999" customFormat="1" x14ac:dyDescent="0.3"/>
    <row r="62000" customFormat="1" x14ac:dyDescent="0.3"/>
    <row r="62001" customFormat="1" x14ac:dyDescent="0.3"/>
    <row r="62002" customFormat="1" x14ac:dyDescent="0.3"/>
    <row r="62003" customFormat="1" x14ac:dyDescent="0.3"/>
    <row r="62004" customFormat="1" x14ac:dyDescent="0.3"/>
    <row r="62005" customFormat="1" x14ac:dyDescent="0.3"/>
    <row r="62006" customFormat="1" x14ac:dyDescent="0.3"/>
    <row r="62007" customFormat="1" x14ac:dyDescent="0.3"/>
    <row r="62008" customFormat="1" x14ac:dyDescent="0.3"/>
    <row r="62009" customFormat="1" x14ac:dyDescent="0.3"/>
    <row r="62010" customFormat="1" x14ac:dyDescent="0.3"/>
    <row r="62011" customFormat="1" x14ac:dyDescent="0.3"/>
    <row r="62012" customFormat="1" x14ac:dyDescent="0.3"/>
    <row r="62013" customFormat="1" x14ac:dyDescent="0.3"/>
    <row r="62014" customFormat="1" x14ac:dyDescent="0.3"/>
    <row r="62015" customFormat="1" x14ac:dyDescent="0.3"/>
    <row r="62016" customFormat="1" x14ac:dyDescent="0.3"/>
    <row r="62017" customFormat="1" x14ac:dyDescent="0.3"/>
    <row r="62018" customFormat="1" x14ac:dyDescent="0.3"/>
    <row r="62019" customFormat="1" x14ac:dyDescent="0.3"/>
    <row r="62020" customFormat="1" x14ac:dyDescent="0.3"/>
    <row r="62021" customFormat="1" x14ac:dyDescent="0.3"/>
    <row r="62022" customFormat="1" x14ac:dyDescent="0.3"/>
    <row r="62023" customFormat="1" x14ac:dyDescent="0.3"/>
    <row r="62024" customFormat="1" x14ac:dyDescent="0.3"/>
    <row r="62025" customFormat="1" x14ac:dyDescent="0.3"/>
    <row r="62026" customFormat="1" x14ac:dyDescent="0.3"/>
    <row r="62027" customFormat="1" x14ac:dyDescent="0.3"/>
    <row r="62028" customFormat="1" x14ac:dyDescent="0.3"/>
    <row r="62029" customFormat="1" x14ac:dyDescent="0.3"/>
    <row r="62030" customFormat="1" x14ac:dyDescent="0.3"/>
    <row r="62031" customFormat="1" x14ac:dyDescent="0.3"/>
    <row r="62032" customFormat="1" x14ac:dyDescent="0.3"/>
    <row r="62033" customFormat="1" x14ac:dyDescent="0.3"/>
    <row r="62034" customFormat="1" x14ac:dyDescent="0.3"/>
    <row r="62035" customFormat="1" x14ac:dyDescent="0.3"/>
    <row r="62036" customFormat="1" x14ac:dyDescent="0.3"/>
    <row r="62037" customFormat="1" x14ac:dyDescent="0.3"/>
    <row r="62038" customFormat="1" x14ac:dyDescent="0.3"/>
    <row r="62039" customFormat="1" x14ac:dyDescent="0.3"/>
    <row r="62040" customFormat="1" x14ac:dyDescent="0.3"/>
    <row r="62041" customFormat="1" x14ac:dyDescent="0.3"/>
    <row r="62042" customFormat="1" x14ac:dyDescent="0.3"/>
    <row r="62043" customFormat="1" x14ac:dyDescent="0.3"/>
    <row r="62044" customFormat="1" x14ac:dyDescent="0.3"/>
    <row r="62045" customFormat="1" x14ac:dyDescent="0.3"/>
    <row r="62046" customFormat="1" x14ac:dyDescent="0.3"/>
    <row r="62047" customFormat="1" x14ac:dyDescent="0.3"/>
    <row r="62048" customFormat="1" x14ac:dyDescent="0.3"/>
    <row r="62049" customFormat="1" x14ac:dyDescent="0.3"/>
    <row r="62050" customFormat="1" x14ac:dyDescent="0.3"/>
    <row r="62051" customFormat="1" x14ac:dyDescent="0.3"/>
    <row r="62052" customFormat="1" x14ac:dyDescent="0.3"/>
    <row r="62053" customFormat="1" x14ac:dyDescent="0.3"/>
    <row r="62054" customFormat="1" x14ac:dyDescent="0.3"/>
    <row r="62055" customFormat="1" x14ac:dyDescent="0.3"/>
    <row r="62056" customFormat="1" x14ac:dyDescent="0.3"/>
    <row r="62057" customFormat="1" x14ac:dyDescent="0.3"/>
    <row r="62058" customFormat="1" x14ac:dyDescent="0.3"/>
    <row r="62059" customFormat="1" x14ac:dyDescent="0.3"/>
    <row r="62060" customFormat="1" x14ac:dyDescent="0.3"/>
    <row r="62061" customFormat="1" x14ac:dyDescent="0.3"/>
    <row r="62062" customFormat="1" x14ac:dyDescent="0.3"/>
    <row r="62063" customFormat="1" x14ac:dyDescent="0.3"/>
    <row r="62064" customFormat="1" x14ac:dyDescent="0.3"/>
    <row r="62065" customFormat="1" x14ac:dyDescent="0.3"/>
    <row r="62066" customFormat="1" x14ac:dyDescent="0.3"/>
    <row r="62067" customFormat="1" x14ac:dyDescent="0.3"/>
    <row r="62068" customFormat="1" x14ac:dyDescent="0.3"/>
    <row r="62069" customFormat="1" x14ac:dyDescent="0.3"/>
    <row r="62070" customFormat="1" x14ac:dyDescent="0.3"/>
    <row r="62071" customFormat="1" x14ac:dyDescent="0.3"/>
    <row r="62072" customFormat="1" x14ac:dyDescent="0.3"/>
    <row r="62073" customFormat="1" x14ac:dyDescent="0.3"/>
    <row r="62074" customFormat="1" x14ac:dyDescent="0.3"/>
    <row r="62075" customFormat="1" x14ac:dyDescent="0.3"/>
    <row r="62076" customFormat="1" x14ac:dyDescent="0.3"/>
    <row r="62077" customFormat="1" x14ac:dyDescent="0.3"/>
    <row r="62078" customFormat="1" x14ac:dyDescent="0.3"/>
    <row r="62079" customFormat="1" x14ac:dyDescent="0.3"/>
    <row r="62080" customFormat="1" x14ac:dyDescent="0.3"/>
    <row r="62081" customFormat="1" x14ac:dyDescent="0.3"/>
    <row r="62082" customFormat="1" x14ac:dyDescent="0.3"/>
    <row r="62083" customFormat="1" x14ac:dyDescent="0.3"/>
    <row r="62084" customFormat="1" x14ac:dyDescent="0.3"/>
    <row r="62085" customFormat="1" x14ac:dyDescent="0.3"/>
    <row r="62086" customFormat="1" x14ac:dyDescent="0.3"/>
    <row r="62087" customFormat="1" x14ac:dyDescent="0.3"/>
    <row r="62088" customFormat="1" x14ac:dyDescent="0.3"/>
    <row r="62089" customFormat="1" x14ac:dyDescent="0.3"/>
    <row r="62090" customFormat="1" x14ac:dyDescent="0.3"/>
    <row r="62091" customFormat="1" x14ac:dyDescent="0.3"/>
    <row r="62092" customFormat="1" x14ac:dyDescent="0.3"/>
    <row r="62093" customFormat="1" x14ac:dyDescent="0.3"/>
    <row r="62094" customFormat="1" x14ac:dyDescent="0.3"/>
    <row r="62095" customFormat="1" x14ac:dyDescent="0.3"/>
    <row r="62096" customFormat="1" x14ac:dyDescent="0.3"/>
    <row r="62097" customFormat="1" x14ac:dyDescent="0.3"/>
    <row r="62098" customFormat="1" x14ac:dyDescent="0.3"/>
    <row r="62099" customFormat="1" x14ac:dyDescent="0.3"/>
    <row r="62100" customFormat="1" x14ac:dyDescent="0.3"/>
    <row r="62101" customFormat="1" x14ac:dyDescent="0.3"/>
    <row r="62102" customFormat="1" x14ac:dyDescent="0.3"/>
    <row r="62103" customFormat="1" x14ac:dyDescent="0.3"/>
    <row r="62104" customFormat="1" x14ac:dyDescent="0.3"/>
    <row r="62105" customFormat="1" x14ac:dyDescent="0.3"/>
    <row r="62106" customFormat="1" x14ac:dyDescent="0.3"/>
    <row r="62107" customFormat="1" x14ac:dyDescent="0.3"/>
    <row r="62108" customFormat="1" x14ac:dyDescent="0.3"/>
    <row r="62109" customFormat="1" x14ac:dyDescent="0.3"/>
    <row r="62110" customFormat="1" x14ac:dyDescent="0.3"/>
    <row r="62111" customFormat="1" x14ac:dyDescent="0.3"/>
    <row r="62112" customFormat="1" x14ac:dyDescent="0.3"/>
    <row r="62113" customFormat="1" x14ac:dyDescent="0.3"/>
    <row r="62114" customFormat="1" x14ac:dyDescent="0.3"/>
    <row r="62115" customFormat="1" x14ac:dyDescent="0.3"/>
    <row r="62116" customFormat="1" x14ac:dyDescent="0.3"/>
    <row r="62117" customFormat="1" x14ac:dyDescent="0.3"/>
    <row r="62118" customFormat="1" x14ac:dyDescent="0.3"/>
    <row r="62119" customFormat="1" x14ac:dyDescent="0.3"/>
    <row r="62120" customFormat="1" x14ac:dyDescent="0.3"/>
    <row r="62121" customFormat="1" x14ac:dyDescent="0.3"/>
    <row r="62122" customFormat="1" x14ac:dyDescent="0.3"/>
    <row r="62123" customFormat="1" x14ac:dyDescent="0.3"/>
    <row r="62124" customFormat="1" x14ac:dyDescent="0.3"/>
    <row r="62125" customFormat="1" x14ac:dyDescent="0.3"/>
    <row r="62126" customFormat="1" x14ac:dyDescent="0.3"/>
    <row r="62127" customFormat="1" x14ac:dyDescent="0.3"/>
    <row r="62128" customFormat="1" x14ac:dyDescent="0.3"/>
    <row r="62129" customFormat="1" x14ac:dyDescent="0.3"/>
    <row r="62130" customFormat="1" x14ac:dyDescent="0.3"/>
    <row r="62131" customFormat="1" x14ac:dyDescent="0.3"/>
    <row r="62132" customFormat="1" x14ac:dyDescent="0.3"/>
    <row r="62133" customFormat="1" x14ac:dyDescent="0.3"/>
    <row r="62134" customFormat="1" x14ac:dyDescent="0.3"/>
    <row r="62135" customFormat="1" x14ac:dyDescent="0.3"/>
    <row r="62136" customFormat="1" x14ac:dyDescent="0.3"/>
    <row r="62137" customFormat="1" x14ac:dyDescent="0.3"/>
    <row r="62138" customFormat="1" x14ac:dyDescent="0.3"/>
    <row r="62139" customFormat="1" x14ac:dyDescent="0.3"/>
    <row r="62140" customFormat="1" x14ac:dyDescent="0.3"/>
    <row r="62141" customFormat="1" x14ac:dyDescent="0.3"/>
    <row r="62142" customFormat="1" x14ac:dyDescent="0.3"/>
    <row r="62143" customFormat="1" x14ac:dyDescent="0.3"/>
    <row r="62144" customFormat="1" x14ac:dyDescent="0.3"/>
    <row r="62145" customFormat="1" x14ac:dyDescent="0.3"/>
    <row r="62146" customFormat="1" x14ac:dyDescent="0.3"/>
    <row r="62147" customFormat="1" x14ac:dyDescent="0.3"/>
    <row r="62148" customFormat="1" x14ac:dyDescent="0.3"/>
    <row r="62149" customFormat="1" x14ac:dyDescent="0.3"/>
    <row r="62150" customFormat="1" x14ac:dyDescent="0.3"/>
    <row r="62151" customFormat="1" x14ac:dyDescent="0.3"/>
    <row r="62152" customFormat="1" x14ac:dyDescent="0.3"/>
    <row r="62153" customFormat="1" x14ac:dyDescent="0.3"/>
    <row r="62154" customFormat="1" x14ac:dyDescent="0.3"/>
    <row r="62155" customFormat="1" x14ac:dyDescent="0.3"/>
    <row r="62156" customFormat="1" x14ac:dyDescent="0.3"/>
    <row r="62157" customFormat="1" x14ac:dyDescent="0.3"/>
    <row r="62158" customFormat="1" x14ac:dyDescent="0.3"/>
    <row r="62159" customFormat="1" x14ac:dyDescent="0.3"/>
    <row r="62160" customFormat="1" x14ac:dyDescent="0.3"/>
    <row r="62161" customFormat="1" x14ac:dyDescent="0.3"/>
    <row r="62162" customFormat="1" x14ac:dyDescent="0.3"/>
    <row r="62163" customFormat="1" x14ac:dyDescent="0.3"/>
    <row r="62164" customFormat="1" x14ac:dyDescent="0.3"/>
    <row r="62165" customFormat="1" x14ac:dyDescent="0.3"/>
    <row r="62166" customFormat="1" x14ac:dyDescent="0.3"/>
    <row r="62167" customFormat="1" x14ac:dyDescent="0.3"/>
    <row r="62168" customFormat="1" x14ac:dyDescent="0.3"/>
    <row r="62169" customFormat="1" x14ac:dyDescent="0.3"/>
    <row r="62170" customFormat="1" x14ac:dyDescent="0.3"/>
    <row r="62171" customFormat="1" x14ac:dyDescent="0.3"/>
    <row r="62172" customFormat="1" x14ac:dyDescent="0.3"/>
    <row r="62173" customFormat="1" x14ac:dyDescent="0.3"/>
    <row r="62174" customFormat="1" x14ac:dyDescent="0.3"/>
    <row r="62175" customFormat="1" x14ac:dyDescent="0.3"/>
    <row r="62176" customFormat="1" x14ac:dyDescent="0.3"/>
    <row r="62177" customFormat="1" x14ac:dyDescent="0.3"/>
    <row r="62178" customFormat="1" x14ac:dyDescent="0.3"/>
    <row r="62179" customFormat="1" x14ac:dyDescent="0.3"/>
    <row r="62180" customFormat="1" x14ac:dyDescent="0.3"/>
    <row r="62181" customFormat="1" x14ac:dyDescent="0.3"/>
    <row r="62182" customFormat="1" x14ac:dyDescent="0.3"/>
    <row r="62183" customFormat="1" x14ac:dyDescent="0.3"/>
    <row r="62184" customFormat="1" x14ac:dyDescent="0.3"/>
    <row r="62185" customFormat="1" x14ac:dyDescent="0.3"/>
    <row r="62186" customFormat="1" x14ac:dyDescent="0.3"/>
    <row r="62187" customFormat="1" x14ac:dyDescent="0.3"/>
    <row r="62188" customFormat="1" x14ac:dyDescent="0.3"/>
    <row r="62189" customFormat="1" x14ac:dyDescent="0.3"/>
    <row r="62190" customFormat="1" x14ac:dyDescent="0.3"/>
    <row r="62191" customFormat="1" x14ac:dyDescent="0.3"/>
    <row r="62192" customFormat="1" x14ac:dyDescent="0.3"/>
    <row r="62193" customFormat="1" x14ac:dyDescent="0.3"/>
    <row r="62194" customFormat="1" x14ac:dyDescent="0.3"/>
    <row r="62195" customFormat="1" x14ac:dyDescent="0.3"/>
    <row r="62196" customFormat="1" x14ac:dyDescent="0.3"/>
    <row r="62197" customFormat="1" x14ac:dyDescent="0.3"/>
    <row r="62198" customFormat="1" x14ac:dyDescent="0.3"/>
    <row r="62199" customFormat="1" x14ac:dyDescent="0.3"/>
    <row r="62200" customFormat="1" x14ac:dyDescent="0.3"/>
    <row r="62201" customFormat="1" x14ac:dyDescent="0.3"/>
    <row r="62202" customFormat="1" x14ac:dyDescent="0.3"/>
    <row r="62203" customFormat="1" x14ac:dyDescent="0.3"/>
    <row r="62204" customFormat="1" x14ac:dyDescent="0.3"/>
    <row r="62205" customFormat="1" x14ac:dyDescent="0.3"/>
    <row r="62206" customFormat="1" x14ac:dyDescent="0.3"/>
    <row r="62207" customFormat="1" x14ac:dyDescent="0.3"/>
    <row r="62208" customFormat="1" x14ac:dyDescent="0.3"/>
    <row r="62209" customFormat="1" x14ac:dyDescent="0.3"/>
    <row r="62210" customFormat="1" x14ac:dyDescent="0.3"/>
    <row r="62211" customFormat="1" x14ac:dyDescent="0.3"/>
    <row r="62212" customFormat="1" x14ac:dyDescent="0.3"/>
    <row r="62213" customFormat="1" x14ac:dyDescent="0.3"/>
    <row r="62214" customFormat="1" x14ac:dyDescent="0.3"/>
    <row r="62215" customFormat="1" x14ac:dyDescent="0.3"/>
    <row r="62216" customFormat="1" x14ac:dyDescent="0.3"/>
    <row r="62217" customFormat="1" x14ac:dyDescent="0.3"/>
    <row r="62218" customFormat="1" x14ac:dyDescent="0.3"/>
    <row r="62219" customFormat="1" x14ac:dyDescent="0.3"/>
    <row r="62220" customFormat="1" x14ac:dyDescent="0.3"/>
    <row r="62221" customFormat="1" x14ac:dyDescent="0.3"/>
    <row r="62222" customFormat="1" x14ac:dyDescent="0.3"/>
    <row r="62223" customFormat="1" x14ac:dyDescent="0.3"/>
    <row r="62224" customFormat="1" x14ac:dyDescent="0.3"/>
    <row r="62225" customFormat="1" x14ac:dyDescent="0.3"/>
    <row r="62226" customFormat="1" x14ac:dyDescent="0.3"/>
    <row r="62227" customFormat="1" x14ac:dyDescent="0.3"/>
    <row r="62228" customFormat="1" x14ac:dyDescent="0.3"/>
    <row r="62229" customFormat="1" x14ac:dyDescent="0.3"/>
    <row r="62230" customFormat="1" x14ac:dyDescent="0.3"/>
    <row r="62231" customFormat="1" x14ac:dyDescent="0.3"/>
    <row r="62232" customFormat="1" x14ac:dyDescent="0.3"/>
    <row r="62233" customFormat="1" x14ac:dyDescent="0.3"/>
    <row r="62234" customFormat="1" x14ac:dyDescent="0.3"/>
    <row r="62235" customFormat="1" x14ac:dyDescent="0.3"/>
    <row r="62236" customFormat="1" x14ac:dyDescent="0.3"/>
    <row r="62237" customFormat="1" x14ac:dyDescent="0.3"/>
    <row r="62238" customFormat="1" x14ac:dyDescent="0.3"/>
    <row r="62239" customFormat="1" x14ac:dyDescent="0.3"/>
    <row r="62240" customFormat="1" x14ac:dyDescent="0.3"/>
    <row r="62241" customFormat="1" x14ac:dyDescent="0.3"/>
    <row r="62242" customFormat="1" x14ac:dyDescent="0.3"/>
    <row r="62243" customFormat="1" x14ac:dyDescent="0.3"/>
    <row r="62244" customFormat="1" x14ac:dyDescent="0.3"/>
    <row r="62245" customFormat="1" x14ac:dyDescent="0.3"/>
    <row r="62246" customFormat="1" x14ac:dyDescent="0.3"/>
    <row r="62247" customFormat="1" x14ac:dyDescent="0.3"/>
    <row r="62248" customFormat="1" x14ac:dyDescent="0.3"/>
    <row r="62249" customFormat="1" x14ac:dyDescent="0.3"/>
    <row r="62250" customFormat="1" x14ac:dyDescent="0.3"/>
    <row r="62251" customFormat="1" x14ac:dyDescent="0.3"/>
    <row r="62252" customFormat="1" x14ac:dyDescent="0.3"/>
    <row r="62253" customFormat="1" x14ac:dyDescent="0.3"/>
    <row r="62254" customFormat="1" x14ac:dyDescent="0.3"/>
    <row r="62255" customFormat="1" x14ac:dyDescent="0.3"/>
    <row r="62256" customFormat="1" x14ac:dyDescent="0.3"/>
    <row r="62257" customFormat="1" x14ac:dyDescent="0.3"/>
    <row r="62258" customFormat="1" x14ac:dyDescent="0.3"/>
    <row r="62259" customFormat="1" x14ac:dyDescent="0.3"/>
    <row r="62260" customFormat="1" x14ac:dyDescent="0.3"/>
    <row r="62261" customFormat="1" x14ac:dyDescent="0.3"/>
    <row r="62262" customFormat="1" x14ac:dyDescent="0.3"/>
    <row r="62263" customFormat="1" x14ac:dyDescent="0.3"/>
    <row r="62264" customFormat="1" x14ac:dyDescent="0.3"/>
    <row r="62265" customFormat="1" x14ac:dyDescent="0.3"/>
    <row r="62266" customFormat="1" x14ac:dyDescent="0.3"/>
    <row r="62267" customFormat="1" x14ac:dyDescent="0.3"/>
    <row r="62268" customFormat="1" x14ac:dyDescent="0.3"/>
    <row r="62269" customFormat="1" x14ac:dyDescent="0.3"/>
    <row r="62270" customFormat="1" x14ac:dyDescent="0.3"/>
    <row r="62271" customFormat="1" x14ac:dyDescent="0.3"/>
    <row r="62272" customFormat="1" x14ac:dyDescent="0.3"/>
    <row r="62273" customFormat="1" x14ac:dyDescent="0.3"/>
    <row r="62274" customFormat="1" x14ac:dyDescent="0.3"/>
    <row r="62275" customFormat="1" x14ac:dyDescent="0.3"/>
    <row r="62276" customFormat="1" x14ac:dyDescent="0.3"/>
    <row r="62277" customFormat="1" x14ac:dyDescent="0.3"/>
    <row r="62278" customFormat="1" x14ac:dyDescent="0.3"/>
    <row r="62279" customFormat="1" x14ac:dyDescent="0.3"/>
    <row r="62280" customFormat="1" x14ac:dyDescent="0.3"/>
    <row r="62281" customFormat="1" x14ac:dyDescent="0.3"/>
    <row r="62282" customFormat="1" x14ac:dyDescent="0.3"/>
    <row r="62283" customFormat="1" x14ac:dyDescent="0.3"/>
    <row r="62284" customFormat="1" x14ac:dyDescent="0.3"/>
    <row r="62285" customFormat="1" x14ac:dyDescent="0.3"/>
    <row r="62286" customFormat="1" x14ac:dyDescent="0.3"/>
    <row r="62287" customFormat="1" x14ac:dyDescent="0.3"/>
    <row r="62288" customFormat="1" x14ac:dyDescent="0.3"/>
    <row r="62289" customFormat="1" x14ac:dyDescent="0.3"/>
    <row r="62290" customFormat="1" x14ac:dyDescent="0.3"/>
    <row r="62291" customFormat="1" x14ac:dyDescent="0.3"/>
    <row r="62292" customFormat="1" x14ac:dyDescent="0.3"/>
    <row r="62293" customFormat="1" x14ac:dyDescent="0.3"/>
    <row r="62294" customFormat="1" x14ac:dyDescent="0.3"/>
    <row r="62295" customFormat="1" x14ac:dyDescent="0.3"/>
    <row r="62296" customFormat="1" x14ac:dyDescent="0.3"/>
    <row r="62297" customFormat="1" x14ac:dyDescent="0.3"/>
    <row r="62298" customFormat="1" x14ac:dyDescent="0.3"/>
    <row r="62299" customFormat="1" x14ac:dyDescent="0.3"/>
    <row r="62300" customFormat="1" x14ac:dyDescent="0.3"/>
    <row r="62301" customFormat="1" x14ac:dyDescent="0.3"/>
    <row r="62302" customFormat="1" x14ac:dyDescent="0.3"/>
    <row r="62303" customFormat="1" x14ac:dyDescent="0.3"/>
    <row r="62304" customFormat="1" x14ac:dyDescent="0.3"/>
    <row r="62305" customFormat="1" x14ac:dyDescent="0.3"/>
    <row r="62306" customFormat="1" x14ac:dyDescent="0.3"/>
    <row r="62307" customFormat="1" x14ac:dyDescent="0.3"/>
    <row r="62308" customFormat="1" x14ac:dyDescent="0.3"/>
    <row r="62309" customFormat="1" x14ac:dyDescent="0.3"/>
    <row r="62310" customFormat="1" x14ac:dyDescent="0.3"/>
    <row r="62311" customFormat="1" x14ac:dyDescent="0.3"/>
    <row r="62312" customFormat="1" x14ac:dyDescent="0.3"/>
    <row r="62313" customFormat="1" x14ac:dyDescent="0.3"/>
    <row r="62314" customFormat="1" x14ac:dyDescent="0.3"/>
    <row r="62315" customFormat="1" x14ac:dyDescent="0.3"/>
    <row r="62316" customFormat="1" x14ac:dyDescent="0.3"/>
    <row r="62317" customFormat="1" x14ac:dyDescent="0.3"/>
    <row r="62318" customFormat="1" x14ac:dyDescent="0.3"/>
    <row r="62319" customFormat="1" x14ac:dyDescent="0.3"/>
    <row r="62320" customFormat="1" x14ac:dyDescent="0.3"/>
    <row r="62321" customFormat="1" x14ac:dyDescent="0.3"/>
    <row r="62322" customFormat="1" x14ac:dyDescent="0.3"/>
    <row r="62323" customFormat="1" x14ac:dyDescent="0.3"/>
    <row r="62324" customFormat="1" x14ac:dyDescent="0.3"/>
    <row r="62325" customFormat="1" x14ac:dyDescent="0.3"/>
    <row r="62326" customFormat="1" x14ac:dyDescent="0.3"/>
    <row r="62327" customFormat="1" x14ac:dyDescent="0.3"/>
    <row r="62328" customFormat="1" x14ac:dyDescent="0.3"/>
    <row r="62329" customFormat="1" x14ac:dyDescent="0.3"/>
    <row r="62330" customFormat="1" x14ac:dyDescent="0.3"/>
    <row r="62331" customFormat="1" x14ac:dyDescent="0.3"/>
    <row r="62332" customFormat="1" x14ac:dyDescent="0.3"/>
    <row r="62333" customFormat="1" x14ac:dyDescent="0.3"/>
    <row r="62334" customFormat="1" x14ac:dyDescent="0.3"/>
    <row r="62335" customFormat="1" x14ac:dyDescent="0.3"/>
    <row r="62336" customFormat="1" x14ac:dyDescent="0.3"/>
    <row r="62337" customFormat="1" x14ac:dyDescent="0.3"/>
    <row r="62338" customFormat="1" x14ac:dyDescent="0.3"/>
    <row r="62339" customFormat="1" x14ac:dyDescent="0.3"/>
    <row r="62340" customFormat="1" x14ac:dyDescent="0.3"/>
    <row r="62341" customFormat="1" x14ac:dyDescent="0.3"/>
    <row r="62342" customFormat="1" x14ac:dyDescent="0.3"/>
    <row r="62343" customFormat="1" x14ac:dyDescent="0.3"/>
    <row r="62344" customFormat="1" x14ac:dyDescent="0.3"/>
    <row r="62345" customFormat="1" x14ac:dyDescent="0.3"/>
    <row r="62346" customFormat="1" x14ac:dyDescent="0.3"/>
    <row r="62347" customFormat="1" x14ac:dyDescent="0.3"/>
    <row r="62348" customFormat="1" x14ac:dyDescent="0.3"/>
    <row r="62349" customFormat="1" x14ac:dyDescent="0.3"/>
    <row r="62350" customFormat="1" x14ac:dyDescent="0.3"/>
    <row r="62351" customFormat="1" x14ac:dyDescent="0.3"/>
    <row r="62352" customFormat="1" x14ac:dyDescent="0.3"/>
    <row r="62353" customFormat="1" x14ac:dyDescent="0.3"/>
    <row r="62354" customFormat="1" x14ac:dyDescent="0.3"/>
    <row r="62355" customFormat="1" x14ac:dyDescent="0.3"/>
    <row r="62356" customFormat="1" x14ac:dyDescent="0.3"/>
    <row r="62357" customFormat="1" x14ac:dyDescent="0.3"/>
    <row r="62358" customFormat="1" x14ac:dyDescent="0.3"/>
    <row r="62359" customFormat="1" x14ac:dyDescent="0.3"/>
    <row r="62360" customFormat="1" x14ac:dyDescent="0.3"/>
    <row r="62361" customFormat="1" x14ac:dyDescent="0.3"/>
    <row r="62362" customFormat="1" x14ac:dyDescent="0.3"/>
    <row r="62363" customFormat="1" x14ac:dyDescent="0.3"/>
    <row r="62364" customFormat="1" x14ac:dyDescent="0.3"/>
    <row r="62365" customFormat="1" x14ac:dyDescent="0.3"/>
    <row r="62366" customFormat="1" x14ac:dyDescent="0.3"/>
    <row r="62367" customFormat="1" x14ac:dyDescent="0.3"/>
    <row r="62368" customFormat="1" x14ac:dyDescent="0.3"/>
    <row r="62369" customFormat="1" x14ac:dyDescent="0.3"/>
    <row r="62370" customFormat="1" x14ac:dyDescent="0.3"/>
    <row r="62371" customFormat="1" x14ac:dyDescent="0.3"/>
    <row r="62372" customFormat="1" x14ac:dyDescent="0.3"/>
    <row r="62373" customFormat="1" x14ac:dyDescent="0.3"/>
    <row r="62374" customFormat="1" x14ac:dyDescent="0.3"/>
    <row r="62375" customFormat="1" x14ac:dyDescent="0.3"/>
    <row r="62376" customFormat="1" x14ac:dyDescent="0.3"/>
    <row r="62377" customFormat="1" x14ac:dyDescent="0.3"/>
    <row r="62378" customFormat="1" x14ac:dyDescent="0.3"/>
    <row r="62379" customFormat="1" x14ac:dyDescent="0.3"/>
    <row r="62380" customFormat="1" x14ac:dyDescent="0.3"/>
    <row r="62381" customFormat="1" x14ac:dyDescent="0.3"/>
    <row r="62382" customFormat="1" x14ac:dyDescent="0.3"/>
    <row r="62383" customFormat="1" x14ac:dyDescent="0.3"/>
    <row r="62384" customFormat="1" x14ac:dyDescent="0.3"/>
    <row r="62385" customFormat="1" x14ac:dyDescent="0.3"/>
    <row r="62386" customFormat="1" x14ac:dyDescent="0.3"/>
    <row r="62387" customFormat="1" x14ac:dyDescent="0.3"/>
    <row r="62388" customFormat="1" x14ac:dyDescent="0.3"/>
    <row r="62389" customFormat="1" x14ac:dyDescent="0.3"/>
    <row r="62390" customFormat="1" x14ac:dyDescent="0.3"/>
    <row r="62391" customFormat="1" x14ac:dyDescent="0.3"/>
    <row r="62392" customFormat="1" x14ac:dyDescent="0.3"/>
    <row r="62393" customFormat="1" x14ac:dyDescent="0.3"/>
    <row r="62394" customFormat="1" x14ac:dyDescent="0.3"/>
    <row r="62395" customFormat="1" x14ac:dyDescent="0.3"/>
    <row r="62396" customFormat="1" x14ac:dyDescent="0.3"/>
    <row r="62397" customFormat="1" x14ac:dyDescent="0.3"/>
    <row r="62398" customFormat="1" x14ac:dyDescent="0.3"/>
    <row r="62399" customFormat="1" x14ac:dyDescent="0.3"/>
    <row r="62400" customFormat="1" x14ac:dyDescent="0.3"/>
    <row r="62401" customFormat="1" x14ac:dyDescent="0.3"/>
    <row r="62402" customFormat="1" x14ac:dyDescent="0.3"/>
    <row r="62403" customFormat="1" x14ac:dyDescent="0.3"/>
    <row r="62404" customFormat="1" x14ac:dyDescent="0.3"/>
    <row r="62405" customFormat="1" x14ac:dyDescent="0.3"/>
    <row r="62406" customFormat="1" x14ac:dyDescent="0.3"/>
    <row r="62407" customFormat="1" x14ac:dyDescent="0.3"/>
    <row r="62408" customFormat="1" x14ac:dyDescent="0.3"/>
    <row r="62409" customFormat="1" x14ac:dyDescent="0.3"/>
    <row r="62410" customFormat="1" x14ac:dyDescent="0.3"/>
    <row r="62411" customFormat="1" x14ac:dyDescent="0.3"/>
    <row r="62412" customFormat="1" x14ac:dyDescent="0.3"/>
    <row r="62413" customFormat="1" x14ac:dyDescent="0.3"/>
    <row r="62414" customFormat="1" x14ac:dyDescent="0.3"/>
    <row r="62415" customFormat="1" x14ac:dyDescent="0.3"/>
    <row r="62416" customFormat="1" x14ac:dyDescent="0.3"/>
    <row r="62417" customFormat="1" x14ac:dyDescent="0.3"/>
    <row r="62418" customFormat="1" x14ac:dyDescent="0.3"/>
    <row r="62419" customFormat="1" x14ac:dyDescent="0.3"/>
    <row r="62420" customFormat="1" x14ac:dyDescent="0.3"/>
    <row r="62421" customFormat="1" x14ac:dyDescent="0.3"/>
    <row r="62422" customFormat="1" x14ac:dyDescent="0.3"/>
    <row r="62423" customFormat="1" x14ac:dyDescent="0.3"/>
    <row r="62424" customFormat="1" x14ac:dyDescent="0.3"/>
    <row r="62425" customFormat="1" x14ac:dyDescent="0.3"/>
    <row r="62426" customFormat="1" x14ac:dyDescent="0.3"/>
    <row r="62427" customFormat="1" x14ac:dyDescent="0.3"/>
    <row r="62428" customFormat="1" x14ac:dyDescent="0.3"/>
    <row r="62429" customFormat="1" x14ac:dyDescent="0.3"/>
    <row r="62430" customFormat="1" x14ac:dyDescent="0.3"/>
    <row r="62431" customFormat="1" x14ac:dyDescent="0.3"/>
    <row r="62432" customFormat="1" x14ac:dyDescent="0.3"/>
    <row r="62433" customFormat="1" x14ac:dyDescent="0.3"/>
    <row r="62434" customFormat="1" x14ac:dyDescent="0.3"/>
    <row r="62435" customFormat="1" x14ac:dyDescent="0.3"/>
    <row r="62436" customFormat="1" x14ac:dyDescent="0.3"/>
    <row r="62437" customFormat="1" x14ac:dyDescent="0.3"/>
    <row r="62438" customFormat="1" x14ac:dyDescent="0.3"/>
    <row r="62439" customFormat="1" x14ac:dyDescent="0.3"/>
    <row r="62440" customFormat="1" x14ac:dyDescent="0.3"/>
    <row r="62441" customFormat="1" x14ac:dyDescent="0.3"/>
    <row r="62442" customFormat="1" x14ac:dyDescent="0.3"/>
    <row r="62443" customFormat="1" x14ac:dyDescent="0.3"/>
    <row r="62444" customFormat="1" x14ac:dyDescent="0.3"/>
    <row r="62445" customFormat="1" x14ac:dyDescent="0.3"/>
    <row r="62446" customFormat="1" x14ac:dyDescent="0.3"/>
    <row r="62447" customFormat="1" x14ac:dyDescent="0.3"/>
    <row r="62448" customFormat="1" x14ac:dyDescent="0.3"/>
    <row r="62449" customFormat="1" x14ac:dyDescent="0.3"/>
    <row r="62450" customFormat="1" x14ac:dyDescent="0.3"/>
    <row r="62451" customFormat="1" x14ac:dyDescent="0.3"/>
    <row r="62452" customFormat="1" x14ac:dyDescent="0.3"/>
    <row r="62453" customFormat="1" x14ac:dyDescent="0.3"/>
    <row r="62454" customFormat="1" x14ac:dyDescent="0.3"/>
    <row r="62455" customFormat="1" x14ac:dyDescent="0.3"/>
    <row r="62456" customFormat="1" x14ac:dyDescent="0.3"/>
    <row r="62457" customFormat="1" x14ac:dyDescent="0.3"/>
    <row r="62458" customFormat="1" x14ac:dyDescent="0.3"/>
    <row r="62459" customFormat="1" x14ac:dyDescent="0.3"/>
    <row r="62460" customFormat="1" x14ac:dyDescent="0.3"/>
    <row r="62461" customFormat="1" x14ac:dyDescent="0.3"/>
    <row r="62462" customFormat="1" x14ac:dyDescent="0.3"/>
    <row r="62463" customFormat="1" x14ac:dyDescent="0.3"/>
    <row r="62464" customFormat="1" x14ac:dyDescent="0.3"/>
    <row r="62465" customFormat="1" x14ac:dyDescent="0.3"/>
    <row r="62466" customFormat="1" x14ac:dyDescent="0.3"/>
    <row r="62467" customFormat="1" x14ac:dyDescent="0.3"/>
    <row r="62468" customFormat="1" x14ac:dyDescent="0.3"/>
    <row r="62469" customFormat="1" x14ac:dyDescent="0.3"/>
    <row r="62470" customFormat="1" x14ac:dyDescent="0.3"/>
    <row r="62471" customFormat="1" x14ac:dyDescent="0.3"/>
    <row r="62472" customFormat="1" x14ac:dyDescent="0.3"/>
    <row r="62473" customFormat="1" x14ac:dyDescent="0.3"/>
    <row r="62474" customFormat="1" x14ac:dyDescent="0.3"/>
    <row r="62475" customFormat="1" x14ac:dyDescent="0.3"/>
    <row r="62476" customFormat="1" x14ac:dyDescent="0.3"/>
    <row r="62477" customFormat="1" x14ac:dyDescent="0.3"/>
    <row r="62478" customFormat="1" x14ac:dyDescent="0.3"/>
    <row r="62479" customFormat="1" x14ac:dyDescent="0.3"/>
    <row r="62480" customFormat="1" x14ac:dyDescent="0.3"/>
    <row r="62481" customFormat="1" x14ac:dyDescent="0.3"/>
    <row r="62482" customFormat="1" x14ac:dyDescent="0.3"/>
    <row r="62483" customFormat="1" x14ac:dyDescent="0.3"/>
    <row r="62484" customFormat="1" x14ac:dyDescent="0.3"/>
    <row r="62485" customFormat="1" x14ac:dyDescent="0.3"/>
    <row r="62486" customFormat="1" x14ac:dyDescent="0.3"/>
    <row r="62487" customFormat="1" x14ac:dyDescent="0.3"/>
    <row r="62488" customFormat="1" x14ac:dyDescent="0.3"/>
    <row r="62489" customFormat="1" x14ac:dyDescent="0.3"/>
    <row r="62490" customFormat="1" x14ac:dyDescent="0.3"/>
    <row r="62491" customFormat="1" x14ac:dyDescent="0.3"/>
    <row r="62492" customFormat="1" x14ac:dyDescent="0.3"/>
    <row r="62493" customFormat="1" x14ac:dyDescent="0.3"/>
    <row r="62494" customFormat="1" x14ac:dyDescent="0.3"/>
    <row r="62495" customFormat="1" x14ac:dyDescent="0.3"/>
    <row r="62496" customFormat="1" x14ac:dyDescent="0.3"/>
    <row r="62497" customFormat="1" x14ac:dyDescent="0.3"/>
    <row r="62498" customFormat="1" x14ac:dyDescent="0.3"/>
    <row r="62499" customFormat="1" x14ac:dyDescent="0.3"/>
    <row r="62500" customFormat="1" x14ac:dyDescent="0.3"/>
    <row r="62501" customFormat="1" x14ac:dyDescent="0.3"/>
    <row r="62502" customFormat="1" x14ac:dyDescent="0.3"/>
    <row r="62503" customFormat="1" x14ac:dyDescent="0.3"/>
    <row r="62504" customFormat="1" x14ac:dyDescent="0.3"/>
    <row r="62505" customFormat="1" x14ac:dyDescent="0.3"/>
    <row r="62506" customFormat="1" x14ac:dyDescent="0.3"/>
    <row r="62507" customFormat="1" x14ac:dyDescent="0.3"/>
    <row r="62508" customFormat="1" x14ac:dyDescent="0.3"/>
    <row r="62509" customFormat="1" x14ac:dyDescent="0.3"/>
    <row r="62510" customFormat="1" x14ac:dyDescent="0.3"/>
    <row r="62511" customFormat="1" x14ac:dyDescent="0.3"/>
    <row r="62512" customFormat="1" x14ac:dyDescent="0.3"/>
    <row r="62513" customFormat="1" x14ac:dyDescent="0.3"/>
    <row r="62514" customFormat="1" x14ac:dyDescent="0.3"/>
    <row r="62515" customFormat="1" x14ac:dyDescent="0.3"/>
    <row r="62516" customFormat="1" x14ac:dyDescent="0.3"/>
    <row r="62517" customFormat="1" x14ac:dyDescent="0.3"/>
    <row r="62518" customFormat="1" x14ac:dyDescent="0.3"/>
    <row r="62519" customFormat="1" x14ac:dyDescent="0.3"/>
    <row r="62520" customFormat="1" x14ac:dyDescent="0.3"/>
    <row r="62521" customFormat="1" x14ac:dyDescent="0.3"/>
    <row r="62522" customFormat="1" x14ac:dyDescent="0.3"/>
    <row r="62523" customFormat="1" x14ac:dyDescent="0.3"/>
    <row r="62524" customFormat="1" x14ac:dyDescent="0.3"/>
    <row r="62525" customFormat="1" x14ac:dyDescent="0.3"/>
    <row r="62526" customFormat="1" x14ac:dyDescent="0.3"/>
    <row r="62527" customFormat="1" x14ac:dyDescent="0.3"/>
    <row r="62528" customFormat="1" x14ac:dyDescent="0.3"/>
    <row r="62529" customFormat="1" x14ac:dyDescent="0.3"/>
    <row r="62530" customFormat="1" x14ac:dyDescent="0.3"/>
    <row r="62531" customFormat="1" x14ac:dyDescent="0.3"/>
    <row r="62532" customFormat="1" x14ac:dyDescent="0.3"/>
    <row r="62533" customFormat="1" x14ac:dyDescent="0.3"/>
    <row r="62534" customFormat="1" x14ac:dyDescent="0.3"/>
    <row r="62535" customFormat="1" x14ac:dyDescent="0.3"/>
    <row r="62536" customFormat="1" x14ac:dyDescent="0.3"/>
    <row r="62537" customFormat="1" x14ac:dyDescent="0.3"/>
    <row r="62538" customFormat="1" x14ac:dyDescent="0.3"/>
    <row r="62539" customFormat="1" x14ac:dyDescent="0.3"/>
    <row r="62540" customFormat="1" x14ac:dyDescent="0.3"/>
    <row r="62541" customFormat="1" x14ac:dyDescent="0.3"/>
    <row r="62542" customFormat="1" x14ac:dyDescent="0.3"/>
    <row r="62543" customFormat="1" x14ac:dyDescent="0.3"/>
    <row r="62544" customFormat="1" x14ac:dyDescent="0.3"/>
    <row r="62545" customFormat="1" x14ac:dyDescent="0.3"/>
    <row r="62546" customFormat="1" x14ac:dyDescent="0.3"/>
    <row r="62547" customFormat="1" x14ac:dyDescent="0.3"/>
    <row r="62548" customFormat="1" x14ac:dyDescent="0.3"/>
    <row r="62549" customFormat="1" x14ac:dyDescent="0.3"/>
    <row r="62550" customFormat="1" x14ac:dyDescent="0.3"/>
    <row r="62551" customFormat="1" x14ac:dyDescent="0.3"/>
    <row r="62552" customFormat="1" x14ac:dyDescent="0.3"/>
    <row r="62553" customFormat="1" x14ac:dyDescent="0.3"/>
    <row r="62554" customFormat="1" x14ac:dyDescent="0.3"/>
    <row r="62555" customFormat="1" x14ac:dyDescent="0.3"/>
    <row r="62556" customFormat="1" x14ac:dyDescent="0.3"/>
    <row r="62557" customFormat="1" x14ac:dyDescent="0.3"/>
    <row r="62558" customFormat="1" x14ac:dyDescent="0.3"/>
    <row r="62559" customFormat="1" x14ac:dyDescent="0.3"/>
    <row r="62560" customFormat="1" x14ac:dyDescent="0.3"/>
    <row r="62561" customFormat="1" x14ac:dyDescent="0.3"/>
    <row r="62562" customFormat="1" x14ac:dyDescent="0.3"/>
    <row r="62563" customFormat="1" x14ac:dyDescent="0.3"/>
    <row r="62564" customFormat="1" x14ac:dyDescent="0.3"/>
    <row r="62565" customFormat="1" x14ac:dyDescent="0.3"/>
    <row r="62566" customFormat="1" x14ac:dyDescent="0.3"/>
    <row r="62567" customFormat="1" x14ac:dyDescent="0.3"/>
    <row r="62568" customFormat="1" x14ac:dyDescent="0.3"/>
    <row r="62569" customFormat="1" x14ac:dyDescent="0.3"/>
    <row r="62570" customFormat="1" x14ac:dyDescent="0.3"/>
    <row r="62571" customFormat="1" x14ac:dyDescent="0.3"/>
    <row r="62572" customFormat="1" x14ac:dyDescent="0.3"/>
    <row r="62573" customFormat="1" x14ac:dyDescent="0.3"/>
    <row r="62574" customFormat="1" x14ac:dyDescent="0.3"/>
    <row r="62575" customFormat="1" x14ac:dyDescent="0.3"/>
    <row r="62576" customFormat="1" x14ac:dyDescent="0.3"/>
    <row r="62577" customFormat="1" x14ac:dyDescent="0.3"/>
    <row r="62578" customFormat="1" x14ac:dyDescent="0.3"/>
    <row r="62579" customFormat="1" x14ac:dyDescent="0.3"/>
    <row r="62580" customFormat="1" x14ac:dyDescent="0.3"/>
    <row r="62581" customFormat="1" x14ac:dyDescent="0.3"/>
    <row r="62582" customFormat="1" x14ac:dyDescent="0.3"/>
    <row r="62583" customFormat="1" x14ac:dyDescent="0.3"/>
    <row r="62584" customFormat="1" x14ac:dyDescent="0.3"/>
    <row r="62585" customFormat="1" x14ac:dyDescent="0.3"/>
    <row r="62586" customFormat="1" x14ac:dyDescent="0.3"/>
    <row r="62587" customFormat="1" x14ac:dyDescent="0.3"/>
    <row r="62588" customFormat="1" x14ac:dyDescent="0.3"/>
    <row r="62589" customFormat="1" x14ac:dyDescent="0.3"/>
    <row r="62590" customFormat="1" x14ac:dyDescent="0.3"/>
    <row r="62591" customFormat="1" x14ac:dyDescent="0.3"/>
    <row r="62592" customFormat="1" x14ac:dyDescent="0.3"/>
    <row r="62593" customFormat="1" x14ac:dyDescent="0.3"/>
    <row r="62594" customFormat="1" x14ac:dyDescent="0.3"/>
    <row r="62595" customFormat="1" x14ac:dyDescent="0.3"/>
    <row r="62596" customFormat="1" x14ac:dyDescent="0.3"/>
    <row r="62597" customFormat="1" x14ac:dyDescent="0.3"/>
    <row r="62598" customFormat="1" x14ac:dyDescent="0.3"/>
    <row r="62599" customFormat="1" x14ac:dyDescent="0.3"/>
    <row r="62600" customFormat="1" x14ac:dyDescent="0.3"/>
    <row r="62601" customFormat="1" x14ac:dyDescent="0.3"/>
    <row r="62602" customFormat="1" x14ac:dyDescent="0.3"/>
    <row r="62603" customFormat="1" x14ac:dyDescent="0.3"/>
    <row r="62604" customFormat="1" x14ac:dyDescent="0.3"/>
    <row r="62605" customFormat="1" x14ac:dyDescent="0.3"/>
    <row r="62606" customFormat="1" x14ac:dyDescent="0.3"/>
    <row r="62607" customFormat="1" x14ac:dyDescent="0.3"/>
    <row r="62608" customFormat="1" x14ac:dyDescent="0.3"/>
    <row r="62609" customFormat="1" x14ac:dyDescent="0.3"/>
    <row r="62610" customFormat="1" x14ac:dyDescent="0.3"/>
    <row r="62611" customFormat="1" x14ac:dyDescent="0.3"/>
    <row r="62612" customFormat="1" x14ac:dyDescent="0.3"/>
    <row r="62613" customFormat="1" x14ac:dyDescent="0.3"/>
    <row r="62614" customFormat="1" x14ac:dyDescent="0.3"/>
    <row r="62615" customFormat="1" x14ac:dyDescent="0.3"/>
    <row r="62616" customFormat="1" x14ac:dyDescent="0.3"/>
    <row r="62617" customFormat="1" x14ac:dyDescent="0.3"/>
    <row r="62618" customFormat="1" x14ac:dyDescent="0.3"/>
    <row r="62619" customFormat="1" x14ac:dyDescent="0.3"/>
    <row r="62620" customFormat="1" x14ac:dyDescent="0.3"/>
    <row r="62621" customFormat="1" x14ac:dyDescent="0.3"/>
    <row r="62622" customFormat="1" x14ac:dyDescent="0.3"/>
    <row r="62623" customFormat="1" x14ac:dyDescent="0.3"/>
    <row r="62624" customFormat="1" x14ac:dyDescent="0.3"/>
    <row r="62625" customFormat="1" x14ac:dyDescent="0.3"/>
    <row r="62626" customFormat="1" x14ac:dyDescent="0.3"/>
    <row r="62627" customFormat="1" x14ac:dyDescent="0.3"/>
    <row r="62628" customFormat="1" x14ac:dyDescent="0.3"/>
    <row r="62629" customFormat="1" x14ac:dyDescent="0.3"/>
    <row r="62630" customFormat="1" x14ac:dyDescent="0.3"/>
    <row r="62631" customFormat="1" x14ac:dyDescent="0.3"/>
    <row r="62632" customFormat="1" x14ac:dyDescent="0.3"/>
    <row r="62633" customFormat="1" x14ac:dyDescent="0.3"/>
    <row r="62634" customFormat="1" x14ac:dyDescent="0.3"/>
    <row r="62635" customFormat="1" x14ac:dyDescent="0.3"/>
    <row r="62636" customFormat="1" x14ac:dyDescent="0.3"/>
    <row r="62637" customFormat="1" x14ac:dyDescent="0.3"/>
    <row r="62638" customFormat="1" x14ac:dyDescent="0.3"/>
    <row r="62639" customFormat="1" x14ac:dyDescent="0.3"/>
    <row r="62640" customFormat="1" x14ac:dyDescent="0.3"/>
    <row r="62641" customFormat="1" x14ac:dyDescent="0.3"/>
    <row r="62642" customFormat="1" x14ac:dyDescent="0.3"/>
    <row r="62643" customFormat="1" x14ac:dyDescent="0.3"/>
    <row r="62644" customFormat="1" x14ac:dyDescent="0.3"/>
    <row r="62645" customFormat="1" x14ac:dyDescent="0.3"/>
    <row r="62646" customFormat="1" x14ac:dyDescent="0.3"/>
    <row r="62647" customFormat="1" x14ac:dyDescent="0.3"/>
    <row r="62648" customFormat="1" x14ac:dyDescent="0.3"/>
    <row r="62649" customFormat="1" x14ac:dyDescent="0.3"/>
    <row r="62650" customFormat="1" x14ac:dyDescent="0.3"/>
    <row r="62651" customFormat="1" x14ac:dyDescent="0.3"/>
    <row r="62652" customFormat="1" x14ac:dyDescent="0.3"/>
    <row r="62653" customFormat="1" x14ac:dyDescent="0.3"/>
    <row r="62654" customFormat="1" x14ac:dyDescent="0.3"/>
    <row r="62655" customFormat="1" x14ac:dyDescent="0.3"/>
    <row r="62656" customFormat="1" x14ac:dyDescent="0.3"/>
    <row r="62657" customFormat="1" x14ac:dyDescent="0.3"/>
    <row r="62658" customFormat="1" x14ac:dyDescent="0.3"/>
    <row r="62659" customFormat="1" x14ac:dyDescent="0.3"/>
    <row r="62660" customFormat="1" x14ac:dyDescent="0.3"/>
    <row r="62661" customFormat="1" x14ac:dyDescent="0.3"/>
    <row r="62662" customFormat="1" x14ac:dyDescent="0.3"/>
    <row r="62663" customFormat="1" x14ac:dyDescent="0.3"/>
    <row r="62664" customFormat="1" x14ac:dyDescent="0.3"/>
    <row r="62665" customFormat="1" x14ac:dyDescent="0.3"/>
    <row r="62666" customFormat="1" x14ac:dyDescent="0.3"/>
    <row r="62667" customFormat="1" x14ac:dyDescent="0.3"/>
    <row r="62668" customFormat="1" x14ac:dyDescent="0.3"/>
    <row r="62669" customFormat="1" x14ac:dyDescent="0.3"/>
    <row r="62670" customFormat="1" x14ac:dyDescent="0.3"/>
    <row r="62671" customFormat="1" x14ac:dyDescent="0.3"/>
    <row r="62672" customFormat="1" x14ac:dyDescent="0.3"/>
    <row r="62673" customFormat="1" x14ac:dyDescent="0.3"/>
    <row r="62674" customFormat="1" x14ac:dyDescent="0.3"/>
    <row r="62675" customFormat="1" x14ac:dyDescent="0.3"/>
    <row r="62676" customFormat="1" x14ac:dyDescent="0.3"/>
    <row r="62677" customFormat="1" x14ac:dyDescent="0.3"/>
    <row r="62678" customFormat="1" x14ac:dyDescent="0.3"/>
    <row r="62679" customFormat="1" x14ac:dyDescent="0.3"/>
    <row r="62680" customFormat="1" x14ac:dyDescent="0.3"/>
    <row r="62681" customFormat="1" x14ac:dyDescent="0.3"/>
    <row r="62682" customFormat="1" x14ac:dyDescent="0.3"/>
    <row r="62683" customFormat="1" x14ac:dyDescent="0.3"/>
    <row r="62684" customFormat="1" x14ac:dyDescent="0.3"/>
    <row r="62685" customFormat="1" x14ac:dyDescent="0.3"/>
    <row r="62686" customFormat="1" x14ac:dyDescent="0.3"/>
    <row r="62687" customFormat="1" x14ac:dyDescent="0.3"/>
    <row r="62688" customFormat="1" x14ac:dyDescent="0.3"/>
    <row r="62689" customFormat="1" x14ac:dyDescent="0.3"/>
    <row r="62690" customFormat="1" x14ac:dyDescent="0.3"/>
    <row r="62691" customFormat="1" x14ac:dyDescent="0.3"/>
    <row r="62692" customFormat="1" x14ac:dyDescent="0.3"/>
    <row r="62693" customFormat="1" x14ac:dyDescent="0.3"/>
    <row r="62694" customFormat="1" x14ac:dyDescent="0.3"/>
    <row r="62695" customFormat="1" x14ac:dyDescent="0.3"/>
    <row r="62696" customFormat="1" x14ac:dyDescent="0.3"/>
    <row r="62697" customFormat="1" x14ac:dyDescent="0.3"/>
    <row r="62698" customFormat="1" x14ac:dyDescent="0.3"/>
    <row r="62699" customFormat="1" x14ac:dyDescent="0.3"/>
    <row r="62700" customFormat="1" x14ac:dyDescent="0.3"/>
    <row r="62701" customFormat="1" x14ac:dyDescent="0.3"/>
    <row r="62702" customFormat="1" x14ac:dyDescent="0.3"/>
    <row r="62703" customFormat="1" x14ac:dyDescent="0.3"/>
    <row r="62704" customFormat="1" x14ac:dyDescent="0.3"/>
    <row r="62705" customFormat="1" x14ac:dyDescent="0.3"/>
    <row r="62706" customFormat="1" x14ac:dyDescent="0.3"/>
    <row r="62707" customFormat="1" x14ac:dyDescent="0.3"/>
    <row r="62708" customFormat="1" x14ac:dyDescent="0.3"/>
    <row r="62709" customFormat="1" x14ac:dyDescent="0.3"/>
    <row r="62710" customFormat="1" x14ac:dyDescent="0.3"/>
    <row r="62711" customFormat="1" x14ac:dyDescent="0.3"/>
    <row r="62712" customFormat="1" x14ac:dyDescent="0.3"/>
    <row r="62713" customFormat="1" x14ac:dyDescent="0.3"/>
    <row r="62714" customFormat="1" x14ac:dyDescent="0.3"/>
    <row r="62715" customFormat="1" x14ac:dyDescent="0.3"/>
    <row r="62716" customFormat="1" x14ac:dyDescent="0.3"/>
    <row r="62717" customFormat="1" x14ac:dyDescent="0.3"/>
    <row r="62718" customFormat="1" x14ac:dyDescent="0.3"/>
    <row r="62719" customFormat="1" x14ac:dyDescent="0.3"/>
    <row r="62720" customFormat="1" x14ac:dyDescent="0.3"/>
    <row r="62721" customFormat="1" x14ac:dyDescent="0.3"/>
    <row r="62722" customFormat="1" x14ac:dyDescent="0.3"/>
    <row r="62723" customFormat="1" x14ac:dyDescent="0.3"/>
    <row r="62724" customFormat="1" x14ac:dyDescent="0.3"/>
    <row r="62725" customFormat="1" x14ac:dyDescent="0.3"/>
    <row r="62726" customFormat="1" x14ac:dyDescent="0.3"/>
    <row r="62727" customFormat="1" x14ac:dyDescent="0.3"/>
    <row r="62728" customFormat="1" x14ac:dyDescent="0.3"/>
    <row r="62729" customFormat="1" x14ac:dyDescent="0.3"/>
    <row r="62730" customFormat="1" x14ac:dyDescent="0.3"/>
    <row r="62731" customFormat="1" x14ac:dyDescent="0.3"/>
    <row r="62732" customFormat="1" x14ac:dyDescent="0.3"/>
    <row r="62733" customFormat="1" x14ac:dyDescent="0.3"/>
    <row r="62734" customFormat="1" x14ac:dyDescent="0.3"/>
    <row r="62735" customFormat="1" x14ac:dyDescent="0.3"/>
    <row r="62736" customFormat="1" x14ac:dyDescent="0.3"/>
    <row r="62737" customFormat="1" x14ac:dyDescent="0.3"/>
    <row r="62738" customFormat="1" x14ac:dyDescent="0.3"/>
    <row r="62739" customFormat="1" x14ac:dyDescent="0.3"/>
    <row r="62740" customFormat="1" x14ac:dyDescent="0.3"/>
    <row r="62741" customFormat="1" x14ac:dyDescent="0.3"/>
    <row r="62742" customFormat="1" x14ac:dyDescent="0.3"/>
    <row r="62743" customFormat="1" x14ac:dyDescent="0.3"/>
    <row r="62744" customFormat="1" x14ac:dyDescent="0.3"/>
    <row r="62745" customFormat="1" x14ac:dyDescent="0.3"/>
    <row r="62746" customFormat="1" x14ac:dyDescent="0.3"/>
    <row r="62747" customFormat="1" x14ac:dyDescent="0.3"/>
    <row r="62748" customFormat="1" x14ac:dyDescent="0.3"/>
    <row r="62749" customFormat="1" x14ac:dyDescent="0.3"/>
    <row r="62750" customFormat="1" x14ac:dyDescent="0.3"/>
    <row r="62751" customFormat="1" x14ac:dyDescent="0.3"/>
    <row r="62752" customFormat="1" x14ac:dyDescent="0.3"/>
    <row r="62753" customFormat="1" x14ac:dyDescent="0.3"/>
    <row r="62754" customFormat="1" x14ac:dyDescent="0.3"/>
    <row r="62755" customFormat="1" x14ac:dyDescent="0.3"/>
    <row r="62756" customFormat="1" x14ac:dyDescent="0.3"/>
    <row r="62757" customFormat="1" x14ac:dyDescent="0.3"/>
    <row r="62758" customFormat="1" x14ac:dyDescent="0.3"/>
    <row r="62759" customFormat="1" x14ac:dyDescent="0.3"/>
    <row r="62760" customFormat="1" x14ac:dyDescent="0.3"/>
    <row r="62761" customFormat="1" x14ac:dyDescent="0.3"/>
    <row r="62762" customFormat="1" x14ac:dyDescent="0.3"/>
    <row r="62763" customFormat="1" x14ac:dyDescent="0.3"/>
    <row r="62764" customFormat="1" x14ac:dyDescent="0.3"/>
    <row r="62765" customFormat="1" x14ac:dyDescent="0.3"/>
    <row r="62766" customFormat="1" x14ac:dyDescent="0.3"/>
    <row r="62767" customFormat="1" x14ac:dyDescent="0.3"/>
    <row r="62768" customFormat="1" x14ac:dyDescent="0.3"/>
    <row r="62769" customFormat="1" x14ac:dyDescent="0.3"/>
    <row r="62770" customFormat="1" x14ac:dyDescent="0.3"/>
    <row r="62771" customFormat="1" x14ac:dyDescent="0.3"/>
    <row r="62772" customFormat="1" x14ac:dyDescent="0.3"/>
    <row r="62773" customFormat="1" x14ac:dyDescent="0.3"/>
    <row r="62774" customFormat="1" x14ac:dyDescent="0.3"/>
    <row r="62775" customFormat="1" x14ac:dyDescent="0.3"/>
    <row r="62776" customFormat="1" x14ac:dyDescent="0.3"/>
    <row r="62777" customFormat="1" x14ac:dyDescent="0.3"/>
    <row r="62778" customFormat="1" x14ac:dyDescent="0.3"/>
    <row r="62779" customFormat="1" x14ac:dyDescent="0.3"/>
    <row r="62780" customFormat="1" x14ac:dyDescent="0.3"/>
    <row r="62781" customFormat="1" x14ac:dyDescent="0.3"/>
    <row r="62782" customFormat="1" x14ac:dyDescent="0.3"/>
    <row r="62783" customFormat="1" x14ac:dyDescent="0.3"/>
    <row r="62784" customFormat="1" x14ac:dyDescent="0.3"/>
    <row r="62785" customFormat="1" x14ac:dyDescent="0.3"/>
    <row r="62786" customFormat="1" x14ac:dyDescent="0.3"/>
    <row r="62787" customFormat="1" x14ac:dyDescent="0.3"/>
    <row r="62788" customFormat="1" x14ac:dyDescent="0.3"/>
    <row r="62789" customFormat="1" x14ac:dyDescent="0.3"/>
    <row r="62790" customFormat="1" x14ac:dyDescent="0.3"/>
    <row r="62791" customFormat="1" x14ac:dyDescent="0.3"/>
    <row r="62792" customFormat="1" x14ac:dyDescent="0.3"/>
    <row r="62793" customFormat="1" x14ac:dyDescent="0.3"/>
    <row r="62794" customFormat="1" x14ac:dyDescent="0.3"/>
    <row r="62795" customFormat="1" x14ac:dyDescent="0.3"/>
    <row r="62796" customFormat="1" x14ac:dyDescent="0.3"/>
    <row r="62797" customFormat="1" x14ac:dyDescent="0.3"/>
    <row r="62798" customFormat="1" x14ac:dyDescent="0.3"/>
    <row r="62799" customFormat="1" x14ac:dyDescent="0.3"/>
    <row r="62800" customFormat="1" x14ac:dyDescent="0.3"/>
    <row r="62801" customFormat="1" x14ac:dyDescent="0.3"/>
    <row r="62802" customFormat="1" x14ac:dyDescent="0.3"/>
    <row r="62803" customFormat="1" x14ac:dyDescent="0.3"/>
    <row r="62804" customFormat="1" x14ac:dyDescent="0.3"/>
    <row r="62805" customFormat="1" x14ac:dyDescent="0.3"/>
    <row r="62806" customFormat="1" x14ac:dyDescent="0.3"/>
    <row r="62807" customFormat="1" x14ac:dyDescent="0.3"/>
    <row r="62808" customFormat="1" x14ac:dyDescent="0.3"/>
    <row r="62809" customFormat="1" x14ac:dyDescent="0.3"/>
    <row r="62810" customFormat="1" x14ac:dyDescent="0.3"/>
    <row r="62811" customFormat="1" x14ac:dyDescent="0.3"/>
    <row r="62812" customFormat="1" x14ac:dyDescent="0.3"/>
    <row r="62813" customFormat="1" x14ac:dyDescent="0.3"/>
    <row r="62814" customFormat="1" x14ac:dyDescent="0.3"/>
    <row r="62815" customFormat="1" x14ac:dyDescent="0.3"/>
    <row r="62816" customFormat="1" x14ac:dyDescent="0.3"/>
    <row r="62817" customFormat="1" x14ac:dyDescent="0.3"/>
    <row r="62818" customFormat="1" x14ac:dyDescent="0.3"/>
    <row r="62819" customFormat="1" x14ac:dyDescent="0.3"/>
    <row r="62820" customFormat="1" x14ac:dyDescent="0.3"/>
    <row r="62821" customFormat="1" x14ac:dyDescent="0.3"/>
    <row r="62822" customFormat="1" x14ac:dyDescent="0.3"/>
    <row r="62823" customFormat="1" x14ac:dyDescent="0.3"/>
    <row r="62824" customFormat="1" x14ac:dyDescent="0.3"/>
    <row r="62825" customFormat="1" x14ac:dyDescent="0.3"/>
    <row r="62826" customFormat="1" x14ac:dyDescent="0.3"/>
    <row r="62827" customFormat="1" x14ac:dyDescent="0.3"/>
    <row r="62828" customFormat="1" x14ac:dyDescent="0.3"/>
    <row r="62829" customFormat="1" x14ac:dyDescent="0.3"/>
    <row r="62830" customFormat="1" x14ac:dyDescent="0.3"/>
    <row r="62831" customFormat="1" x14ac:dyDescent="0.3"/>
    <row r="62832" customFormat="1" x14ac:dyDescent="0.3"/>
    <row r="62833" customFormat="1" x14ac:dyDescent="0.3"/>
    <row r="62834" customFormat="1" x14ac:dyDescent="0.3"/>
    <row r="62835" customFormat="1" x14ac:dyDescent="0.3"/>
    <row r="62836" customFormat="1" x14ac:dyDescent="0.3"/>
    <row r="62837" customFormat="1" x14ac:dyDescent="0.3"/>
    <row r="62838" customFormat="1" x14ac:dyDescent="0.3"/>
    <row r="62839" customFormat="1" x14ac:dyDescent="0.3"/>
    <row r="62840" customFormat="1" x14ac:dyDescent="0.3"/>
    <row r="62841" customFormat="1" x14ac:dyDescent="0.3"/>
    <row r="62842" customFormat="1" x14ac:dyDescent="0.3"/>
    <row r="62843" customFormat="1" x14ac:dyDescent="0.3"/>
    <row r="62844" customFormat="1" x14ac:dyDescent="0.3"/>
    <row r="62845" customFormat="1" x14ac:dyDescent="0.3"/>
    <row r="62846" customFormat="1" x14ac:dyDescent="0.3"/>
    <row r="62847" customFormat="1" x14ac:dyDescent="0.3"/>
    <row r="62848" customFormat="1" x14ac:dyDescent="0.3"/>
    <row r="62849" customFormat="1" x14ac:dyDescent="0.3"/>
    <row r="62850" customFormat="1" x14ac:dyDescent="0.3"/>
    <row r="62851" customFormat="1" x14ac:dyDescent="0.3"/>
    <row r="62852" customFormat="1" x14ac:dyDescent="0.3"/>
    <row r="62853" customFormat="1" x14ac:dyDescent="0.3"/>
    <row r="62854" customFormat="1" x14ac:dyDescent="0.3"/>
    <row r="62855" customFormat="1" x14ac:dyDescent="0.3"/>
    <row r="62856" customFormat="1" x14ac:dyDescent="0.3"/>
    <row r="62857" customFormat="1" x14ac:dyDescent="0.3"/>
    <row r="62858" customFormat="1" x14ac:dyDescent="0.3"/>
    <row r="62859" customFormat="1" x14ac:dyDescent="0.3"/>
    <row r="62860" customFormat="1" x14ac:dyDescent="0.3"/>
    <row r="62861" customFormat="1" x14ac:dyDescent="0.3"/>
    <row r="62862" customFormat="1" x14ac:dyDescent="0.3"/>
    <row r="62863" customFormat="1" x14ac:dyDescent="0.3"/>
    <row r="62864" customFormat="1" x14ac:dyDescent="0.3"/>
    <row r="62865" customFormat="1" x14ac:dyDescent="0.3"/>
    <row r="62866" customFormat="1" x14ac:dyDescent="0.3"/>
    <row r="62867" customFormat="1" x14ac:dyDescent="0.3"/>
    <row r="62868" customFormat="1" x14ac:dyDescent="0.3"/>
    <row r="62869" customFormat="1" x14ac:dyDescent="0.3"/>
    <row r="62870" customFormat="1" x14ac:dyDescent="0.3"/>
    <row r="62871" customFormat="1" x14ac:dyDescent="0.3"/>
    <row r="62872" customFormat="1" x14ac:dyDescent="0.3"/>
    <row r="62873" customFormat="1" x14ac:dyDescent="0.3"/>
    <row r="62874" customFormat="1" x14ac:dyDescent="0.3"/>
    <row r="62875" customFormat="1" x14ac:dyDescent="0.3"/>
    <row r="62876" customFormat="1" x14ac:dyDescent="0.3"/>
    <row r="62877" customFormat="1" x14ac:dyDescent="0.3"/>
    <row r="62878" customFormat="1" x14ac:dyDescent="0.3"/>
    <row r="62879" customFormat="1" x14ac:dyDescent="0.3"/>
    <row r="62880" customFormat="1" x14ac:dyDescent="0.3"/>
    <row r="62881" customFormat="1" x14ac:dyDescent="0.3"/>
    <row r="62882" customFormat="1" x14ac:dyDescent="0.3"/>
    <row r="62883" customFormat="1" x14ac:dyDescent="0.3"/>
    <row r="62884" customFormat="1" x14ac:dyDescent="0.3"/>
    <row r="62885" customFormat="1" x14ac:dyDescent="0.3"/>
    <row r="62886" customFormat="1" x14ac:dyDescent="0.3"/>
    <row r="62887" customFormat="1" x14ac:dyDescent="0.3"/>
    <row r="62888" customFormat="1" x14ac:dyDescent="0.3"/>
    <row r="62889" customFormat="1" x14ac:dyDescent="0.3"/>
    <row r="62890" customFormat="1" x14ac:dyDescent="0.3"/>
    <row r="62891" customFormat="1" x14ac:dyDescent="0.3"/>
    <row r="62892" customFormat="1" x14ac:dyDescent="0.3"/>
    <row r="62893" customFormat="1" x14ac:dyDescent="0.3"/>
    <row r="62894" customFormat="1" x14ac:dyDescent="0.3"/>
    <row r="62895" customFormat="1" x14ac:dyDescent="0.3"/>
    <row r="62896" customFormat="1" x14ac:dyDescent="0.3"/>
    <row r="62897" customFormat="1" x14ac:dyDescent="0.3"/>
    <row r="62898" customFormat="1" x14ac:dyDescent="0.3"/>
    <row r="62899" customFormat="1" x14ac:dyDescent="0.3"/>
    <row r="62900" customFormat="1" x14ac:dyDescent="0.3"/>
    <row r="62901" customFormat="1" x14ac:dyDescent="0.3"/>
    <row r="62902" customFormat="1" x14ac:dyDescent="0.3"/>
    <row r="62903" customFormat="1" x14ac:dyDescent="0.3"/>
    <row r="62904" customFormat="1" x14ac:dyDescent="0.3"/>
    <row r="62905" customFormat="1" x14ac:dyDescent="0.3"/>
    <row r="62906" customFormat="1" x14ac:dyDescent="0.3"/>
    <row r="62907" customFormat="1" x14ac:dyDescent="0.3"/>
    <row r="62908" customFormat="1" x14ac:dyDescent="0.3"/>
    <row r="62909" customFormat="1" x14ac:dyDescent="0.3"/>
    <row r="62910" customFormat="1" x14ac:dyDescent="0.3"/>
    <row r="62911" customFormat="1" x14ac:dyDescent="0.3"/>
    <row r="62912" customFormat="1" x14ac:dyDescent="0.3"/>
    <row r="62913" customFormat="1" x14ac:dyDescent="0.3"/>
    <row r="62914" customFormat="1" x14ac:dyDescent="0.3"/>
    <row r="62915" customFormat="1" x14ac:dyDescent="0.3"/>
    <row r="62916" customFormat="1" x14ac:dyDescent="0.3"/>
    <row r="62917" customFormat="1" x14ac:dyDescent="0.3"/>
    <row r="62918" customFormat="1" x14ac:dyDescent="0.3"/>
    <row r="62919" customFormat="1" x14ac:dyDescent="0.3"/>
    <row r="62920" customFormat="1" x14ac:dyDescent="0.3"/>
    <row r="62921" customFormat="1" x14ac:dyDescent="0.3"/>
    <row r="62922" customFormat="1" x14ac:dyDescent="0.3"/>
    <row r="62923" customFormat="1" x14ac:dyDescent="0.3"/>
    <row r="62924" customFormat="1" x14ac:dyDescent="0.3"/>
    <row r="62925" customFormat="1" x14ac:dyDescent="0.3"/>
    <row r="62926" customFormat="1" x14ac:dyDescent="0.3"/>
    <row r="62927" customFormat="1" x14ac:dyDescent="0.3"/>
    <row r="62928" customFormat="1" x14ac:dyDescent="0.3"/>
    <row r="62929" customFormat="1" x14ac:dyDescent="0.3"/>
    <row r="62930" customFormat="1" x14ac:dyDescent="0.3"/>
    <row r="62931" customFormat="1" x14ac:dyDescent="0.3"/>
    <row r="62932" customFormat="1" x14ac:dyDescent="0.3"/>
    <row r="62933" customFormat="1" x14ac:dyDescent="0.3"/>
    <row r="62934" customFormat="1" x14ac:dyDescent="0.3"/>
    <row r="62935" customFormat="1" x14ac:dyDescent="0.3"/>
    <row r="62936" customFormat="1" x14ac:dyDescent="0.3"/>
    <row r="62937" customFormat="1" x14ac:dyDescent="0.3"/>
    <row r="62938" customFormat="1" x14ac:dyDescent="0.3"/>
    <row r="62939" customFormat="1" x14ac:dyDescent="0.3"/>
    <row r="62940" customFormat="1" x14ac:dyDescent="0.3"/>
    <row r="62941" customFormat="1" x14ac:dyDescent="0.3"/>
    <row r="62942" customFormat="1" x14ac:dyDescent="0.3"/>
    <row r="62943" customFormat="1" x14ac:dyDescent="0.3"/>
    <row r="62944" customFormat="1" x14ac:dyDescent="0.3"/>
    <row r="62945" customFormat="1" x14ac:dyDescent="0.3"/>
    <row r="62946" customFormat="1" x14ac:dyDescent="0.3"/>
    <row r="62947" customFormat="1" x14ac:dyDescent="0.3"/>
    <row r="62948" customFormat="1" x14ac:dyDescent="0.3"/>
    <row r="62949" customFormat="1" x14ac:dyDescent="0.3"/>
    <row r="62950" customFormat="1" x14ac:dyDescent="0.3"/>
    <row r="62951" customFormat="1" x14ac:dyDescent="0.3"/>
    <row r="62952" customFormat="1" x14ac:dyDescent="0.3"/>
    <row r="62953" customFormat="1" x14ac:dyDescent="0.3"/>
    <row r="62954" customFormat="1" x14ac:dyDescent="0.3"/>
    <row r="62955" customFormat="1" x14ac:dyDescent="0.3"/>
    <row r="62956" customFormat="1" x14ac:dyDescent="0.3"/>
    <row r="62957" customFormat="1" x14ac:dyDescent="0.3"/>
    <row r="62958" customFormat="1" x14ac:dyDescent="0.3"/>
    <row r="62959" customFormat="1" x14ac:dyDescent="0.3"/>
    <row r="62960" customFormat="1" x14ac:dyDescent="0.3"/>
    <row r="62961" customFormat="1" x14ac:dyDescent="0.3"/>
    <row r="62962" customFormat="1" x14ac:dyDescent="0.3"/>
    <row r="62963" customFormat="1" x14ac:dyDescent="0.3"/>
    <row r="62964" customFormat="1" x14ac:dyDescent="0.3"/>
    <row r="62965" customFormat="1" x14ac:dyDescent="0.3"/>
    <row r="62966" customFormat="1" x14ac:dyDescent="0.3"/>
    <row r="62967" customFormat="1" x14ac:dyDescent="0.3"/>
    <row r="62968" customFormat="1" x14ac:dyDescent="0.3"/>
    <row r="62969" customFormat="1" x14ac:dyDescent="0.3"/>
    <row r="62970" customFormat="1" x14ac:dyDescent="0.3"/>
    <row r="62971" customFormat="1" x14ac:dyDescent="0.3"/>
    <row r="62972" customFormat="1" x14ac:dyDescent="0.3"/>
    <row r="62973" customFormat="1" x14ac:dyDescent="0.3"/>
    <row r="62974" customFormat="1" x14ac:dyDescent="0.3"/>
    <row r="62975" customFormat="1" x14ac:dyDescent="0.3"/>
    <row r="62976" customFormat="1" x14ac:dyDescent="0.3"/>
    <row r="62977" customFormat="1" x14ac:dyDescent="0.3"/>
    <row r="62978" customFormat="1" x14ac:dyDescent="0.3"/>
    <row r="62979" customFormat="1" x14ac:dyDescent="0.3"/>
    <row r="62980" customFormat="1" x14ac:dyDescent="0.3"/>
    <row r="62981" customFormat="1" x14ac:dyDescent="0.3"/>
    <row r="62982" customFormat="1" x14ac:dyDescent="0.3"/>
    <row r="62983" customFormat="1" x14ac:dyDescent="0.3"/>
    <row r="62984" customFormat="1" x14ac:dyDescent="0.3"/>
    <row r="62985" customFormat="1" x14ac:dyDescent="0.3"/>
    <row r="62986" customFormat="1" x14ac:dyDescent="0.3"/>
    <row r="62987" customFormat="1" x14ac:dyDescent="0.3"/>
    <row r="62988" customFormat="1" x14ac:dyDescent="0.3"/>
    <row r="62989" customFormat="1" x14ac:dyDescent="0.3"/>
    <row r="62990" customFormat="1" x14ac:dyDescent="0.3"/>
    <row r="62991" customFormat="1" x14ac:dyDescent="0.3"/>
    <row r="62992" customFormat="1" x14ac:dyDescent="0.3"/>
    <row r="62993" customFormat="1" x14ac:dyDescent="0.3"/>
    <row r="62994" customFormat="1" x14ac:dyDescent="0.3"/>
    <row r="62995" customFormat="1" x14ac:dyDescent="0.3"/>
    <row r="62996" customFormat="1" x14ac:dyDescent="0.3"/>
    <row r="62997" customFormat="1" x14ac:dyDescent="0.3"/>
    <row r="62998" customFormat="1" x14ac:dyDescent="0.3"/>
    <row r="62999" customFormat="1" x14ac:dyDescent="0.3"/>
    <row r="63000" customFormat="1" x14ac:dyDescent="0.3"/>
    <row r="63001" customFormat="1" x14ac:dyDescent="0.3"/>
    <row r="63002" customFormat="1" x14ac:dyDescent="0.3"/>
    <row r="63003" customFormat="1" x14ac:dyDescent="0.3"/>
    <row r="63004" customFormat="1" x14ac:dyDescent="0.3"/>
    <row r="63005" customFormat="1" x14ac:dyDescent="0.3"/>
    <row r="63006" customFormat="1" x14ac:dyDescent="0.3"/>
    <row r="63007" customFormat="1" x14ac:dyDescent="0.3"/>
    <row r="63008" customFormat="1" x14ac:dyDescent="0.3"/>
    <row r="63009" customFormat="1" x14ac:dyDescent="0.3"/>
    <row r="63010" customFormat="1" x14ac:dyDescent="0.3"/>
    <row r="63011" customFormat="1" x14ac:dyDescent="0.3"/>
    <row r="63012" customFormat="1" x14ac:dyDescent="0.3"/>
    <row r="63013" customFormat="1" x14ac:dyDescent="0.3"/>
    <row r="63014" customFormat="1" x14ac:dyDescent="0.3"/>
    <row r="63015" customFormat="1" x14ac:dyDescent="0.3"/>
    <row r="63016" customFormat="1" x14ac:dyDescent="0.3"/>
    <row r="63017" customFormat="1" x14ac:dyDescent="0.3"/>
    <row r="63018" customFormat="1" x14ac:dyDescent="0.3"/>
    <row r="63019" customFormat="1" x14ac:dyDescent="0.3"/>
    <row r="63020" customFormat="1" x14ac:dyDescent="0.3"/>
    <row r="63021" customFormat="1" x14ac:dyDescent="0.3"/>
    <row r="63022" customFormat="1" x14ac:dyDescent="0.3"/>
    <row r="63023" customFormat="1" x14ac:dyDescent="0.3"/>
    <row r="63024" customFormat="1" x14ac:dyDescent="0.3"/>
    <row r="63025" customFormat="1" x14ac:dyDescent="0.3"/>
    <row r="63026" customFormat="1" x14ac:dyDescent="0.3"/>
    <row r="63027" customFormat="1" x14ac:dyDescent="0.3"/>
    <row r="63028" customFormat="1" x14ac:dyDescent="0.3"/>
    <row r="63029" customFormat="1" x14ac:dyDescent="0.3"/>
    <row r="63030" customFormat="1" x14ac:dyDescent="0.3"/>
    <row r="63031" customFormat="1" x14ac:dyDescent="0.3"/>
    <row r="63032" customFormat="1" x14ac:dyDescent="0.3"/>
    <row r="63033" customFormat="1" x14ac:dyDescent="0.3"/>
    <row r="63034" customFormat="1" x14ac:dyDescent="0.3"/>
    <row r="63035" customFormat="1" x14ac:dyDescent="0.3"/>
    <row r="63036" customFormat="1" x14ac:dyDescent="0.3"/>
    <row r="63037" customFormat="1" x14ac:dyDescent="0.3"/>
    <row r="63038" customFormat="1" x14ac:dyDescent="0.3"/>
    <row r="63039" customFormat="1" x14ac:dyDescent="0.3"/>
    <row r="63040" customFormat="1" x14ac:dyDescent="0.3"/>
    <row r="63041" customFormat="1" x14ac:dyDescent="0.3"/>
    <row r="63042" customFormat="1" x14ac:dyDescent="0.3"/>
    <row r="63043" customFormat="1" x14ac:dyDescent="0.3"/>
    <row r="63044" customFormat="1" x14ac:dyDescent="0.3"/>
    <row r="63045" customFormat="1" x14ac:dyDescent="0.3"/>
    <row r="63046" customFormat="1" x14ac:dyDescent="0.3"/>
    <row r="63047" customFormat="1" x14ac:dyDescent="0.3"/>
    <row r="63048" customFormat="1" x14ac:dyDescent="0.3"/>
    <row r="63049" customFormat="1" x14ac:dyDescent="0.3"/>
    <row r="63050" customFormat="1" x14ac:dyDescent="0.3"/>
    <row r="63051" customFormat="1" x14ac:dyDescent="0.3"/>
    <row r="63052" customFormat="1" x14ac:dyDescent="0.3"/>
    <row r="63053" customFormat="1" x14ac:dyDescent="0.3"/>
    <row r="63054" customFormat="1" x14ac:dyDescent="0.3"/>
    <row r="63055" customFormat="1" x14ac:dyDescent="0.3"/>
    <row r="63056" customFormat="1" x14ac:dyDescent="0.3"/>
    <row r="63057" customFormat="1" x14ac:dyDescent="0.3"/>
    <row r="63058" customFormat="1" x14ac:dyDescent="0.3"/>
    <row r="63059" customFormat="1" x14ac:dyDescent="0.3"/>
    <row r="63060" customFormat="1" x14ac:dyDescent="0.3"/>
    <row r="63061" customFormat="1" x14ac:dyDescent="0.3"/>
    <row r="63062" customFormat="1" x14ac:dyDescent="0.3"/>
    <row r="63063" customFormat="1" x14ac:dyDescent="0.3"/>
    <row r="63064" customFormat="1" x14ac:dyDescent="0.3"/>
    <row r="63065" customFormat="1" x14ac:dyDescent="0.3"/>
    <row r="63066" customFormat="1" x14ac:dyDescent="0.3"/>
    <row r="63067" customFormat="1" x14ac:dyDescent="0.3"/>
    <row r="63068" customFormat="1" x14ac:dyDescent="0.3"/>
    <row r="63069" customFormat="1" x14ac:dyDescent="0.3"/>
    <row r="63070" customFormat="1" x14ac:dyDescent="0.3"/>
    <row r="63071" customFormat="1" x14ac:dyDescent="0.3"/>
    <row r="63072" customFormat="1" x14ac:dyDescent="0.3"/>
    <row r="63073" customFormat="1" x14ac:dyDescent="0.3"/>
    <row r="63074" customFormat="1" x14ac:dyDescent="0.3"/>
    <row r="63075" customFormat="1" x14ac:dyDescent="0.3"/>
    <row r="63076" customFormat="1" x14ac:dyDescent="0.3"/>
    <row r="63077" customFormat="1" x14ac:dyDescent="0.3"/>
    <row r="63078" customFormat="1" x14ac:dyDescent="0.3"/>
    <row r="63079" customFormat="1" x14ac:dyDescent="0.3"/>
    <row r="63080" customFormat="1" x14ac:dyDescent="0.3"/>
    <row r="63081" customFormat="1" x14ac:dyDescent="0.3"/>
    <row r="63082" customFormat="1" x14ac:dyDescent="0.3"/>
    <row r="63083" customFormat="1" x14ac:dyDescent="0.3"/>
    <row r="63084" customFormat="1" x14ac:dyDescent="0.3"/>
    <row r="63085" customFormat="1" x14ac:dyDescent="0.3"/>
    <row r="63086" customFormat="1" x14ac:dyDescent="0.3"/>
    <row r="63087" customFormat="1" x14ac:dyDescent="0.3"/>
    <row r="63088" customFormat="1" x14ac:dyDescent="0.3"/>
    <row r="63089" customFormat="1" x14ac:dyDescent="0.3"/>
    <row r="63090" customFormat="1" x14ac:dyDescent="0.3"/>
    <row r="63091" customFormat="1" x14ac:dyDescent="0.3"/>
    <row r="63092" customFormat="1" x14ac:dyDescent="0.3"/>
    <row r="63093" customFormat="1" x14ac:dyDescent="0.3"/>
    <row r="63094" customFormat="1" x14ac:dyDescent="0.3"/>
    <row r="63095" customFormat="1" x14ac:dyDescent="0.3"/>
    <row r="63096" customFormat="1" x14ac:dyDescent="0.3"/>
    <row r="63097" customFormat="1" x14ac:dyDescent="0.3"/>
    <row r="63098" customFormat="1" x14ac:dyDescent="0.3"/>
    <row r="63099" customFormat="1" x14ac:dyDescent="0.3"/>
    <row r="63100" customFormat="1" x14ac:dyDescent="0.3"/>
    <row r="63101" customFormat="1" x14ac:dyDescent="0.3"/>
    <row r="63102" customFormat="1" x14ac:dyDescent="0.3"/>
    <row r="63103" customFormat="1" x14ac:dyDescent="0.3"/>
    <row r="63104" customFormat="1" x14ac:dyDescent="0.3"/>
    <row r="63105" customFormat="1" x14ac:dyDescent="0.3"/>
    <row r="63106" customFormat="1" x14ac:dyDescent="0.3"/>
    <row r="63107" customFormat="1" x14ac:dyDescent="0.3"/>
    <row r="63108" customFormat="1" x14ac:dyDescent="0.3"/>
    <row r="63109" customFormat="1" x14ac:dyDescent="0.3"/>
    <row r="63110" customFormat="1" x14ac:dyDescent="0.3"/>
    <row r="63111" customFormat="1" x14ac:dyDescent="0.3"/>
    <row r="63112" customFormat="1" x14ac:dyDescent="0.3"/>
    <row r="63113" customFormat="1" x14ac:dyDescent="0.3"/>
    <row r="63114" customFormat="1" x14ac:dyDescent="0.3"/>
    <row r="63115" customFormat="1" x14ac:dyDescent="0.3"/>
    <row r="63116" customFormat="1" x14ac:dyDescent="0.3"/>
    <row r="63117" customFormat="1" x14ac:dyDescent="0.3"/>
    <row r="63118" customFormat="1" x14ac:dyDescent="0.3"/>
    <row r="63119" customFormat="1" x14ac:dyDescent="0.3"/>
    <row r="63120" customFormat="1" x14ac:dyDescent="0.3"/>
    <row r="63121" customFormat="1" x14ac:dyDescent="0.3"/>
    <row r="63122" customFormat="1" x14ac:dyDescent="0.3"/>
    <row r="63123" customFormat="1" x14ac:dyDescent="0.3"/>
    <row r="63124" customFormat="1" x14ac:dyDescent="0.3"/>
    <row r="63125" customFormat="1" x14ac:dyDescent="0.3"/>
    <row r="63126" customFormat="1" x14ac:dyDescent="0.3"/>
    <row r="63127" customFormat="1" x14ac:dyDescent="0.3"/>
    <row r="63128" customFormat="1" x14ac:dyDescent="0.3"/>
    <row r="63129" customFormat="1" x14ac:dyDescent="0.3"/>
    <row r="63130" customFormat="1" x14ac:dyDescent="0.3"/>
    <row r="63131" customFormat="1" x14ac:dyDescent="0.3"/>
    <row r="63132" customFormat="1" x14ac:dyDescent="0.3"/>
    <row r="63133" customFormat="1" x14ac:dyDescent="0.3"/>
    <row r="63134" customFormat="1" x14ac:dyDescent="0.3"/>
    <row r="63135" customFormat="1" x14ac:dyDescent="0.3"/>
    <row r="63136" customFormat="1" x14ac:dyDescent="0.3"/>
    <row r="63137" customFormat="1" x14ac:dyDescent="0.3"/>
    <row r="63138" customFormat="1" x14ac:dyDescent="0.3"/>
    <row r="63139" customFormat="1" x14ac:dyDescent="0.3"/>
    <row r="63140" customFormat="1" x14ac:dyDescent="0.3"/>
    <row r="63141" customFormat="1" x14ac:dyDescent="0.3"/>
    <row r="63142" customFormat="1" x14ac:dyDescent="0.3"/>
    <row r="63143" customFormat="1" x14ac:dyDescent="0.3"/>
    <row r="63144" customFormat="1" x14ac:dyDescent="0.3"/>
    <row r="63145" customFormat="1" x14ac:dyDescent="0.3"/>
    <row r="63146" customFormat="1" x14ac:dyDescent="0.3"/>
    <row r="63147" customFormat="1" x14ac:dyDescent="0.3"/>
    <row r="63148" customFormat="1" x14ac:dyDescent="0.3"/>
    <row r="63149" customFormat="1" x14ac:dyDescent="0.3"/>
    <row r="63150" customFormat="1" x14ac:dyDescent="0.3"/>
    <row r="63151" customFormat="1" x14ac:dyDescent="0.3"/>
    <row r="63152" customFormat="1" x14ac:dyDescent="0.3"/>
    <row r="63153" customFormat="1" x14ac:dyDescent="0.3"/>
    <row r="63154" customFormat="1" x14ac:dyDescent="0.3"/>
    <row r="63155" customFormat="1" x14ac:dyDescent="0.3"/>
    <row r="63156" customFormat="1" x14ac:dyDescent="0.3"/>
    <row r="63157" customFormat="1" x14ac:dyDescent="0.3"/>
    <row r="63158" customFormat="1" x14ac:dyDescent="0.3"/>
    <row r="63159" customFormat="1" x14ac:dyDescent="0.3"/>
    <row r="63160" customFormat="1" x14ac:dyDescent="0.3"/>
    <row r="63161" customFormat="1" x14ac:dyDescent="0.3"/>
    <row r="63162" customFormat="1" x14ac:dyDescent="0.3"/>
    <row r="63163" customFormat="1" x14ac:dyDescent="0.3"/>
    <row r="63164" customFormat="1" x14ac:dyDescent="0.3"/>
    <row r="63165" customFormat="1" x14ac:dyDescent="0.3"/>
    <row r="63166" customFormat="1" x14ac:dyDescent="0.3"/>
    <row r="63167" customFormat="1" x14ac:dyDescent="0.3"/>
    <row r="63168" customFormat="1" x14ac:dyDescent="0.3"/>
    <row r="63169" customFormat="1" x14ac:dyDescent="0.3"/>
    <row r="63170" customFormat="1" x14ac:dyDescent="0.3"/>
    <row r="63171" customFormat="1" x14ac:dyDescent="0.3"/>
    <row r="63172" customFormat="1" x14ac:dyDescent="0.3"/>
    <row r="63173" customFormat="1" x14ac:dyDescent="0.3"/>
    <row r="63174" customFormat="1" x14ac:dyDescent="0.3"/>
    <row r="63175" customFormat="1" x14ac:dyDescent="0.3"/>
    <row r="63176" customFormat="1" x14ac:dyDescent="0.3"/>
    <row r="63177" customFormat="1" x14ac:dyDescent="0.3"/>
    <row r="63178" customFormat="1" x14ac:dyDescent="0.3"/>
    <row r="63179" customFormat="1" x14ac:dyDescent="0.3"/>
    <row r="63180" customFormat="1" x14ac:dyDescent="0.3"/>
    <row r="63181" customFormat="1" x14ac:dyDescent="0.3"/>
    <row r="63182" customFormat="1" x14ac:dyDescent="0.3"/>
    <row r="63183" customFormat="1" x14ac:dyDescent="0.3"/>
    <row r="63184" customFormat="1" x14ac:dyDescent="0.3"/>
    <row r="63185" customFormat="1" x14ac:dyDescent="0.3"/>
    <row r="63186" customFormat="1" x14ac:dyDescent="0.3"/>
    <row r="63187" customFormat="1" x14ac:dyDescent="0.3"/>
    <row r="63188" customFormat="1" x14ac:dyDescent="0.3"/>
    <row r="63189" customFormat="1" x14ac:dyDescent="0.3"/>
    <row r="63190" customFormat="1" x14ac:dyDescent="0.3"/>
    <row r="63191" customFormat="1" x14ac:dyDescent="0.3"/>
    <row r="63192" customFormat="1" x14ac:dyDescent="0.3"/>
    <row r="63193" customFormat="1" x14ac:dyDescent="0.3"/>
    <row r="63194" customFormat="1" x14ac:dyDescent="0.3"/>
    <row r="63195" customFormat="1" x14ac:dyDescent="0.3"/>
    <row r="63196" customFormat="1" x14ac:dyDescent="0.3"/>
    <row r="63197" customFormat="1" x14ac:dyDescent="0.3"/>
    <row r="63198" customFormat="1" x14ac:dyDescent="0.3"/>
    <row r="63199" customFormat="1" x14ac:dyDescent="0.3"/>
    <row r="63200" customFormat="1" x14ac:dyDescent="0.3"/>
    <row r="63201" customFormat="1" x14ac:dyDescent="0.3"/>
    <row r="63202" customFormat="1" x14ac:dyDescent="0.3"/>
    <row r="63203" customFormat="1" x14ac:dyDescent="0.3"/>
    <row r="63204" customFormat="1" x14ac:dyDescent="0.3"/>
    <row r="63205" customFormat="1" x14ac:dyDescent="0.3"/>
    <row r="63206" customFormat="1" x14ac:dyDescent="0.3"/>
    <row r="63207" customFormat="1" x14ac:dyDescent="0.3"/>
    <row r="63208" customFormat="1" x14ac:dyDescent="0.3"/>
    <row r="63209" customFormat="1" x14ac:dyDescent="0.3"/>
    <row r="63210" customFormat="1" x14ac:dyDescent="0.3"/>
    <row r="63211" customFormat="1" x14ac:dyDescent="0.3"/>
    <row r="63212" customFormat="1" x14ac:dyDescent="0.3"/>
    <row r="63213" customFormat="1" x14ac:dyDescent="0.3"/>
    <row r="63214" customFormat="1" x14ac:dyDescent="0.3"/>
    <row r="63215" customFormat="1" x14ac:dyDescent="0.3"/>
    <row r="63216" customFormat="1" x14ac:dyDescent="0.3"/>
    <row r="63217" customFormat="1" x14ac:dyDescent="0.3"/>
    <row r="63218" customFormat="1" x14ac:dyDescent="0.3"/>
    <row r="63219" customFormat="1" x14ac:dyDescent="0.3"/>
    <row r="63220" customFormat="1" x14ac:dyDescent="0.3"/>
    <row r="63221" customFormat="1" x14ac:dyDescent="0.3"/>
    <row r="63222" customFormat="1" x14ac:dyDescent="0.3"/>
    <row r="63223" customFormat="1" x14ac:dyDescent="0.3"/>
    <row r="63224" customFormat="1" x14ac:dyDescent="0.3"/>
    <row r="63225" customFormat="1" x14ac:dyDescent="0.3"/>
    <row r="63226" customFormat="1" x14ac:dyDescent="0.3"/>
    <row r="63227" customFormat="1" x14ac:dyDescent="0.3"/>
    <row r="63228" customFormat="1" x14ac:dyDescent="0.3"/>
    <row r="63229" customFormat="1" x14ac:dyDescent="0.3"/>
    <row r="63230" customFormat="1" x14ac:dyDescent="0.3"/>
    <row r="63231" customFormat="1" x14ac:dyDescent="0.3"/>
    <row r="63232" customFormat="1" x14ac:dyDescent="0.3"/>
    <row r="63233" customFormat="1" x14ac:dyDescent="0.3"/>
    <row r="63234" customFormat="1" x14ac:dyDescent="0.3"/>
    <row r="63235" customFormat="1" x14ac:dyDescent="0.3"/>
    <row r="63236" customFormat="1" x14ac:dyDescent="0.3"/>
    <row r="63237" customFormat="1" x14ac:dyDescent="0.3"/>
    <row r="63238" customFormat="1" x14ac:dyDescent="0.3"/>
    <row r="63239" customFormat="1" x14ac:dyDescent="0.3"/>
    <row r="63240" customFormat="1" x14ac:dyDescent="0.3"/>
    <row r="63241" customFormat="1" x14ac:dyDescent="0.3"/>
    <row r="63242" customFormat="1" x14ac:dyDescent="0.3"/>
    <row r="63243" customFormat="1" x14ac:dyDescent="0.3"/>
    <row r="63244" customFormat="1" x14ac:dyDescent="0.3"/>
    <row r="63245" customFormat="1" x14ac:dyDescent="0.3"/>
    <row r="63246" customFormat="1" x14ac:dyDescent="0.3"/>
    <row r="63247" customFormat="1" x14ac:dyDescent="0.3"/>
    <row r="63248" customFormat="1" x14ac:dyDescent="0.3"/>
    <row r="63249" customFormat="1" x14ac:dyDescent="0.3"/>
    <row r="63250" customFormat="1" x14ac:dyDescent="0.3"/>
    <row r="63251" customFormat="1" x14ac:dyDescent="0.3"/>
    <row r="63252" customFormat="1" x14ac:dyDescent="0.3"/>
    <row r="63253" customFormat="1" x14ac:dyDescent="0.3"/>
    <row r="63254" customFormat="1" x14ac:dyDescent="0.3"/>
    <row r="63255" customFormat="1" x14ac:dyDescent="0.3"/>
    <row r="63256" customFormat="1" x14ac:dyDescent="0.3"/>
    <row r="63257" customFormat="1" x14ac:dyDescent="0.3"/>
    <row r="63258" customFormat="1" x14ac:dyDescent="0.3"/>
    <row r="63259" customFormat="1" x14ac:dyDescent="0.3"/>
    <row r="63260" customFormat="1" x14ac:dyDescent="0.3"/>
    <row r="63261" customFormat="1" x14ac:dyDescent="0.3"/>
    <row r="63262" customFormat="1" x14ac:dyDescent="0.3"/>
    <row r="63263" customFormat="1" x14ac:dyDescent="0.3"/>
    <row r="63264" customFormat="1" x14ac:dyDescent="0.3"/>
    <row r="63265" customFormat="1" x14ac:dyDescent="0.3"/>
    <row r="63266" customFormat="1" x14ac:dyDescent="0.3"/>
    <row r="63267" customFormat="1" x14ac:dyDescent="0.3"/>
    <row r="63268" customFormat="1" x14ac:dyDescent="0.3"/>
    <row r="63269" customFormat="1" x14ac:dyDescent="0.3"/>
    <row r="63270" customFormat="1" x14ac:dyDescent="0.3"/>
    <row r="63271" customFormat="1" x14ac:dyDescent="0.3"/>
    <row r="63272" customFormat="1" x14ac:dyDescent="0.3"/>
    <row r="63273" customFormat="1" x14ac:dyDescent="0.3"/>
    <row r="63274" customFormat="1" x14ac:dyDescent="0.3"/>
    <row r="63275" customFormat="1" x14ac:dyDescent="0.3"/>
    <row r="63276" customFormat="1" x14ac:dyDescent="0.3"/>
    <row r="63277" customFormat="1" x14ac:dyDescent="0.3"/>
    <row r="63278" customFormat="1" x14ac:dyDescent="0.3"/>
    <row r="63279" customFormat="1" x14ac:dyDescent="0.3"/>
    <row r="63280" customFormat="1" x14ac:dyDescent="0.3"/>
    <row r="63281" customFormat="1" x14ac:dyDescent="0.3"/>
    <row r="63282" customFormat="1" x14ac:dyDescent="0.3"/>
    <row r="63283" customFormat="1" x14ac:dyDescent="0.3"/>
    <row r="63284" customFormat="1" x14ac:dyDescent="0.3"/>
    <row r="63285" customFormat="1" x14ac:dyDescent="0.3"/>
    <row r="63286" customFormat="1" x14ac:dyDescent="0.3"/>
    <row r="63287" customFormat="1" x14ac:dyDescent="0.3"/>
    <row r="63288" customFormat="1" x14ac:dyDescent="0.3"/>
    <row r="63289" customFormat="1" x14ac:dyDescent="0.3"/>
    <row r="63290" customFormat="1" x14ac:dyDescent="0.3"/>
    <row r="63291" customFormat="1" x14ac:dyDescent="0.3"/>
    <row r="63292" customFormat="1" x14ac:dyDescent="0.3"/>
    <row r="63293" customFormat="1" x14ac:dyDescent="0.3"/>
    <row r="63294" customFormat="1" x14ac:dyDescent="0.3"/>
    <row r="63295" customFormat="1" x14ac:dyDescent="0.3"/>
    <row r="63296" customFormat="1" x14ac:dyDescent="0.3"/>
    <row r="63297" customFormat="1" x14ac:dyDescent="0.3"/>
    <row r="63298" customFormat="1" x14ac:dyDescent="0.3"/>
    <row r="63299" customFormat="1" x14ac:dyDescent="0.3"/>
    <row r="63300" customFormat="1" x14ac:dyDescent="0.3"/>
    <row r="63301" customFormat="1" x14ac:dyDescent="0.3"/>
    <row r="63302" customFormat="1" x14ac:dyDescent="0.3"/>
    <row r="63303" customFormat="1" x14ac:dyDescent="0.3"/>
    <row r="63304" customFormat="1" x14ac:dyDescent="0.3"/>
    <row r="63305" customFormat="1" x14ac:dyDescent="0.3"/>
    <row r="63306" customFormat="1" x14ac:dyDescent="0.3"/>
    <row r="63307" customFormat="1" x14ac:dyDescent="0.3"/>
    <row r="63308" customFormat="1" x14ac:dyDescent="0.3"/>
    <row r="63309" customFormat="1" x14ac:dyDescent="0.3"/>
    <row r="63310" customFormat="1" x14ac:dyDescent="0.3"/>
    <row r="63311" customFormat="1" x14ac:dyDescent="0.3"/>
    <row r="63312" customFormat="1" x14ac:dyDescent="0.3"/>
    <row r="63313" customFormat="1" x14ac:dyDescent="0.3"/>
    <row r="63314" customFormat="1" x14ac:dyDescent="0.3"/>
    <row r="63315" customFormat="1" x14ac:dyDescent="0.3"/>
    <row r="63316" customFormat="1" x14ac:dyDescent="0.3"/>
    <row r="63317" customFormat="1" x14ac:dyDescent="0.3"/>
    <row r="63318" customFormat="1" x14ac:dyDescent="0.3"/>
    <row r="63319" customFormat="1" x14ac:dyDescent="0.3"/>
    <row r="63320" customFormat="1" x14ac:dyDescent="0.3"/>
    <row r="63321" customFormat="1" x14ac:dyDescent="0.3"/>
    <row r="63322" customFormat="1" x14ac:dyDescent="0.3"/>
    <row r="63323" customFormat="1" x14ac:dyDescent="0.3"/>
    <row r="63324" customFormat="1" x14ac:dyDescent="0.3"/>
    <row r="63325" customFormat="1" x14ac:dyDescent="0.3"/>
    <row r="63326" customFormat="1" x14ac:dyDescent="0.3"/>
    <row r="63327" customFormat="1" x14ac:dyDescent="0.3"/>
    <row r="63328" customFormat="1" x14ac:dyDescent="0.3"/>
    <row r="63329" customFormat="1" x14ac:dyDescent="0.3"/>
    <row r="63330" customFormat="1" x14ac:dyDescent="0.3"/>
    <row r="63331" customFormat="1" x14ac:dyDescent="0.3"/>
    <row r="63332" customFormat="1" x14ac:dyDescent="0.3"/>
    <row r="63333" customFormat="1" x14ac:dyDescent="0.3"/>
    <row r="63334" customFormat="1" x14ac:dyDescent="0.3"/>
    <row r="63335" customFormat="1" x14ac:dyDescent="0.3"/>
    <row r="63336" customFormat="1" x14ac:dyDescent="0.3"/>
    <row r="63337" customFormat="1" x14ac:dyDescent="0.3"/>
    <row r="63338" customFormat="1" x14ac:dyDescent="0.3"/>
    <row r="63339" customFormat="1" x14ac:dyDescent="0.3"/>
    <row r="63340" customFormat="1" x14ac:dyDescent="0.3"/>
    <row r="63341" customFormat="1" x14ac:dyDescent="0.3"/>
    <row r="63342" customFormat="1" x14ac:dyDescent="0.3"/>
    <row r="63343" customFormat="1" x14ac:dyDescent="0.3"/>
    <row r="63344" customFormat="1" x14ac:dyDescent="0.3"/>
    <row r="63345" customFormat="1" x14ac:dyDescent="0.3"/>
    <row r="63346" customFormat="1" x14ac:dyDescent="0.3"/>
    <row r="63347" customFormat="1" x14ac:dyDescent="0.3"/>
    <row r="63348" customFormat="1" x14ac:dyDescent="0.3"/>
    <row r="63349" customFormat="1" x14ac:dyDescent="0.3"/>
    <row r="63350" customFormat="1" x14ac:dyDescent="0.3"/>
    <row r="63351" customFormat="1" x14ac:dyDescent="0.3"/>
    <row r="63352" customFormat="1" x14ac:dyDescent="0.3"/>
    <row r="63353" customFormat="1" x14ac:dyDescent="0.3"/>
    <row r="63354" customFormat="1" x14ac:dyDescent="0.3"/>
    <row r="63355" customFormat="1" x14ac:dyDescent="0.3"/>
    <row r="63356" customFormat="1" x14ac:dyDescent="0.3"/>
    <row r="63357" customFormat="1" x14ac:dyDescent="0.3"/>
    <row r="63358" customFormat="1" x14ac:dyDescent="0.3"/>
    <row r="63359" customFormat="1" x14ac:dyDescent="0.3"/>
    <row r="63360" customFormat="1" x14ac:dyDescent="0.3"/>
    <row r="63361" customFormat="1" x14ac:dyDescent="0.3"/>
    <row r="63362" customFormat="1" x14ac:dyDescent="0.3"/>
    <row r="63363" customFormat="1" x14ac:dyDescent="0.3"/>
    <row r="63364" customFormat="1" x14ac:dyDescent="0.3"/>
    <row r="63365" customFormat="1" x14ac:dyDescent="0.3"/>
    <row r="63366" customFormat="1" x14ac:dyDescent="0.3"/>
    <row r="63367" customFormat="1" x14ac:dyDescent="0.3"/>
    <row r="63368" customFormat="1" x14ac:dyDescent="0.3"/>
    <row r="63369" customFormat="1" x14ac:dyDescent="0.3"/>
    <row r="63370" customFormat="1" x14ac:dyDescent="0.3"/>
    <row r="63371" customFormat="1" x14ac:dyDescent="0.3"/>
    <row r="63372" customFormat="1" x14ac:dyDescent="0.3"/>
    <row r="63373" customFormat="1" x14ac:dyDescent="0.3"/>
    <row r="63374" customFormat="1" x14ac:dyDescent="0.3"/>
    <row r="63375" customFormat="1" x14ac:dyDescent="0.3"/>
    <row r="63376" customFormat="1" x14ac:dyDescent="0.3"/>
    <row r="63377" customFormat="1" x14ac:dyDescent="0.3"/>
    <row r="63378" customFormat="1" x14ac:dyDescent="0.3"/>
    <row r="63379" customFormat="1" x14ac:dyDescent="0.3"/>
    <row r="63380" customFormat="1" x14ac:dyDescent="0.3"/>
    <row r="63381" customFormat="1" x14ac:dyDescent="0.3"/>
    <row r="63382" customFormat="1" x14ac:dyDescent="0.3"/>
    <row r="63383" customFormat="1" x14ac:dyDescent="0.3"/>
    <row r="63384" customFormat="1" x14ac:dyDescent="0.3"/>
    <row r="63385" customFormat="1" x14ac:dyDescent="0.3"/>
    <row r="63386" customFormat="1" x14ac:dyDescent="0.3"/>
    <row r="63387" customFormat="1" x14ac:dyDescent="0.3"/>
    <row r="63388" customFormat="1" x14ac:dyDescent="0.3"/>
    <row r="63389" customFormat="1" x14ac:dyDescent="0.3"/>
    <row r="63390" customFormat="1" x14ac:dyDescent="0.3"/>
    <row r="63391" customFormat="1" x14ac:dyDescent="0.3"/>
    <row r="63392" customFormat="1" x14ac:dyDescent="0.3"/>
    <row r="63393" customFormat="1" x14ac:dyDescent="0.3"/>
    <row r="63394" customFormat="1" x14ac:dyDescent="0.3"/>
    <row r="63395" customFormat="1" x14ac:dyDescent="0.3"/>
    <row r="63396" customFormat="1" x14ac:dyDescent="0.3"/>
    <row r="63397" customFormat="1" x14ac:dyDescent="0.3"/>
    <row r="63398" customFormat="1" x14ac:dyDescent="0.3"/>
    <row r="63399" customFormat="1" x14ac:dyDescent="0.3"/>
    <row r="63400" customFormat="1" x14ac:dyDescent="0.3"/>
    <row r="63401" customFormat="1" x14ac:dyDescent="0.3"/>
    <row r="63402" customFormat="1" x14ac:dyDescent="0.3"/>
    <row r="63403" customFormat="1" x14ac:dyDescent="0.3"/>
    <row r="63404" customFormat="1" x14ac:dyDescent="0.3"/>
    <row r="63405" customFormat="1" x14ac:dyDescent="0.3"/>
    <row r="63406" customFormat="1" x14ac:dyDescent="0.3"/>
    <row r="63407" customFormat="1" x14ac:dyDescent="0.3"/>
    <row r="63408" customFormat="1" x14ac:dyDescent="0.3"/>
    <row r="63409" customFormat="1" x14ac:dyDescent="0.3"/>
    <row r="63410" customFormat="1" x14ac:dyDescent="0.3"/>
    <row r="63411" customFormat="1" x14ac:dyDescent="0.3"/>
    <row r="63412" customFormat="1" x14ac:dyDescent="0.3"/>
    <row r="63413" customFormat="1" x14ac:dyDescent="0.3"/>
    <row r="63414" customFormat="1" x14ac:dyDescent="0.3"/>
    <row r="63415" customFormat="1" x14ac:dyDescent="0.3"/>
    <row r="63416" customFormat="1" x14ac:dyDescent="0.3"/>
    <row r="63417" customFormat="1" x14ac:dyDescent="0.3"/>
    <row r="63418" customFormat="1" x14ac:dyDescent="0.3"/>
    <row r="63419" customFormat="1" x14ac:dyDescent="0.3"/>
    <row r="63420" customFormat="1" x14ac:dyDescent="0.3"/>
    <row r="63421" customFormat="1" x14ac:dyDescent="0.3"/>
    <row r="63422" customFormat="1" x14ac:dyDescent="0.3"/>
    <row r="63423" customFormat="1" x14ac:dyDescent="0.3"/>
    <row r="63424" customFormat="1" x14ac:dyDescent="0.3"/>
    <row r="63425" customFormat="1" x14ac:dyDescent="0.3"/>
    <row r="63426" customFormat="1" x14ac:dyDescent="0.3"/>
    <row r="63427" customFormat="1" x14ac:dyDescent="0.3"/>
    <row r="63428" customFormat="1" x14ac:dyDescent="0.3"/>
    <row r="63429" customFormat="1" x14ac:dyDescent="0.3"/>
    <row r="63430" customFormat="1" x14ac:dyDescent="0.3"/>
    <row r="63431" customFormat="1" x14ac:dyDescent="0.3"/>
    <row r="63432" customFormat="1" x14ac:dyDescent="0.3"/>
    <row r="63433" customFormat="1" x14ac:dyDescent="0.3"/>
    <row r="63434" customFormat="1" x14ac:dyDescent="0.3"/>
    <row r="63435" customFormat="1" x14ac:dyDescent="0.3"/>
    <row r="63436" customFormat="1" x14ac:dyDescent="0.3"/>
    <row r="63437" customFormat="1" x14ac:dyDescent="0.3"/>
    <row r="63438" customFormat="1" x14ac:dyDescent="0.3"/>
    <row r="63439" customFormat="1" x14ac:dyDescent="0.3"/>
    <row r="63440" customFormat="1" x14ac:dyDescent="0.3"/>
    <row r="63441" customFormat="1" x14ac:dyDescent="0.3"/>
    <row r="63442" customFormat="1" x14ac:dyDescent="0.3"/>
    <row r="63443" customFormat="1" x14ac:dyDescent="0.3"/>
    <row r="63444" customFormat="1" x14ac:dyDescent="0.3"/>
    <row r="63445" customFormat="1" x14ac:dyDescent="0.3"/>
    <row r="63446" customFormat="1" x14ac:dyDescent="0.3"/>
    <row r="63447" customFormat="1" x14ac:dyDescent="0.3"/>
    <row r="63448" customFormat="1" x14ac:dyDescent="0.3"/>
    <row r="63449" customFormat="1" x14ac:dyDescent="0.3"/>
    <row r="63450" customFormat="1" x14ac:dyDescent="0.3"/>
    <row r="63451" customFormat="1" x14ac:dyDescent="0.3"/>
    <row r="63452" customFormat="1" x14ac:dyDescent="0.3"/>
    <row r="63453" customFormat="1" x14ac:dyDescent="0.3"/>
    <row r="63454" customFormat="1" x14ac:dyDescent="0.3"/>
    <row r="63455" customFormat="1" x14ac:dyDescent="0.3"/>
    <row r="63456" customFormat="1" x14ac:dyDescent="0.3"/>
    <row r="63457" customFormat="1" x14ac:dyDescent="0.3"/>
    <row r="63458" customFormat="1" x14ac:dyDescent="0.3"/>
    <row r="63459" customFormat="1" x14ac:dyDescent="0.3"/>
    <row r="63460" customFormat="1" x14ac:dyDescent="0.3"/>
    <row r="63461" customFormat="1" x14ac:dyDescent="0.3"/>
    <row r="63462" customFormat="1" x14ac:dyDescent="0.3"/>
    <row r="63463" customFormat="1" x14ac:dyDescent="0.3"/>
    <row r="63464" customFormat="1" x14ac:dyDescent="0.3"/>
    <row r="63465" customFormat="1" x14ac:dyDescent="0.3"/>
    <row r="63466" customFormat="1" x14ac:dyDescent="0.3"/>
    <row r="63467" customFormat="1" x14ac:dyDescent="0.3"/>
    <row r="63468" customFormat="1" x14ac:dyDescent="0.3"/>
    <row r="63469" customFormat="1" x14ac:dyDescent="0.3"/>
    <row r="63470" customFormat="1" x14ac:dyDescent="0.3"/>
    <row r="63471" customFormat="1" x14ac:dyDescent="0.3"/>
    <row r="63472" customFormat="1" x14ac:dyDescent="0.3"/>
    <row r="63473" customFormat="1" x14ac:dyDescent="0.3"/>
    <row r="63474" customFormat="1" x14ac:dyDescent="0.3"/>
    <row r="63475" customFormat="1" x14ac:dyDescent="0.3"/>
    <row r="63476" customFormat="1" x14ac:dyDescent="0.3"/>
    <row r="63477" customFormat="1" x14ac:dyDescent="0.3"/>
    <row r="63478" customFormat="1" x14ac:dyDescent="0.3"/>
    <row r="63479" customFormat="1" x14ac:dyDescent="0.3"/>
    <row r="63480" customFormat="1" x14ac:dyDescent="0.3"/>
    <row r="63481" customFormat="1" x14ac:dyDescent="0.3"/>
    <row r="63482" customFormat="1" x14ac:dyDescent="0.3"/>
    <row r="63483" customFormat="1" x14ac:dyDescent="0.3"/>
    <row r="63484" customFormat="1" x14ac:dyDescent="0.3"/>
    <row r="63485" customFormat="1" x14ac:dyDescent="0.3"/>
    <row r="63486" customFormat="1" x14ac:dyDescent="0.3"/>
    <row r="63487" customFormat="1" x14ac:dyDescent="0.3"/>
    <row r="63488" customFormat="1" x14ac:dyDescent="0.3"/>
    <row r="63489" customFormat="1" x14ac:dyDescent="0.3"/>
    <row r="63490" customFormat="1" x14ac:dyDescent="0.3"/>
    <row r="63491" customFormat="1" x14ac:dyDescent="0.3"/>
    <row r="63492" customFormat="1" x14ac:dyDescent="0.3"/>
    <row r="63493" customFormat="1" x14ac:dyDescent="0.3"/>
    <row r="63494" customFormat="1" x14ac:dyDescent="0.3"/>
    <row r="63495" customFormat="1" x14ac:dyDescent="0.3"/>
    <row r="63496" customFormat="1" x14ac:dyDescent="0.3"/>
    <row r="63497" customFormat="1" x14ac:dyDescent="0.3"/>
    <row r="63498" customFormat="1" x14ac:dyDescent="0.3"/>
    <row r="63499" customFormat="1" x14ac:dyDescent="0.3"/>
    <row r="63500" customFormat="1" x14ac:dyDescent="0.3"/>
    <row r="63501" customFormat="1" x14ac:dyDescent="0.3"/>
    <row r="63502" customFormat="1" x14ac:dyDescent="0.3"/>
    <row r="63503" customFormat="1" x14ac:dyDescent="0.3"/>
    <row r="63504" customFormat="1" x14ac:dyDescent="0.3"/>
    <row r="63505" customFormat="1" x14ac:dyDescent="0.3"/>
    <row r="63506" customFormat="1" x14ac:dyDescent="0.3"/>
    <row r="63507" customFormat="1" x14ac:dyDescent="0.3"/>
    <row r="63508" customFormat="1" x14ac:dyDescent="0.3"/>
    <row r="63509" customFormat="1" x14ac:dyDescent="0.3"/>
    <row r="63510" customFormat="1" x14ac:dyDescent="0.3"/>
    <row r="63511" customFormat="1" x14ac:dyDescent="0.3"/>
    <row r="63512" customFormat="1" x14ac:dyDescent="0.3"/>
    <row r="63513" customFormat="1" x14ac:dyDescent="0.3"/>
    <row r="63514" customFormat="1" x14ac:dyDescent="0.3"/>
    <row r="63515" customFormat="1" x14ac:dyDescent="0.3"/>
    <row r="63516" customFormat="1" x14ac:dyDescent="0.3"/>
    <row r="63517" customFormat="1" x14ac:dyDescent="0.3"/>
    <row r="63518" customFormat="1" x14ac:dyDescent="0.3"/>
    <row r="63519" customFormat="1" x14ac:dyDescent="0.3"/>
    <row r="63520" customFormat="1" x14ac:dyDescent="0.3"/>
    <row r="63521" customFormat="1" x14ac:dyDescent="0.3"/>
    <row r="63522" customFormat="1" x14ac:dyDescent="0.3"/>
    <row r="63523" customFormat="1" x14ac:dyDescent="0.3"/>
    <row r="63524" customFormat="1" x14ac:dyDescent="0.3"/>
    <row r="63525" customFormat="1" x14ac:dyDescent="0.3"/>
    <row r="63526" customFormat="1" x14ac:dyDescent="0.3"/>
    <row r="63527" customFormat="1" x14ac:dyDescent="0.3"/>
    <row r="63528" customFormat="1" x14ac:dyDescent="0.3"/>
    <row r="63529" customFormat="1" x14ac:dyDescent="0.3"/>
    <row r="63530" customFormat="1" x14ac:dyDescent="0.3"/>
    <row r="63531" customFormat="1" x14ac:dyDescent="0.3"/>
    <row r="63532" customFormat="1" x14ac:dyDescent="0.3"/>
    <row r="63533" customFormat="1" x14ac:dyDescent="0.3"/>
    <row r="63534" customFormat="1" x14ac:dyDescent="0.3"/>
    <row r="63535" customFormat="1" x14ac:dyDescent="0.3"/>
    <row r="63536" customFormat="1" x14ac:dyDescent="0.3"/>
    <row r="63537" customFormat="1" x14ac:dyDescent="0.3"/>
    <row r="63538" customFormat="1" x14ac:dyDescent="0.3"/>
    <row r="63539" customFormat="1" x14ac:dyDescent="0.3"/>
    <row r="63540" customFormat="1" x14ac:dyDescent="0.3"/>
    <row r="63541" customFormat="1" x14ac:dyDescent="0.3"/>
    <row r="63542" customFormat="1" x14ac:dyDescent="0.3"/>
    <row r="63543" customFormat="1" x14ac:dyDescent="0.3"/>
    <row r="63544" customFormat="1" x14ac:dyDescent="0.3"/>
    <row r="63545" customFormat="1" x14ac:dyDescent="0.3"/>
    <row r="63546" customFormat="1" x14ac:dyDescent="0.3"/>
    <row r="63547" customFormat="1" x14ac:dyDescent="0.3"/>
    <row r="63548" customFormat="1" x14ac:dyDescent="0.3"/>
    <row r="63549" customFormat="1" x14ac:dyDescent="0.3"/>
    <row r="63550" customFormat="1" x14ac:dyDescent="0.3"/>
    <row r="63551" customFormat="1" x14ac:dyDescent="0.3"/>
    <row r="63552" customFormat="1" x14ac:dyDescent="0.3"/>
    <row r="63553" customFormat="1" x14ac:dyDescent="0.3"/>
    <row r="63554" customFormat="1" x14ac:dyDescent="0.3"/>
    <row r="63555" customFormat="1" x14ac:dyDescent="0.3"/>
    <row r="63556" customFormat="1" x14ac:dyDescent="0.3"/>
    <row r="63557" customFormat="1" x14ac:dyDescent="0.3"/>
    <row r="63558" customFormat="1" x14ac:dyDescent="0.3"/>
    <row r="63559" customFormat="1" x14ac:dyDescent="0.3"/>
    <row r="63560" customFormat="1" x14ac:dyDescent="0.3"/>
    <row r="63561" customFormat="1" x14ac:dyDescent="0.3"/>
    <row r="63562" customFormat="1" x14ac:dyDescent="0.3"/>
    <row r="63563" customFormat="1" x14ac:dyDescent="0.3"/>
    <row r="63564" customFormat="1" x14ac:dyDescent="0.3"/>
    <row r="63565" customFormat="1" x14ac:dyDescent="0.3"/>
    <row r="63566" customFormat="1" x14ac:dyDescent="0.3"/>
    <row r="63567" customFormat="1" x14ac:dyDescent="0.3"/>
    <row r="63568" customFormat="1" x14ac:dyDescent="0.3"/>
    <row r="63569" customFormat="1" x14ac:dyDescent="0.3"/>
    <row r="63570" customFormat="1" x14ac:dyDescent="0.3"/>
    <row r="63571" customFormat="1" x14ac:dyDescent="0.3"/>
    <row r="63572" customFormat="1" x14ac:dyDescent="0.3"/>
    <row r="63573" customFormat="1" x14ac:dyDescent="0.3"/>
    <row r="63574" customFormat="1" x14ac:dyDescent="0.3"/>
    <row r="63575" customFormat="1" x14ac:dyDescent="0.3"/>
    <row r="63576" customFormat="1" x14ac:dyDescent="0.3"/>
    <row r="63577" customFormat="1" x14ac:dyDescent="0.3"/>
    <row r="63578" customFormat="1" x14ac:dyDescent="0.3"/>
    <row r="63579" customFormat="1" x14ac:dyDescent="0.3"/>
    <row r="63580" customFormat="1" x14ac:dyDescent="0.3"/>
    <row r="63581" customFormat="1" x14ac:dyDescent="0.3"/>
    <row r="63582" customFormat="1" x14ac:dyDescent="0.3"/>
    <row r="63583" customFormat="1" x14ac:dyDescent="0.3"/>
    <row r="63584" customFormat="1" x14ac:dyDescent="0.3"/>
    <row r="63585" customFormat="1" x14ac:dyDescent="0.3"/>
    <row r="63586" customFormat="1" x14ac:dyDescent="0.3"/>
    <row r="63587" customFormat="1" x14ac:dyDescent="0.3"/>
    <row r="63588" customFormat="1" x14ac:dyDescent="0.3"/>
    <row r="63589" customFormat="1" x14ac:dyDescent="0.3"/>
    <row r="63590" customFormat="1" x14ac:dyDescent="0.3"/>
    <row r="63591" customFormat="1" x14ac:dyDescent="0.3"/>
    <row r="63592" customFormat="1" x14ac:dyDescent="0.3"/>
    <row r="63593" customFormat="1" x14ac:dyDescent="0.3"/>
    <row r="63594" customFormat="1" x14ac:dyDescent="0.3"/>
    <row r="63595" customFormat="1" x14ac:dyDescent="0.3"/>
    <row r="63596" customFormat="1" x14ac:dyDescent="0.3"/>
    <row r="63597" customFormat="1" x14ac:dyDescent="0.3"/>
    <row r="63598" customFormat="1" x14ac:dyDescent="0.3"/>
    <row r="63599" customFormat="1" x14ac:dyDescent="0.3"/>
    <row r="63600" customFormat="1" x14ac:dyDescent="0.3"/>
    <row r="63601" customFormat="1" x14ac:dyDescent="0.3"/>
    <row r="63602" customFormat="1" x14ac:dyDescent="0.3"/>
    <row r="63603" customFormat="1" x14ac:dyDescent="0.3"/>
    <row r="63604" customFormat="1" x14ac:dyDescent="0.3"/>
    <row r="63605" customFormat="1" x14ac:dyDescent="0.3"/>
    <row r="63606" customFormat="1" x14ac:dyDescent="0.3"/>
    <row r="63607" customFormat="1" x14ac:dyDescent="0.3"/>
    <row r="63608" customFormat="1" x14ac:dyDescent="0.3"/>
    <row r="63609" customFormat="1" x14ac:dyDescent="0.3"/>
    <row r="63610" customFormat="1" x14ac:dyDescent="0.3"/>
    <row r="63611" customFormat="1" x14ac:dyDescent="0.3"/>
    <row r="63612" customFormat="1" x14ac:dyDescent="0.3"/>
    <row r="63613" customFormat="1" x14ac:dyDescent="0.3"/>
    <row r="63614" customFormat="1" x14ac:dyDescent="0.3"/>
    <row r="63615" customFormat="1" x14ac:dyDescent="0.3"/>
    <row r="63616" customFormat="1" x14ac:dyDescent="0.3"/>
    <row r="63617" customFormat="1" x14ac:dyDescent="0.3"/>
    <row r="63618" customFormat="1" x14ac:dyDescent="0.3"/>
    <row r="63619" customFormat="1" x14ac:dyDescent="0.3"/>
    <row r="63620" customFormat="1" x14ac:dyDescent="0.3"/>
    <row r="63621" customFormat="1" x14ac:dyDescent="0.3"/>
    <row r="63622" customFormat="1" x14ac:dyDescent="0.3"/>
    <row r="63623" customFormat="1" x14ac:dyDescent="0.3"/>
    <row r="63624" customFormat="1" x14ac:dyDescent="0.3"/>
    <row r="63625" customFormat="1" x14ac:dyDescent="0.3"/>
    <row r="63626" customFormat="1" x14ac:dyDescent="0.3"/>
    <row r="63627" customFormat="1" x14ac:dyDescent="0.3"/>
    <row r="63628" customFormat="1" x14ac:dyDescent="0.3"/>
    <row r="63629" customFormat="1" x14ac:dyDescent="0.3"/>
    <row r="63630" customFormat="1" x14ac:dyDescent="0.3"/>
    <row r="63631" customFormat="1" x14ac:dyDescent="0.3"/>
    <row r="63632" customFormat="1" x14ac:dyDescent="0.3"/>
    <row r="63633" customFormat="1" x14ac:dyDescent="0.3"/>
    <row r="63634" customFormat="1" x14ac:dyDescent="0.3"/>
    <row r="63635" customFormat="1" x14ac:dyDescent="0.3"/>
    <row r="63636" customFormat="1" x14ac:dyDescent="0.3"/>
    <row r="63637" customFormat="1" x14ac:dyDescent="0.3"/>
    <row r="63638" customFormat="1" x14ac:dyDescent="0.3"/>
    <row r="63639" customFormat="1" x14ac:dyDescent="0.3"/>
    <row r="63640" customFormat="1" x14ac:dyDescent="0.3"/>
    <row r="63641" customFormat="1" x14ac:dyDescent="0.3"/>
    <row r="63642" customFormat="1" x14ac:dyDescent="0.3"/>
    <row r="63643" customFormat="1" x14ac:dyDescent="0.3"/>
    <row r="63644" customFormat="1" x14ac:dyDescent="0.3"/>
    <row r="63645" customFormat="1" x14ac:dyDescent="0.3"/>
    <row r="63646" customFormat="1" x14ac:dyDescent="0.3"/>
    <row r="63647" customFormat="1" x14ac:dyDescent="0.3"/>
    <row r="63648" customFormat="1" x14ac:dyDescent="0.3"/>
    <row r="63649" customFormat="1" x14ac:dyDescent="0.3"/>
    <row r="63650" customFormat="1" x14ac:dyDescent="0.3"/>
    <row r="63651" customFormat="1" x14ac:dyDescent="0.3"/>
    <row r="63652" customFormat="1" x14ac:dyDescent="0.3"/>
    <row r="63653" customFormat="1" x14ac:dyDescent="0.3"/>
    <row r="63654" customFormat="1" x14ac:dyDescent="0.3"/>
    <row r="63655" customFormat="1" x14ac:dyDescent="0.3"/>
    <row r="63656" customFormat="1" x14ac:dyDescent="0.3"/>
    <row r="63657" customFormat="1" x14ac:dyDescent="0.3"/>
    <row r="63658" customFormat="1" x14ac:dyDescent="0.3"/>
    <row r="63659" customFormat="1" x14ac:dyDescent="0.3"/>
    <row r="63660" customFormat="1" x14ac:dyDescent="0.3"/>
    <row r="63661" customFormat="1" x14ac:dyDescent="0.3"/>
    <row r="63662" customFormat="1" x14ac:dyDescent="0.3"/>
    <row r="63663" customFormat="1" x14ac:dyDescent="0.3"/>
    <row r="63664" customFormat="1" x14ac:dyDescent="0.3"/>
    <row r="63665" customFormat="1" x14ac:dyDescent="0.3"/>
    <row r="63666" customFormat="1" x14ac:dyDescent="0.3"/>
    <row r="63667" customFormat="1" x14ac:dyDescent="0.3"/>
    <row r="63668" customFormat="1" x14ac:dyDescent="0.3"/>
    <row r="63669" customFormat="1" x14ac:dyDescent="0.3"/>
    <row r="63670" customFormat="1" x14ac:dyDescent="0.3"/>
    <row r="63671" customFormat="1" x14ac:dyDescent="0.3"/>
    <row r="63672" customFormat="1" x14ac:dyDescent="0.3"/>
    <row r="63673" customFormat="1" x14ac:dyDescent="0.3"/>
    <row r="63674" customFormat="1" x14ac:dyDescent="0.3"/>
    <row r="63675" customFormat="1" x14ac:dyDescent="0.3"/>
    <row r="63676" customFormat="1" x14ac:dyDescent="0.3"/>
    <row r="63677" customFormat="1" x14ac:dyDescent="0.3"/>
    <row r="63678" customFormat="1" x14ac:dyDescent="0.3"/>
    <row r="63679" customFormat="1" x14ac:dyDescent="0.3"/>
    <row r="63680" customFormat="1" x14ac:dyDescent="0.3"/>
    <row r="63681" customFormat="1" x14ac:dyDescent="0.3"/>
    <row r="63682" customFormat="1" x14ac:dyDescent="0.3"/>
    <row r="63683" customFormat="1" x14ac:dyDescent="0.3"/>
    <row r="63684" customFormat="1" x14ac:dyDescent="0.3"/>
    <row r="63685" customFormat="1" x14ac:dyDescent="0.3"/>
    <row r="63686" customFormat="1" x14ac:dyDescent="0.3"/>
    <row r="63687" customFormat="1" x14ac:dyDescent="0.3"/>
    <row r="63688" customFormat="1" x14ac:dyDescent="0.3"/>
    <row r="63689" customFormat="1" x14ac:dyDescent="0.3"/>
    <row r="63690" customFormat="1" x14ac:dyDescent="0.3"/>
    <row r="63691" customFormat="1" x14ac:dyDescent="0.3"/>
    <row r="63692" customFormat="1" x14ac:dyDescent="0.3"/>
    <row r="63693" customFormat="1" x14ac:dyDescent="0.3"/>
    <row r="63694" customFormat="1" x14ac:dyDescent="0.3"/>
    <row r="63695" customFormat="1" x14ac:dyDescent="0.3"/>
    <row r="63696" customFormat="1" x14ac:dyDescent="0.3"/>
    <row r="63697" customFormat="1" x14ac:dyDescent="0.3"/>
    <row r="63698" customFormat="1" x14ac:dyDescent="0.3"/>
    <row r="63699" customFormat="1" x14ac:dyDescent="0.3"/>
    <row r="63700" customFormat="1" x14ac:dyDescent="0.3"/>
    <row r="63701" customFormat="1" x14ac:dyDescent="0.3"/>
    <row r="63702" customFormat="1" x14ac:dyDescent="0.3"/>
    <row r="63703" customFormat="1" x14ac:dyDescent="0.3"/>
    <row r="63704" customFormat="1" x14ac:dyDescent="0.3"/>
    <row r="63705" customFormat="1" x14ac:dyDescent="0.3"/>
    <row r="63706" customFormat="1" x14ac:dyDescent="0.3"/>
    <row r="63707" customFormat="1" x14ac:dyDescent="0.3"/>
    <row r="63708" customFormat="1" x14ac:dyDescent="0.3"/>
    <row r="63709" customFormat="1" x14ac:dyDescent="0.3"/>
    <row r="63710" customFormat="1" x14ac:dyDescent="0.3"/>
    <row r="63711" customFormat="1" x14ac:dyDescent="0.3"/>
    <row r="63712" customFormat="1" x14ac:dyDescent="0.3"/>
    <row r="63713" customFormat="1" x14ac:dyDescent="0.3"/>
    <row r="63714" customFormat="1" x14ac:dyDescent="0.3"/>
    <row r="63715" customFormat="1" x14ac:dyDescent="0.3"/>
    <row r="63716" customFormat="1" x14ac:dyDescent="0.3"/>
    <row r="63717" customFormat="1" x14ac:dyDescent="0.3"/>
    <row r="63718" customFormat="1" x14ac:dyDescent="0.3"/>
    <row r="63719" customFormat="1" x14ac:dyDescent="0.3"/>
    <row r="63720" customFormat="1" x14ac:dyDescent="0.3"/>
    <row r="63721" customFormat="1" x14ac:dyDescent="0.3"/>
    <row r="63722" customFormat="1" x14ac:dyDescent="0.3"/>
    <row r="63723" customFormat="1" x14ac:dyDescent="0.3"/>
    <row r="63724" customFormat="1" x14ac:dyDescent="0.3"/>
    <row r="63725" customFormat="1" x14ac:dyDescent="0.3"/>
    <row r="63726" customFormat="1" x14ac:dyDescent="0.3"/>
    <row r="63727" customFormat="1" x14ac:dyDescent="0.3"/>
    <row r="63728" customFormat="1" x14ac:dyDescent="0.3"/>
    <row r="63729" customFormat="1" x14ac:dyDescent="0.3"/>
    <row r="63730" customFormat="1" x14ac:dyDescent="0.3"/>
    <row r="63731" customFormat="1" x14ac:dyDescent="0.3"/>
    <row r="63732" customFormat="1" x14ac:dyDescent="0.3"/>
    <row r="63733" customFormat="1" x14ac:dyDescent="0.3"/>
    <row r="63734" customFormat="1" x14ac:dyDescent="0.3"/>
    <row r="63735" customFormat="1" x14ac:dyDescent="0.3"/>
    <row r="63736" customFormat="1" x14ac:dyDescent="0.3"/>
    <row r="63737" customFormat="1" x14ac:dyDescent="0.3"/>
    <row r="63738" customFormat="1" x14ac:dyDescent="0.3"/>
    <row r="63739" customFormat="1" x14ac:dyDescent="0.3"/>
    <row r="63740" customFormat="1" x14ac:dyDescent="0.3"/>
    <row r="63741" customFormat="1" x14ac:dyDescent="0.3"/>
    <row r="63742" customFormat="1" x14ac:dyDescent="0.3"/>
    <row r="63743" customFormat="1" x14ac:dyDescent="0.3"/>
    <row r="63744" customFormat="1" x14ac:dyDescent="0.3"/>
    <row r="63745" customFormat="1" x14ac:dyDescent="0.3"/>
    <row r="63746" customFormat="1" x14ac:dyDescent="0.3"/>
    <row r="63747" customFormat="1" x14ac:dyDescent="0.3"/>
    <row r="63748" customFormat="1" x14ac:dyDescent="0.3"/>
    <row r="63749" customFormat="1" x14ac:dyDescent="0.3"/>
    <row r="63750" customFormat="1" x14ac:dyDescent="0.3"/>
    <row r="63751" customFormat="1" x14ac:dyDescent="0.3"/>
    <row r="63752" customFormat="1" x14ac:dyDescent="0.3"/>
    <row r="63753" customFormat="1" x14ac:dyDescent="0.3"/>
    <row r="63754" customFormat="1" x14ac:dyDescent="0.3"/>
    <row r="63755" customFormat="1" x14ac:dyDescent="0.3"/>
    <row r="63756" customFormat="1" x14ac:dyDescent="0.3"/>
    <row r="63757" customFormat="1" x14ac:dyDescent="0.3"/>
    <row r="63758" customFormat="1" x14ac:dyDescent="0.3"/>
    <row r="63759" customFormat="1" x14ac:dyDescent="0.3"/>
    <row r="63760" customFormat="1" x14ac:dyDescent="0.3"/>
    <row r="63761" customFormat="1" x14ac:dyDescent="0.3"/>
    <row r="63762" customFormat="1" x14ac:dyDescent="0.3"/>
    <row r="63763" customFormat="1" x14ac:dyDescent="0.3"/>
    <row r="63764" customFormat="1" x14ac:dyDescent="0.3"/>
    <row r="63765" customFormat="1" x14ac:dyDescent="0.3"/>
    <row r="63766" customFormat="1" x14ac:dyDescent="0.3"/>
    <row r="63767" customFormat="1" x14ac:dyDescent="0.3"/>
    <row r="63768" customFormat="1" x14ac:dyDescent="0.3"/>
    <row r="63769" customFormat="1" x14ac:dyDescent="0.3"/>
    <row r="63770" customFormat="1" x14ac:dyDescent="0.3"/>
    <row r="63771" customFormat="1" x14ac:dyDescent="0.3"/>
    <row r="63772" customFormat="1" x14ac:dyDescent="0.3"/>
    <row r="63773" customFormat="1" x14ac:dyDescent="0.3"/>
    <row r="63774" customFormat="1" x14ac:dyDescent="0.3"/>
    <row r="63775" customFormat="1" x14ac:dyDescent="0.3"/>
    <row r="63776" customFormat="1" x14ac:dyDescent="0.3"/>
    <row r="63777" customFormat="1" x14ac:dyDescent="0.3"/>
    <row r="63778" customFormat="1" x14ac:dyDescent="0.3"/>
    <row r="63779" customFormat="1" x14ac:dyDescent="0.3"/>
    <row r="63780" customFormat="1" x14ac:dyDescent="0.3"/>
    <row r="63781" customFormat="1" x14ac:dyDescent="0.3"/>
    <row r="63782" customFormat="1" x14ac:dyDescent="0.3"/>
    <row r="63783" customFormat="1" x14ac:dyDescent="0.3"/>
    <row r="63784" customFormat="1" x14ac:dyDescent="0.3"/>
    <row r="63785" customFormat="1" x14ac:dyDescent="0.3"/>
    <row r="63786" customFormat="1" x14ac:dyDescent="0.3"/>
    <row r="63787" customFormat="1" x14ac:dyDescent="0.3"/>
    <row r="63788" customFormat="1" x14ac:dyDescent="0.3"/>
    <row r="63789" customFormat="1" x14ac:dyDescent="0.3"/>
    <row r="63790" customFormat="1" x14ac:dyDescent="0.3"/>
    <row r="63791" customFormat="1" x14ac:dyDescent="0.3"/>
    <row r="63792" customFormat="1" x14ac:dyDescent="0.3"/>
    <row r="63793" customFormat="1" x14ac:dyDescent="0.3"/>
    <row r="63794" customFormat="1" x14ac:dyDescent="0.3"/>
    <row r="63795" customFormat="1" x14ac:dyDescent="0.3"/>
    <row r="63796" customFormat="1" x14ac:dyDescent="0.3"/>
    <row r="63797" customFormat="1" x14ac:dyDescent="0.3"/>
    <row r="63798" customFormat="1" x14ac:dyDescent="0.3"/>
    <row r="63799" customFormat="1" x14ac:dyDescent="0.3"/>
    <row r="63800" customFormat="1" x14ac:dyDescent="0.3"/>
    <row r="63801" customFormat="1" x14ac:dyDescent="0.3"/>
    <row r="63802" customFormat="1" x14ac:dyDescent="0.3"/>
    <row r="63803" customFormat="1" x14ac:dyDescent="0.3"/>
    <row r="63804" customFormat="1" x14ac:dyDescent="0.3"/>
    <row r="63805" customFormat="1" x14ac:dyDescent="0.3"/>
    <row r="63806" customFormat="1" x14ac:dyDescent="0.3"/>
    <row r="63807" customFormat="1" x14ac:dyDescent="0.3"/>
    <row r="63808" customFormat="1" x14ac:dyDescent="0.3"/>
    <row r="63809" customFormat="1" x14ac:dyDescent="0.3"/>
    <row r="63810" customFormat="1" x14ac:dyDescent="0.3"/>
    <row r="63811" customFormat="1" x14ac:dyDescent="0.3"/>
    <row r="63812" customFormat="1" x14ac:dyDescent="0.3"/>
    <row r="63813" customFormat="1" x14ac:dyDescent="0.3"/>
    <row r="63814" customFormat="1" x14ac:dyDescent="0.3"/>
    <row r="63815" customFormat="1" x14ac:dyDescent="0.3"/>
    <row r="63816" customFormat="1" x14ac:dyDescent="0.3"/>
    <row r="63817" customFormat="1" x14ac:dyDescent="0.3"/>
    <row r="63818" customFormat="1" x14ac:dyDescent="0.3"/>
    <row r="63819" customFormat="1" x14ac:dyDescent="0.3"/>
    <row r="63820" customFormat="1" x14ac:dyDescent="0.3"/>
    <row r="63821" customFormat="1" x14ac:dyDescent="0.3"/>
    <row r="63822" customFormat="1" x14ac:dyDescent="0.3"/>
    <row r="63823" customFormat="1" x14ac:dyDescent="0.3"/>
    <row r="63824" customFormat="1" x14ac:dyDescent="0.3"/>
    <row r="63825" customFormat="1" x14ac:dyDescent="0.3"/>
    <row r="63826" customFormat="1" x14ac:dyDescent="0.3"/>
    <row r="63827" customFormat="1" x14ac:dyDescent="0.3"/>
    <row r="63828" customFormat="1" x14ac:dyDescent="0.3"/>
    <row r="63829" customFormat="1" x14ac:dyDescent="0.3"/>
    <row r="63830" customFormat="1" x14ac:dyDescent="0.3"/>
    <row r="63831" customFormat="1" x14ac:dyDescent="0.3"/>
    <row r="63832" customFormat="1" x14ac:dyDescent="0.3"/>
    <row r="63833" customFormat="1" x14ac:dyDescent="0.3"/>
    <row r="63834" customFormat="1" x14ac:dyDescent="0.3"/>
    <row r="63835" customFormat="1" x14ac:dyDescent="0.3"/>
    <row r="63836" customFormat="1" x14ac:dyDescent="0.3"/>
    <row r="63837" customFormat="1" x14ac:dyDescent="0.3"/>
    <row r="63838" customFormat="1" x14ac:dyDescent="0.3"/>
    <row r="63839" customFormat="1" x14ac:dyDescent="0.3"/>
    <row r="63840" customFormat="1" x14ac:dyDescent="0.3"/>
    <row r="63841" customFormat="1" x14ac:dyDescent="0.3"/>
    <row r="63842" customFormat="1" x14ac:dyDescent="0.3"/>
    <row r="63843" customFormat="1" x14ac:dyDescent="0.3"/>
    <row r="63844" customFormat="1" x14ac:dyDescent="0.3"/>
    <row r="63845" customFormat="1" x14ac:dyDescent="0.3"/>
    <row r="63846" customFormat="1" x14ac:dyDescent="0.3"/>
    <row r="63847" customFormat="1" x14ac:dyDescent="0.3"/>
    <row r="63848" customFormat="1" x14ac:dyDescent="0.3"/>
    <row r="63849" customFormat="1" x14ac:dyDescent="0.3"/>
    <row r="63850" customFormat="1" x14ac:dyDescent="0.3"/>
    <row r="63851" customFormat="1" x14ac:dyDescent="0.3"/>
    <row r="63852" customFormat="1" x14ac:dyDescent="0.3"/>
    <row r="63853" customFormat="1" x14ac:dyDescent="0.3"/>
    <row r="63854" customFormat="1" x14ac:dyDescent="0.3"/>
    <row r="63855" customFormat="1" x14ac:dyDescent="0.3"/>
    <row r="63856" customFormat="1" x14ac:dyDescent="0.3"/>
    <row r="63857" customFormat="1" x14ac:dyDescent="0.3"/>
    <row r="63858" customFormat="1" x14ac:dyDescent="0.3"/>
    <row r="63859" customFormat="1" x14ac:dyDescent="0.3"/>
    <row r="63860" customFormat="1" x14ac:dyDescent="0.3"/>
    <row r="63861" customFormat="1" x14ac:dyDescent="0.3"/>
    <row r="63862" customFormat="1" x14ac:dyDescent="0.3"/>
    <row r="63863" customFormat="1" x14ac:dyDescent="0.3"/>
    <row r="63864" customFormat="1" x14ac:dyDescent="0.3"/>
    <row r="63865" customFormat="1" x14ac:dyDescent="0.3"/>
    <row r="63866" customFormat="1" x14ac:dyDescent="0.3"/>
    <row r="63867" customFormat="1" x14ac:dyDescent="0.3"/>
    <row r="63868" customFormat="1" x14ac:dyDescent="0.3"/>
    <row r="63869" customFormat="1" x14ac:dyDescent="0.3"/>
    <row r="63870" customFormat="1" x14ac:dyDescent="0.3"/>
    <row r="63871" customFormat="1" x14ac:dyDescent="0.3"/>
    <row r="63872" customFormat="1" x14ac:dyDescent="0.3"/>
    <row r="63873" customFormat="1" x14ac:dyDescent="0.3"/>
    <row r="63874" customFormat="1" x14ac:dyDescent="0.3"/>
    <row r="63875" customFormat="1" x14ac:dyDescent="0.3"/>
    <row r="63876" customFormat="1" x14ac:dyDescent="0.3"/>
    <row r="63877" customFormat="1" x14ac:dyDescent="0.3"/>
    <row r="63878" customFormat="1" x14ac:dyDescent="0.3"/>
    <row r="63879" customFormat="1" x14ac:dyDescent="0.3"/>
    <row r="63880" customFormat="1" x14ac:dyDescent="0.3"/>
    <row r="63881" customFormat="1" x14ac:dyDescent="0.3"/>
    <row r="63882" customFormat="1" x14ac:dyDescent="0.3"/>
    <row r="63883" customFormat="1" x14ac:dyDescent="0.3"/>
    <row r="63884" customFormat="1" x14ac:dyDescent="0.3"/>
    <row r="63885" customFormat="1" x14ac:dyDescent="0.3"/>
    <row r="63886" customFormat="1" x14ac:dyDescent="0.3"/>
    <row r="63887" customFormat="1" x14ac:dyDescent="0.3"/>
    <row r="63888" customFormat="1" x14ac:dyDescent="0.3"/>
    <row r="63889" customFormat="1" x14ac:dyDescent="0.3"/>
    <row r="63890" customFormat="1" x14ac:dyDescent="0.3"/>
    <row r="63891" customFormat="1" x14ac:dyDescent="0.3"/>
    <row r="63892" customFormat="1" x14ac:dyDescent="0.3"/>
    <row r="63893" customFormat="1" x14ac:dyDescent="0.3"/>
    <row r="63894" customFormat="1" x14ac:dyDescent="0.3"/>
    <row r="63895" customFormat="1" x14ac:dyDescent="0.3"/>
    <row r="63896" customFormat="1" x14ac:dyDescent="0.3"/>
    <row r="63897" customFormat="1" x14ac:dyDescent="0.3"/>
    <row r="63898" customFormat="1" x14ac:dyDescent="0.3"/>
    <row r="63899" customFormat="1" x14ac:dyDescent="0.3"/>
    <row r="63900" customFormat="1" x14ac:dyDescent="0.3"/>
    <row r="63901" customFormat="1" x14ac:dyDescent="0.3"/>
    <row r="63902" customFormat="1" x14ac:dyDescent="0.3"/>
    <row r="63903" customFormat="1" x14ac:dyDescent="0.3"/>
    <row r="63904" customFormat="1" x14ac:dyDescent="0.3"/>
    <row r="63905" customFormat="1" x14ac:dyDescent="0.3"/>
    <row r="63906" customFormat="1" x14ac:dyDescent="0.3"/>
    <row r="63907" customFormat="1" x14ac:dyDescent="0.3"/>
    <row r="63908" customFormat="1" x14ac:dyDescent="0.3"/>
    <row r="63909" customFormat="1" x14ac:dyDescent="0.3"/>
    <row r="63910" customFormat="1" x14ac:dyDescent="0.3"/>
    <row r="63911" customFormat="1" x14ac:dyDescent="0.3"/>
    <row r="63912" customFormat="1" x14ac:dyDescent="0.3"/>
    <row r="63913" customFormat="1" x14ac:dyDescent="0.3"/>
    <row r="63914" customFormat="1" x14ac:dyDescent="0.3"/>
    <row r="63915" customFormat="1" x14ac:dyDescent="0.3"/>
    <row r="63916" customFormat="1" x14ac:dyDescent="0.3"/>
    <row r="63917" customFormat="1" x14ac:dyDescent="0.3"/>
    <row r="63918" customFormat="1" x14ac:dyDescent="0.3"/>
    <row r="63919" customFormat="1" x14ac:dyDescent="0.3"/>
    <row r="63920" customFormat="1" x14ac:dyDescent="0.3"/>
    <row r="63921" customFormat="1" x14ac:dyDescent="0.3"/>
    <row r="63922" customFormat="1" x14ac:dyDescent="0.3"/>
    <row r="63923" customFormat="1" x14ac:dyDescent="0.3"/>
    <row r="63924" customFormat="1" x14ac:dyDescent="0.3"/>
    <row r="63925" customFormat="1" x14ac:dyDescent="0.3"/>
    <row r="63926" customFormat="1" x14ac:dyDescent="0.3"/>
    <row r="63927" customFormat="1" x14ac:dyDescent="0.3"/>
    <row r="63928" customFormat="1" x14ac:dyDescent="0.3"/>
    <row r="63929" customFormat="1" x14ac:dyDescent="0.3"/>
    <row r="63930" customFormat="1" x14ac:dyDescent="0.3"/>
    <row r="63931" customFormat="1" x14ac:dyDescent="0.3"/>
    <row r="63932" customFormat="1" x14ac:dyDescent="0.3"/>
    <row r="63933" customFormat="1" x14ac:dyDescent="0.3"/>
    <row r="63934" customFormat="1" x14ac:dyDescent="0.3"/>
    <row r="63935" customFormat="1" x14ac:dyDescent="0.3"/>
    <row r="63936" customFormat="1" x14ac:dyDescent="0.3"/>
    <row r="63937" customFormat="1" x14ac:dyDescent="0.3"/>
    <row r="63938" customFormat="1" x14ac:dyDescent="0.3"/>
    <row r="63939" customFormat="1" x14ac:dyDescent="0.3"/>
    <row r="63940" customFormat="1" x14ac:dyDescent="0.3"/>
    <row r="63941" customFormat="1" x14ac:dyDescent="0.3"/>
    <row r="63942" customFormat="1" x14ac:dyDescent="0.3"/>
    <row r="63943" customFormat="1" x14ac:dyDescent="0.3"/>
    <row r="63944" customFormat="1" x14ac:dyDescent="0.3"/>
    <row r="63945" customFormat="1" x14ac:dyDescent="0.3"/>
    <row r="63946" customFormat="1" x14ac:dyDescent="0.3"/>
    <row r="63947" customFormat="1" x14ac:dyDescent="0.3"/>
    <row r="63948" customFormat="1" x14ac:dyDescent="0.3"/>
    <row r="63949" customFormat="1" x14ac:dyDescent="0.3"/>
    <row r="63950" customFormat="1" x14ac:dyDescent="0.3"/>
    <row r="63951" customFormat="1" x14ac:dyDescent="0.3"/>
    <row r="63952" customFormat="1" x14ac:dyDescent="0.3"/>
    <row r="63953" customFormat="1" x14ac:dyDescent="0.3"/>
    <row r="63954" customFormat="1" x14ac:dyDescent="0.3"/>
    <row r="63955" customFormat="1" x14ac:dyDescent="0.3"/>
    <row r="63956" customFormat="1" x14ac:dyDescent="0.3"/>
    <row r="63957" customFormat="1" x14ac:dyDescent="0.3"/>
    <row r="63958" customFormat="1" x14ac:dyDescent="0.3"/>
    <row r="63959" customFormat="1" x14ac:dyDescent="0.3"/>
    <row r="63960" customFormat="1" x14ac:dyDescent="0.3"/>
    <row r="63961" customFormat="1" x14ac:dyDescent="0.3"/>
    <row r="63962" customFormat="1" x14ac:dyDescent="0.3"/>
    <row r="63963" customFormat="1" x14ac:dyDescent="0.3"/>
    <row r="63964" customFormat="1" x14ac:dyDescent="0.3"/>
    <row r="63965" customFormat="1" x14ac:dyDescent="0.3"/>
    <row r="63966" customFormat="1" x14ac:dyDescent="0.3"/>
    <row r="63967" customFormat="1" x14ac:dyDescent="0.3"/>
    <row r="63968" customFormat="1" x14ac:dyDescent="0.3"/>
    <row r="63969" customFormat="1" x14ac:dyDescent="0.3"/>
    <row r="63970" customFormat="1" x14ac:dyDescent="0.3"/>
    <row r="63971" customFormat="1" x14ac:dyDescent="0.3"/>
    <row r="63972" customFormat="1" x14ac:dyDescent="0.3"/>
    <row r="63973" customFormat="1" x14ac:dyDescent="0.3"/>
    <row r="63974" customFormat="1" x14ac:dyDescent="0.3"/>
    <row r="63975" customFormat="1" x14ac:dyDescent="0.3"/>
    <row r="63976" customFormat="1" x14ac:dyDescent="0.3"/>
    <row r="63977" customFormat="1" x14ac:dyDescent="0.3"/>
    <row r="63978" customFormat="1" x14ac:dyDescent="0.3"/>
    <row r="63979" customFormat="1" x14ac:dyDescent="0.3"/>
    <row r="63980" customFormat="1" x14ac:dyDescent="0.3"/>
    <row r="63981" customFormat="1" x14ac:dyDescent="0.3"/>
    <row r="63982" customFormat="1" x14ac:dyDescent="0.3"/>
    <row r="63983" customFormat="1" x14ac:dyDescent="0.3"/>
    <row r="63984" customFormat="1" x14ac:dyDescent="0.3"/>
    <row r="63985" customFormat="1" x14ac:dyDescent="0.3"/>
    <row r="63986" customFormat="1" x14ac:dyDescent="0.3"/>
    <row r="63987" customFormat="1" x14ac:dyDescent="0.3"/>
    <row r="63988" customFormat="1" x14ac:dyDescent="0.3"/>
    <row r="63989" customFormat="1" x14ac:dyDescent="0.3"/>
    <row r="63990" customFormat="1" x14ac:dyDescent="0.3"/>
    <row r="63991" customFormat="1" x14ac:dyDescent="0.3"/>
    <row r="63992" customFormat="1" x14ac:dyDescent="0.3"/>
    <row r="63993" customFormat="1" x14ac:dyDescent="0.3"/>
    <row r="63994" customFormat="1" x14ac:dyDescent="0.3"/>
    <row r="63995" customFormat="1" x14ac:dyDescent="0.3"/>
    <row r="63996" customFormat="1" x14ac:dyDescent="0.3"/>
    <row r="63997" customFormat="1" x14ac:dyDescent="0.3"/>
    <row r="63998" customFormat="1" x14ac:dyDescent="0.3"/>
    <row r="63999" customFormat="1" x14ac:dyDescent="0.3"/>
    <row r="64000" customFormat="1" x14ac:dyDescent="0.3"/>
    <row r="64001" customFormat="1" x14ac:dyDescent="0.3"/>
    <row r="64002" customFormat="1" x14ac:dyDescent="0.3"/>
    <row r="64003" customFormat="1" x14ac:dyDescent="0.3"/>
    <row r="64004" customFormat="1" x14ac:dyDescent="0.3"/>
    <row r="64005" customFormat="1" x14ac:dyDescent="0.3"/>
    <row r="64006" customFormat="1" x14ac:dyDescent="0.3"/>
    <row r="64007" customFormat="1" x14ac:dyDescent="0.3"/>
    <row r="64008" customFormat="1" x14ac:dyDescent="0.3"/>
    <row r="64009" customFormat="1" x14ac:dyDescent="0.3"/>
    <row r="64010" customFormat="1" x14ac:dyDescent="0.3"/>
    <row r="64011" customFormat="1" x14ac:dyDescent="0.3"/>
    <row r="64012" customFormat="1" x14ac:dyDescent="0.3"/>
    <row r="64013" customFormat="1" x14ac:dyDescent="0.3"/>
    <row r="64014" customFormat="1" x14ac:dyDescent="0.3"/>
    <row r="64015" customFormat="1" x14ac:dyDescent="0.3"/>
    <row r="64016" customFormat="1" x14ac:dyDescent="0.3"/>
    <row r="64017" customFormat="1" x14ac:dyDescent="0.3"/>
    <row r="64018" customFormat="1" x14ac:dyDescent="0.3"/>
    <row r="64019" customFormat="1" x14ac:dyDescent="0.3"/>
    <row r="64020" customFormat="1" x14ac:dyDescent="0.3"/>
    <row r="64021" customFormat="1" x14ac:dyDescent="0.3"/>
    <row r="64022" customFormat="1" x14ac:dyDescent="0.3"/>
    <row r="64023" customFormat="1" x14ac:dyDescent="0.3"/>
    <row r="64024" customFormat="1" x14ac:dyDescent="0.3"/>
    <row r="64025" customFormat="1" x14ac:dyDescent="0.3"/>
    <row r="64026" customFormat="1" x14ac:dyDescent="0.3"/>
    <row r="64027" customFormat="1" x14ac:dyDescent="0.3"/>
    <row r="64028" customFormat="1" x14ac:dyDescent="0.3"/>
    <row r="64029" customFormat="1" x14ac:dyDescent="0.3"/>
    <row r="64030" customFormat="1" x14ac:dyDescent="0.3"/>
    <row r="64031" customFormat="1" x14ac:dyDescent="0.3"/>
    <row r="64032" customFormat="1" x14ac:dyDescent="0.3"/>
    <row r="64033" customFormat="1" x14ac:dyDescent="0.3"/>
    <row r="64034" customFormat="1" x14ac:dyDescent="0.3"/>
    <row r="64035" customFormat="1" x14ac:dyDescent="0.3"/>
    <row r="64036" customFormat="1" x14ac:dyDescent="0.3"/>
    <row r="64037" customFormat="1" x14ac:dyDescent="0.3"/>
    <row r="64038" customFormat="1" x14ac:dyDescent="0.3"/>
    <row r="64039" customFormat="1" x14ac:dyDescent="0.3"/>
    <row r="64040" customFormat="1" x14ac:dyDescent="0.3"/>
    <row r="64041" customFormat="1" x14ac:dyDescent="0.3"/>
    <row r="64042" customFormat="1" x14ac:dyDescent="0.3"/>
    <row r="64043" customFormat="1" x14ac:dyDescent="0.3"/>
    <row r="64044" customFormat="1" x14ac:dyDescent="0.3"/>
    <row r="64045" customFormat="1" x14ac:dyDescent="0.3"/>
    <row r="64046" customFormat="1" x14ac:dyDescent="0.3"/>
    <row r="64047" customFormat="1" x14ac:dyDescent="0.3"/>
    <row r="64048" customFormat="1" x14ac:dyDescent="0.3"/>
    <row r="64049" customFormat="1" x14ac:dyDescent="0.3"/>
    <row r="64050" customFormat="1" x14ac:dyDescent="0.3"/>
    <row r="64051" customFormat="1" x14ac:dyDescent="0.3"/>
    <row r="64052" customFormat="1" x14ac:dyDescent="0.3"/>
    <row r="64053" customFormat="1" x14ac:dyDescent="0.3"/>
    <row r="64054" customFormat="1" x14ac:dyDescent="0.3"/>
    <row r="64055" customFormat="1" x14ac:dyDescent="0.3"/>
    <row r="64056" customFormat="1" x14ac:dyDescent="0.3"/>
    <row r="64057" customFormat="1" x14ac:dyDescent="0.3"/>
    <row r="64058" customFormat="1" x14ac:dyDescent="0.3"/>
    <row r="64059" customFormat="1" x14ac:dyDescent="0.3"/>
    <row r="64060" customFormat="1" x14ac:dyDescent="0.3"/>
    <row r="64061" customFormat="1" x14ac:dyDescent="0.3"/>
    <row r="64062" customFormat="1" x14ac:dyDescent="0.3"/>
    <row r="64063" customFormat="1" x14ac:dyDescent="0.3"/>
    <row r="64064" customFormat="1" x14ac:dyDescent="0.3"/>
    <row r="64065" customFormat="1" x14ac:dyDescent="0.3"/>
    <row r="64066" customFormat="1" x14ac:dyDescent="0.3"/>
    <row r="64067" customFormat="1" x14ac:dyDescent="0.3"/>
    <row r="64068" customFormat="1" x14ac:dyDescent="0.3"/>
    <row r="64069" customFormat="1" x14ac:dyDescent="0.3"/>
    <row r="64070" customFormat="1" x14ac:dyDescent="0.3"/>
    <row r="64071" customFormat="1" x14ac:dyDescent="0.3"/>
    <row r="64072" customFormat="1" x14ac:dyDescent="0.3"/>
    <row r="64073" customFormat="1" x14ac:dyDescent="0.3"/>
    <row r="64074" customFormat="1" x14ac:dyDescent="0.3"/>
    <row r="64075" customFormat="1" x14ac:dyDescent="0.3"/>
    <row r="64076" customFormat="1" x14ac:dyDescent="0.3"/>
    <row r="64077" customFormat="1" x14ac:dyDescent="0.3"/>
    <row r="64078" customFormat="1" x14ac:dyDescent="0.3"/>
    <row r="64079" customFormat="1" x14ac:dyDescent="0.3"/>
    <row r="64080" customFormat="1" x14ac:dyDescent="0.3"/>
    <row r="64081" customFormat="1" x14ac:dyDescent="0.3"/>
    <row r="64082" customFormat="1" x14ac:dyDescent="0.3"/>
    <row r="64083" customFormat="1" x14ac:dyDescent="0.3"/>
    <row r="64084" customFormat="1" x14ac:dyDescent="0.3"/>
    <row r="64085" customFormat="1" x14ac:dyDescent="0.3"/>
    <row r="64086" customFormat="1" x14ac:dyDescent="0.3"/>
    <row r="64087" customFormat="1" x14ac:dyDescent="0.3"/>
    <row r="64088" customFormat="1" x14ac:dyDescent="0.3"/>
    <row r="64089" customFormat="1" x14ac:dyDescent="0.3"/>
    <row r="64090" customFormat="1" x14ac:dyDescent="0.3"/>
    <row r="64091" customFormat="1" x14ac:dyDescent="0.3"/>
    <row r="64092" customFormat="1" x14ac:dyDescent="0.3"/>
    <row r="64093" customFormat="1" x14ac:dyDescent="0.3"/>
    <row r="64094" customFormat="1" x14ac:dyDescent="0.3"/>
    <row r="64095" customFormat="1" x14ac:dyDescent="0.3"/>
    <row r="64096" customFormat="1" x14ac:dyDescent="0.3"/>
    <row r="64097" customFormat="1" x14ac:dyDescent="0.3"/>
    <row r="64098" customFormat="1" x14ac:dyDescent="0.3"/>
    <row r="64099" customFormat="1" x14ac:dyDescent="0.3"/>
    <row r="64100" customFormat="1" x14ac:dyDescent="0.3"/>
    <row r="64101" customFormat="1" x14ac:dyDescent="0.3"/>
    <row r="64102" customFormat="1" x14ac:dyDescent="0.3"/>
    <row r="64103" customFormat="1" x14ac:dyDescent="0.3"/>
    <row r="64104" customFormat="1" x14ac:dyDescent="0.3"/>
    <row r="64105" customFormat="1" x14ac:dyDescent="0.3"/>
    <row r="64106" customFormat="1" x14ac:dyDescent="0.3"/>
    <row r="64107" customFormat="1" x14ac:dyDescent="0.3"/>
    <row r="64108" customFormat="1" x14ac:dyDescent="0.3"/>
    <row r="64109" customFormat="1" x14ac:dyDescent="0.3"/>
    <row r="64110" customFormat="1" x14ac:dyDescent="0.3"/>
    <row r="64111" customFormat="1" x14ac:dyDescent="0.3"/>
    <row r="64112" customFormat="1" x14ac:dyDescent="0.3"/>
    <row r="64113" customFormat="1" x14ac:dyDescent="0.3"/>
    <row r="64114" customFormat="1" x14ac:dyDescent="0.3"/>
    <row r="64115" customFormat="1" x14ac:dyDescent="0.3"/>
    <row r="64116" customFormat="1" x14ac:dyDescent="0.3"/>
    <row r="64117" customFormat="1" x14ac:dyDescent="0.3"/>
    <row r="64118" customFormat="1" x14ac:dyDescent="0.3"/>
    <row r="64119" customFormat="1" x14ac:dyDescent="0.3"/>
    <row r="64120" customFormat="1" x14ac:dyDescent="0.3"/>
    <row r="64121" customFormat="1" x14ac:dyDescent="0.3"/>
    <row r="64122" customFormat="1" x14ac:dyDescent="0.3"/>
    <row r="64123" customFormat="1" x14ac:dyDescent="0.3"/>
    <row r="64124" customFormat="1" x14ac:dyDescent="0.3"/>
    <row r="64125" customFormat="1" x14ac:dyDescent="0.3"/>
    <row r="64126" customFormat="1" x14ac:dyDescent="0.3"/>
    <row r="64127" customFormat="1" x14ac:dyDescent="0.3"/>
    <row r="64128" customFormat="1" x14ac:dyDescent="0.3"/>
    <row r="64129" customFormat="1" x14ac:dyDescent="0.3"/>
    <row r="64130" customFormat="1" x14ac:dyDescent="0.3"/>
    <row r="64131" customFormat="1" x14ac:dyDescent="0.3"/>
    <row r="64132" customFormat="1" x14ac:dyDescent="0.3"/>
    <row r="64133" customFormat="1" x14ac:dyDescent="0.3"/>
    <row r="64134" customFormat="1" x14ac:dyDescent="0.3"/>
    <row r="64135" customFormat="1" x14ac:dyDescent="0.3"/>
    <row r="64136" customFormat="1" x14ac:dyDescent="0.3"/>
    <row r="64137" customFormat="1" x14ac:dyDescent="0.3"/>
    <row r="64138" customFormat="1" x14ac:dyDescent="0.3"/>
    <row r="64139" customFormat="1" x14ac:dyDescent="0.3"/>
    <row r="64140" customFormat="1" x14ac:dyDescent="0.3"/>
    <row r="64141" customFormat="1" x14ac:dyDescent="0.3"/>
    <row r="64142" customFormat="1" x14ac:dyDescent="0.3"/>
    <row r="64143" customFormat="1" x14ac:dyDescent="0.3"/>
    <row r="64144" customFormat="1" x14ac:dyDescent="0.3"/>
    <row r="64145" customFormat="1" x14ac:dyDescent="0.3"/>
    <row r="64146" customFormat="1" x14ac:dyDescent="0.3"/>
    <row r="64147" customFormat="1" x14ac:dyDescent="0.3"/>
    <row r="64148" customFormat="1" x14ac:dyDescent="0.3"/>
    <row r="64149" customFormat="1" x14ac:dyDescent="0.3"/>
    <row r="64150" customFormat="1" x14ac:dyDescent="0.3"/>
    <row r="64151" customFormat="1" x14ac:dyDescent="0.3"/>
    <row r="64152" customFormat="1" x14ac:dyDescent="0.3"/>
    <row r="64153" customFormat="1" x14ac:dyDescent="0.3"/>
    <row r="64154" customFormat="1" x14ac:dyDescent="0.3"/>
    <row r="64155" customFormat="1" x14ac:dyDescent="0.3"/>
    <row r="64156" customFormat="1" x14ac:dyDescent="0.3"/>
    <row r="64157" customFormat="1" x14ac:dyDescent="0.3"/>
    <row r="64158" customFormat="1" x14ac:dyDescent="0.3"/>
    <row r="64159" customFormat="1" x14ac:dyDescent="0.3"/>
    <row r="64160" customFormat="1" x14ac:dyDescent="0.3"/>
    <row r="64161" customFormat="1" x14ac:dyDescent="0.3"/>
    <row r="64162" customFormat="1" x14ac:dyDescent="0.3"/>
    <row r="64163" customFormat="1" x14ac:dyDescent="0.3"/>
    <row r="64164" customFormat="1" x14ac:dyDescent="0.3"/>
    <row r="64165" customFormat="1" x14ac:dyDescent="0.3"/>
    <row r="64166" customFormat="1" x14ac:dyDescent="0.3"/>
    <row r="64167" customFormat="1" x14ac:dyDescent="0.3"/>
    <row r="64168" customFormat="1" x14ac:dyDescent="0.3"/>
    <row r="64169" customFormat="1" x14ac:dyDescent="0.3"/>
    <row r="64170" customFormat="1" x14ac:dyDescent="0.3"/>
    <row r="64171" customFormat="1" x14ac:dyDescent="0.3"/>
    <row r="64172" customFormat="1" x14ac:dyDescent="0.3"/>
    <row r="64173" customFormat="1" x14ac:dyDescent="0.3"/>
    <row r="64174" customFormat="1" x14ac:dyDescent="0.3"/>
    <row r="64175" customFormat="1" x14ac:dyDescent="0.3"/>
    <row r="64176" customFormat="1" x14ac:dyDescent="0.3"/>
    <row r="64177" customFormat="1" x14ac:dyDescent="0.3"/>
    <row r="64178" customFormat="1" x14ac:dyDescent="0.3"/>
    <row r="64179" customFormat="1" x14ac:dyDescent="0.3"/>
    <row r="64180" customFormat="1" x14ac:dyDescent="0.3"/>
    <row r="64181" customFormat="1" x14ac:dyDescent="0.3"/>
    <row r="64182" customFormat="1" x14ac:dyDescent="0.3"/>
    <row r="64183" customFormat="1" x14ac:dyDescent="0.3"/>
    <row r="64184" customFormat="1" x14ac:dyDescent="0.3"/>
    <row r="64185" customFormat="1" x14ac:dyDescent="0.3"/>
    <row r="64186" customFormat="1" x14ac:dyDescent="0.3"/>
    <row r="64187" customFormat="1" x14ac:dyDescent="0.3"/>
    <row r="64188" customFormat="1" x14ac:dyDescent="0.3"/>
    <row r="64189" customFormat="1" x14ac:dyDescent="0.3"/>
    <row r="64190" customFormat="1" x14ac:dyDescent="0.3"/>
    <row r="64191" customFormat="1" x14ac:dyDescent="0.3"/>
    <row r="64192" customFormat="1" x14ac:dyDescent="0.3"/>
    <row r="64193" customFormat="1" x14ac:dyDescent="0.3"/>
    <row r="64194" customFormat="1" x14ac:dyDescent="0.3"/>
    <row r="64195" customFormat="1" x14ac:dyDescent="0.3"/>
    <row r="64196" customFormat="1" x14ac:dyDescent="0.3"/>
    <row r="64197" customFormat="1" x14ac:dyDescent="0.3"/>
    <row r="64198" customFormat="1" x14ac:dyDescent="0.3"/>
    <row r="64199" customFormat="1" x14ac:dyDescent="0.3"/>
    <row r="64200" customFormat="1" x14ac:dyDescent="0.3"/>
    <row r="64201" customFormat="1" x14ac:dyDescent="0.3"/>
    <row r="64202" customFormat="1" x14ac:dyDescent="0.3"/>
    <row r="64203" customFormat="1" x14ac:dyDescent="0.3"/>
    <row r="64204" customFormat="1" x14ac:dyDescent="0.3"/>
    <row r="64205" customFormat="1" x14ac:dyDescent="0.3"/>
    <row r="64206" customFormat="1" x14ac:dyDescent="0.3"/>
    <row r="64207" customFormat="1" x14ac:dyDescent="0.3"/>
    <row r="64208" customFormat="1" x14ac:dyDescent="0.3"/>
    <row r="64209" customFormat="1" x14ac:dyDescent="0.3"/>
    <row r="64210" customFormat="1" x14ac:dyDescent="0.3"/>
    <row r="64211" customFormat="1" x14ac:dyDescent="0.3"/>
    <row r="64212" customFormat="1" x14ac:dyDescent="0.3"/>
    <row r="64213" customFormat="1" x14ac:dyDescent="0.3"/>
    <row r="64214" customFormat="1" x14ac:dyDescent="0.3"/>
    <row r="64215" customFormat="1" x14ac:dyDescent="0.3"/>
    <row r="64216" customFormat="1" x14ac:dyDescent="0.3"/>
    <row r="64217" customFormat="1" x14ac:dyDescent="0.3"/>
    <row r="64218" customFormat="1" x14ac:dyDescent="0.3"/>
    <row r="64219" customFormat="1" x14ac:dyDescent="0.3"/>
    <row r="64220" customFormat="1" x14ac:dyDescent="0.3"/>
    <row r="64221" customFormat="1" x14ac:dyDescent="0.3"/>
    <row r="64222" customFormat="1" x14ac:dyDescent="0.3"/>
    <row r="64223" customFormat="1" x14ac:dyDescent="0.3"/>
    <row r="64224" customFormat="1" x14ac:dyDescent="0.3"/>
    <row r="64225" customFormat="1" x14ac:dyDescent="0.3"/>
    <row r="64226" customFormat="1" x14ac:dyDescent="0.3"/>
    <row r="64227" customFormat="1" x14ac:dyDescent="0.3"/>
    <row r="64228" customFormat="1" x14ac:dyDescent="0.3"/>
    <row r="64229" customFormat="1" x14ac:dyDescent="0.3"/>
    <row r="64230" customFormat="1" x14ac:dyDescent="0.3"/>
    <row r="64231" customFormat="1" x14ac:dyDescent="0.3"/>
    <row r="64232" customFormat="1" x14ac:dyDescent="0.3"/>
    <row r="64233" customFormat="1" x14ac:dyDescent="0.3"/>
    <row r="64234" customFormat="1" x14ac:dyDescent="0.3"/>
    <row r="64235" customFormat="1" x14ac:dyDescent="0.3"/>
    <row r="64236" customFormat="1" x14ac:dyDescent="0.3"/>
    <row r="64237" customFormat="1" x14ac:dyDescent="0.3"/>
    <row r="64238" customFormat="1" x14ac:dyDescent="0.3"/>
    <row r="64239" customFormat="1" x14ac:dyDescent="0.3"/>
    <row r="64240" customFormat="1" x14ac:dyDescent="0.3"/>
    <row r="64241" customFormat="1" x14ac:dyDescent="0.3"/>
    <row r="64242" customFormat="1" x14ac:dyDescent="0.3"/>
    <row r="64243" customFormat="1" x14ac:dyDescent="0.3"/>
    <row r="64244" customFormat="1" x14ac:dyDescent="0.3"/>
    <row r="64245" customFormat="1" x14ac:dyDescent="0.3"/>
    <row r="64246" customFormat="1" x14ac:dyDescent="0.3"/>
    <row r="64247" customFormat="1" x14ac:dyDescent="0.3"/>
    <row r="64248" customFormat="1" x14ac:dyDescent="0.3"/>
    <row r="64249" customFormat="1" x14ac:dyDescent="0.3"/>
    <row r="64250" customFormat="1" x14ac:dyDescent="0.3"/>
    <row r="64251" customFormat="1" x14ac:dyDescent="0.3"/>
    <row r="64252" customFormat="1" x14ac:dyDescent="0.3"/>
    <row r="64253" customFormat="1" x14ac:dyDescent="0.3"/>
    <row r="64254" customFormat="1" x14ac:dyDescent="0.3"/>
    <row r="64255" customFormat="1" x14ac:dyDescent="0.3"/>
    <row r="64256" customFormat="1" x14ac:dyDescent="0.3"/>
    <row r="64257" customFormat="1" x14ac:dyDescent="0.3"/>
    <row r="64258" customFormat="1" x14ac:dyDescent="0.3"/>
    <row r="64259" customFormat="1" x14ac:dyDescent="0.3"/>
    <row r="64260" customFormat="1" x14ac:dyDescent="0.3"/>
    <row r="64261" customFormat="1" x14ac:dyDescent="0.3"/>
    <row r="64262" customFormat="1" x14ac:dyDescent="0.3"/>
    <row r="64263" customFormat="1" x14ac:dyDescent="0.3"/>
    <row r="64264" customFormat="1" x14ac:dyDescent="0.3"/>
    <row r="64265" customFormat="1" x14ac:dyDescent="0.3"/>
    <row r="64266" customFormat="1" x14ac:dyDescent="0.3"/>
    <row r="64267" customFormat="1" x14ac:dyDescent="0.3"/>
    <row r="64268" customFormat="1" x14ac:dyDescent="0.3"/>
    <row r="64269" customFormat="1" x14ac:dyDescent="0.3"/>
    <row r="64270" customFormat="1" x14ac:dyDescent="0.3"/>
    <row r="64271" customFormat="1" x14ac:dyDescent="0.3"/>
    <row r="64272" customFormat="1" x14ac:dyDescent="0.3"/>
    <row r="64273" customFormat="1" x14ac:dyDescent="0.3"/>
    <row r="64274" customFormat="1" x14ac:dyDescent="0.3"/>
    <row r="64275" customFormat="1" x14ac:dyDescent="0.3"/>
    <row r="64276" customFormat="1" x14ac:dyDescent="0.3"/>
    <row r="64277" customFormat="1" x14ac:dyDescent="0.3"/>
    <row r="64278" customFormat="1" x14ac:dyDescent="0.3"/>
    <row r="64279" customFormat="1" x14ac:dyDescent="0.3"/>
    <row r="64280" customFormat="1" x14ac:dyDescent="0.3"/>
    <row r="64281" customFormat="1" x14ac:dyDescent="0.3"/>
    <row r="64282" customFormat="1" x14ac:dyDescent="0.3"/>
    <row r="64283" customFormat="1" x14ac:dyDescent="0.3"/>
    <row r="64284" customFormat="1" x14ac:dyDescent="0.3"/>
    <row r="64285" customFormat="1" x14ac:dyDescent="0.3"/>
    <row r="64286" customFormat="1" x14ac:dyDescent="0.3"/>
    <row r="64287" customFormat="1" x14ac:dyDescent="0.3"/>
    <row r="64288" customFormat="1" x14ac:dyDescent="0.3"/>
    <row r="64289" customFormat="1" x14ac:dyDescent="0.3"/>
    <row r="64290" customFormat="1" x14ac:dyDescent="0.3"/>
    <row r="64291" customFormat="1" x14ac:dyDescent="0.3"/>
    <row r="64292" customFormat="1" x14ac:dyDescent="0.3"/>
    <row r="64293" customFormat="1" x14ac:dyDescent="0.3"/>
    <row r="64294" customFormat="1" x14ac:dyDescent="0.3"/>
    <row r="64295" customFormat="1" x14ac:dyDescent="0.3"/>
    <row r="64296" customFormat="1" x14ac:dyDescent="0.3"/>
    <row r="64297" customFormat="1" x14ac:dyDescent="0.3"/>
    <row r="64298" customFormat="1" x14ac:dyDescent="0.3"/>
    <row r="64299" customFormat="1" x14ac:dyDescent="0.3"/>
    <row r="64300" customFormat="1" x14ac:dyDescent="0.3"/>
    <row r="64301" customFormat="1" x14ac:dyDescent="0.3"/>
    <row r="64302" customFormat="1" x14ac:dyDescent="0.3"/>
    <row r="64303" customFormat="1" x14ac:dyDescent="0.3"/>
    <row r="64304" customFormat="1" x14ac:dyDescent="0.3"/>
    <row r="64305" customFormat="1" x14ac:dyDescent="0.3"/>
    <row r="64306" customFormat="1" x14ac:dyDescent="0.3"/>
    <row r="64307" customFormat="1" x14ac:dyDescent="0.3"/>
    <row r="64308" customFormat="1" x14ac:dyDescent="0.3"/>
    <row r="64309" customFormat="1" x14ac:dyDescent="0.3"/>
    <row r="64310" customFormat="1" x14ac:dyDescent="0.3"/>
    <row r="64311" customFormat="1" x14ac:dyDescent="0.3"/>
    <row r="64312" customFormat="1" x14ac:dyDescent="0.3"/>
    <row r="64313" customFormat="1" x14ac:dyDescent="0.3"/>
    <row r="64314" customFormat="1" x14ac:dyDescent="0.3"/>
    <row r="64315" customFormat="1" x14ac:dyDescent="0.3"/>
    <row r="64316" customFormat="1" x14ac:dyDescent="0.3"/>
    <row r="64317" customFormat="1" x14ac:dyDescent="0.3"/>
    <row r="64318" customFormat="1" x14ac:dyDescent="0.3"/>
    <row r="64319" customFormat="1" x14ac:dyDescent="0.3"/>
    <row r="64320" customFormat="1" x14ac:dyDescent="0.3"/>
    <row r="64321" customFormat="1" x14ac:dyDescent="0.3"/>
    <row r="64322" customFormat="1" x14ac:dyDescent="0.3"/>
    <row r="64323" customFormat="1" x14ac:dyDescent="0.3"/>
    <row r="64324" customFormat="1" x14ac:dyDescent="0.3"/>
    <row r="64325" customFormat="1" x14ac:dyDescent="0.3"/>
    <row r="64326" customFormat="1" x14ac:dyDescent="0.3"/>
    <row r="64327" customFormat="1" x14ac:dyDescent="0.3"/>
    <row r="64328" customFormat="1" x14ac:dyDescent="0.3"/>
    <row r="64329" customFormat="1" x14ac:dyDescent="0.3"/>
    <row r="64330" customFormat="1" x14ac:dyDescent="0.3"/>
    <row r="64331" customFormat="1" x14ac:dyDescent="0.3"/>
    <row r="64332" customFormat="1" x14ac:dyDescent="0.3"/>
    <row r="64333" customFormat="1" x14ac:dyDescent="0.3"/>
    <row r="64334" customFormat="1" x14ac:dyDescent="0.3"/>
    <row r="64335" customFormat="1" x14ac:dyDescent="0.3"/>
    <row r="64336" customFormat="1" x14ac:dyDescent="0.3"/>
    <row r="64337" customFormat="1" x14ac:dyDescent="0.3"/>
    <row r="64338" customFormat="1" x14ac:dyDescent="0.3"/>
    <row r="64339" customFormat="1" x14ac:dyDescent="0.3"/>
    <row r="64340" customFormat="1" x14ac:dyDescent="0.3"/>
    <row r="64341" customFormat="1" x14ac:dyDescent="0.3"/>
    <row r="64342" customFormat="1" x14ac:dyDescent="0.3"/>
    <row r="64343" customFormat="1" x14ac:dyDescent="0.3"/>
    <row r="64344" customFormat="1" x14ac:dyDescent="0.3"/>
    <row r="64345" customFormat="1" x14ac:dyDescent="0.3"/>
    <row r="64346" customFormat="1" x14ac:dyDescent="0.3"/>
    <row r="64347" customFormat="1" x14ac:dyDescent="0.3"/>
    <row r="64348" customFormat="1" x14ac:dyDescent="0.3"/>
    <row r="64349" customFormat="1" x14ac:dyDescent="0.3"/>
    <row r="64350" customFormat="1" x14ac:dyDescent="0.3"/>
    <row r="64351" customFormat="1" x14ac:dyDescent="0.3"/>
    <row r="64352" customFormat="1" x14ac:dyDescent="0.3"/>
    <row r="64353" customFormat="1" x14ac:dyDescent="0.3"/>
    <row r="64354" customFormat="1" x14ac:dyDescent="0.3"/>
    <row r="64355" customFormat="1" x14ac:dyDescent="0.3"/>
    <row r="64356" customFormat="1" x14ac:dyDescent="0.3"/>
    <row r="64357" customFormat="1" x14ac:dyDescent="0.3"/>
    <row r="64358" customFormat="1" x14ac:dyDescent="0.3"/>
    <row r="64359" customFormat="1" x14ac:dyDescent="0.3"/>
    <row r="64360" customFormat="1" x14ac:dyDescent="0.3"/>
    <row r="64361" customFormat="1" x14ac:dyDescent="0.3"/>
    <row r="64362" customFormat="1" x14ac:dyDescent="0.3"/>
    <row r="64363" customFormat="1" x14ac:dyDescent="0.3"/>
    <row r="64364" customFormat="1" x14ac:dyDescent="0.3"/>
    <row r="64365" customFormat="1" x14ac:dyDescent="0.3"/>
    <row r="64366" customFormat="1" x14ac:dyDescent="0.3"/>
    <row r="64367" customFormat="1" x14ac:dyDescent="0.3"/>
    <row r="64368" customFormat="1" x14ac:dyDescent="0.3"/>
    <row r="64369" customFormat="1" x14ac:dyDescent="0.3"/>
    <row r="64370" customFormat="1" x14ac:dyDescent="0.3"/>
    <row r="64371" customFormat="1" x14ac:dyDescent="0.3"/>
    <row r="64372" customFormat="1" x14ac:dyDescent="0.3"/>
    <row r="64373" customFormat="1" x14ac:dyDescent="0.3"/>
    <row r="64374" customFormat="1" x14ac:dyDescent="0.3"/>
    <row r="64375" customFormat="1" x14ac:dyDescent="0.3"/>
    <row r="64376" customFormat="1" x14ac:dyDescent="0.3"/>
    <row r="64377" customFormat="1" x14ac:dyDescent="0.3"/>
    <row r="64378" customFormat="1" x14ac:dyDescent="0.3"/>
    <row r="64379" customFormat="1" x14ac:dyDescent="0.3"/>
    <row r="64380" customFormat="1" x14ac:dyDescent="0.3"/>
    <row r="64381" customFormat="1" x14ac:dyDescent="0.3"/>
    <row r="64382" customFormat="1" x14ac:dyDescent="0.3"/>
    <row r="64383" customFormat="1" x14ac:dyDescent="0.3"/>
    <row r="64384" customFormat="1" x14ac:dyDescent="0.3"/>
    <row r="64385" customFormat="1" x14ac:dyDescent="0.3"/>
    <row r="64386" customFormat="1" x14ac:dyDescent="0.3"/>
    <row r="64387" customFormat="1" x14ac:dyDescent="0.3"/>
    <row r="64388" customFormat="1" x14ac:dyDescent="0.3"/>
    <row r="64389" customFormat="1" x14ac:dyDescent="0.3"/>
    <row r="64390" customFormat="1" x14ac:dyDescent="0.3"/>
    <row r="64391" customFormat="1" x14ac:dyDescent="0.3"/>
    <row r="64392" customFormat="1" x14ac:dyDescent="0.3"/>
    <row r="64393" customFormat="1" x14ac:dyDescent="0.3"/>
    <row r="64394" customFormat="1" x14ac:dyDescent="0.3"/>
    <row r="64395" customFormat="1" x14ac:dyDescent="0.3"/>
    <row r="64396" customFormat="1" x14ac:dyDescent="0.3"/>
    <row r="64397" customFormat="1" x14ac:dyDescent="0.3"/>
    <row r="64398" customFormat="1" x14ac:dyDescent="0.3"/>
    <row r="64399" customFormat="1" x14ac:dyDescent="0.3"/>
    <row r="64400" customFormat="1" x14ac:dyDescent="0.3"/>
    <row r="64401" customFormat="1" x14ac:dyDescent="0.3"/>
    <row r="64402" customFormat="1" x14ac:dyDescent="0.3"/>
    <row r="64403" customFormat="1" x14ac:dyDescent="0.3"/>
    <row r="64404" customFormat="1" x14ac:dyDescent="0.3"/>
    <row r="64405" customFormat="1" x14ac:dyDescent="0.3"/>
    <row r="64406" customFormat="1" x14ac:dyDescent="0.3"/>
    <row r="64407" customFormat="1" x14ac:dyDescent="0.3"/>
    <row r="64408" customFormat="1" x14ac:dyDescent="0.3"/>
    <row r="64409" customFormat="1" x14ac:dyDescent="0.3"/>
    <row r="64410" customFormat="1" x14ac:dyDescent="0.3"/>
    <row r="64411" customFormat="1" x14ac:dyDescent="0.3"/>
    <row r="64412" customFormat="1" x14ac:dyDescent="0.3"/>
    <row r="64413" customFormat="1" x14ac:dyDescent="0.3"/>
    <row r="64414" customFormat="1" x14ac:dyDescent="0.3"/>
    <row r="64415" customFormat="1" x14ac:dyDescent="0.3"/>
    <row r="64416" customFormat="1" x14ac:dyDescent="0.3"/>
    <row r="64417" customFormat="1" x14ac:dyDescent="0.3"/>
    <row r="64418" customFormat="1" x14ac:dyDescent="0.3"/>
    <row r="64419" customFormat="1" x14ac:dyDescent="0.3"/>
    <row r="64420" customFormat="1" x14ac:dyDescent="0.3"/>
    <row r="64421" customFormat="1" x14ac:dyDescent="0.3"/>
    <row r="64422" customFormat="1" x14ac:dyDescent="0.3"/>
    <row r="64423" customFormat="1" x14ac:dyDescent="0.3"/>
    <row r="64424" customFormat="1" x14ac:dyDescent="0.3"/>
    <row r="64425" customFormat="1" x14ac:dyDescent="0.3"/>
    <row r="64426" customFormat="1" x14ac:dyDescent="0.3"/>
    <row r="64427" customFormat="1" x14ac:dyDescent="0.3"/>
    <row r="64428" customFormat="1" x14ac:dyDescent="0.3"/>
    <row r="64429" customFormat="1" x14ac:dyDescent="0.3"/>
    <row r="64430" customFormat="1" x14ac:dyDescent="0.3"/>
    <row r="64431" customFormat="1" x14ac:dyDescent="0.3"/>
    <row r="64432" customFormat="1" x14ac:dyDescent="0.3"/>
    <row r="64433" customFormat="1" x14ac:dyDescent="0.3"/>
    <row r="64434" customFormat="1" x14ac:dyDescent="0.3"/>
    <row r="64435" customFormat="1" x14ac:dyDescent="0.3"/>
    <row r="64436" customFormat="1" x14ac:dyDescent="0.3"/>
    <row r="64437" customFormat="1" x14ac:dyDescent="0.3"/>
    <row r="64438" customFormat="1" x14ac:dyDescent="0.3"/>
    <row r="64439" customFormat="1" x14ac:dyDescent="0.3"/>
    <row r="64440" customFormat="1" x14ac:dyDescent="0.3"/>
    <row r="64441" customFormat="1" x14ac:dyDescent="0.3"/>
    <row r="64442" customFormat="1" x14ac:dyDescent="0.3"/>
    <row r="64443" customFormat="1" x14ac:dyDescent="0.3"/>
    <row r="64444" customFormat="1" x14ac:dyDescent="0.3"/>
    <row r="64445" customFormat="1" x14ac:dyDescent="0.3"/>
    <row r="64446" customFormat="1" x14ac:dyDescent="0.3"/>
    <row r="64447" customFormat="1" x14ac:dyDescent="0.3"/>
    <row r="64448" customFormat="1" x14ac:dyDescent="0.3"/>
    <row r="64449" customFormat="1" x14ac:dyDescent="0.3"/>
    <row r="64450" customFormat="1" x14ac:dyDescent="0.3"/>
    <row r="64451" customFormat="1" x14ac:dyDescent="0.3"/>
    <row r="64452" customFormat="1" x14ac:dyDescent="0.3"/>
    <row r="64453" customFormat="1" x14ac:dyDescent="0.3"/>
    <row r="64454" customFormat="1" x14ac:dyDescent="0.3"/>
    <row r="64455" customFormat="1" x14ac:dyDescent="0.3"/>
    <row r="64456" customFormat="1" x14ac:dyDescent="0.3"/>
    <row r="64457" customFormat="1" x14ac:dyDescent="0.3"/>
    <row r="64458" customFormat="1" x14ac:dyDescent="0.3"/>
    <row r="64459" customFormat="1" x14ac:dyDescent="0.3"/>
    <row r="64460" customFormat="1" x14ac:dyDescent="0.3"/>
    <row r="64461" customFormat="1" x14ac:dyDescent="0.3"/>
    <row r="64462" customFormat="1" x14ac:dyDescent="0.3"/>
    <row r="64463" customFormat="1" x14ac:dyDescent="0.3"/>
    <row r="64464" customFormat="1" x14ac:dyDescent="0.3"/>
    <row r="64465" customFormat="1" x14ac:dyDescent="0.3"/>
    <row r="64466" customFormat="1" x14ac:dyDescent="0.3"/>
    <row r="64467" customFormat="1" x14ac:dyDescent="0.3"/>
    <row r="64468" customFormat="1" x14ac:dyDescent="0.3"/>
    <row r="64469" customFormat="1" x14ac:dyDescent="0.3"/>
    <row r="64470" customFormat="1" x14ac:dyDescent="0.3"/>
    <row r="64471" customFormat="1" x14ac:dyDescent="0.3"/>
    <row r="64472" customFormat="1" x14ac:dyDescent="0.3"/>
    <row r="64473" customFormat="1" x14ac:dyDescent="0.3"/>
    <row r="64474" customFormat="1" x14ac:dyDescent="0.3"/>
    <row r="64475" customFormat="1" x14ac:dyDescent="0.3"/>
    <row r="64476" customFormat="1" x14ac:dyDescent="0.3"/>
    <row r="64477" customFormat="1" x14ac:dyDescent="0.3"/>
    <row r="64478" customFormat="1" x14ac:dyDescent="0.3"/>
    <row r="64479" customFormat="1" x14ac:dyDescent="0.3"/>
    <row r="64480" customFormat="1" x14ac:dyDescent="0.3"/>
    <row r="64481" customFormat="1" x14ac:dyDescent="0.3"/>
    <row r="64482" customFormat="1" x14ac:dyDescent="0.3"/>
    <row r="64483" customFormat="1" x14ac:dyDescent="0.3"/>
    <row r="64484" customFormat="1" x14ac:dyDescent="0.3"/>
    <row r="64485" customFormat="1" x14ac:dyDescent="0.3"/>
    <row r="64486" customFormat="1" x14ac:dyDescent="0.3"/>
    <row r="64487" customFormat="1" x14ac:dyDescent="0.3"/>
    <row r="64488" customFormat="1" x14ac:dyDescent="0.3"/>
    <row r="64489" customFormat="1" x14ac:dyDescent="0.3"/>
    <row r="64490" customFormat="1" x14ac:dyDescent="0.3"/>
    <row r="64491" customFormat="1" x14ac:dyDescent="0.3"/>
    <row r="64492" customFormat="1" x14ac:dyDescent="0.3"/>
    <row r="64493" customFormat="1" x14ac:dyDescent="0.3"/>
    <row r="64494" customFormat="1" x14ac:dyDescent="0.3"/>
    <row r="64495" customFormat="1" x14ac:dyDescent="0.3"/>
    <row r="64496" customFormat="1" x14ac:dyDescent="0.3"/>
    <row r="64497" customFormat="1" x14ac:dyDescent="0.3"/>
    <row r="64498" customFormat="1" x14ac:dyDescent="0.3"/>
    <row r="64499" customFormat="1" x14ac:dyDescent="0.3"/>
    <row r="64500" customFormat="1" x14ac:dyDescent="0.3"/>
    <row r="64501" customFormat="1" x14ac:dyDescent="0.3"/>
    <row r="64502" customFormat="1" x14ac:dyDescent="0.3"/>
    <row r="64503" customFormat="1" x14ac:dyDescent="0.3"/>
    <row r="64504" customFormat="1" x14ac:dyDescent="0.3"/>
    <row r="64505" customFormat="1" x14ac:dyDescent="0.3"/>
    <row r="64506" customFormat="1" x14ac:dyDescent="0.3"/>
    <row r="64507" customFormat="1" x14ac:dyDescent="0.3"/>
    <row r="64508" customFormat="1" x14ac:dyDescent="0.3"/>
    <row r="64509" customFormat="1" x14ac:dyDescent="0.3"/>
    <row r="64510" customFormat="1" x14ac:dyDescent="0.3"/>
    <row r="64511" customFormat="1" x14ac:dyDescent="0.3"/>
    <row r="64512" customFormat="1" x14ac:dyDescent="0.3"/>
    <row r="64513" customFormat="1" x14ac:dyDescent="0.3"/>
    <row r="64514" customFormat="1" x14ac:dyDescent="0.3"/>
    <row r="64515" customFormat="1" x14ac:dyDescent="0.3"/>
    <row r="64516" customFormat="1" x14ac:dyDescent="0.3"/>
    <row r="64517" customFormat="1" x14ac:dyDescent="0.3"/>
    <row r="64518" customFormat="1" x14ac:dyDescent="0.3"/>
    <row r="64519" customFormat="1" x14ac:dyDescent="0.3"/>
    <row r="64520" customFormat="1" x14ac:dyDescent="0.3"/>
    <row r="64521" customFormat="1" x14ac:dyDescent="0.3"/>
    <row r="64522" customFormat="1" x14ac:dyDescent="0.3"/>
    <row r="64523" customFormat="1" x14ac:dyDescent="0.3"/>
    <row r="64524" customFormat="1" x14ac:dyDescent="0.3"/>
    <row r="64525" customFormat="1" x14ac:dyDescent="0.3"/>
    <row r="64526" customFormat="1" x14ac:dyDescent="0.3"/>
    <row r="64527" customFormat="1" x14ac:dyDescent="0.3"/>
    <row r="64528" customFormat="1" x14ac:dyDescent="0.3"/>
    <row r="64529" customFormat="1" x14ac:dyDescent="0.3"/>
    <row r="64530" customFormat="1" x14ac:dyDescent="0.3"/>
    <row r="64531" customFormat="1" x14ac:dyDescent="0.3"/>
    <row r="64532" customFormat="1" x14ac:dyDescent="0.3"/>
    <row r="64533" customFormat="1" x14ac:dyDescent="0.3"/>
    <row r="64534" customFormat="1" x14ac:dyDescent="0.3"/>
    <row r="64535" customFormat="1" x14ac:dyDescent="0.3"/>
    <row r="64536" customFormat="1" x14ac:dyDescent="0.3"/>
    <row r="64537" customFormat="1" x14ac:dyDescent="0.3"/>
    <row r="64538" customFormat="1" x14ac:dyDescent="0.3"/>
    <row r="64539" customFormat="1" x14ac:dyDescent="0.3"/>
    <row r="64540" customFormat="1" x14ac:dyDescent="0.3"/>
    <row r="64541" customFormat="1" x14ac:dyDescent="0.3"/>
    <row r="64542" customFormat="1" x14ac:dyDescent="0.3"/>
    <row r="64543" customFormat="1" x14ac:dyDescent="0.3"/>
    <row r="64544" customFormat="1" x14ac:dyDescent="0.3"/>
    <row r="64545" customFormat="1" x14ac:dyDescent="0.3"/>
    <row r="64546" customFormat="1" x14ac:dyDescent="0.3"/>
    <row r="64547" customFormat="1" x14ac:dyDescent="0.3"/>
    <row r="64548" customFormat="1" x14ac:dyDescent="0.3"/>
    <row r="64549" customFormat="1" x14ac:dyDescent="0.3"/>
    <row r="64550" customFormat="1" x14ac:dyDescent="0.3"/>
    <row r="64551" customFormat="1" x14ac:dyDescent="0.3"/>
    <row r="64552" customFormat="1" x14ac:dyDescent="0.3"/>
    <row r="64553" customFormat="1" x14ac:dyDescent="0.3"/>
    <row r="64554" customFormat="1" x14ac:dyDescent="0.3"/>
    <row r="64555" customFormat="1" x14ac:dyDescent="0.3"/>
    <row r="64556" customFormat="1" x14ac:dyDescent="0.3"/>
    <row r="64557" customFormat="1" x14ac:dyDescent="0.3"/>
    <row r="64558" customFormat="1" x14ac:dyDescent="0.3"/>
    <row r="64559" customFormat="1" x14ac:dyDescent="0.3"/>
    <row r="64560" customFormat="1" x14ac:dyDescent="0.3"/>
    <row r="64561" customFormat="1" x14ac:dyDescent="0.3"/>
    <row r="64562" customFormat="1" x14ac:dyDescent="0.3"/>
    <row r="64563" customFormat="1" x14ac:dyDescent="0.3"/>
    <row r="64564" customFormat="1" x14ac:dyDescent="0.3"/>
    <row r="64565" customFormat="1" x14ac:dyDescent="0.3"/>
    <row r="64566" customFormat="1" x14ac:dyDescent="0.3"/>
    <row r="64567" customFormat="1" x14ac:dyDescent="0.3"/>
    <row r="64568" customFormat="1" x14ac:dyDescent="0.3"/>
    <row r="64569" customFormat="1" x14ac:dyDescent="0.3"/>
    <row r="64570" customFormat="1" x14ac:dyDescent="0.3"/>
    <row r="64571" customFormat="1" x14ac:dyDescent="0.3"/>
    <row r="64572" customFormat="1" x14ac:dyDescent="0.3"/>
    <row r="64573" customFormat="1" x14ac:dyDescent="0.3"/>
    <row r="64574" customFormat="1" x14ac:dyDescent="0.3"/>
    <row r="64575" customFormat="1" x14ac:dyDescent="0.3"/>
    <row r="64576" customFormat="1" x14ac:dyDescent="0.3"/>
    <row r="64577" customFormat="1" x14ac:dyDescent="0.3"/>
    <row r="64578" customFormat="1" x14ac:dyDescent="0.3"/>
    <row r="64579" customFormat="1" x14ac:dyDescent="0.3"/>
    <row r="64580" customFormat="1" x14ac:dyDescent="0.3"/>
    <row r="64581" customFormat="1" x14ac:dyDescent="0.3"/>
    <row r="64582" customFormat="1" x14ac:dyDescent="0.3"/>
    <row r="64583" customFormat="1" x14ac:dyDescent="0.3"/>
    <row r="64584" customFormat="1" x14ac:dyDescent="0.3"/>
    <row r="64585" customFormat="1" x14ac:dyDescent="0.3"/>
    <row r="64586" customFormat="1" x14ac:dyDescent="0.3"/>
    <row r="64587" customFormat="1" x14ac:dyDescent="0.3"/>
    <row r="64588" customFormat="1" x14ac:dyDescent="0.3"/>
    <row r="64589" customFormat="1" x14ac:dyDescent="0.3"/>
    <row r="64590" customFormat="1" x14ac:dyDescent="0.3"/>
    <row r="64591" customFormat="1" x14ac:dyDescent="0.3"/>
    <row r="64592" customFormat="1" x14ac:dyDescent="0.3"/>
    <row r="64593" customFormat="1" x14ac:dyDescent="0.3"/>
    <row r="64594" customFormat="1" x14ac:dyDescent="0.3"/>
    <row r="64595" customFormat="1" x14ac:dyDescent="0.3"/>
    <row r="64596" customFormat="1" x14ac:dyDescent="0.3"/>
    <row r="64597" customFormat="1" x14ac:dyDescent="0.3"/>
    <row r="64598" customFormat="1" x14ac:dyDescent="0.3"/>
    <row r="64599" customFormat="1" x14ac:dyDescent="0.3"/>
    <row r="64600" customFormat="1" x14ac:dyDescent="0.3"/>
    <row r="64601" customFormat="1" x14ac:dyDescent="0.3"/>
    <row r="64602" customFormat="1" x14ac:dyDescent="0.3"/>
    <row r="64603" customFormat="1" x14ac:dyDescent="0.3"/>
    <row r="64604" customFormat="1" x14ac:dyDescent="0.3"/>
    <row r="64605" customFormat="1" x14ac:dyDescent="0.3"/>
    <row r="64606" customFormat="1" x14ac:dyDescent="0.3"/>
    <row r="64607" customFormat="1" x14ac:dyDescent="0.3"/>
    <row r="64608" customFormat="1" x14ac:dyDescent="0.3"/>
    <row r="64609" customFormat="1" x14ac:dyDescent="0.3"/>
    <row r="64610" customFormat="1" x14ac:dyDescent="0.3"/>
    <row r="64611" customFormat="1" x14ac:dyDescent="0.3"/>
    <row r="64612" customFormat="1" x14ac:dyDescent="0.3"/>
    <row r="64613" customFormat="1" x14ac:dyDescent="0.3"/>
    <row r="64614" customFormat="1" x14ac:dyDescent="0.3"/>
    <row r="64615" customFormat="1" x14ac:dyDescent="0.3"/>
    <row r="64616" customFormat="1" x14ac:dyDescent="0.3"/>
    <row r="64617" customFormat="1" x14ac:dyDescent="0.3"/>
    <row r="64618" customFormat="1" x14ac:dyDescent="0.3"/>
    <row r="64619" customFormat="1" x14ac:dyDescent="0.3"/>
    <row r="64620" customFormat="1" x14ac:dyDescent="0.3"/>
    <row r="64621" customFormat="1" x14ac:dyDescent="0.3"/>
    <row r="64622" customFormat="1" x14ac:dyDescent="0.3"/>
    <row r="64623" customFormat="1" x14ac:dyDescent="0.3"/>
    <row r="64624" customFormat="1" x14ac:dyDescent="0.3"/>
    <row r="64625" customFormat="1" x14ac:dyDescent="0.3"/>
    <row r="64626" customFormat="1" x14ac:dyDescent="0.3"/>
    <row r="64627" customFormat="1" x14ac:dyDescent="0.3"/>
    <row r="64628" customFormat="1" x14ac:dyDescent="0.3"/>
    <row r="64629" customFormat="1" x14ac:dyDescent="0.3"/>
    <row r="64630" customFormat="1" x14ac:dyDescent="0.3"/>
    <row r="64631" customFormat="1" x14ac:dyDescent="0.3"/>
    <row r="64632" customFormat="1" x14ac:dyDescent="0.3"/>
    <row r="64633" customFormat="1" x14ac:dyDescent="0.3"/>
    <row r="64634" customFormat="1" x14ac:dyDescent="0.3"/>
    <row r="64635" customFormat="1" x14ac:dyDescent="0.3"/>
    <row r="64636" customFormat="1" x14ac:dyDescent="0.3"/>
    <row r="64637" customFormat="1" x14ac:dyDescent="0.3"/>
    <row r="64638" customFormat="1" x14ac:dyDescent="0.3"/>
    <row r="64639" customFormat="1" x14ac:dyDescent="0.3"/>
    <row r="64640" customFormat="1" x14ac:dyDescent="0.3"/>
    <row r="64641" customFormat="1" x14ac:dyDescent="0.3"/>
    <row r="64642" customFormat="1" x14ac:dyDescent="0.3"/>
    <row r="64643" customFormat="1" x14ac:dyDescent="0.3"/>
    <row r="64644" customFormat="1" x14ac:dyDescent="0.3"/>
    <row r="64645" customFormat="1" x14ac:dyDescent="0.3"/>
    <row r="64646" customFormat="1" x14ac:dyDescent="0.3"/>
    <row r="64647" customFormat="1" x14ac:dyDescent="0.3"/>
    <row r="64648" customFormat="1" x14ac:dyDescent="0.3"/>
    <row r="64649" customFormat="1" x14ac:dyDescent="0.3"/>
    <row r="64650" customFormat="1" x14ac:dyDescent="0.3"/>
    <row r="64651" customFormat="1" x14ac:dyDescent="0.3"/>
    <row r="64652" customFormat="1" x14ac:dyDescent="0.3"/>
    <row r="64653" customFormat="1" x14ac:dyDescent="0.3"/>
    <row r="64654" customFormat="1" x14ac:dyDescent="0.3"/>
    <row r="64655" customFormat="1" x14ac:dyDescent="0.3"/>
    <row r="64656" customFormat="1" x14ac:dyDescent="0.3"/>
    <row r="64657" customFormat="1" x14ac:dyDescent="0.3"/>
    <row r="64658" customFormat="1" x14ac:dyDescent="0.3"/>
    <row r="64659" customFormat="1" x14ac:dyDescent="0.3"/>
    <row r="64660" customFormat="1" x14ac:dyDescent="0.3"/>
    <row r="64661" customFormat="1" x14ac:dyDescent="0.3"/>
    <row r="64662" customFormat="1" x14ac:dyDescent="0.3"/>
    <row r="64663" customFormat="1" x14ac:dyDescent="0.3"/>
    <row r="64664" customFormat="1" x14ac:dyDescent="0.3"/>
    <row r="64665" customFormat="1" x14ac:dyDescent="0.3"/>
    <row r="64666" customFormat="1" x14ac:dyDescent="0.3"/>
    <row r="64667" customFormat="1" x14ac:dyDescent="0.3"/>
    <row r="64668" customFormat="1" x14ac:dyDescent="0.3"/>
    <row r="64669" customFormat="1" x14ac:dyDescent="0.3"/>
    <row r="64670" customFormat="1" x14ac:dyDescent="0.3"/>
    <row r="64671" customFormat="1" x14ac:dyDescent="0.3"/>
    <row r="64672" customFormat="1" x14ac:dyDescent="0.3"/>
    <row r="64673" customFormat="1" x14ac:dyDescent="0.3"/>
    <row r="64674" customFormat="1" x14ac:dyDescent="0.3"/>
    <row r="64675" customFormat="1" x14ac:dyDescent="0.3"/>
    <row r="64676" customFormat="1" x14ac:dyDescent="0.3"/>
    <row r="64677" customFormat="1" x14ac:dyDescent="0.3"/>
    <row r="64678" customFormat="1" x14ac:dyDescent="0.3"/>
    <row r="64679" customFormat="1" x14ac:dyDescent="0.3"/>
    <row r="64680" customFormat="1" x14ac:dyDescent="0.3"/>
    <row r="64681" customFormat="1" x14ac:dyDescent="0.3"/>
    <row r="64682" customFormat="1" x14ac:dyDescent="0.3"/>
    <row r="64683" customFormat="1" x14ac:dyDescent="0.3"/>
    <row r="64684" customFormat="1" x14ac:dyDescent="0.3"/>
    <row r="64685" customFormat="1" x14ac:dyDescent="0.3"/>
    <row r="64686" customFormat="1" x14ac:dyDescent="0.3"/>
    <row r="64687" customFormat="1" x14ac:dyDescent="0.3"/>
    <row r="64688" customFormat="1" x14ac:dyDescent="0.3"/>
    <row r="64689" customFormat="1" x14ac:dyDescent="0.3"/>
    <row r="64690" customFormat="1" x14ac:dyDescent="0.3"/>
    <row r="64691" customFormat="1" x14ac:dyDescent="0.3"/>
    <row r="64692" customFormat="1" x14ac:dyDescent="0.3"/>
    <row r="64693" customFormat="1" x14ac:dyDescent="0.3"/>
    <row r="64694" customFormat="1" x14ac:dyDescent="0.3"/>
    <row r="64695" customFormat="1" x14ac:dyDescent="0.3"/>
    <row r="64696" customFormat="1" x14ac:dyDescent="0.3"/>
    <row r="64697" customFormat="1" x14ac:dyDescent="0.3"/>
    <row r="64698" customFormat="1" x14ac:dyDescent="0.3"/>
    <row r="64699" customFormat="1" x14ac:dyDescent="0.3"/>
    <row r="64700" customFormat="1" x14ac:dyDescent="0.3"/>
    <row r="64701" customFormat="1" x14ac:dyDescent="0.3"/>
    <row r="64702" customFormat="1" x14ac:dyDescent="0.3"/>
    <row r="64703" customFormat="1" x14ac:dyDescent="0.3"/>
    <row r="64704" customFormat="1" x14ac:dyDescent="0.3"/>
    <row r="64705" customFormat="1" x14ac:dyDescent="0.3"/>
    <row r="64706" customFormat="1" x14ac:dyDescent="0.3"/>
    <row r="64707" customFormat="1" x14ac:dyDescent="0.3"/>
    <row r="64708" customFormat="1" x14ac:dyDescent="0.3"/>
    <row r="64709" customFormat="1" x14ac:dyDescent="0.3"/>
    <row r="64710" customFormat="1" x14ac:dyDescent="0.3"/>
    <row r="64711" customFormat="1" x14ac:dyDescent="0.3"/>
    <row r="64712" customFormat="1" x14ac:dyDescent="0.3"/>
    <row r="64713" customFormat="1" x14ac:dyDescent="0.3"/>
    <row r="64714" customFormat="1" x14ac:dyDescent="0.3"/>
    <row r="64715" customFormat="1" x14ac:dyDescent="0.3"/>
    <row r="64716" customFormat="1" x14ac:dyDescent="0.3"/>
    <row r="64717" customFormat="1" x14ac:dyDescent="0.3"/>
    <row r="64718" customFormat="1" x14ac:dyDescent="0.3"/>
    <row r="64719" customFormat="1" x14ac:dyDescent="0.3"/>
    <row r="64720" customFormat="1" x14ac:dyDescent="0.3"/>
    <row r="64721" customFormat="1" x14ac:dyDescent="0.3"/>
    <row r="64722" customFormat="1" x14ac:dyDescent="0.3"/>
    <row r="64723" customFormat="1" x14ac:dyDescent="0.3"/>
    <row r="64724" customFormat="1" x14ac:dyDescent="0.3"/>
    <row r="64725" customFormat="1" x14ac:dyDescent="0.3"/>
    <row r="64726" customFormat="1" x14ac:dyDescent="0.3"/>
    <row r="64727" customFormat="1" x14ac:dyDescent="0.3"/>
    <row r="64728" customFormat="1" x14ac:dyDescent="0.3"/>
    <row r="64729" customFormat="1" x14ac:dyDescent="0.3"/>
    <row r="64730" customFormat="1" x14ac:dyDescent="0.3"/>
    <row r="64731" customFormat="1" x14ac:dyDescent="0.3"/>
    <row r="64732" customFormat="1" x14ac:dyDescent="0.3"/>
    <row r="64733" customFormat="1" x14ac:dyDescent="0.3"/>
    <row r="64734" customFormat="1" x14ac:dyDescent="0.3"/>
    <row r="64735" customFormat="1" x14ac:dyDescent="0.3"/>
    <row r="64736" customFormat="1" x14ac:dyDescent="0.3"/>
    <row r="64737" customFormat="1" x14ac:dyDescent="0.3"/>
    <row r="64738" customFormat="1" x14ac:dyDescent="0.3"/>
    <row r="64739" customFormat="1" x14ac:dyDescent="0.3"/>
    <row r="64740" customFormat="1" x14ac:dyDescent="0.3"/>
    <row r="64741" customFormat="1" x14ac:dyDescent="0.3"/>
    <row r="64742" customFormat="1" x14ac:dyDescent="0.3"/>
    <row r="64743" customFormat="1" x14ac:dyDescent="0.3"/>
    <row r="64744" customFormat="1" x14ac:dyDescent="0.3"/>
    <row r="64745" customFormat="1" x14ac:dyDescent="0.3"/>
    <row r="64746" customFormat="1" x14ac:dyDescent="0.3"/>
    <row r="64747" customFormat="1" x14ac:dyDescent="0.3"/>
    <row r="64748" customFormat="1" x14ac:dyDescent="0.3"/>
    <row r="64749" customFormat="1" x14ac:dyDescent="0.3"/>
    <row r="64750" customFormat="1" x14ac:dyDescent="0.3"/>
    <row r="64751" customFormat="1" x14ac:dyDescent="0.3"/>
    <row r="64752" customFormat="1" x14ac:dyDescent="0.3"/>
    <row r="64753" customFormat="1" x14ac:dyDescent="0.3"/>
    <row r="64754" customFormat="1" x14ac:dyDescent="0.3"/>
    <row r="64755" customFormat="1" x14ac:dyDescent="0.3"/>
    <row r="64756" customFormat="1" x14ac:dyDescent="0.3"/>
    <row r="64757" customFormat="1" x14ac:dyDescent="0.3"/>
    <row r="64758" customFormat="1" x14ac:dyDescent="0.3"/>
    <row r="64759" customFormat="1" x14ac:dyDescent="0.3"/>
    <row r="64760" customFormat="1" x14ac:dyDescent="0.3"/>
    <row r="64761" customFormat="1" x14ac:dyDescent="0.3"/>
    <row r="64762" customFormat="1" x14ac:dyDescent="0.3"/>
    <row r="64763" customFormat="1" x14ac:dyDescent="0.3"/>
    <row r="64764" customFormat="1" x14ac:dyDescent="0.3"/>
    <row r="64765" customFormat="1" x14ac:dyDescent="0.3"/>
    <row r="64766" customFormat="1" x14ac:dyDescent="0.3"/>
    <row r="64767" customFormat="1" x14ac:dyDescent="0.3"/>
    <row r="64768" customFormat="1" x14ac:dyDescent="0.3"/>
    <row r="64769" customFormat="1" x14ac:dyDescent="0.3"/>
    <row r="64770" customFormat="1" x14ac:dyDescent="0.3"/>
    <row r="64771" customFormat="1" x14ac:dyDescent="0.3"/>
    <row r="64772" customFormat="1" x14ac:dyDescent="0.3"/>
    <row r="64773" customFormat="1" x14ac:dyDescent="0.3"/>
    <row r="64774" customFormat="1" x14ac:dyDescent="0.3"/>
    <row r="64775" customFormat="1" x14ac:dyDescent="0.3"/>
    <row r="64776" customFormat="1" x14ac:dyDescent="0.3"/>
    <row r="64777" customFormat="1" x14ac:dyDescent="0.3"/>
    <row r="64778" customFormat="1" x14ac:dyDescent="0.3"/>
    <row r="64779" customFormat="1" x14ac:dyDescent="0.3"/>
    <row r="64780" customFormat="1" x14ac:dyDescent="0.3"/>
    <row r="64781" customFormat="1" x14ac:dyDescent="0.3"/>
    <row r="64782" customFormat="1" x14ac:dyDescent="0.3"/>
    <row r="64783" customFormat="1" x14ac:dyDescent="0.3"/>
    <row r="64784" customFormat="1" x14ac:dyDescent="0.3"/>
    <row r="64785" customFormat="1" x14ac:dyDescent="0.3"/>
    <row r="64786" customFormat="1" x14ac:dyDescent="0.3"/>
    <row r="64787" customFormat="1" x14ac:dyDescent="0.3"/>
    <row r="64788" customFormat="1" x14ac:dyDescent="0.3"/>
    <row r="64789" customFormat="1" x14ac:dyDescent="0.3"/>
    <row r="64790" customFormat="1" x14ac:dyDescent="0.3"/>
    <row r="64791" customFormat="1" x14ac:dyDescent="0.3"/>
    <row r="64792" customFormat="1" x14ac:dyDescent="0.3"/>
    <row r="64793" customFormat="1" x14ac:dyDescent="0.3"/>
    <row r="64794" customFormat="1" x14ac:dyDescent="0.3"/>
    <row r="64795" customFormat="1" x14ac:dyDescent="0.3"/>
    <row r="64796" customFormat="1" x14ac:dyDescent="0.3"/>
    <row r="64797" customFormat="1" x14ac:dyDescent="0.3"/>
    <row r="64798" customFormat="1" x14ac:dyDescent="0.3"/>
    <row r="64799" customFormat="1" x14ac:dyDescent="0.3"/>
    <row r="64800" customFormat="1" x14ac:dyDescent="0.3"/>
    <row r="64801" customFormat="1" x14ac:dyDescent="0.3"/>
    <row r="64802" customFormat="1" x14ac:dyDescent="0.3"/>
    <row r="64803" customFormat="1" x14ac:dyDescent="0.3"/>
    <row r="64804" customFormat="1" x14ac:dyDescent="0.3"/>
    <row r="64805" customFormat="1" x14ac:dyDescent="0.3"/>
    <row r="64806" customFormat="1" x14ac:dyDescent="0.3"/>
    <row r="64807" customFormat="1" x14ac:dyDescent="0.3"/>
    <row r="64808" customFormat="1" x14ac:dyDescent="0.3"/>
    <row r="64809" customFormat="1" x14ac:dyDescent="0.3"/>
    <row r="64810" customFormat="1" x14ac:dyDescent="0.3"/>
    <row r="64811" customFormat="1" x14ac:dyDescent="0.3"/>
    <row r="64812" customFormat="1" x14ac:dyDescent="0.3"/>
    <row r="64813" customFormat="1" x14ac:dyDescent="0.3"/>
    <row r="64814" customFormat="1" x14ac:dyDescent="0.3"/>
    <row r="64815" customFormat="1" x14ac:dyDescent="0.3"/>
    <row r="64816" customFormat="1" x14ac:dyDescent="0.3"/>
    <row r="64817" customFormat="1" x14ac:dyDescent="0.3"/>
    <row r="64818" customFormat="1" x14ac:dyDescent="0.3"/>
    <row r="64819" customFormat="1" x14ac:dyDescent="0.3"/>
    <row r="64820" customFormat="1" x14ac:dyDescent="0.3"/>
    <row r="64821" customFormat="1" x14ac:dyDescent="0.3"/>
    <row r="64822" customFormat="1" x14ac:dyDescent="0.3"/>
    <row r="64823" customFormat="1" x14ac:dyDescent="0.3"/>
    <row r="64824" customFormat="1" x14ac:dyDescent="0.3"/>
    <row r="64825" customFormat="1" x14ac:dyDescent="0.3"/>
    <row r="64826" customFormat="1" x14ac:dyDescent="0.3"/>
    <row r="64827" customFormat="1" x14ac:dyDescent="0.3"/>
    <row r="64828" customFormat="1" x14ac:dyDescent="0.3"/>
    <row r="64829" customFormat="1" x14ac:dyDescent="0.3"/>
    <row r="64830" customFormat="1" x14ac:dyDescent="0.3"/>
    <row r="64831" customFormat="1" x14ac:dyDescent="0.3"/>
    <row r="64832" customFormat="1" x14ac:dyDescent="0.3"/>
    <row r="64833" customFormat="1" x14ac:dyDescent="0.3"/>
    <row r="64834" customFormat="1" x14ac:dyDescent="0.3"/>
    <row r="64835" customFormat="1" x14ac:dyDescent="0.3"/>
    <row r="64836" customFormat="1" x14ac:dyDescent="0.3"/>
    <row r="64837" customFormat="1" x14ac:dyDescent="0.3"/>
    <row r="64838" customFormat="1" x14ac:dyDescent="0.3"/>
    <row r="64839" customFormat="1" x14ac:dyDescent="0.3"/>
    <row r="64840" customFormat="1" x14ac:dyDescent="0.3"/>
    <row r="64841" customFormat="1" x14ac:dyDescent="0.3"/>
    <row r="64842" customFormat="1" x14ac:dyDescent="0.3"/>
    <row r="64843" customFormat="1" x14ac:dyDescent="0.3"/>
    <row r="64844" customFormat="1" x14ac:dyDescent="0.3"/>
    <row r="64845" customFormat="1" x14ac:dyDescent="0.3"/>
    <row r="64846" customFormat="1" x14ac:dyDescent="0.3"/>
    <row r="64847" customFormat="1" x14ac:dyDescent="0.3"/>
    <row r="64848" customFormat="1" x14ac:dyDescent="0.3"/>
    <row r="64849" customFormat="1" x14ac:dyDescent="0.3"/>
    <row r="64850" customFormat="1" x14ac:dyDescent="0.3"/>
    <row r="64851" customFormat="1" x14ac:dyDescent="0.3"/>
    <row r="64852" customFormat="1" x14ac:dyDescent="0.3"/>
    <row r="64853" customFormat="1" x14ac:dyDescent="0.3"/>
    <row r="64854" customFormat="1" x14ac:dyDescent="0.3"/>
    <row r="64855" customFormat="1" x14ac:dyDescent="0.3"/>
    <row r="64856" customFormat="1" x14ac:dyDescent="0.3"/>
    <row r="64857" customFormat="1" x14ac:dyDescent="0.3"/>
    <row r="64858" customFormat="1" x14ac:dyDescent="0.3"/>
    <row r="64859" customFormat="1" x14ac:dyDescent="0.3"/>
    <row r="64860" customFormat="1" x14ac:dyDescent="0.3"/>
    <row r="64861" customFormat="1" x14ac:dyDescent="0.3"/>
    <row r="64862" customFormat="1" x14ac:dyDescent="0.3"/>
    <row r="64863" customFormat="1" x14ac:dyDescent="0.3"/>
    <row r="64864" customFormat="1" x14ac:dyDescent="0.3"/>
    <row r="64865" customFormat="1" x14ac:dyDescent="0.3"/>
    <row r="64866" customFormat="1" x14ac:dyDescent="0.3"/>
    <row r="64867" customFormat="1" x14ac:dyDescent="0.3"/>
    <row r="64868" customFormat="1" x14ac:dyDescent="0.3"/>
    <row r="64869" customFormat="1" x14ac:dyDescent="0.3"/>
    <row r="64870" customFormat="1" x14ac:dyDescent="0.3"/>
    <row r="64871" customFormat="1" x14ac:dyDescent="0.3"/>
    <row r="64872" customFormat="1" x14ac:dyDescent="0.3"/>
    <row r="64873" customFormat="1" x14ac:dyDescent="0.3"/>
    <row r="64874" customFormat="1" x14ac:dyDescent="0.3"/>
    <row r="64875" customFormat="1" x14ac:dyDescent="0.3"/>
    <row r="64876" customFormat="1" x14ac:dyDescent="0.3"/>
    <row r="64877" customFormat="1" x14ac:dyDescent="0.3"/>
    <row r="64878" customFormat="1" x14ac:dyDescent="0.3"/>
    <row r="64879" customFormat="1" x14ac:dyDescent="0.3"/>
    <row r="64880" customFormat="1" x14ac:dyDescent="0.3"/>
    <row r="64881" customFormat="1" x14ac:dyDescent="0.3"/>
    <row r="64882" customFormat="1" x14ac:dyDescent="0.3"/>
    <row r="64883" customFormat="1" x14ac:dyDescent="0.3"/>
    <row r="64884" customFormat="1" x14ac:dyDescent="0.3"/>
    <row r="64885" customFormat="1" x14ac:dyDescent="0.3"/>
    <row r="64886" customFormat="1" x14ac:dyDescent="0.3"/>
    <row r="64887" customFormat="1" x14ac:dyDescent="0.3"/>
    <row r="64888" customFormat="1" x14ac:dyDescent="0.3"/>
    <row r="64889" customFormat="1" x14ac:dyDescent="0.3"/>
    <row r="64890" customFormat="1" x14ac:dyDescent="0.3"/>
    <row r="64891" customFormat="1" x14ac:dyDescent="0.3"/>
    <row r="64892" customFormat="1" x14ac:dyDescent="0.3"/>
    <row r="64893" customFormat="1" x14ac:dyDescent="0.3"/>
    <row r="64894" customFormat="1" x14ac:dyDescent="0.3"/>
    <row r="64895" customFormat="1" x14ac:dyDescent="0.3"/>
    <row r="64896" customFormat="1" x14ac:dyDescent="0.3"/>
    <row r="64897" customFormat="1" x14ac:dyDescent="0.3"/>
    <row r="64898" customFormat="1" x14ac:dyDescent="0.3"/>
    <row r="64899" customFormat="1" x14ac:dyDescent="0.3"/>
    <row r="64900" customFormat="1" x14ac:dyDescent="0.3"/>
    <row r="64901" customFormat="1" x14ac:dyDescent="0.3"/>
    <row r="64902" customFormat="1" x14ac:dyDescent="0.3"/>
    <row r="64903" customFormat="1" x14ac:dyDescent="0.3"/>
    <row r="64904" customFormat="1" x14ac:dyDescent="0.3"/>
    <row r="64905" customFormat="1" x14ac:dyDescent="0.3"/>
    <row r="64906" customFormat="1" x14ac:dyDescent="0.3"/>
    <row r="64907" customFormat="1" x14ac:dyDescent="0.3"/>
    <row r="64908" customFormat="1" x14ac:dyDescent="0.3"/>
    <row r="64909" customFormat="1" x14ac:dyDescent="0.3"/>
    <row r="64910" customFormat="1" x14ac:dyDescent="0.3"/>
    <row r="64911" customFormat="1" x14ac:dyDescent="0.3"/>
    <row r="64912" customFormat="1" x14ac:dyDescent="0.3"/>
    <row r="64913" customFormat="1" x14ac:dyDescent="0.3"/>
    <row r="64914" customFormat="1" x14ac:dyDescent="0.3"/>
    <row r="64915" customFormat="1" x14ac:dyDescent="0.3"/>
    <row r="64916" customFormat="1" x14ac:dyDescent="0.3"/>
    <row r="64917" customFormat="1" x14ac:dyDescent="0.3"/>
    <row r="64918" customFormat="1" x14ac:dyDescent="0.3"/>
    <row r="64919" customFormat="1" x14ac:dyDescent="0.3"/>
    <row r="64920" customFormat="1" x14ac:dyDescent="0.3"/>
    <row r="64921" customFormat="1" x14ac:dyDescent="0.3"/>
    <row r="64922" customFormat="1" x14ac:dyDescent="0.3"/>
    <row r="64923" customFormat="1" x14ac:dyDescent="0.3"/>
    <row r="64924" customFormat="1" x14ac:dyDescent="0.3"/>
    <row r="64925" customFormat="1" x14ac:dyDescent="0.3"/>
    <row r="64926" customFormat="1" x14ac:dyDescent="0.3"/>
    <row r="64927" customFormat="1" x14ac:dyDescent="0.3"/>
    <row r="64928" customFormat="1" x14ac:dyDescent="0.3"/>
    <row r="64929" customFormat="1" x14ac:dyDescent="0.3"/>
    <row r="64930" customFormat="1" x14ac:dyDescent="0.3"/>
    <row r="64931" customFormat="1" x14ac:dyDescent="0.3"/>
    <row r="64932" customFormat="1" x14ac:dyDescent="0.3"/>
    <row r="64933" customFormat="1" x14ac:dyDescent="0.3"/>
    <row r="64934" customFormat="1" x14ac:dyDescent="0.3"/>
    <row r="64935" customFormat="1" x14ac:dyDescent="0.3"/>
    <row r="64936" customFormat="1" x14ac:dyDescent="0.3"/>
    <row r="64937" customFormat="1" x14ac:dyDescent="0.3"/>
    <row r="64938" customFormat="1" x14ac:dyDescent="0.3"/>
    <row r="64939" customFormat="1" x14ac:dyDescent="0.3"/>
    <row r="64940" customFormat="1" x14ac:dyDescent="0.3"/>
    <row r="64941" customFormat="1" x14ac:dyDescent="0.3"/>
    <row r="64942" customFormat="1" x14ac:dyDescent="0.3"/>
    <row r="64943" customFormat="1" x14ac:dyDescent="0.3"/>
    <row r="64944" customFormat="1" x14ac:dyDescent="0.3"/>
    <row r="64945" customFormat="1" x14ac:dyDescent="0.3"/>
    <row r="64946" customFormat="1" x14ac:dyDescent="0.3"/>
    <row r="64947" customFormat="1" x14ac:dyDescent="0.3"/>
    <row r="64948" customFormat="1" x14ac:dyDescent="0.3"/>
    <row r="64949" customFormat="1" x14ac:dyDescent="0.3"/>
    <row r="64950" customFormat="1" x14ac:dyDescent="0.3"/>
    <row r="64951" customFormat="1" x14ac:dyDescent="0.3"/>
    <row r="64952" customFormat="1" x14ac:dyDescent="0.3"/>
    <row r="64953" customFormat="1" x14ac:dyDescent="0.3"/>
    <row r="64954" customFormat="1" x14ac:dyDescent="0.3"/>
    <row r="64955" customFormat="1" x14ac:dyDescent="0.3"/>
    <row r="64956" customFormat="1" x14ac:dyDescent="0.3"/>
    <row r="64957" customFormat="1" x14ac:dyDescent="0.3"/>
    <row r="64958" customFormat="1" x14ac:dyDescent="0.3"/>
    <row r="64959" customFormat="1" x14ac:dyDescent="0.3"/>
    <row r="64960" customFormat="1" x14ac:dyDescent="0.3"/>
    <row r="64961" customFormat="1" x14ac:dyDescent="0.3"/>
    <row r="64962" customFormat="1" x14ac:dyDescent="0.3"/>
    <row r="64963" customFormat="1" x14ac:dyDescent="0.3"/>
    <row r="64964" customFormat="1" x14ac:dyDescent="0.3"/>
    <row r="64965" customFormat="1" x14ac:dyDescent="0.3"/>
    <row r="64966" customFormat="1" x14ac:dyDescent="0.3"/>
    <row r="64967" customFormat="1" x14ac:dyDescent="0.3"/>
    <row r="64968" customFormat="1" x14ac:dyDescent="0.3"/>
    <row r="64969" customFormat="1" x14ac:dyDescent="0.3"/>
    <row r="64970" customFormat="1" x14ac:dyDescent="0.3"/>
    <row r="64971" customFormat="1" x14ac:dyDescent="0.3"/>
    <row r="64972" customFormat="1" x14ac:dyDescent="0.3"/>
    <row r="64973" customFormat="1" x14ac:dyDescent="0.3"/>
    <row r="64974" customFormat="1" x14ac:dyDescent="0.3"/>
    <row r="64975" customFormat="1" x14ac:dyDescent="0.3"/>
    <row r="64976" customFormat="1" x14ac:dyDescent="0.3"/>
    <row r="64977" customFormat="1" x14ac:dyDescent="0.3"/>
    <row r="64978" customFormat="1" x14ac:dyDescent="0.3"/>
    <row r="64979" customFormat="1" x14ac:dyDescent="0.3"/>
    <row r="64980" customFormat="1" x14ac:dyDescent="0.3"/>
    <row r="64981" customFormat="1" x14ac:dyDescent="0.3"/>
    <row r="64982" customFormat="1" x14ac:dyDescent="0.3"/>
    <row r="64983" customFormat="1" x14ac:dyDescent="0.3"/>
    <row r="64984" customFormat="1" x14ac:dyDescent="0.3"/>
    <row r="64985" customFormat="1" x14ac:dyDescent="0.3"/>
    <row r="64986" customFormat="1" x14ac:dyDescent="0.3"/>
    <row r="64987" customFormat="1" x14ac:dyDescent="0.3"/>
    <row r="64988" customFormat="1" x14ac:dyDescent="0.3"/>
    <row r="64989" customFormat="1" x14ac:dyDescent="0.3"/>
    <row r="64990" customFormat="1" x14ac:dyDescent="0.3"/>
    <row r="64991" customFormat="1" x14ac:dyDescent="0.3"/>
    <row r="64992" customFormat="1" x14ac:dyDescent="0.3"/>
    <row r="64993" customFormat="1" x14ac:dyDescent="0.3"/>
    <row r="64994" customFormat="1" x14ac:dyDescent="0.3"/>
    <row r="64995" customFormat="1" x14ac:dyDescent="0.3"/>
    <row r="64996" customFormat="1" x14ac:dyDescent="0.3"/>
    <row r="64997" customFormat="1" x14ac:dyDescent="0.3"/>
    <row r="64998" customFormat="1" x14ac:dyDescent="0.3"/>
    <row r="64999" customFormat="1" x14ac:dyDescent="0.3"/>
    <row r="65000" customFormat="1" x14ac:dyDescent="0.3"/>
    <row r="65001" customFormat="1" x14ac:dyDescent="0.3"/>
    <row r="65002" customFormat="1" x14ac:dyDescent="0.3"/>
    <row r="65003" customFormat="1" x14ac:dyDescent="0.3"/>
    <row r="65004" customFormat="1" x14ac:dyDescent="0.3"/>
    <row r="65005" customFormat="1" x14ac:dyDescent="0.3"/>
    <row r="65006" customFormat="1" x14ac:dyDescent="0.3"/>
    <row r="65007" customFormat="1" x14ac:dyDescent="0.3"/>
    <row r="65008" customFormat="1" x14ac:dyDescent="0.3"/>
    <row r="65009" customFormat="1" x14ac:dyDescent="0.3"/>
    <row r="65010" customFormat="1" x14ac:dyDescent="0.3"/>
    <row r="65011" customFormat="1" x14ac:dyDescent="0.3"/>
    <row r="65012" customFormat="1" x14ac:dyDescent="0.3"/>
    <row r="65013" customFormat="1" x14ac:dyDescent="0.3"/>
    <row r="65014" customFormat="1" x14ac:dyDescent="0.3"/>
    <row r="65015" customFormat="1" x14ac:dyDescent="0.3"/>
    <row r="65016" customFormat="1" x14ac:dyDescent="0.3"/>
    <row r="65017" customFormat="1" x14ac:dyDescent="0.3"/>
    <row r="65018" customFormat="1" x14ac:dyDescent="0.3"/>
    <row r="65019" customFormat="1" x14ac:dyDescent="0.3"/>
    <row r="65020" customFormat="1" x14ac:dyDescent="0.3"/>
    <row r="65021" customFormat="1" x14ac:dyDescent="0.3"/>
    <row r="65022" customFormat="1" x14ac:dyDescent="0.3"/>
    <row r="65023" customFormat="1" x14ac:dyDescent="0.3"/>
    <row r="65024" customFormat="1" x14ac:dyDescent="0.3"/>
    <row r="65025" customFormat="1" x14ac:dyDescent="0.3"/>
    <row r="65026" customFormat="1" x14ac:dyDescent="0.3"/>
    <row r="65027" customFormat="1" x14ac:dyDescent="0.3"/>
    <row r="65028" customFormat="1" x14ac:dyDescent="0.3"/>
    <row r="65029" customFormat="1" x14ac:dyDescent="0.3"/>
    <row r="65030" customFormat="1" x14ac:dyDescent="0.3"/>
    <row r="65031" customFormat="1" x14ac:dyDescent="0.3"/>
    <row r="65032" customFormat="1" x14ac:dyDescent="0.3"/>
    <row r="65033" customFormat="1" x14ac:dyDescent="0.3"/>
    <row r="65034" customFormat="1" x14ac:dyDescent="0.3"/>
    <row r="65035" customFormat="1" x14ac:dyDescent="0.3"/>
    <row r="65036" customFormat="1" x14ac:dyDescent="0.3"/>
    <row r="65037" customFormat="1" x14ac:dyDescent="0.3"/>
    <row r="65038" customFormat="1" x14ac:dyDescent="0.3"/>
    <row r="65039" customFormat="1" x14ac:dyDescent="0.3"/>
    <row r="65040" customFormat="1" x14ac:dyDescent="0.3"/>
    <row r="65041" customFormat="1" x14ac:dyDescent="0.3"/>
    <row r="65042" customFormat="1" x14ac:dyDescent="0.3"/>
    <row r="65043" customFormat="1" x14ac:dyDescent="0.3"/>
    <row r="65044" customFormat="1" x14ac:dyDescent="0.3"/>
    <row r="65045" customFormat="1" x14ac:dyDescent="0.3"/>
    <row r="65046" customFormat="1" x14ac:dyDescent="0.3"/>
    <row r="65047" customFormat="1" x14ac:dyDescent="0.3"/>
    <row r="65048" customFormat="1" x14ac:dyDescent="0.3"/>
    <row r="65049" customFormat="1" x14ac:dyDescent="0.3"/>
    <row r="65050" customFormat="1" x14ac:dyDescent="0.3"/>
    <row r="65051" customFormat="1" x14ac:dyDescent="0.3"/>
    <row r="65052" customFormat="1" x14ac:dyDescent="0.3"/>
    <row r="65053" customFormat="1" x14ac:dyDescent="0.3"/>
    <row r="65054" customFormat="1" x14ac:dyDescent="0.3"/>
    <row r="65055" customFormat="1" x14ac:dyDescent="0.3"/>
    <row r="65056" customFormat="1" x14ac:dyDescent="0.3"/>
    <row r="65057" customFormat="1" x14ac:dyDescent="0.3"/>
    <row r="65058" customFormat="1" x14ac:dyDescent="0.3"/>
    <row r="65059" customFormat="1" x14ac:dyDescent="0.3"/>
    <row r="65060" customFormat="1" x14ac:dyDescent="0.3"/>
    <row r="65061" customFormat="1" x14ac:dyDescent="0.3"/>
    <row r="65062" customFormat="1" x14ac:dyDescent="0.3"/>
    <row r="65063" customFormat="1" x14ac:dyDescent="0.3"/>
    <row r="65064" customFormat="1" x14ac:dyDescent="0.3"/>
    <row r="65065" customFormat="1" x14ac:dyDescent="0.3"/>
    <row r="65066" customFormat="1" x14ac:dyDescent="0.3"/>
    <row r="65067" customFormat="1" x14ac:dyDescent="0.3"/>
    <row r="65068" customFormat="1" x14ac:dyDescent="0.3"/>
    <row r="65069" customFormat="1" x14ac:dyDescent="0.3"/>
    <row r="65070" customFormat="1" x14ac:dyDescent="0.3"/>
    <row r="65071" customFormat="1" x14ac:dyDescent="0.3"/>
    <row r="65072" customFormat="1" x14ac:dyDescent="0.3"/>
    <row r="65073" customFormat="1" x14ac:dyDescent="0.3"/>
    <row r="65074" customFormat="1" x14ac:dyDescent="0.3"/>
    <row r="65075" customFormat="1" x14ac:dyDescent="0.3"/>
    <row r="65076" customFormat="1" x14ac:dyDescent="0.3"/>
    <row r="65077" customFormat="1" x14ac:dyDescent="0.3"/>
    <row r="65078" customFormat="1" x14ac:dyDescent="0.3"/>
    <row r="65079" customFormat="1" x14ac:dyDescent="0.3"/>
    <row r="65080" customFormat="1" x14ac:dyDescent="0.3"/>
    <row r="65081" customFormat="1" x14ac:dyDescent="0.3"/>
    <row r="65082" customFormat="1" x14ac:dyDescent="0.3"/>
    <row r="65083" customFormat="1" x14ac:dyDescent="0.3"/>
    <row r="65084" customFormat="1" x14ac:dyDescent="0.3"/>
    <row r="65085" customFormat="1" x14ac:dyDescent="0.3"/>
    <row r="65086" customFormat="1" x14ac:dyDescent="0.3"/>
    <row r="65087" customFormat="1" x14ac:dyDescent="0.3"/>
    <row r="65088" customFormat="1" x14ac:dyDescent="0.3"/>
    <row r="65089" customFormat="1" x14ac:dyDescent="0.3"/>
    <row r="65090" customFormat="1" x14ac:dyDescent="0.3"/>
    <row r="65091" customFormat="1" x14ac:dyDescent="0.3"/>
    <row r="65092" customFormat="1" x14ac:dyDescent="0.3"/>
    <row r="65093" customFormat="1" x14ac:dyDescent="0.3"/>
    <row r="65094" customFormat="1" x14ac:dyDescent="0.3"/>
    <row r="65095" customFormat="1" x14ac:dyDescent="0.3"/>
    <row r="65096" customFormat="1" x14ac:dyDescent="0.3"/>
    <row r="65097" customFormat="1" x14ac:dyDescent="0.3"/>
    <row r="65098" customFormat="1" x14ac:dyDescent="0.3"/>
    <row r="65099" customFormat="1" x14ac:dyDescent="0.3"/>
    <row r="65100" customFormat="1" x14ac:dyDescent="0.3"/>
    <row r="65101" customFormat="1" x14ac:dyDescent="0.3"/>
    <row r="65102" customFormat="1" x14ac:dyDescent="0.3"/>
    <row r="65103" customFormat="1" x14ac:dyDescent="0.3"/>
    <row r="65104" customFormat="1" x14ac:dyDescent="0.3"/>
    <row r="65105" customFormat="1" x14ac:dyDescent="0.3"/>
    <row r="65106" customFormat="1" x14ac:dyDescent="0.3"/>
    <row r="65107" customFormat="1" x14ac:dyDescent="0.3"/>
    <row r="65108" customFormat="1" x14ac:dyDescent="0.3"/>
    <row r="65109" customFormat="1" x14ac:dyDescent="0.3"/>
    <row r="65110" customFormat="1" x14ac:dyDescent="0.3"/>
    <row r="65111" customFormat="1" x14ac:dyDescent="0.3"/>
    <row r="65112" customFormat="1" x14ac:dyDescent="0.3"/>
    <row r="65113" customFormat="1" x14ac:dyDescent="0.3"/>
    <row r="65114" customFormat="1" x14ac:dyDescent="0.3"/>
    <row r="65115" customFormat="1" x14ac:dyDescent="0.3"/>
    <row r="65116" customFormat="1" x14ac:dyDescent="0.3"/>
    <row r="65117" customFormat="1" x14ac:dyDescent="0.3"/>
    <row r="65118" customFormat="1" x14ac:dyDescent="0.3"/>
    <row r="65119" customFormat="1" x14ac:dyDescent="0.3"/>
    <row r="65120" customFormat="1" x14ac:dyDescent="0.3"/>
    <row r="65121" customFormat="1" x14ac:dyDescent="0.3"/>
    <row r="65122" customFormat="1" x14ac:dyDescent="0.3"/>
    <row r="65123" customFormat="1" x14ac:dyDescent="0.3"/>
    <row r="65124" customFormat="1" x14ac:dyDescent="0.3"/>
    <row r="65125" customFormat="1" x14ac:dyDescent="0.3"/>
    <row r="65126" customFormat="1" x14ac:dyDescent="0.3"/>
    <row r="65127" customFormat="1" x14ac:dyDescent="0.3"/>
    <row r="65128" customFormat="1" x14ac:dyDescent="0.3"/>
    <row r="65129" customFormat="1" x14ac:dyDescent="0.3"/>
    <row r="65130" customFormat="1" x14ac:dyDescent="0.3"/>
    <row r="65131" customFormat="1" x14ac:dyDescent="0.3"/>
    <row r="65132" customFormat="1" x14ac:dyDescent="0.3"/>
    <row r="65133" customFormat="1" x14ac:dyDescent="0.3"/>
    <row r="65134" customFormat="1" x14ac:dyDescent="0.3"/>
    <row r="65135" customFormat="1" x14ac:dyDescent="0.3"/>
    <row r="65136" customFormat="1" x14ac:dyDescent="0.3"/>
    <row r="65137" customFormat="1" x14ac:dyDescent="0.3"/>
    <row r="65138" customFormat="1" x14ac:dyDescent="0.3"/>
    <row r="65139" customFormat="1" x14ac:dyDescent="0.3"/>
    <row r="65140" customFormat="1" x14ac:dyDescent="0.3"/>
    <row r="65141" customFormat="1" x14ac:dyDescent="0.3"/>
    <row r="65142" customFormat="1" x14ac:dyDescent="0.3"/>
    <row r="65143" customFormat="1" x14ac:dyDescent="0.3"/>
    <row r="65144" customFormat="1" x14ac:dyDescent="0.3"/>
    <row r="65145" customFormat="1" x14ac:dyDescent="0.3"/>
    <row r="65146" customFormat="1" x14ac:dyDescent="0.3"/>
    <row r="65147" customFormat="1" x14ac:dyDescent="0.3"/>
    <row r="65148" customFormat="1" x14ac:dyDescent="0.3"/>
    <row r="65149" customFormat="1" x14ac:dyDescent="0.3"/>
    <row r="65150" customFormat="1" x14ac:dyDescent="0.3"/>
    <row r="65151" customFormat="1" x14ac:dyDescent="0.3"/>
    <row r="65152" customFormat="1" x14ac:dyDescent="0.3"/>
    <row r="65153" customFormat="1" x14ac:dyDescent="0.3"/>
    <row r="65154" customFormat="1" x14ac:dyDescent="0.3"/>
    <row r="65155" customFormat="1" x14ac:dyDescent="0.3"/>
    <row r="65156" customFormat="1" x14ac:dyDescent="0.3"/>
    <row r="65157" customFormat="1" x14ac:dyDescent="0.3"/>
    <row r="65158" customFormat="1" x14ac:dyDescent="0.3"/>
    <row r="65159" customFormat="1" x14ac:dyDescent="0.3"/>
    <row r="65160" customFormat="1" x14ac:dyDescent="0.3"/>
    <row r="65161" customFormat="1" x14ac:dyDescent="0.3"/>
    <row r="65162" customFormat="1" x14ac:dyDescent="0.3"/>
    <row r="65163" customFormat="1" x14ac:dyDescent="0.3"/>
    <row r="65164" customFormat="1" x14ac:dyDescent="0.3"/>
    <row r="65165" customFormat="1" x14ac:dyDescent="0.3"/>
    <row r="65166" customFormat="1" x14ac:dyDescent="0.3"/>
    <row r="65167" customFormat="1" x14ac:dyDescent="0.3"/>
    <row r="65168" customFormat="1" x14ac:dyDescent="0.3"/>
    <row r="65169" customFormat="1" x14ac:dyDescent="0.3"/>
    <row r="65170" customFormat="1" x14ac:dyDescent="0.3"/>
    <row r="65171" customFormat="1" x14ac:dyDescent="0.3"/>
    <row r="65172" customFormat="1" x14ac:dyDescent="0.3"/>
    <row r="65173" customFormat="1" x14ac:dyDescent="0.3"/>
    <row r="65174" customFormat="1" x14ac:dyDescent="0.3"/>
    <row r="65175" customFormat="1" x14ac:dyDescent="0.3"/>
    <row r="65176" customFormat="1" x14ac:dyDescent="0.3"/>
    <row r="65177" customFormat="1" x14ac:dyDescent="0.3"/>
    <row r="65178" customFormat="1" x14ac:dyDescent="0.3"/>
    <row r="65179" customFormat="1" x14ac:dyDescent="0.3"/>
    <row r="65180" customFormat="1" x14ac:dyDescent="0.3"/>
    <row r="65181" customFormat="1" x14ac:dyDescent="0.3"/>
    <row r="65182" customFormat="1" x14ac:dyDescent="0.3"/>
    <row r="65183" customFormat="1" x14ac:dyDescent="0.3"/>
    <row r="65184" customFormat="1" x14ac:dyDescent="0.3"/>
    <row r="65185" customFormat="1" x14ac:dyDescent="0.3"/>
    <row r="65186" customFormat="1" x14ac:dyDescent="0.3"/>
    <row r="65187" customFormat="1" x14ac:dyDescent="0.3"/>
    <row r="65188" customFormat="1" x14ac:dyDescent="0.3"/>
    <row r="65189" customFormat="1" x14ac:dyDescent="0.3"/>
    <row r="65190" customFormat="1" x14ac:dyDescent="0.3"/>
    <row r="65191" customFormat="1" x14ac:dyDescent="0.3"/>
    <row r="65192" customFormat="1" x14ac:dyDescent="0.3"/>
    <row r="65193" customFormat="1" x14ac:dyDescent="0.3"/>
    <row r="65194" customFormat="1" x14ac:dyDescent="0.3"/>
    <row r="65195" customFormat="1" x14ac:dyDescent="0.3"/>
    <row r="65196" customFormat="1" x14ac:dyDescent="0.3"/>
    <row r="65197" customFormat="1" x14ac:dyDescent="0.3"/>
    <row r="65198" customFormat="1" x14ac:dyDescent="0.3"/>
    <row r="65199" customFormat="1" x14ac:dyDescent="0.3"/>
    <row r="65200" customFormat="1" x14ac:dyDescent="0.3"/>
    <row r="65201" customFormat="1" x14ac:dyDescent="0.3"/>
    <row r="65202" customFormat="1" x14ac:dyDescent="0.3"/>
    <row r="65203" customFormat="1" x14ac:dyDescent="0.3"/>
    <row r="65204" customFormat="1" x14ac:dyDescent="0.3"/>
    <row r="65205" customFormat="1" x14ac:dyDescent="0.3"/>
    <row r="65206" customFormat="1" x14ac:dyDescent="0.3"/>
    <row r="65207" customFormat="1" x14ac:dyDescent="0.3"/>
    <row r="65208" customFormat="1" x14ac:dyDescent="0.3"/>
    <row r="65209" customFormat="1" x14ac:dyDescent="0.3"/>
    <row r="65210" customFormat="1" x14ac:dyDescent="0.3"/>
    <row r="65211" customFormat="1" x14ac:dyDescent="0.3"/>
    <row r="65212" customFormat="1" x14ac:dyDescent="0.3"/>
    <row r="65213" customFormat="1" x14ac:dyDescent="0.3"/>
    <row r="65214" customFormat="1" x14ac:dyDescent="0.3"/>
    <row r="65215" customFormat="1" x14ac:dyDescent="0.3"/>
    <row r="65216" customFormat="1" x14ac:dyDescent="0.3"/>
    <row r="65217" customFormat="1" x14ac:dyDescent="0.3"/>
    <row r="65218" customFormat="1" x14ac:dyDescent="0.3"/>
    <row r="65219" customFormat="1" x14ac:dyDescent="0.3"/>
    <row r="65220" customFormat="1" x14ac:dyDescent="0.3"/>
    <row r="65221" customFormat="1" x14ac:dyDescent="0.3"/>
    <row r="65222" customFormat="1" x14ac:dyDescent="0.3"/>
    <row r="65223" customFormat="1" x14ac:dyDescent="0.3"/>
    <row r="65224" customFormat="1" x14ac:dyDescent="0.3"/>
    <row r="65225" customFormat="1" x14ac:dyDescent="0.3"/>
    <row r="65226" customFormat="1" x14ac:dyDescent="0.3"/>
    <row r="65227" customFormat="1" x14ac:dyDescent="0.3"/>
    <row r="65228" customFormat="1" x14ac:dyDescent="0.3"/>
    <row r="65229" customFormat="1" x14ac:dyDescent="0.3"/>
    <row r="65230" customFormat="1" x14ac:dyDescent="0.3"/>
    <row r="65231" customFormat="1" x14ac:dyDescent="0.3"/>
    <row r="65232" customFormat="1" x14ac:dyDescent="0.3"/>
    <row r="65233" customFormat="1" x14ac:dyDescent="0.3"/>
    <row r="65234" customFormat="1" x14ac:dyDescent="0.3"/>
    <row r="65235" customFormat="1" x14ac:dyDescent="0.3"/>
    <row r="65236" customFormat="1" x14ac:dyDescent="0.3"/>
    <row r="65237" customFormat="1" x14ac:dyDescent="0.3"/>
    <row r="65238" customFormat="1" x14ac:dyDescent="0.3"/>
    <row r="65239" customFormat="1" x14ac:dyDescent="0.3"/>
    <row r="65240" customFormat="1" x14ac:dyDescent="0.3"/>
    <row r="65241" customFormat="1" x14ac:dyDescent="0.3"/>
    <row r="65242" customFormat="1" x14ac:dyDescent="0.3"/>
    <row r="65243" customFormat="1" x14ac:dyDescent="0.3"/>
    <row r="65244" customFormat="1" x14ac:dyDescent="0.3"/>
    <row r="65245" customFormat="1" x14ac:dyDescent="0.3"/>
    <row r="65246" customFormat="1" x14ac:dyDescent="0.3"/>
    <row r="65247" customFormat="1" x14ac:dyDescent="0.3"/>
    <row r="65248" customFormat="1" x14ac:dyDescent="0.3"/>
    <row r="65249" customFormat="1" x14ac:dyDescent="0.3"/>
    <row r="65250" customFormat="1" x14ac:dyDescent="0.3"/>
    <row r="65251" customFormat="1" x14ac:dyDescent="0.3"/>
    <row r="65252" customFormat="1" x14ac:dyDescent="0.3"/>
    <row r="65253" customFormat="1" x14ac:dyDescent="0.3"/>
    <row r="65254" customFormat="1" x14ac:dyDescent="0.3"/>
    <row r="65255" customFormat="1" x14ac:dyDescent="0.3"/>
    <row r="65256" customFormat="1" x14ac:dyDescent="0.3"/>
    <row r="65257" customFormat="1" x14ac:dyDescent="0.3"/>
    <row r="65258" customFormat="1" x14ac:dyDescent="0.3"/>
    <row r="65259" customFormat="1" x14ac:dyDescent="0.3"/>
    <row r="65260" customFormat="1" x14ac:dyDescent="0.3"/>
    <row r="65261" customFormat="1" x14ac:dyDescent="0.3"/>
    <row r="65262" customFormat="1" x14ac:dyDescent="0.3"/>
    <row r="65263" customFormat="1" x14ac:dyDescent="0.3"/>
    <row r="65264" customFormat="1" x14ac:dyDescent="0.3"/>
    <row r="65265" customFormat="1" x14ac:dyDescent="0.3"/>
    <row r="65266" customFormat="1" x14ac:dyDescent="0.3"/>
    <row r="65267" customFormat="1" x14ac:dyDescent="0.3"/>
    <row r="65268" customFormat="1" x14ac:dyDescent="0.3"/>
    <row r="65269" customFormat="1" x14ac:dyDescent="0.3"/>
    <row r="65270" customFormat="1" x14ac:dyDescent="0.3"/>
    <row r="65271" customFormat="1" x14ac:dyDescent="0.3"/>
    <row r="65272" customFormat="1" x14ac:dyDescent="0.3"/>
    <row r="65273" customFormat="1" x14ac:dyDescent="0.3"/>
    <row r="65274" customFormat="1" x14ac:dyDescent="0.3"/>
    <row r="65275" customFormat="1" x14ac:dyDescent="0.3"/>
    <row r="65276" customFormat="1" x14ac:dyDescent="0.3"/>
    <row r="65277" customFormat="1" x14ac:dyDescent="0.3"/>
    <row r="65278" customFormat="1" x14ac:dyDescent="0.3"/>
    <row r="65279" customFormat="1" x14ac:dyDescent="0.3"/>
    <row r="65280" customFormat="1" x14ac:dyDescent="0.3"/>
    <row r="65281" customFormat="1" x14ac:dyDescent="0.3"/>
    <row r="65282" customFormat="1" x14ac:dyDescent="0.3"/>
    <row r="65283" customFormat="1" x14ac:dyDescent="0.3"/>
    <row r="65284" customFormat="1" x14ac:dyDescent="0.3"/>
    <row r="65285" customFormat="1" x14ac:dyDescent="0.3"/>
    <row r="65286" customFormat="1" x14ac:dyDescent="0.3"/>
    <row r="65287" customFormat="1" x14ac:dyDescent="0.3"/>
    <row r="65288" customFormat="1" x14ac:dyDescent="0.3"/>
    <row r="65289" customFormat="1" x14ac:dyDescent="0.3"/>
    <row r="65290" customFormat="1" x14ac:dyDescent="0.3"/>
    <row r="65291" customFormat="1" x14ac:dyDescent="0.3"/>
    <row r="65292" customFormat="1" x14ac:dyDescent="0.3"/>
    <row r="65293" customFormat="1" x14ac:dyDescent="0.3"/>
    <row r="65294" customFormat="1" x14ac:dyDescent="0.3"/>
    <row r="65295" customFormat="1" x14ac:dyDescent="0.3"/>
    <row r="65296" customFormat="1" x14ac:dyDescent="0.3"/>
    <row r="65297" customFormat="1" x14ac:dyDescent="0.3"/>
    <row r="65298" customFormat="1" x14ac:dyDescent="0.3"/>
    <row r="65299" customFormat="1" x14ac:dyDescent="0.3"/>
    <row r="65300" customFormat="1" x14ac:dyDescent="0.3"/>
    <row r="65301" customFormat="1" x14ac:dyDescent="0.3"/>
    <row r="65302" customFormat="1" x14ac:dyDescent="0.3"/>
    <row r="65303" customFormat="1" x14ac:dyDescent="0.3"/>
    <row r="65304" customFormat="1" x14ac:dyDescent="0.3"/>
    <row r="65305" customFormat="1" x14ac:dyDescent="0.3"/>
    <row r="65306" customFormat="1" x14ac:dyDescent="0.3"/>
    <row r="65307" customFormat="1" x14ac:dyDescent="0.3"/>
    <row r="65308" customFormat="1" x14ac:dyDescent="0.3"/>
    <row r="65309" customFormat="1" x14ac:dyDescent="0.3"/>
    <row r="65310" customFormat="1" x14ac:dyDescent="0.3"/>
    <row r="65311" customFormat="1" x14ac:dyDescent="0.3"/>
    <row r="65312" customFormat="1" x14ac:dyDescent="0.3"/>
    <row r="65313" customFormat="1" x14ac:dyDescent="0.3"/>
    <row r="65314" customFormat="1" x14ac:dyDescent="0.3"/>
    <row r="65315" customFormat="1" x14ac:dyDescent="0.3"/>
    <row r="65316" customFormat="1" x14ac:dyDescent="0.3"/>
    <row r="65317" customFormat="1" x14ac:dyDescent="0.3"/>
    <row r="65318" customFormat="1" x14ac:dyDescent="0.3"/>
    <row r="65319" customFormat="1" x14ac:dyDescent="0.3"/>
    <row r="65320" customFormat="1" x14ac:dyDescent="0.3"/>
    <row r="65321" customFormat="1" x14ac:dyDescent="0.3"/>
    <row r="65322" customFormat="1" x14ac:dyDescent="0.3"/>
    <row r="65323" customFormat="1" x14ac:dyDescent="0.3"/>
    <row r="65324" customFormat="1" x14ac:dyDescent="0.3"/>
    <row r="65325" customFormat="1" x14ac:dyDescent="0.3"/>
    <row r="65326" customFormat="1" x14ac:dyDescent="0.3"/>
    <row r="65327" customFormat="1" x14ac:dyDescent="0.3"/>
    <row r="65328" customFormat="1" x14ac:dyDescent="0.3"/>
    <row r="65329" customFormat="1" x14ac:dyDescent="0.3"/>
    <row r="65330" customFormat="1" x14ac:dyDescent="0.3"/>
    <row r="65331" customFormat="1" x14ac:dyDescent="0.3"/>
    <row r="65332" customFormat="1" x14ac:dyDescent="0.3"/>
    <row r="65333" customFormat="1" x14ac:dyDescent="0.3"/>
    <row r="65334" customFormat="1" x14ac:dyDescent="0.3"/>
    <row r="65335" customFormat="1" x14ac:dyDescent="0.3"/>
    <row r="65336" customFormat="1" x14ac:dyDescent="0.3"/>
    <row r="65337" customFormat="1" x14ac:dyDescent="0.3"/>
    <row r="65338" customFormat="1" x14ac:dyDescent="0.3"/>
    <row r="65339" customFormat="1" x14ac:dyDescent="0.3"/>
    <row r="65340" customFormat="1" x14ac:dyDescent="0.3"/>
    <row r="65341" customFormat="1" x14ac:dyDescent="0.3"/>
    <row r="65342" customFormat="1" x14ac:dyDescent="0.3"/>
    <row r="65343" customFormat="1" x14ac:dyDescent="0.3"/>
    <row r="65344" customFormat="1" x14ac:dyDescent="0.3"/>
    <row r="65345" customFormat="1" x14ac:dyDescent="0.3"/>
    <row r="65346" customFormat="1" x14ac:dyDescent="0.3"/>
    <row r="65347" customFormat="1" x14ac:dyDescent="0.3"/>
    <row r="65348" customFormat="1" x14ac:dyDescent="0.3"/>
    <row r="65349" customFormat="1" x14ac:dyDescent="0.3"/>
    <row r="65350" customFormat="1" x14ac:dyDescent="0.3"/>
    <row r="65351" customFormat="1" x14ac:dyDescent="0.3"/>
    <row r="65352" customFormat="1" x14ac:dyDescent="0.3"/>
    <row r="65353" customFormat="1" x14ac:dyDescent="0.3"/>
    <row r="65354" customFormat="1" x14ac:dyDescent="0.3"/>
    <row r="65355" customFormat="1" x14ac:dyDescent="0.3"/>
    <row r="65356" customFormat="1" x14ac:dyDescent="0.3"/>
    <row r="65357" customFormat="1" x14ac:dyDescent="0.3"/>
    <row r="65358" customFormat="1" x14ac:dyDescent="0.3"/>
    <row r="65359" customFormat="1" x14ac:dyDescent="0.3"/>
    <row r="65360" customFormat="1" x14ac:dyDescent="0.3"/>
    <row r="65361" customFormat="1" x14ac:dyDescent="0.3"/>
    <row r="65362" customFormat="1" x14ac:dyDescent="0.3"/>
    <row r="65363" customFormat="1" x14ac:dyDescent="0.3"/>
    <row r="65364" customFormat="1" x14ac:dyDescent="0.3"/>
    <row r="65365" customFormat="1" x14ac:dyDescent="0.3"/>
    <row r="65366" customFormat="1" x14ac:dyDescent="0.3"/>
    <row r="65367" customFormat="1" x14ac:dyDescent="0.3"/>
    <row r="65368" customFormat="1" x14ac:dyDescent="0.3"/>
    <row r="65369" customFormat="1" x14ac:dyDescent="0.3"/>
    <row r="65370" customFormat="1" x14ac:dyDescent="0.3"/>
    <row r="65371" customFormat="1" x14ac:dyDescent="0.3"/>
    <row r="65372" customFormat="1" x14ac:dyDescent="0.3"/>
    <row r="65373" customFormat="1" x14ac:dyDescent="0.3"/>
    <row r="65374" customFormat="1" x14ac:dyDescent="0.3"/>
    <row r="65375" customFormat="1" x14ac:dyDescent="0.3"/>
    <row r="65376" customFormat="1" x14ac:dyDescent="0.3"/>
    <row r="65377" customFormat="1" x14ac:dyDescent="0.3"/>
    <row r="65378" customFormat="1" x14ac:dyDescent="0.3"/>
    <row r="65379" customFormat="1" x14ac:dyDescent="0.3"/>
    <row r="65380" customFormat="1" x14ac:dyDescent="0.3"/>
    <row r="65381" customFormat="1" x14ac:dyDescent="0.3"/>
    <row r="65382" customFormat="1" x14ac:dyDescent="0.3"/>
    <row r="65383" customFormat="1" x14ac:dyDescent="0.3"/>
    <row r="65384" customFormat="1" x14ac:dyDescent="0.3"/>
    <row r="65385" customFormat="1" x14ac:dyDescent="0.3"/>
    <row r="65386" customFormat="1" x14ac:dyDescent="0.3"/>
    <row r="65387" customFormat="1" x14ac:dyDescent="0.3"/>
    <row r="65388" customFormat="1" x14ac:dyDescent="0.3"/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4EB9E93552A14EAEE4093D110B299C" ma:contentTypeVersion="14" ma:contentTypeDescription="Crear nuevo documento." ma:contentTypeScope="" ma:versionID="f2ed70c11061fa067ce89eb857994136">
  <xsd:schema xmlns:xsd="http://www.w3.org/2001/XMLSchema" xmlns:xs="http://www.w3.org/2001/XMLSchema" xmlns:p="http://schemas.microsoft.com/office/2006/metadata/properties" xmlns:ns3="2acf3805-fc20-40e8-931e-afba07c8db1f" xmlns:ns4="643becbd-8d97-46de-955f-011b993c2811" targetNamespace="http://schemas.microsoft.com/office/2006/metadata/properties" ma:root="true" ma:fieldsID="a40c14a66af9c9e9675156fa44075bc5" ns3:_="" ns4:_="">
    <xsd:import namespace="2acf3805-fc20-40e8-931e-afba07c8db1f"/>
    <xsd:import namespace="643becbd-8d97-46de-955f-011b993c28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_activity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cf3805-fc20-40e8-931e-afba07c8db1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3becbd-8d97-46de-955f-011b993c2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43becbd-8d97-46de-955f-011b993c281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17AAAB-FB7B-49BB-9624-33254B16E0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cf3805-fc20-40e8-931e-afba07c8db1f"/>
    <ds:schemaRef ds:uri="643becbd-8d97-46de-955f-011b993c2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6DDC96-3BC1-400F-B8B2-9FFE003EC840}">
  <ds:schemaRefs>
    <ds:schemaRef ds:uri="http://purl.org/dc/elements/1.1/"/>
    <ds:schemaRef ds:uri="2acf3805-fc20-40e8-931e-afba07c8db1f"/>
    <ds:schemaRef ds:uri="643becbd-8d97-46de-955f-011b993c2811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B234D8A-804D-455E-9CF5-FB453F753F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BASE DE DATOS</vt:lpstr>
      <vt:lpstr>DEMANDA</vt:lpstr>
      <vt:lpstr>Hoja1</vt:lpstr>
      <vt:lpstr>Hoja2</vt:lpstr>
      <vt:lpstr>DATOS PV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Terán</dc:creator>
  <cp:lastModifiedBy>Ismael Rodriguez</cp:lastModifiedBy>
  <dcterms:created xsi:type="dcterms:W3CDTF">2021-10-08T20:46:42Z</dcterms:created>
  <dcterms:modified xsi:type="dcterms:W3CDTF">2026-02-10T15:07:00Z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0x010100C44EB9E93552A14EAEE4093D110B299C</vt:lpwstr>
  </property>
</Properties>
</file>